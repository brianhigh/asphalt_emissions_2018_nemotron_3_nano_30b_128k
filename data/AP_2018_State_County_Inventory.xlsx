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projects/ASPHALT/manuscript/data/"/>
    </mc:Choice>
  </mc:AlternateContent>
  <xr:revisionPtr revIDLastSave="1547" documentId="8_{2BD473AF-72A2-411B-9DDF-D29FFCC43F3A}" xr6:coauthVersionLast="47" xr6:coauthVersionMax="47" xr10:uidLastSave="{928AC54D-9E05-4F8E-94C1-3540F58A2107}"/>
  <bookViews>
    <workbookView xWindow="2145" yWindow="225" windowWidth="25620" windowHeight="15195" firstSheet="1" activeTab="3" xr2:uid="{67C33631-AA45-47B6-A2D9-12D02E642F85}"/>
  </bookViews>
  <sheets>
    <sheet name="Sheet1" sheetId="1" r:id="rId1"/>
    <sheet name="Input" sheetId="5" r:id="rId2"/>
    <sheet name="Intermediate" sheetId="6" r:id="rId3"/>
    <sheet name="Output - State" sheetId="7" r:id="rId4"/>
    <sheet name="Output - County" sheetId="8" r:id="rId5"/>
  </sheets>
  <definedNames>
    <definedName name="_xlnm._FilterDatabase" localSheetId="2" hidden="1">Intermediate!$C$1:$C$52</definedName>
    <definedName name="_xlnm.Extract" localSheetId="2">Intermediate!#REF!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7" l="1"/>
  <c r="S3" i="7"/>
  <c r="R4" i="7"/>
  <c r="S4" i="7"/>
  <c r="R5" i="7"/>
  <c r="S5" i="7"/>
  <c r="R6" i="7"/>
  <c r="S6" i="7"/>
  <c r="R7" i="7"/>
  <c r="S7" i="7"/>
  <c r="R8" i="7"/>
  <c r="S8" i="7"/>
  <c r="R9" i="7"/>
  <c r="S9" i="7"/>
  <c r="R10" i="7"/>
  <c r="S10" i="7"/>
  <c r="R11" i="7"/>
  <c r="S11" i="7"/>
  <c r="R12" i="7"/>
  <c r="S12" i="7"/>
  <c r="R13" i="7"/>
  <c r="S13" i="7"/>
  <c r="R14" i="7"/>
  <c r="S14" i="7"/>
  <c r="R15" i="7"/>
  <c r="S15" i="7"/>
  <c r="R16" i="7"/>
  <c r="S16" i="7"/>
  <c r="R17" i="7"/>
  <c r="S17" i="7"/>
  <c r="R18" i="7"/>
  <c r="S18" i="7"/>
  <c r="R19" i="7"/>
  <c r="S19" i="7"/>
  <c r="R20" i="7"/>
  <c r="S20" i="7"/>
  <c r="R21" i="7"/>
  <c r="S21" i="7"/>
  <c r="R22" i="7"/>
  <c r="S22" i="7"/>
  <c r="R23" i="7"/>
  <c r="S23" i="7"/>
  <c r="R24" i="7"/>
  <c r="S24" i="7"/>
  <c r="R25" i="7"/>
  <c r="S25" i="7"/>
  <c r="R26" i="7"/>
  <c r="S26" i="7"/>
  <c r="R27" i="7"/>
  <c r="S27" i="7"/>
  <c r="R28" i="7"/>
  <c r="S28" i="7"/>
  <c r="R29" i="7"/>
  <c r="S29" i="7"/>
  <c r="R30" i="7"/>
  <c r="S30" i="7"/>
  <c r="R31" i="7"/>
  <c r="S31" i="7"/>
  <c r="R32" i="7"/>
  <c r="S32" i="7"/>
  <c r="R33" i="7"/>
  <c r="S33" i="7"/>
  <c r="R34" i="7"/>
  <c r="S34" i="7"/>
  <c r="R35" i="7"/>
  <c r="S35" i="7"/>
  <c r="R36" i="7"/>
  <c r="S36" i="7"/>
  <c r="R37" i="7"/>
  <c r="S37" i="7"/>
  <c r="R38" i="7"/>
  <c r="S38" i="7"/>
  <c r="R39" i="7"/>
  <c r="S39" i="7"/>
  <c r="R40" i="7"/>
  <c r="S40" i="7"/>
  <c r="R41" i="7"/>
  <c r="S41" i="7"/>
  <c r="R42" i="7"/>
  <c r="S42" i="7"/>
  <c r="R43" i="7"/>
  <c r="S43" i="7"/>
  <c r="R44" i="7"/>
  <c r="S44" i="7"/>
  <c r="R45" i="7"/>
  <c r="S45" i="7"/>
  <c r="R46" i="7"/>
  <c r="S46" i="7"/>
  <c r="R47" i="7"/>
  <c r="S47" i="7"/>
  <c r="R48" i="7"/>
  <c r="S48" i="7"/>
  <c r="R49" i="7"/>
  <c r="S49" i="7"/>
  <c r="R50" i="7"/>
  <c r="S50" i="7"/>
  <c r="R51" i="7"/>
  <c r="S51" i="7"/>
  <c r="R52" i="7"/>
  <c r="S5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2" i="7"/>
  <c r="R2" i="7" s="1"/>
  <c r="O3" i="7"/>
  <c r="P3" i="7"/>
  <c r="O4" i="7"/>
  <c r="P4" i="7"/>
  <c r="O5" i="7"/>
  <c r="P5" i="7"/>
  <c r="O6" i="7"/>
  <c r="P6" i="7"/>
  <c r="O7" i="7"/>
  <c r="P7" i="7"/>
  <c r="O8" i="7"/>
  <c r="P8" i="7"/>
  <c r="O9" i="7"/>
  <c r="P9" i="7"/>
  <c r="O10" i="7"/>
  <c r="P10" i="7"/>
  <c r="O11" i="7"/>
  <c r="P11" i="7"/>
  <c r="O12" i="7"/>
  <c r="P12" i="7"/>
  <c r="O13" i="7"/>
  <c r="P13" i="7"/>
  <c r="O14" i="7"/>
  <c r="P14" i="7"/>
  <c r="O15" i="7"/>
  <c r="P15" i="7"/>
  <c r="O16" i="7"/>
  <c r="P16" i="7"/>
  <c r="O17" i="7"/>
  <c r="P17" i="7"/>
  <c r="O18" i="7"/>
  <c r="P18" i="7"/>
  <c r="O19" i="7"/>
  <c r="P19" i="7"/>
  <c r="O20" i="7"/>
  <c r="P20" i="7"/>
  <c r="O21" i="7"/>
  <c r="P21" i="7"/>
  <c r="O22" i="7"/>
  <c r="P22" i="7"/>
  <c r="O23" i="7"/>
  <c r="P23" i="7"/>
  <c r="O24" i="7"/>
  <c r="P24" i="7"/>
  <c r="O25" i="7"/>
  <c r="P25" i="7"/>
  <c r="O26" i="7"/>
  <c r="P26" i="7"/>
  <c r="O27" i="7"/>
  <c r="P27" i="7"/>
  <c r="O28" i="7"/>
  <c r="P28" i="7"/>
  <c r="O29" i="7"/>
  <c r="P29" i="7"/>
  <c r="O30" i="7"/>
  <c r="P30" i="7"/>
  <c r="O31" i="7"/>
  <c r="P31" i="7"/>
  <c r="O32" i="7"/>
  <c r="P32" i="7"/>
  <c r="O33" i="7"/>
  <c r="P33" i="7"/>
  <c r="O34" i="7"/>
  <c r="P34" i="7"/>
  <c r="O35" i="7"/>
  <c r="P35" i="7"/>
  <c r="O36" i="7"/>
  <c r="P36" i="7"/>
  <c r="O37" i="7"/>
  <c r="P37" i="7"/>
  <c r="O38" i="7"/>
  <c r="P38" i="7"/>
  <c r="O39" i="7"/>
  <c r="P39" i="7"/>
  <c r="O40" i="7"/>
  <c r="P40" i="7"/>
  <c r="O41" i="7"/>
  <c r="P41" i="7"/>
  <c r="O42" i="7"/>
  <c r="P42" i="7"/>
  <c r="O43" i="7"/>
  <c r="P43" i="7"/>
  <c r="O44" i="7"/>
  <c r="P44" i="7"/>
  <c r="O45" i="7"/>
  <c r="P45" i="7"/>
  <c r="O46" i="7"/>
  <c r="P46" i="7"/>
  <c r="O47" i="7"/>
  <c r="P47" i="7"/>
  <c r="O48" i="7"/>
  <c r="P48" i="7"/>
  <c r="O49" i="7"/>
  <c r="P49" i="7"/>
  <c r="O50" i="7"/>
  <c r="P50" i="7"/>
  <c r="O51" i="7"/>
  <c r="P51" i="7"/>
  <c r="O52" i="7"/>
  <c r="P52" i="7"/>
  <c r="P2" i="7"/>
  <c r="O2" i="7"/>
  <c r="N23" i="5"/>
  <c r="O23" i="5"/>
  <c r="P23" i="5"/>
  <c r="Q23" i="5"/>
  <c r="M23" i="5"/>
  <c r="M19" i="5"/>
  <c r="S2" i="7" l="1"/>
  <c r="N19" i="5"/>
  <c r="O19" i="5"/>
  <c r="P19" i="5"/>
  <c r="Q19" i="5"/>
  <c r="M20" i="5"/>
  <c r="N20" i="5"/>
  <c r="O20" i="5"/>
  <c r="P20" i="5"/>
  <c r="Q20" i="5"/>
  <c r="M21" i="5"/>
  <c r="N21" i="5"/>
  <c r="O21" i="5"/>
  <c r="P21" i="5"/>
  <c r="Q21" i="5"/>
  <c r="M22" i="5"/>
  <c r="N22" i="5"/>
  <c r="O22" i="5"/>
  <c r="P22" i="5"/>
  <c r="Q22" i="5"/>
  <c r="N18" i="5"/>
  <c r="O18" i="5"/>
  <c r="P18" i="5"/>
  <c r="Q18" i="5"/>
  <c r="M18" i="5"/>
  <c r="I49" i="5"/>
  <c r="N15" i="5"/>
  <c r="O15" i="5"/>
  <c r="P15" i="5"/>
  <c r="M15" i="5"/>
  <c r="P12" i="5"/>
  <c r="O12" i="5"/>
  <c r="N12" i="5"/>
  <c r="M12" i="5"/>
  <c r="N7" i="5"/>
  <c r="N8" i="5" s="1"/>
  <c r="Q15" i="5" l="1"/>
  <c r="F22" i="5"/>
  <c r="J22" i="5" s="1"/>
  <c r="I22" i="5"/>
  <c r="F23" i="5"/>
  <c r="I23" i="5"/>
  <c r="F19" i="5"/>
  <c r="I19" i="5"/>
  <c r="F15" i="5"/>
  <c r="I15" i="5"/>
  <c r="F16" i="5"/>
  <c r="I16" i="5"/>
  <c r="J16" i="5" s="1"/>
  <c r="F10" i="5"/>
  <c r="I10" i="5"/>
  <c r="F11" i="5"/>
  <c r="I11" i="5"/>
  <c r="F12" i="5"/>
  <c r="I12" i="5"/>
  <c r="F3" i="6"/>
  <c r="F4" i="6"/>
  <c r="F5" i="6"/>
  <c r="F6" i="6"/>
  <c r="P3" i="6" s="1"/>
  <c r="L6" i="6" s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P7" i="6" s="1"/>
  <c r="L9" i="6" s="1"/>
  <c r="F23" i="6"/>
  <c r="F24" i="6"/>
  <c r="F25" i="6"/>
  <c r="F26" i="6"/>
  <c r="F27" i="6"/>
  <c r="F28" i="6"/>
  <c r="F29" i="6"/>
  <c r="F30" i="6"/>
  <c r="F31" i="6"/>
  <c r="F32" i="6"/>
  <c r="F33" i="6"/>
  <c r="P12" i="6" s="1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2" i="6"/>
  <c r="D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D43" i="6"/>
  <c r="E43" i="6"/>
  <c r="D44" i="6"/>
  <c r="E44" i="6"/>
  <c r="D45" i="6"/>
  <c r="E45" i="6"/>
  <c r="D46" i="6"/>
  <c r="E46" i="6"/>
  <c r="D47" i="6"/>
  <c r="E47" i="6"/>
  <c r="D48" i="6"/>
  <c r="E48" i="6"/>
  <c r="D49" i="6"/>
  <c r="E49" i="6"/>
  <c r="D50" i="6"/>
  <c r="E50" i="6"/>
  <c r="D51" i="6"/>
  <c r="E51" i="6"/>
  <c r="D52" i="6"/>
  <c r="E52" i="6"/>
  <c r="E2" i="6"/>
  <c r="B44" i="5"/>
  <c r="C44" i="5"/>
  <c r="D44" i="5"/>
  <c r="E44" i="5"/>
  <c r="F44" i="5"/>
  <c r="G44" i="5"/>
  <c r="B45" i="5"/>
  <c r="C45" i="5"/>
  <c r="D45" i="5"/>
  <c r="E45" i="5"/>
  <c r="F45" i="5"/>
  <c r="G45" i="5"/>
  <c r="B46" i="5"/>
  <c r="C46" i="5"/>
  <c r="D46" i="5"/>
  <c r="E46" i="5"/>
  <c r="F46" i="5"/>
  <c r="G46" i="5"/>
  <c r="B47" i="5"/>
  <c r="C47" i="5"/>
  <c r="D47" i="5"/>
  <c r="E47" i="5"/>
  <c r="F47" i="5"/>
  <c r="G47" i="5"/>
  <c r="B48" i="5"/>
  <c r="C48" i="5"/>
  <c r="D48" i="5"/>
  <c r="E48" i="5"/>
  <c r="F48" i="5"/>
  <c r="G48" i="5"/>
  <c r="B49" i="5"/>
  <c r="C49" i="5"/>
  <c r="D49" i="5"/>
  <c r="E49" i="5"/>
  <c r="F49" i="5"/>
  <c r="G49" i="5"/>
  <c r="B50" i="5"/>
  <c r="C50" i="5"/>
  <c r="D50" i="5"/>
  <c r="E50" i="5"/>
  <c r="F50" i="5"/>
  <c r="G50" i="5"/>
  <c r="B51" i="5"/>
  <c r="C51" i="5"/>
  <c r="D51" i="5"/>
  <c r="E51" i="5"/>
  <c r="F51" i="5"/>
  <c r="G51" i="5"/>
  <c r="B52" i="5"/>
  <c r="C52" i="5"/>
  <c r="D52" i="5"/>
  <c r="E52" i="5"/>
  <c r="F52" i="5"/>
  <c r="G52" i="5"/>
  <c r="B53" i="5"/>
  <c r="C53" i="5"/>
  <c r="D53" i="5"/>
  <c r="E53" i="5"/>
  <c r="F53" i="5"/>
  <c r="G53" i="5"/>
  <c r="B54" i="5"/>
  <c r="C54" i="5"/>
  <c r="D54" i="5"/>
  <c r="E54" i="5"/>
  <c r="F54" i="5"/>
  <c r="G54" i="5"/>
  <c r="B55" i="5"/>
  <c r="C55" i="5"/>
  <c r="D55" i="5"/>
  <c r="E55" i="5"/>
  <c r="F55" i="5"/>
  <c r="G55" i="5"/>
  <c r="H24" i="5"/>
  <c r="G24" i="5"/>
  <c r="E24" i="5"/>
  <c r="D24" i="5"/>
  <c r="C24" i="5"/>
  <c r="B24" i="5"/>
  <c r="H20" i="5"/>
  <c r="G20" i="5"/>
  <c r="E20" i="5"/>
  <c r="D20" i="5"/>
  <c r="C20" i="5"/>
  <c r="B20" i="5"/>
  <c r="H17" i="5"/>
  <c r="G17" i="5"/>
  <c r="E17" i="5"/>
  <c r="D17" i="5"/>
  <c r="C17" i="5"/>
  <c r="B17" i="5"/>
  <c r="H13" i="5"/>
  <c r="G13" i="5"/>
  <c r="E13" i="5"/>
  <c r="D13" i="5"/>
  <c r="C13" i="5"/>
  <c r="B13" i="5"/>
  <c r="H8" i="5"/>
  <c r="G8" i="5"/>
  <c r="E8" i="5"/>
  <c r="D8" i="5"/>
  <c r="C8" i="5"/>
  <c r="B8" i="5"/>
  <c r="I7" i="5"/>
  <c r="F7" i="5"/>
  <c r="I6" i="5"/>
  <c r="F6" i="5"/>
  <c r="I5" i="5"/>
  <c r="F5" i="5"/>
  <c r="P11" i="6" l="1"/>
  <c r="L36" i="6" s="1"/>
  <c r="P8" i="6"/>
  <c r="L50" i="6" s="1"/>
  <c r="P5" i="6"/>
  <c r="L28" i="6" s="1"/>
  <c r="P6" i="6"/>
  <c r="L21" i="6" s="1"/>
  <c r="P4" i="6"/>
  <c r="L3" i="6" s="1"/>
  <c r="O2" i="6"/>
  <c r="G26" i="6" s="1"/>
  <c r="J10" i="5"/>
  <c r="J19" i="5"/>
  <c r="J20" i="5" s="1"/>
  <c r="J11" i="5"/>
  <c r="J23" i="5"/>
  <c r="I20" i="5"/>
  <c r="J15" i="5"/>
  <c r="J12" i="5"/>
  <c r="L45" i="6"/>
  <c r="L33" i="6"/>
  <c r="P2" i="6"/>
  <c r="L5" i="6" s="1"/>
  <c r="P10" i="6"/>
  <c r="L17" i="6" s="1"/>
  <c r="P9" i="6"/>
  <c r="L44" i="6" s="1"/>
  <c r="L40" i="6"/>
  <c r="L22" i="6"/>
  <c r="L34" i="6"/>
  <c r="L32" i="6"/>
  <c r="L10" i="6"/>
  <c r="O4" i="6"/>
  <c r="E53" i="6"/>
  <c r="D53" i="6"/>
  <c r="F17" i="5"/>
  <c r="J5" i="5"/>
  <c r="O12" i="6"/>
  <c r="O11" i="6"/>
  <c r="K25" i="6" s="1"/>
  <c r="F25" i="7" s="1"/>
  <c r="M25" i="7" s="1"/>
  <c r="I17" i="5"/>
  <c r="B25" i="5"/>
  <c r="H25" i="5"/>
  <c r="I13" i="5"/>
  <c r="I8" i="5"/>
  <c r="C25" i="5"/>
  <c r="J7" i="5"/>
  <c r="F8" i="5"/>
  <c r="G25" i="5"/>
  <c r="F24" i="5"/>
  <c r="J6" i="5"/>
  <c r="I24" i="5"/>
  <c r="E56" i="5"/>
  <c r="E25" i="5"/>
  <c r="G56" i="5"/>
  <c r="C56" i="5"/>
  <c r="D25" i="5"/>
  <c r="F56" i="5"/>
  <c r="B56" i="5"/>
  <c r="D56" i="5"/>
  <c r="F13" i="5"/>
  <c r="O9" i="6"/>
  <c r="G15" i="6" s="1"/>
  <c r="O8" i="6"/>
  <c r="G42" i="6" s="1"/>
  <c r="O7" i="6"/>
  <c r="K34" i="6" s="1"/>
  <c r="F34" i="7" s="1"/>
  <c r="M34" i="7" s="1"/>
  <c r="O6" i="6"/>
  <c r="G23" i="6" s="1"/>
  <c r="O5" i="6"/>
  <c r="G28" i="6" s="1"/>
  <c r="I28" i="6" s="1"/>
  <c r="D28" i="7" s="1"/>
  <c r="K28" i="7" s="1"/>
  <c r="O3" i="6"/>
  <c r="J39" i="6" s="1"/>
  <c r="E39" i="7" s="1"/>
  <c r="L39" i="7" s="1"/>
  <c r="O10" i="6"/>
  <c r="G18" i="6" s="1"/>
  <c r="I18" i="6" s="1"/>
  <c r="D18" i="7" s="1"/>
  <c r="K18" i="7" s="1"/>
  <c r="F20" i="5"/>
  <c r="L48" i="6" l="1"/>
  <c r="G2" i="6"/>
  <c r="L11" i="6"/>
  <c r="L42" i="6"/>
  <c r="L12" i="6"/>
  <c r="L35" i="6"/>
  <c r="L14" i="6"/>
  <c r="L7" i="6"/>
  <c r="L43" i="6"/>
  <c r="L25" i="6"/>
  <c r="L51" i="6"/>
  <c r="G51" i="7" s="1"/>
  <c r="N51" i="7" s="1"/>
  <c r="L49" i="6"/>
  <c r="L46" i="6"/>
  <c r="L4" i="6"/>
  <c r="L52" i="6"/>
  <c r="L31" i="6"/>
  <c r="L47" i="6"/>
  <c r="L39" i="6"/>
  <c r="G39" i="7" s="1"/>
  <c r="N39" i="7" s="1"/>
  <c r="L23" i="6"/>
  <c r="G23" i="7" s="1"/>
  <c r="N23" i="7" s="1"/>
  <c r="L30" i="6"/>
  <c r="L13" i="6"/>
  <c r="L8" i="6"/>
  <c r="L41" i="6"/>
  <c r="J13" i="5"/>
  <c r="G45" i="7"/>
  <c r="L18" i="6"/>
  <c r="G2532" i="8"/>
  <c r="G2598" i="8"/>
  <c r="G2551" i="8"/>
  <c r="G2617" i="8"/>
  <c r="G2538" i="8"/>
  <c r="G2570" i="8"/>
  <c r="G2652" i="8"/>
  <c r="G2527" i="8"/>
  <c r="G2559" i="8"/>
  <c r="G2563" i="8"/>
  <c r="G2579" i="8"/>
  <c r="G2612" i="8"/>
  <c r="G2631" i="8"/>
  <c r="G2648" i="8"/>
  <c r="G2681" i="8"/>
  <c r="G2682" i="8"/>
  <c r="G2698" i="8"/>
  <c r="G2730" i="8"/>
  <c r="G2731" i="8"/>
  <c r="G2747" i="8"/>
  <c r="G2695" i="8"/>
  <c r="G2727" i="8"/>
  <c r="G2526" i="8"/>
  <c r="G2618" i="8"/>
  <c r="G2619" i="8"/>
  <c r="G2637" i="8"/>
  <c r="G2654" i="8"/>
  <c r="G2670" i="8"/>
  <c r="G2687" i="8"/>
  <c r="G2703" i="8"/>
  <c r="G2719" i="8"/>
  <c r="G2735" i="8"/>
  <c r="G2736" i="8"/>
  <c r="G2752" i="8"/>
  <c r="G2768" i="8"/>
  <c r="G2711" i="8"/>
  <c r="G2546" i="8"/>
  <c r="G2605" i="8"/>
  <c r="G2623" i="8"/>
  <c r="G2673" i="8"/>
  <c r="G2753" i="8"/>
  <c r="G2679" i="8"/>
  <c r="G2557" i="8"/>
  <c r="G2606" i="8"/>
  <c r="G2624" i="8"/>
  <c r="G2641" i="8"/>
  <c r="G2658" i="8"/>
  <c r="G2674" i="8"/>
  <c r="G2722" i="8"/>
  <c r="G2743" i="8"/>
  <c r="G2558" i="8"/>
  <c r="G2607" i="8"/>
  <c r="G2625" i="8"/>
  <c r="G2642" i="8"/>
  <c r="G2659" i="8"/>
  <c r="G2675" i="8"/>
  <c r="G2691" i="8"/>
  <c r="G2707" i="8"/>
  <c r="G2755" i="8"/>
  <c r="G2608" i="8"/>
  <c r="G2626" i="8"/>
  <c r="G2643" i="8"/>
  <c r="G2660" i="8"/>
  <c r="G2676" i="8"/>
  <c r="G2692" i="8"/>
  <c r="G2708" i="8"/>
  <c r="G2724" i="8"/>
  <c r="G2740" i="8"/>
  <c r="G2756" i="8"/>
  <c r="G2772" i="8"/>
  <c r="G2573" i="8"/>
  <c r="G2609" i="8"/>
  <c r="G2627" i="8"/>
  <c r="G2644" i="8"/>
  <c r="G2661" i="8"/>
  <c r="G2677" i="8"/>
  <c r="G2693" i="8"/>
  <c r="G2709" i="8"/>
  <c r="G2725" i="8"/>
  <c r="G2741" i="8"/>
  <c r="G2757" i="8"/>
  <c r="G2773" i="8"/>
  <c r="G2574" i="8"/>
  <c r="G2610" i="8"/>
  <c r="G2628" i="8"/>
  <c r="G2645" i="8"/>
  <c r="G2662" i="8"/>
  <c r="G2678" i="8"/>
  <c r="G2694" i="8"/>
  <c r="G2710" i="8"/>
  <c r="G2726" i="8"/>
  <c r="G2742" i="8"/>
  <c r="G2758" i="8"/>
  <c r="G2774" i="8"/>
  <c r="G2663" i="8"/>
  <c r="L19" i="6"/>
  <c r="G19" i="7" s="1"/>
  <c r="N19" i="7" s="1"/>
  <c r="L24" i="6"/>
  <c r="G24" i="7" s="1"/>
  <c r="N24" i="7" s="1"/>
  <c r="L38" i="6"/>
  <c r="G38" i="7" s="1"/>
  <c r="N38" i="7" s="1"/>
  <c r="L27" i="6"/>
  <c r="G27" i="7" s="1"/>
  <c r="N27" i="7" s="1"/>
  <c r="L29" i="6"/>
  <c r="L2" i="6"/>
  <c r="L26" i="6"/>
  <c r="G26" i="7" s="1"/>
  <c r="N26" i="7" s="1"/>
  <c r="L20" i="6"/>
  <c r="G20" i="7" s="1"/>
  <c r="N20" i="7" s="1"/>
  <c r="L15" i="6"/>
  <c r="G15" i="7" s="1"/>
  <c r="N15" i="7" s="1"/>
  <c r="L16" i="6"/>
  <c r="G16" i="7" s="1"/>
  <c r="N16" i="7" s="1"/>
  <c r="L37" i="6"/>
  <c r="G37" i="7" s="1"/>
  <c r="N37" i="7" s="1"/>
  <c r="G6" i="6"/>
  <c r="I6" i="6" s="1"/>
  <c r="D6" i="7" s="1"/>
  <c r="K6" i="6"/>
  <c r="F6" i="7" s="1"/>
  <c r="G6" i="7"/>
  <c r="N6" i="7" s="1"/>
  <c r="J6" i="6"/>
  <c r="E6" i="7" s="1"/>
  <c r="J17" i="5"/>
  <c r="J24" i="5"/>
  <c r="F25" i="5"/>
  <c r="I25" i="5"/>
  <c r="J8" i="5"/>
  <c r="G42" i="7"/>
  <c r="N42" i="7" s="1"/>
  <c r="J31" i="6"/>
  <c r="E31" i="7" s="1"/>
  <c r="K23" i="6"/>
  <c r="F23" i="7" s="1"/>
  <c r="F1842" i="8"/>
  <c r="F1858" i="8"/>
  <c r="F1874" i="8"/>
  <c r="F1890" i="8"/>
  <c r="F1839" i="8"/>
  <c r="F1855" i="8"/>
  <c r="F1871" i="8"/>
  <c r="F1887" i="8"/>
  <c r="F1836" i="8"/>
  <c r="F1852" i="8"/>
  <c r="F1868" i="8"/>
  <c r="F1884" i="8"/>
  <c r="F1833" i="8"/>
  <c r="F1849" i="8"/>
  <c r="F1865" i="8"/>
  <c r="F1881" i="8"/>
  <c r="F1830" i="8"/>
  <c r="F1846" i="8"/>
  <c r="F1862" i="8"/>
  <c r="F1878" i="8"/>
  <c r="F1843" i="8"/>
  <c r="F1859" i="8"/>
  <c r="F1875" i="8"/>
  <c r="F1891" i="8"/>
  <c r="F1840" i="8"/>
  <c r="F1856" i="8"/>
  <c r="F1872" i="8"/>
  <c r="F1888" i="8"/>
  <c r="F1837" i="8"/>
  <c r="F1853" i="8"/>
  <c r="F1869" i="8"/>
  <c r="F1885" i="8"/>
  <c r="F1834" i="8"/>
  <c r="F1850" i="8"/>
  <c r="F1866" i="8"/>
  <c r="F1882" i="8"/>
  <c r="F1831" i="8"/>
  <c r="F1847" i="8"/>
  <c r="F1863" i="8"/>
  <c r="F1879" i="8"/>
  <c r="F1844" i="8"/>
  <c r="F1860" i="8"/>
  <c r="F1876" i="8"/>
  <c r="F1841" i="8"/>
  <c r="F1857" i="8"/>
  <c r="F1873" i="8"/>
  <c r="F1889" i="8"/>
  <c r="F1838" i="8"/>
  <c r="F1854" i="8"/>
  <c r="F1870" i="8"/>
  <c r="F1886" i="8"/>
  <c r="F1835" i="8"/>
  <c r="F1851" i="8"/>
  <c r="F1867" i="8"/>
  <c r="F1883" i="8"/>
  <c r="F1832" i="8"/>
  <c r="F1848" i="8"/>
  <c r="F1864" i="8"/>
  <c r="F1880" i="8"/>
  <c r="F1845" i="8"/>
  <c r="F1861" i="8"/>
  <c r="F1877" i="8"/>
  <c r="D901" i="8"/>
  <c r="D917" i="8"/>
  <c r="D933" i="8"/>
  <c r="D898" i="8"/>
  <c r="D914" i="8"/>
  <c r="D930" i="8"/>
  <c r="D895" i="8"/>
  <c r="D911" i="8"/>
  <c r="D927" i="8"/>
  <c r="D892" i="8"/>
  <c r="D908" i="8"/>
  <c r="D924" i="8"/>
  <c r="D940" i="8"/>
  <c r="D905" i="8"/>
  <c r="D921" i="8"/>
  <c r="D902" i="8"/>
  <c r="D918" i="8"/>
  <c r="D934" i="8"/>
  <c r="D899" i="8"/>
  <c r="D915" i="8"/>
  <c r="D931" i="8"/>
  <c r="D896" i="8"/>
  <c r="D912" i="8"/>
  <c r="D928" i="8"/>
  <c r="D944" i="8"/>
  <c r="D893" i="8"/>
  <c r="D909" i="8"/>
  <c r="D925" i="8"/>
  <c r="D941" i="8"/>
  <c r="D890" i="8"/>
  <c r="D903" i="8"/>
  <c r="D919" i="8"/>
  <c r="D935" i="8"/>
  <c r="D900" i="8"/>
  <c r="D916" i="8"/>
  <c r="D932" i="8"/>
  <c r="D897" i="8"/>
  <c r="D913" i="8"/>
  <c r="D929" i="8"/>
  <c r="D945" i="8"/>
  <c r="D894" i="8"/>
  <c r="D910" i="8"/>
  <c r="D926" i="8"/>
  <c r="D942" i="8"/>
  <c r="D891" i="8"/>
  <c r="D907" i="8"/>
  <c r="D923" i="8"/>
  <c r="D939" i="8"/>
  <c r="D904" i="8"/>
  <c r="D920" i="8"/>
  <c r="D958" i="8"/>
  <c r="D974" i="8"/>
  <c r="D990" i="8"/>
  <c r="D936" i="8"/>
  <c r="D955" i="8"/>
  <c r="D971" i="8"/>
  <c r="D987" i="8"/>
  <c r="D937" i="8"/>
  <c r="D952" i="8"/>
  <c r="D968" i="8"/>
  <c r="D984" i="8"/>
  <c r="D906" i="8"/>
  <c r="D949" i="8"/>
  <c r="D965" i="8"/>
  <c r="D981" i="8"/>
  <c r="D938" i="8"/>
  <c r="D962" i="8"/>
  <c r="D978" i="8"/>
  <c r="D994" i="8"/>
  <c r="D959" i="8"/>
  <c r="D975" i="8"/>
  <c r="D991" i="8"/>
  <c r="D946" i="8"/>
  <c r="D956" i="8"/>
  <c r="D972" i="8"/>
  <c r="D988" i="8"/>
  <c r="D953" i="8"/>
  <c r="D969" i="8"/>
  <c r="D985" i="8"/>
  <c r="D922" i="8"/>
  <c r="D950" i="8"/>
  <c r="D966" i="8"/>
  <c r="D982" i="8"/>
  <c r="D963" i="8"/>
  <c r="D979" i="8"/>
  <c r="D960" i="8"/>
  <c r="D976" i="8"/>
  <c r="D992" i="8"/>
  <c r="D947" i="8"/>
  <c r="D957" i="8"/>
  <c r="D973" i="8"/>
  <c r="D989" i="8"/>
  <c r="D954" i="8"/>
  <c r="D970" i="8"/>
  <c r="D986" i="8"/>
  <c r="D951" i="8"/>
  <c r="D967" i="8"/>
  <c r="D983" i="8"/>
  <c r="D943" i="8"/>
  <c r="D964" i="8"/>
  <c r="D980" i="8"/>
  <c r="D948" i="8"/>
  <c r="D961" i="8"/>
  <c r="D977" i="8"/>
  <c r="D993" i="8"/>
  <c r="F1316" i="8"/>
  <c r="F1332" i="8"/>
  <c r="F1348" i="8"/>
  <c r="F1364" i="8"/>
  <c r="F1380" i="8"/>
  <c r="F1396" i="8"/>
  <c r="F1329" i="8"/>
  <c r="F1345" i="8"/>
  <c r="F1361" i="8"/>
  <c r="F1377" i="8"/>
  <c r="F1393" i="8"/>
  <c r="F1326" i="8"/>
  <c r="F1342" i="8"/>
  <c r="F1358" i="8"/>
  <c r="F1374" i="8"/>
  <c r="F1390" i="8"/>
  <c r="F1323" i="8"/>
  <c r="F1339" i="8"/>
  <c r="F1355" i="8"/>
  <c r="F1371" i="8"/>
  <c r="F1387" i="8"/>
  <c r="F1320" i="8"/>
  <c r="F1336" i="8"/>
  <c r="F1352" i="8"/>
  <c r="F1368" i="8"/>
  <c r="F1384" i="8"/>
  <c r="F1400" i="8"/>
  <c r="F1317" i="8"/>
  <c r="F1333" i="8"/>
  <c r="F1349" i="8"/>
  <c r="F1365" i="8"/>
  <c r="F1381" i="8"/>
  <c r="F1397" i="8"/>
  <c r="F1330" i="8"/>
  <c r="F1346" i="8"/>
  <c r="F1362" i="8"/>
  <c r="F1378" i="8"/>
  <c r="F1394" i="8"/>
  <c r="F1327" i="8"/>
  <c r="F1343" i="8"/>
  <c r="F1359" i="8"/>
  <c r="F1375" i="8"/>
  <c r="F1391" i="8"/>
  <c r="F1324" i="8"/>
  <c r="F1340" i="8"/>
  <c r="F1356" i="8"/>
  <c r="F1372" i="8"/>
  <c r="F1388" i="8"/>
  <c r="F1321" i="8"/>
  <c r="F1337" i="8"/>
  <c r="F1353" i="8"/>
  <c r="F1369" i="8"/>
  <c r="F1385" i="8"/>
  <c r="F1401" i="8"/>
  <c r="F1318" i="8"/>
  <c r="F1334" i="8"/>
  <c r="F1350" i="8"/>
  <c r="F1366" i="8"/>
  <c r="F1382" i="8"/>
  <c r="F1398" i="8"/>
  <c r="F1331" i="8"/>
  <c r="F1347" i="8"/>
  <c r="F1363" i="8"/>
  <c r="F1379" i="8"/>
  <c r="F1395" i="8"/>
  <c r="F1328" i="8"/>
  <c r="F1344" i="8"/>
  <c r="F1360" i="8"/>
  <c r="F1376" i="8"/>
  <c r="F1392" i="8"/>
  <c r="F1325" i="8"/>
  <c r="F1341" i="8"/>
  <c r="F1357" i="8"/>
  <c r="F1373" i="8"/>
  <c r="F1389" i="8"/>
  <c r="F1322" i="8"/>
  <c r="F1338" i="8"/>
  <c r="F1354" i="8"/>
  <c r="F1370" i="8"/>
  <c r="F1386" i="8"/>
  <c r="F1402" i="8"/>
  <c r="F1319" i="8"/>
  <c r="F1335" i="8"/>
  <c r="F1351" i="8"/>
  <c r="F1367" i="8"/>
  <c r="F1383" i="8"/>
  <c r="F1399" i="8"/>
  <c r="E2224" i="8"/>
  <c r="E2240" i="8"/>
  <c r="E2221" i="8"/>
  <c r="E2237" i="8"/>
  <c r="E2218" i="8"/>
  <c r="E2234" i="8"/>
  <c r="E2215" i="8"/>
  <c r="E2231" i="8"/>
  <c r="E2212" i="8"/>
  <c r="E2228" i="8"/>
  <c r="E2244" i="8"/>
  <c r="E2225" i="8"/>
  <c r="E2241" i="8"/>
  <c r="E2222" i="8"/>
  <c r="E2238" i="8"/>
  <c r="E2219" i="8"/>
  <c r="E2235" i="8"/>
  <c r="E2216" i="8"/>
  <c r="E2232" i="8"/>
  <c r="E2213" i="8"/>
  <c r="E2229" i="8"/>
  <c r="E2245" i="8"/>
  <c r="E2210" i="8"/>
  <c r="E2226" i="8"/>
  <c r="E2242" i="8"/>
  <c r="E2223" i="8"/>
  <c r="E2239" i="8"/>
  <c r="E2220" i="8"/>
  <c r="E2236" i="8"/>
  <c r="E2217" i="8"/>
  <c r="E2233" i="8"/>
  <c r="E2214" i="8"/>
  <c r="E2230" i="8"/>
  <c r="E2211" i="8"/>
  <c r="E2227" i="8"/>
  <c r="E2243" i="8"/>
  <c r="D1603" i="8"/>
  <c r="D1619" i="8"/>
  <c r="D1635" i="8"/>
  <c r="D1651" i="8"/>
  <c r="D1600" i="8"/>
  <c r="D1616" i="8"/>
  <c r="D1632" i="8"/>
  <c r="D1648" i="8"/>
  <c r="D1613" i="8"/>
  <c r="D1629" i="8"/>
  <c r="D1645" i="8"/>
  <c r="D1610" i="8"/>
  <c r="D1626" i="8"/>
  <c r="D1642" i="8"/>
  <c r="D1607" i="8"/>
  <c r="D1623" i="8"/>
  <c r="D1639" i="8"/>
  <c r="D1655" i="8"/>
  <c r="D1604" i="8"/>
  <c r="D1620" i="8"/>
  <c r="D1636" i="8"/>
  <c r="D1652" i="8"/>
  <c r="D1601" i="8"/>
  <c r="D1617" i="8"/>
  <c r="D1633" i="8"/>
  <c r="D1649" i="8"/>
  <c r="D1614" i="8"/>
  <c r="D1630" i="8"/>
  <c r="D1646" i="8"/>
  <c r="D1611" i="8"/>
  <c r="D1627" i="8"/>
  <c r="D1643" i="8"/>
  <c r="D1608" i="8"/>
  <c r="D1624" i="8"/>
  <c r="D1640" i="8"/>
  <c r="D1605" i="8"/>
  <c r="D1621" i="8"/>
  <c r="D1637" i="8"/>
  <c r="D1653" i="8"/>
  <c r="D1602" i="8"/>
  <c r="D1618" i="8"/>
  <c r="D1634" i="8"/>
  <c r="D1650" i="8"/>
  <c r="D1615" i="8"/>
  <c r="D1631" i="8"/>
  <c r="D1647" i="8"/>
  <c r="D1612" i="8"/>
  <c r="D1628" i="8"/>
  <c r="D1644" i="8"/>
  <c r="D1609" i="8"/>
  <c r="D1625" i="8"/>
  <c r="D1641" i="8"/>
  <c r="D1606" i="8"/>
  <c r="D1622" i="8"/>
  <c r="D1638" i="8"/>
  <c r="D1654" i="8"/>
  <c r="J24" i="6"/>
  <c r="E24" i="7" s="1"/>
  <c r="L24" i="7" s="1"/>
  <c r="I15" i="6"/>
  <c r="D15" i="7" s="1"/>
  <c r="K15" i="7" s="1"/>
  <c r="J51" i="6"/>
  <c r="E51" i="7" s="1"/>
  <c r="L51" i="7" s="1"/>
  <c r="J45" i="6"/>
  <c r="E45" i="7" s="1"/>
  <c r="L45" i="7" s="1"/>
  <c r="I26" i="6"/>
  <c r="D26" i="7" s="1"/>
  <c r="K26" i="7" s="1"/>
  <c r="K36" i="6"/>
  <c r="F36" i="7" s="1"/>
  <c r="M36" i="7" s="1"/>
  <c r="G43" i="7"/>
  <c r="N43" i="7" s="1"/>
  <c r="G25" i="7"/>
  <c r="N25" i="7" s="1"/>
  <c r="G36" i="7"/>
  <c r="N36" i="7" s="1"/>
  <c r="G33" i="7"/>
  <c r="N33" i="7" s="1"/>
  <c r="G25" i="6"/>
  <c r="I25" i="6" s="1"/>
  <c r="D25" i="7" s="1"/>
  <c r="K25" i="7" s="1"/>
  <c r="I42" i="6"/>
  <c r="D42" i="7" s="1"/>
  <c r="K42" i="7" s="1"/>
  <c r="G33" i="6"/>
  <c r="I33" i="6" s="1"/>
  <c r="D33" i="7" s="1"/>
  <c r="K33" i="7" s="1"/>
  <c r="J43" i="6"/>
  <c r="E43" i="7" s="1"/>
  <c r="L43" i="7" s="1"/>
  <c r="G22" i="7"/>
  <c r="N22" i="7" s="1"/>
  <c r="K45" i="6"/>
  <c r="F45" i="7" s="1"/>
  <c r="M45" i="7" s="1"/>
  <c r="K28" i="6"/>
  <c r="F28" i="7" s="1"/>
  <c r="M28" i="7" s="1"/>
  <c r="G28" i="7"/>
  <c r="N28" i="7" s="1"/>
  <c r="G35" i="7"/>
  <c r="N35" i="7" s="1"/>
  <c r="J33" i="6"/>
  <c r="E33" i="7" s="1"/>
  <c r="L33" i="7" s="1"/>
  <c r="J36" i="6"/>
  <c r="E36" i="7" s="1"/>
  <c r="L36" i="7" s="1"/>
  <c r="K7" i="6"/>
  <c r="F7" i="7" s="1"/>
  <c r="M7" i="7" s="1"/>
  <c r="K43" i="6"/>
  <c r="F43" i="7" s="1"/>
  <c r="M43" i="7" s="1"/>
  <c r="G43" i="6"/>
  <c r="I43" i="6" s="1"/>
  <c r="D43" i="7" s="1"/>
  <c r="K43" i="7" s="1"/>
  <c r="J46" i="6"/>
  <c r="E46" i="7" s="1"/>
  <c r="L46" i="7" s="1"/>
  <c r="K11" i="6"/>
  <c r="F11" i="7" s="1"/>
  <c r="M11" i="7" s="1"/>
  <c r="K51" i="6"/>
  <c r="F51" i="7" s="1"/>
  <c r="M51" i="7" s="1"/>
  <c r="J14" i="6"/>
  <c r="E14" i="7" s="1"/>
  <c r="L14" i="7" s="1"/>
  <c r="K33" i="6"/>
  <c r="F33" i="7" s="1"/>
  <c r="M33" i="7" s="1"/>
  <c r="G36" i="6"/>
  <c r="K24" i="6"/>
  <c r="F24" i="7" s="1"/>
  <c r="M24" i="7" s="1"/>
  <c r="K15" i="6"/>
  <c r="F15" i="7" s="1"/>
  <c r="M15" i="7" s="1"/>
  <c r="G45" i="6"/>
  <c r="G14" i="7"/>
  <c r="N14" i="7" s="1"/>
  <c r="J35" i="6"/>
  <c r="E35" i="7" s="1"/>
  <c r="L35" i="7" s="1"/>
  <c r="J25" i="6"/>
  <c r="E25" i="7" s="1"/>
  <c r="L25" i="7" s="1"/>
  <c r="G51" i="6"/>
  <c r="J22" i="6"/>
  <c r="E22" i="7" s="1"/>
  <c r="L22" i="7" s="1"/>
  <c r="J9" i="6"/>
  <c r="E9" i="7" s="1"/>
  <c r="L9" i="7" s="1"/>
  <c r="G46" i="6"/>
  <c r="K46" i="6"/>
  <c r="F46" i="7" s="1"/>
  <c r="M46" i="7" s="1"/>
  <c r="J19" i="6"/>
  <c r="E19" i="7" s="1"/>
  <c r="L19" i="7" s="1"/>
  <c r="G8" i="6"/>
  <c r="I8" i="6" s="1"/>
  <c r="D8" i="7" s="1"/>
  <c r="K8" i="7" s="1"/>
  <c r="J32" i="6"/>
  <c r="E32" i="7" s="1"/>
  <c r="L32" i="7" s="1"/>
  <c r="K16" i="6"/>
  <c r="F16" i="7" s="1"/>
  <c r="M16" i="7" s="1"/>
  <c r="J44" i="6"/>
  <c r="E44" i="7" s="1"/>
  <c r="L44" i="7" s="1"/>
  <c r="K41" i="6"/>
  <c r="F41" i="7" s="1"/>
  <c r="M41" i="7" s="1"/>
  <c r="G16" i="6"/>
  <c r="K37" i="6"/>
  <c r="F37" i="7" s="1"/>
  <c r="M37" i="7" s="1"/>
  <c r="G44" i="7"/>
  <c r="N44" i="7" s="1"/>
  <c r="G41" i="6"/>
  <c r="I41" i="6" s="1"/>
  <c r="D41" i="7" s="1"/>
  <c r="K41" i="7" s="1"/>
  <c r="G3" i="7"/>
  <c r="N3" i="7" s="1"/>
  <c r="G7" i="7"/>
  <c r="N7" i="7" s="1"/>
  <c r="J47" i="6"/>
  <c r="E47" i="7" s="1"/>
  <c r="L47" i="7" s="1"/>
  <c r="J12" i="6"/>
  <c r="E12" i="7" s="1"/>
  <c r="L12" i="7" s="1"/>
  <c r="G12" i="7"/>
  <c r="N12" i="7" s="1"/>
  <c r="G24" i="6"/>
  <c r="G19" i="6"/>
  <c r="G18" i="7"/>
  <c r="N18" i="7" s="1"/>
  <c r="J29" i="6"/>
  <c r="E29" i="7" s="1"/>
  <c r="L29" i="7" s="1"/>
  <c r="K9" i="6"/>
  <c r="F9" i="7" s="1"/>
  <c r="M9" i="7" s="1"/>
  <c r="K14" i="6"/>
  <c r="F14" i="7" s="1"/>
  <c r="M14" i="7" s="1"/>
  <c r="J11" i="6"/>
  <c r="E11" i="7" s="1"/>
  <c r="L11" i="7" s="1"/>
  <c r="G47" i="7"/>
  <c r="N47" i="7" s="1"/>
  <c r="J16" i="6"/>
  <c r="E16" i="7" s="1"/>
  <c r="L16" i="7" s="1"/>
  <c r="G41" i="7"/>
  <c r="N41" i="7" s="1"/>
  <c r="K29" i="6"/>
  <c r="F29" i="7" s="1"/>
  <c r="M29" i="7" s="1"/>
  <c r="K42" i="6"/>
  <c r="F42" i="7" s="1"/>
  <c r="M42" i="7" s="1"/>
  <c r="J21" i="6"/>
  <c r="E21" i="7" s="1"/>
  <c r="L21" i="7" s="1"/>
  <c r="J37" i="6"/>
  <c r="E37" i="7" s="1"/>
  <c r="L37" i="7" s="1"/>
  <c r="G11" i="7"/>
  <c r="N11" i="7" s="1"/>
  <c r="K44" i="6"/>
  <c r="F44" i="7" s="1"/>
  <c r="M44" i="7" s="1"/>
  <c r="G44" i="6"/>
  <c r="J18" i="6"/>
  <c r="E18" i="7" s="1"/>
  <c r="L18" i="7" s="1"/>
  <c r="J50" i="6"/>
  <c r="E50" i="7" s="1"/>
  <c r="L50" i="7" s="1"/>
  <c r="J15" i="6"/>
  <c r="E15" i="7" s="1"/>
  <c r="L15" i="7" s="1"/>
  <c r="K19" i="6"/>
  <c r="F19" i="7" s="1"/>
  <c r="M19" i="7" s="1"/>
  <c r="J7" i="6"/>
  <c r="E7" i="7" s="1"/>
  <c r="L7" i="7" s="1"/>
  <c r="J28" i="6"/>
  <c r="E28" i="7" s="1"/>
  <c r="L28" i="7" s="1"/>
  <c r="G32" i="7"/>
  <c r="N32" i="7" s="1"/>
  <c r="J48" i="6"/>
  <c r="E48" i="7" s="1"/>
  <c r="L48" i="7" s="1"/>
  <c r="K26" i="6"/>
  <c r="F26" i="7" s="1"/>
  <c r="M26" i="7" s="1"/>
  <c r="G37" i="6"/>
  <c r="K35" i="6"/>
  <c r="F35" i="7" s="1"/>
  <c r="M35" i="7" s="1"/>
  <c r="G11" i="6"/>
  <c r="I11" i="6" s="1"/>
  <c r="D11" i="7" s="1"/>
  <c r="K11" i="7" s="1"/>
  <c r="J2" i="6"/>
  <c r="G50" i="7"/>
  <c r="N50" i="7" s="1"/>
  <c r="K12" i="6"/>
  <c r="F12" i="7" s="1"/>
  <c r="M12" i="7" s="1"/>
  <c r="G9" i="7"/>
  <c r="N9" i="7" s="1"/>
  <c r="G12" i="6"/>
  <c r="G38" i="6"/>
  <c r="K48" i="6"/>
  <c r="F48" i="7" s="1"/>
  <c r="M48" i="7" s="1"/>
  <c r="G30" i="6"/>
  <c r="H28" i="6"/>
  <c r="C28" i="7" s="1"/>
  <c r="J28" i="7" s="1"/>
  <c r="H18" i="6"/>
  <c r="C18" i="7" s="1"/>
  <c r="J18" i="7" s="1"/>
  <c r="K49" i="6"/>
  <c r="F49" i="7" s="1"/>
  <c r="M49" i="7" s="1"/>
  <c r="G10" i="7"/>
  <c r="G29" i="7"/>
  <c r="N29" i="7" s="1"/>
  <c r="K30" i="6"/>
  <c r="F30" i="7" s="1"/>
  <c r="M30" i="7" s="1"/>
  <c r="G52" i="7"/>
  <c r="N52" i="7" s="1"/>
  <c r="J42" i="6"/>
  <c r="E42" i="7" s="1"/>
  <c r="L42" i="7" s="1"/>
  <c r="G49" i="7"/>
  <c r="N49" i="7" s="1"/>
  <c r="K47" i="6"/>
  <c r="F47" i="7" s="1"/>
  <c r="M47" i="7" s="1"/>
  <c r="K8" i="6"/>
  <c r="F8" i="7" s="1"/>
  <c r="M8" i="7" s="1"/>
  <c r="J23" i="6"/>
  <c r="E23" i="7" s="1"/>
  <c r="L23" i="7" s="1"/>
  <c r="G34" i="6"/>
  <c r="G49" i="6"/>
  <c r="I49" i="6" s="1"/>
  <c r="D49" i="7" s="1"/>
  <c r="K49" i="7" s="1"/>
  <c r="G5" i="6"/>
  <c r="J27" i="6"/>
  <c r="E27" i="7" s="1"/>
  <c r="L27" i="7" s="1"/>
  <c r="G17" i="6"/>
  <c r="I17" i="6" s="1"/>
  <c r="D17" i="7" s="1"/>
  <c r="K17" i="7" s="1"/>
  <c r="K3" i="6"/>
  <c r="F3" i="7" s="1"/>
  <c r="M3" i="7" s="1"/>
  <c r="G17" i="7"/>
  <c r="N17" i="7" s="1"/>
  <c r="G40" i="7"/>
  <c r="N40" i="7" s="1"/>
  <c r="J26" i="6"/>
  <c r="E26" i="7" s="1"/>
  <c r="L26" i="7" s="1"/>
  <c r="K52" i="6"/>
  <c r="F52" i="7" s="1"/>
  <c r="M52" i="7" s="1"/>
  <c r="G3" i="6"/>
  <c r="G21" i="6"/>
  <c r="G47" i="6"/>
  <c r="G4" i="7"/>
  <c r="N4" i="7" s="1"/>
  <c r="J30" i="6"/>
  <c r="E30" i="7" s="1"/>
  <c r="L30" i="7" s="1"/>
  <c r="J41" i="6"/>
  <c r="E41" i="7" s="1"/>
  <c r="L41" i="7" s="1"/>
  <c r="K27" i="6"/>
  <c r="F27" i="7" s="1"/>
  <c r="M27" i="7" s="1"/>
  <c r="G29" i="6"/>
  <c r="G7" i="6"/>
  <c r="J4" i="6"/>
  <c r="E4" i="7" s="1"/>
  <c r="L4" i="7" s="1"/>
  <c r="K10" i="6"/>
  <c r="F10" i="7" s="1"/>
  <c r="G21" i="7"/>
  <c r="N21" i="7" s="1"/>
  <c r="J8" i="6"/>
  <c r="E8" i="7" s="1"/>
  <c r="L8" i="7" s="1"/>
  <c r="K18" i="6"/>
  <c r="F18" i="7" s="1"/>
  <c r="M18" i="7" s="1"/>
  <c r="G48" i="7"/>
  <c r="N48" i="7" s="1"/>
  <c r="G35" i="6"/>
  <c r="I35" i="6" s="1"/>
  <c r="D35" i="7" s="1"/>
  <c r="K35" i="7" s="1"/>
  <c r="G13" i="7"/>
  <c r="N13" i="7" s="1"/>
  <c r="K31" i="6"/>
  <c r="F31" i="7" s="1"/>
  <c r="M31" i="7" s="1"/>
  <c r="J52" i="6"/>
  <c r="E52" i="7" s="1"/>
  <c r="L52" i="7" s="1"/>
  <c r="G10" i="6"/>
  <c r="I10" i="6" s="1"/>
  <c r="D10" i="7" s="1"/>
  <c r="G39" i="6"/>
  <c r="I39" i="6" s="1"/>
  <c r="D39" i="7" s="1"/>
  <c r="K39" i="7" s="1"/>
  <c r="K22" i="6"/>
  <c r="F22" i="7" s="1"/>
  <c r="M22" i="7" s="1"/>
  <c r="K17" i="6"/>
  <c r="F17" i="7" s="1"/>
  <c r="M17" i="7" s="1"/>
  <c r="K32" i="6"/>
  <c r="F32" i="7" s="1"/>
  <c r="M32" i="7" s="1"/>
  <c r="K5" i="6"/>
  <c r="F5" i="7" s="1"/>
  <c r="M5" i="7" s="1"/>
  <c r="J13" i="6"/>
  <c r="E13" i="7" s="1"/>
  <c r="L13" i="7" s="1"/>
  <c r="G52" i="6"/>
  <c r="I52" i="6" s="1"/>
  <c r="D52" i="7" s="1"/>
  <c r="K52" i="7" s="1"/>
  <c r="K2" i="6"/>
  <c r="G48" i="6"/>
  <c r="G13" i="6"/>
  <c r="G20" i="6"/>
  <c r="J17" i="6"/>
  <c r="E17" i="7" s="1"/>
  <c r="L17" i="7" s="1"/>
  <c r="J3" i="6"/>
  <c r="E3" i="7" s="1"/>
  <c r="L3" i="7" s="1"/>
  <c r="G46" i="7"/>
  <c r="N46" i="7" s="1"/>
  <c r="K50" i="6"/>
  <c r="F50" i="7" s="1"/>
  <c r="M50" i="7" s="1"/>
  <c r="K40" i="6"/>
  <c r="F40" i="7" s="1"/>
  <c r="M40" i="7" s="1"/>
  <c r="G34" i="7"/>
  <c r="N34" i="7" s="1"/>
  <c r="J49" i="6"/>
  <c r="E49" i="7" s="1"/>
  <c r="L49" i="7" s="1"/>
  <c r="K13" i="6"/>
  <c r="F13" i="7" s="1"/>
  <c r="M13" i="7" s="1"/>
  <c r="G32" i="6"/>
  <c r="K39" i="6"/>
  <c r="F39" i="7" s="1"/>
  <c r="M39" i="7" s="1"/>
  <c r="G4" i="6"/>
  <c r="I4" i="6" s="1"/>
  <c r="D4" i="7" s="1"/>
  <c r="K4" i="7" s="1"/>
  <c r="G31" i="6"/>
  <c r="I31" i="6" s="1"/>
  <c r="D31" i="7" s="1"/>
  <c r="K31" i="7" s="1"/>
  <c r="J10" i="6"/>
  <c r="E10" i="7" s="1"/>
  <c r="G40" i="6"/>
  <c r="K4" i="6"/>
  <c r="F4" i="7" s="1"/>
  <c r="M4" i="7" s="1"/>
  <c r="J20" i="6"/>
  <c r="E20" i="7" s="1"/>
  <c r="L20" i="7" s="1"/>
  <c r="K21" i="6"/>
  <c r="F21" i="7" s="1"/>
  <c r="M21" i="7" s="1"/>
  <c r="J5" i="6"/>
  <c r="E5" i="7" s="1"/>
  <c r="L5" i="7" s="1"/>
  <c r="J34" i="6"/>
  <c r="E34" i="7" s="1"/>
  <c r="L34" i="7" s="1"/>
  <c r="K20" i="6"/>
  <c r="F20" i="7" s="1"/>
  <c r="M20" i="7" s="1"/>
  <c r="G14" i="6"/>
  <c r="G9" i="6"/>
  <c r="G27" i="6"/>
  <c r="G31" i="7"/>
  <c r="N31" i="7" s="1"/>
  <c r="K38" i="6"/>
  <c r="F38" i="7" s="1"/>
  <c r="M38" i="7" s="1"/>
  <c r="J40" i="6"/>
  <c r="E40" i="7" s="1"/>
  <c r="L40" i="7" s="1"/>
  <c r="G8" i="7"/>
  <c r="N8" i="7" s="1"/>
  <c r="G5" i="7"/>
  <c r="N5" i="7" s="1"/>
  <c r="G30" i="7"/>
  <c r="N30" i="7" s="1"/>
  <c r="J38" i="6"/>
  <c r="E38" i="7" s="1"/>
  <c r="L38" i="7" s="1"/>
  <c r="G22" i="6"/>
  <c r="G50" i="6"/>
  <c r="F1219" i="8" l="1"/>
  <c r="M23" i="7"/>
  <c r="F321" i="8"/>
  <c r="M10" i="7"/>
  <c r="D321" i="8"/>
  <c r="K10" i="7"/>
  <c r="E1775" i="8"/>
  <c r="L31" i="7"/>
  <c r="E218" i="8"/>
  <c r="L6" i="7"/>
  <c r="G321" i="8"/>
  <c r="N10" i="7"/>
  <c r="E321" i="8"/>
  <c r="L10" i="7"/>
  <c r="G2564" i="8"/>
  <c r="N45" i="7"/>
  <c r="F196" i="8"/>
  <c r="M6" i="7"/>
  <c r="D231" i="8"/>
  <c r="K6" i="7"/>
  <c r="G2751" i="8"/>
  <c r="G2686" i="8"/>
  <c r="G2635" i="8"/>
  <c r="G2525" i="8"/>
  <c r="G2746" i="8"/>
  <c r="G2697" i="8"/>
  <c r="G2630" i="8"/>
  <c r="G2528" i="8"/>
  <c r="G2586" i="8"/>
  <c r="G2567" i="8"/>
  <c r="G2548" i="8"/>
  <c r="G2595" i="8"/>
  <c r="G2763" i="8"/>
  <c r="G2714" i="8"/>
  <c r="G2665" i="8"/>
  <c r="G2578" i="8"/>
  <c r="G2543" i="8"/>
  <c r="G2554" i="8"/>
  <c r="G2535" i="8"/>
  <c r="G2582" i="8"/>
  <c r="G2769" i="8"/>
  <c r="G2720" i="8"/>
  <c r="G2671" i="8"/>
  <c r="G2600" i="8"/>
  <c r="G2764" i="8"/>
  <c r="G2715" i="8"/>
  <c r="G2666" i="8"/>
  <c r="G2613" i="8"/>
  <c r="G2547" i="8"/>
  <c r="G2636" i="8"/>
  <c r="G2601" i="8"/>
  <c r="G2566" i="8"/>
  <c r="G2704" i="8"/>
  <c r="G2655" i="8"/>
  <c r="G2530" i="8"/>
  <c r="G2748" i="8"/>
  <c r="G2699" i="8"/>
  <c r="G2649" i="8"/>
  <c r="G2589" i="8"/>
  <c r="G2531" i="8"/>
  <c r="G2620" i="8"/>
  <c r="G2585" i="8"/>
  <c r="G2550" i="8"/>
  <c r="G2611" i="8"/>
  <c r="G2737" i="8"/>
  <c r="G2688" i="8"/>
  <c r="G2638" i="8"/>
  <c r="G2646" i="8"/>
  <c r="G2732" i="8"/>
  <c r="G2683" i="8"/>
  <c r="G2632" i="8"/>
  <c r="G2776" i="8"/>
  <c r="G2593" i="8"/>
  <c r="G2604" i="8"/>
  <c r="G2569" i="8"/>
  <c r="G2534" i="8"/>
  <c r="G2562" i="8"/>
  <c r="G2770" i="8"/>
  <c r="G2721" i="8"/>
  <c r="G2672" i="8"/>
  <c r="G2621" i="8"/>
  <c r="G2765" i="8"/>
  <c r="G2716" i="8"/>
  <c r="G2667" i="8"/>
  <c r="G2614" i="8"/>
  <c r="G2760" i="8"/>
  <c r="G2577" i="8"/>
  <c r="G2588" i="8"/>
  <c r="G2553" i="8"/>
  <c r="G2597" i="8"/>
  <c r="G2575" i="8"/>
  <c r="G2754" i="8"/>
  <c r="G2705" i="8"/>
  <c r="G2656" i="8"/>
  <c r="G2602" i="8"/>
  <c r="G2749" i="8"/>
  <c r="G2700" i="8"/>
  <c r="G2650" i="8"/>
  <c r="G2590" i="8"/>
  <c r="G2744" i="8"/>
  <c r="G2561" i="8"/>
  <c r="G2572" i="8"/>
  <c r="G2537" i="8"/>
  <c r="G2581" i="8"/>
  <c r="G2771" i="8"/>
  <c r="G2738" i="8"/>
  <c r="G2689" i="8"/>
  <c r="G2639" i="8"/>
  <c r="G2541" i="8"/>
  <c r="G2733" i="8"/>
  <c r="G2684" i="8"/>
  <c r="G2633" i="8"/>
  <c r="G2759" i="8"/>
  <c r="G2728" i="8"/>
  <c r="G2545" i="8"/>
  <c r="G2556" i="8"/>
  <c r="G2584" i="8"/>
  <c r="G2565" i="8"/>
  <c r="G2622" i="8"/>
  <c r="G2766" i="8"/>
  <c r="G2717" i="8"/>
  <c r="G2668" i="8"/>
  <c r="G2615" i="8"/>
  <c r="G2777" i="8"/>
  <c r="G2712" i="8"/>
  <c r="G2529" i="8"/>
  <c r="G2540" i="8"/>
  <c r="G2568" i="8"/>
  <c r="G2549" i="8"/>
  <c r="G2739" i="8"/>
  <c r="G2706" i="8"/>
  <c r="G2657" i="8"/>
  <c r="G2603" i="8"/>
  <c r="G2750" i="8"/>
  <c r="G2701" i="8"/>
  <c r="G2651" i="8"/>
  <c r="G2591" i="8"/>
  <c r="G2761" i="8"/>
  <c r="G2696" i="8"/>
  <c r="G2592" i="8"/>
  <c r="G2587" i="8"/>
  <c r="G2552" i="8"/>
  <c r="G2533" i="8"/>
  <c r="G2723" i="8"/>
  <c r="G2690" i="8"/>
  <c r="G2640" i="8"/>
  <c r="G2542" i="8"/>
  <c r="G2734" i="8"/>
  <c r="G2685" i="8"/>
  <c r="G2634" i="8"/>
  <c r="G2775" i="8"/>
  <c r="G2745" i="8"/>
  <c r="G2680" i="8"/>
  <c r="G2576" i="8"/>
  <c r="G2571" i="8"/>
  <c r="G2536" i="8"/>
  <c r="G2596" i="8"/>
  <c r="G2629" i="8"/>
  <c r="G2718" i="8"/>
  <c r="G2669" i="8"/>
  <c r="G2616" i="8"/>
  <c r="G2778" i="8"/>
  <c r="G2729" i="8"/>
  <c r="G2664" i="8"/>
  <c r="G2560" i="8"/>
  <c r="G2555" i="8"/>
  <c r="G2599" i="8"/>
  <c r="G2580" i="8"/>
  <c r="G2767" i="8"/>
  <c r="G2702" i="8"/>
  <c r="G2653" i="8"/>
  <c r="G2594" i="8"/>
  <c r="G2762" i="8"/>
  <c r="G2713" i="8"/>
  <c r="G2647" i="8"/>
  <c r="G2544" i="8"/>
  <c r="G2539" i="8"/>
  <c r="G2583" i="8"/>
  <c r="H6" i="6"/>
  <c r="C6" i="7" s="1"/>
  <c r="J6" i="7" s="1"/>
  <c r="D222" i="8"/>
  <c r="D192" i="8"/>
  <c r="D243" i="8"/>
  <c r="D227" i="8"/>
  <c r="D223" i="8"/>
  <c r="D207" i="8"/>
  <c r="D191" i="8"/>
  <c r="D203" i="8"/>
  <c r="D238" i="8"/>
  <c r="D224" i="8"/>
  <c r="D188" i="8"/>
  <c r="D235" i="8"/>
  <c r="D215" i="8"/>
  <c r="D208" i="8"/>
  <c r="D239" i="8"/>
  <c r="D219" i="8"/>
  <c r="D199" i="8"/>
  <c r="D211" i="8"/>
  <c r="D242" i="8"/>
  <c r="D206" i="8"/>
  <c r="D195" i="8"/>
  <c r="D226" i="8"/>
  <c r="D190" i="8"/>
  <c r="D230" i="8"/>
  <c r="D210" i="8"/>
  <c r="D241" i="8"/>
  <c r="D234" i="8"/>
  <c r="D214" i="8"/>
  <c r="D194" i="8"/>
  <c r="D225" i="8"/>
  <c r="D218" i="8"/>
  <c r="D198" i="8"/>
  <c r="D245" i="8"/>
  <c r="D209" i="8"/>
  <c r="D202" i="8"/>
  <c r="D233" i="8"/>
  <c r="D229" i="8"/>
  <c r="D193" i="8"/>
  <c r="D237" i="8"/>
  <c r="D217" i="8"/>
  <c r="D213" i="8"/>
  <c r="D244" i="8"/>
  <c r="D221" i="8"/>
  <c r="D201" i="8"/>
  <c r="D197" i="8"/>
  <c r="D228" i="8"/>
  <c r="D205" i="8"/>
  <c r="D236" i="8"/>
  <c r="D232" i="8"/>
  <c r="D212" i="8"/>
  <c r="D189" i="8"/>
  <c r="D220" i="8"/>
  <c r="D216" i="8"/>
  <c r="D196" i="8"/>
  <c r="D240" i="8"/>
  <c r="D204" i="8"/>
  <c r="D200" i="8"/>
  <c r="J25" i="5"/>
  <c r="F207" i="8"/>
  <c r="F219" i="8"/>
  <c r="F204" i="8"/>
  <c r="F210" i="8"/>
  <c r="F238" i="8"/>
  <c r="E1774" i="8"/>
  <c r="F241" i="8"/>
  <c r="E1770" i="8"/>
  <c r="F225" i="8"/>
  <c r="E1766" i="8"/>
  <c r="F218" i="8"/>
  <c r="E1772" i="8"/>
  <c r="F189" i="8"/>
  <c r="F224" i="8"/>
  <c r="F208" i="8"/>
  <c r="F243" i="8"/>
  <c r="F227" i="8"/>
  <c r="F230" i="8"/>
  <c r="F214" i="8"/>
  <c r="F233" i="8"/>
  <c r="F195" i="8"/>
  <c r="F231" i="8"/>
  <c r="F215" i="8"/>
  <c r="F199" i="8"/>
  <c r="F188" i="8"/>
  <c r="F239" i="8"/>
  <c r="F194" i="8"/>
  <c r="F229" i="8"/>
  <c r="F240" i="8"/>
  <c r="F200" i="8"/>
  <c r="E224" i="8"/>
  <c r="E1768" i="8"/>
  <c r="E1771" i="8"/>
  <c r="E1767" i="8"/>
  <c r="E1773" i="8"/>
  <c r="E1769" i="8"/>
  <c r="F235" i="8"/>
  <c r="E188" i="8"/>
  <c r="F192" i="8"/>
  <c r="F223" i="8"/>
  <c r="F203" i="8"/>
  <c r="F234" i="8"/>
  <c r="E235" i="8"/>
  <c r="E215" i="8"/>
  <c r="F191" i="8"/>
  <c r="F222" i="8"/>
  <c r="F202" i="8"/>
  <c r="F211" i="8"/>
  <c r="F242" i="8"/>
  <c r="F206" i="8"/>
  <c r="F237" i="8"/>
  <c r="F226" i="8"/>
  <c r="F190" i="8"/>
  <c r="F221" i="8"/>
  <c r="F205" i="8"/>
  <c r="F198" i="8"/>
  <c r="F245" i="8"/>
  <c r="F209" i="8"/>
  <c r="F193" i="8"/>
  <c r="F217" i="8"/>
  <c r="F213" i="8"/>
  <c r="F244" i="8"/>
  <c r="F201" i="8"/>
  <c r="F197" i="8"/>
  <c r="F228" i="8"/>
  <c r="F236" i="8"/>
  <c r="F232" i="8"/>
  <c r="F212" i="8"/>
  <c r="F220" i="8"/>
  <c r="F216" i="8"/>
  <c r="G1008" i="8"/>
  <c r="G1024" i="8"/>
  <c r="G1040" i="8"/>
  <c r="G1056" i="8"/>
  <c r="G1072" i="8"/>
  <c r="G1088" i="8"/>
  <c r="G1104" i="8"/>
  <c r="G1010" i="8"/>
  <c r="G1026" i="8"/>
  <c r="G1042" i="8"/>
  <c r="G1058" i="8"/>
  <c r="G1074" i="8"/>
  <c r="G1090" i="8"/>
  <c r="G1106" i="8"/>
  <c r="G995" i="8"/>
  <c r="G1011" i="8"/>
  <c r="G1027" i="8"/>
  <c r="G1043" i="8"/>
  <c r="G1059" i="8"/>
  <c r="G1075" i="8"/>
  <c r="G1091" i="8"/>
  <c r="G1107" i="8"/>
  <c r="G996" i="8"/>
  <c r="G1012" i="8"/>
  <c r="G1028" i="8"/>
  <c r="G1044" i="8"/>
  <c r="G1060" i="8"/>
  <c r="G1076" i="8"/>
  <c r="G1092" i="8"/>
  <c r="G1108" i="8"/>
  <c r="G997" i="8"/>
  <c r="G1013" i="8"/>
  <c r="G1029" i="8"/>
  <c r="G1045" i="8"/>
  <c r="G1061" i="8"/>
  <c r="G1077" i="8"/>
  <c r="G1093" i="8"/>
  <c r="G1109" i="8"/>
  <c r="G998" i="8"/>
  <c r="G1014" i="8"/>
  <c r="G1030" i="8"/>
  <c r="G1046" i="8"/>
  <c r="G1062" i="8"/>
  <c r="G1078" i="8"/>
  <c r="G1094" i="8"/>
  <c r="G1110" i="8"/>
  <c r="G999" i="8"/>
  <c r="G1015" i="8"/>
  <c r="G1031" i="8"/>
  <c r="G1047" i="8"/>
  <c r="G1063" i="8"/>
  <c r="G1079" i="8"/>
  <c r="G1095" i="8"/>
  <c r="G1111" i="8"/>
  <c r="G1000" i="8"/>
  <c r="G1016" i="8"/>
  <c r="G1032" i="8"/>
  <c r="G1048" i="8"/>
  <c r="G1064" i="8"/>
  <c r="G1080" i="8"/>
  <c r="G1096" i="8"/>
  <c r="G1112" i="8"/>
  <c r="G1001" i="8"/>
  <c r="G1017" i="8"/>
  <c r="G1033" i="8"/>
  <c r="G1049" i="8"/>
  <c r="G1065" i="8"/>
  <c r="G1081" i="8"/>
  <c r="G1097" i="8"/>
  <c r="G1113" i="8"/>
  <c r="G1002" i="8"/>
  <c r="G1018" i="8"/>
  <c r="G1034" i="8"/>
  <c r="G1050" i="8"/>
  <c r="G1066" i="8"/>
  <c r="G1082" i="8"/>
  <c r="G1098" i="8"/>
  <c r="G1114" i="8"/>
  <c r="G1003" i="8"/>
  <c r="G1019" i="8"/>
  <c r="G1035" i="8"/>
  <c r="G1051" i="8"/>
  <c r="G1067" i="8"/>
  <c r="G1083" i="8"/>
  <c r="G1099" i="8"/>
  <c r="G1004" i="8"/>
  <c r="G1020" i="8"/>
  <c r="G1036" i="8"/>
  <c r="G1052" i="8"/>
  <c r="G1068" i="8"/>
  <c r="G1084" i="8"/>
  <c r="G1100" i="8"/>
  <c r="G1005" i="8"/>
  <c r="G1021" i="8"/>
  <c r="G1037" i="8"/>
  <c r="G1053" i="8"/>
  <c r="G1069" i="8"/>
  <c r="G1085" i="8"/>
  <c r="G1101" i="8"/>
  <c r="G1006" i="8"/>
  <c r="G1022" i="8"/>
  <c r="G1038" i="8"/>
  <c r="G1054" i="8"/>
  <c r="G1070" i="8"/>
  <c r="G1086" i="8"/>
  <c r="G1102" i="8"/>
  <c r="G1007" i="8"/>
  <c r="G1023" i="8"/>
  <c r="G1039" i="8"/>
  <c r="G1055" i="8"/>
  <c r="G1071" i="8"/>
  <c r="G1087" i="8"/>
  <c r="G1103" i="8"/>
  <c r="G1105" i="8"/>
  <c r="G1009" i="8"/>
  <c r="G1025" i="8"/>
  <c r="G1041" i="8"/>
  <c r="G1057" i="8"/>
  <c r="G1073" i="8"/>
  <c r="G1089" i="8"/>
  <c r="G2052" i="8"/>
  <c r="G2068" i="8"/>
  <c r="G2084" i="8"/>
  <c r="G2100" i="8"/>
  <c r="G2116" i="8"/>
  <c r="G2132" i="8"/>
  <c r="G2053" i="8"/>
  <c r="G2069" i="8"/>
  <c r="G2085" i="8"/>
  <c r="G2101" i="8"/>
  <c r="G2117" i="8"/>
  <c r="G2054" i="8"/>
  <c r="G2070" i="8"/>
  <c r="G2086" i="8"/>
  <c r="G2102" i="8"/>
  <c r="G2118" i="8"/>
  <c r="G2055" i="8"/>
  <c r="G2071" i="8"/>
  <c r="G2087" i="8"/>
  <c r="G2103" i="8"/>
  <c r="G2119" i="8"/>
  <c r="G2056" i="8"/>
  <c r="G2072" i="8"/>
  <c r="G2088" i="8"/>
  <c r="G2104" i="8"/>
  <c r="G2120" i="8"/>
  <c r="G2057" i="8"/>
  <c r="G2073" i="8"/>
  <c r="G2089" i="8"/>
  <c r="G2105" i="8"/>
  <c r="G2121" i="8"/>
  <c r="G2058" i="8"/>
  <c r="G2074" i="8"/>
  <c r="G2090" i="8"/>
  <c r="G2106" i="8"/>
  <c r="G2122" i="8"/>
  <c r="G2059" i="8"/>
  <c r="G2075" i="8"/>
  <c r="G2091" i="8"/>
  <c r="G2107" i="8"/>
  <c r="G2123" i="8"/>
  <c r="G2060" i="8"/>
  <c r="G2076" i="8"/>
  <c r="G2092" i="8"/>
  <c r="G2108" i="8"/>
  <c r="G2124" i="8"/>
  <c r="G2045" i="8"/>
  <c r="G2061" i="8"/>
  <c r="G2077" i="8"/>
  <c r="G2093" i="8"/>
  <c r="G2109" i="8"/>
  <c r="G2125" i="8"/>
  <c r="G2047" i="8"/>
  <c r="G2063" i="8"/>
  <c r="G2079" i="8"/>
  <c r="G2095" i="8"/>
  <c r="G2111" i="8"/>
  <c r="G2127" i="8"/>
  <c r="G2048" i="8"/>
  <c r="G2064" i="8"/>
  <c r="G2080" i="8"/>
  <c r="G2096" i="8"/>
  <c r="G2112" i="8"/>
  <c r="G2128" i="8"/>
  <c r="G2049" i="8"/>
  <c r="G2065" i="8"/>
  <c r="G2081" i="8"/>
  <c r="G2097" i="8"/>
  <c r="G2113" i="8"/>
  <c r="G2129" i="8"/>
  <c r="G2050" i="8"/>
  <c r="G2066" i="8"/>
  <c r="G2082" i="8"/>
  <c r="G2098" i="8"/>
  <c r="G2114" i="8"/>
  <c r="G2130" i="8"/>
  <c r="G2051" i="8"/>
  <c r="G2067" i="8"/>
  <c r="G2083" i="8"/>
  <c r="G2099" i="8"/>
  <c r="G2115" i="8"/>
  <c r="G2131" i="8"/>
  <c r="G2094" i="8"/>
  <c r="G2110" i="8"/>
  <c r="G2078" i="8"/>
  <c r="G2126" i="8"/>
  <c r="G2046" i="8"/>
  <c r="G2062" i="8"/>
  <c r="G336" i="8"/>
  <c r="G352" i="8"/>
  <c r="G368" i="8"/>
  <c r="G384" i="8"/>
  <c r="G337" i="8"/>
  <c r="G353" i="8"/>
  <c r="G369" i="8"/>
  <c r="G385" i="8"/>
  <c r="G322" i="8"/>
  <c r="G338" i="8"/>
  <c r="G354" i="8"/>
  <c r="G370" i="8"/>
  <c r="G386" i="8"/>
  <c r="G323" i="8"/>
  <c r="G339" i="8"/>
  <c r="G355" i="8"/>
  <c r="G371" i="8"/>
  <c r="G387" i="8"/>
  <c r="G324" i="8"/>
  <c r="G340" i="8"/>
  <c r="G356" i="8"/>
  <c r="G372" i="8"/>
  <c r="G388" i="8"/>
  <c r="G325" i="8"/>
  <c r="G341" i="8"/>
  <c r="G357" i="8"/>
  <c r="G373" i="8"/>
  <c r="G326" i="8"/>
  <c r="G342" i="8"/>
  <c r="G358" i="8"/>
  <c r="G374" i="8"/>
  <c r="G327" i="8"/>
  <c r="G343" i="8"/>
  <c r="G359" i="8"/>
  <c r="G375" i="8"/>
  <c r="G328" i="8"/>
  <c r="G344" i="8"/>
  <c r="G360" i="8"/>
  <c r="G376" i="8"/>
  <c r="G329" i="8"/>
  <c r="G345" i="8"/>
  <c r="G361" i="8"/>
  <c r="G377" i="8"/>
  <c r="G330" i="8"/>
  <c r="G346" i="8"/>
  <c r="G362" i="8"/>
  <c r="G378" i="8"/>
  <c r="G331" i="8"/>
  <c r="G347" i="8"/>
  <c r="G363" i="8"/>
  <c r="G379" i="8"/>
  <c r="G332" i="8"/>
  <c r="G348" i="8"/>
  <c r="G364" i="8"/>
  <c r="G380" i="8"/>
  <c r="G333" i="8"/>
  <c r="G349" i="8"/>
  <c r="G365" i="8"/>
  <c r="G381" i="8"/>
  <c r="G334" i="8"/>
  <c r="G350" i="8"/>
  <c r="G366" i="8"/>
  <c r="G382" i="8"/>
  <c r="G335" i="8"/>
  <c r="G351" i="8"/>
  <c r="G367" i="8"/>
  <c r="G383" i="8"/>
  <c r="G1492" i="8"/>
  <c r="G1508" i="8"/>
  <c r="G1524" i="8"/>
  <c r="G1540" i="8"/>
  <c r="G1556" i="8"/>
  <c r="G1572" i="8"/>
  <c r="G1588" i="8"/>
  <c r="G1493" i="8"/>
  <c r="G1509" i="8"/>
  <c r="G1525" i="8"/>
  <c r="G1541" i="8"/>
  <c r="G1557" i="8"/>
  <c r="G1573" i="8"/>
  <c r="G1589" i="8"/>
  <c r="G1494" i="8"/>
  <c r="G1510" i="8"/>
  <c r="G1526" i="8"/>
  <c r="G1542" i="8"/>
  <c r="G1558" i="8"/>
  <c r="G1574" i="8"/>
  <c r="G1590" i="8"/>
  <c r="G1495" i="8"/>
  <c r="G1511" i="8"/>
  <c r="G1527" i="8"/>
  <c r="G1543" i="8"/>
  <c r="G1559" i="8"/>
  <c r="G1575" i="8"/>
  <c r="G1591" i="8"/>
  <c r="G1496" i="8"/>
  <c r="G1512" i="8"/>
  <c r="G1528" i="8"/>
  <c r="G1544" i="8"/>
  <c r="G1560" i="8"/>
  <c r="G1576" i="8"/>
  <c r="G1592" i="8"/>
  <c r="G1497" i="8"/>
  <c r="G1513" i="8"/>
  <c r="G1529" i="8"/>
  <c r="G1545" i="8"/>
  <c r="G1561" i="8"/>
  <c r="G1577" i="8"/>
  <c r="G1593" i="8"/>
  <c r="G1498" i="8"/>
  <c r="G1514" i="8"/>
  <c r="G1530" i="8"/>
  <c r="G1546" i="8"/>
  <c r="G1562" i="8"/>
  <c r="G1578" i="8"/>
  <c r="G1594" i="8"/>
  <c r="G1499" i="8"/>
  <c r="G1515" i="8"/>
  <c r="G1531" i="8"/>
  <c r="G1547" i="8"/>
  <c r="G1563" i="8"/>
  <c r="G1579" i="8"/>
  <c r="G1595" i="8"/>
  <c r="G1500" i="8"/>
  <c r="G1516" i="8"/>
  <c r="G1532" i="8"/>
  <c r="G1548" i="8"/>
  <c r="G1564" i="8"/>
  <c r="G1580" i="8"/>
  <c r="G1596" i="8"/>
  <c r="G1485" i="8"/>
  <c r="G1501" i="8"/>
  <c r="G1517" i="8"/>
  <c r="G1533" i="8"/>
  <c r="G1549" i="8"/>
  <c r="G1565" i="8"/>
  <c r="G1581" i="8"/>
  <c r="G1597" i="8"/>
  <c r="G1487" i="8"/>
  <c r="G1503" i="8"/>
  <c r="G1519" i="8"/>
  <c r="G1535" i="8"/>
  <c r="G1551" i="8"/>
  <c r="G1567" i="8"/>
  <c r="G1583" i="8"/>
  <c r="G1599" i="8"/>
  <c r="G1488" i="8"/>
  <c r="G1504" i="8"/>
  <c r="G1520" i="8"/>
  <c r="G1536" i="8"/>
  <c r="G1552" i="8"/>
  <c r="G1568" i="8"/>
  <c r="G1584" i="8"/>
  <c r="G1489" i="8"/>
  <c r="G1505" i="8"/>
  <c r="G1521" i="8"/>
  <c r="G1537" i="8"/>
  <c r="G1553" i="8"/>
  <c r="G1569" i="8"/>
  <c r="G1585" i="8"/>
  <c r="G1490" i="8"/>
  <c r="G1506" i="8"/>
  <c r="G1522" i="8"/>
  <c r="G1538" i="8"/>
  <c r="G1554" i="8"/>
  <c r="G1570" i="8"/>
  <c r="G1586" i="8"/>
  <c r="G1491" i="8"/>
  <c r="G1507" i="8"/>
  <c r="G1523" i="8"/>
  <c r="G1539" i="8"/>
  <c r="G1555" i="8"/>
  <c r="G1571" i="8"/>
  <c r="G1587" i="8"/>
  <c r="G1582" i="8"/>
  <c r="G1598" i="8"/>
  <c r="G1566" i="8"/>
  <c r="G1486" i="8"/>
  <c r="G1502" i="8"/>
  <c r="G1518" i="8"/>
  <c r="G1534" i="8"/>
  <c r="G1550" i="8"/>
  <c r="G2792" i="8"/>
  <c r="G2793" i="8"/>
  <c r="G2794" i="8"/>
  <c r="G2779" i="8"/>
  <c r="G2795" i="8"/>
  <c r="G2780" i="8"/>
  <c r="G2796" i="8"/>
  <c r="G2781" i="8"/>
  <c r="G2797" i="8"/>
  <c r="G2782" i="8"/>
  <c r="G2798" i="8"/>
  <c r="G2783" i="8"/>
  <c r="G2799" i="8"/>
  <c r="G2784" i="8"/>
  <c r="G2800" i="8"/>
  <c r="G2785" i="8"/>
  <c r="G2801" i="8"/>
  <c r="G2786" i="8"/>
  <c r="G2802" i="8"/>
  <c r="G2787" i="8"/>
  <c r="G2803" i="8"/>
  <c r="G2791" i="8"/>
  <c r="G2788" i="8"/>
  <c r="G2804" i="8"/>
  <c r="G2807" i="8"/>
  <c r="G2789" i="8"/>
  <c r="G2805" i="8"/>
  <c r="G2790" i="8"/>
  <c r="G2806" i="8"/>
  <c r="G2212" i="8"/>
  <c r="G2228" i="8"/>
  <c r="G2244" i="8"/>
  <c r="G2213" i="8"/>
  <c r="G2229" i="8"/>
  <c r="G2245" i="8"/>
  <c r="G2214" i="8"/>
  <c r="G2230" i="8"/>
  <c r="G2215" i="8"/>
  <c r="G2231" i="8"/>
  <c r="G2216" i="8"/>
  <c r="G2232" i="8"/>
  <c r="G2217" i="8"/>
  <c r="G2233" i="8"/>
  <c r="G2218" i="8"/>
  <c r="G2234" i="8"/>
  <c r="G2219" i="8"/>
  <c r="G2235" i="8"/>
  <c r="G2220" i="8"/>
  <c r="G2236" i="8"/>
  <c r="G2221" i="8"/>
  <c r="G2237" i="8"/>
  <c r="G2223" i="8"/>
  <c r="G2239" i="8"/>
  <c r="G2224" i="8"/>
  <c r="G2240" i="8"/>
  <c r="G2225" i="8"/>
  <c r="G2241" i="8"/>
  <c r="G2210" i="8"/>
  <c r="G2226" i="8"/>
  <c r="G2242" i="8"/>
  <c r="G2211" i="8"/>
  <c r="G2227" i="8"/>
  <c r="G2243" i="8"/>
  <c r="G2222" i="8"/>
  <c r="G2238" i="8"/>
  <c r="G3000" i="8"/>
  <c r="G3016" i="8"/>
  <c r="G3032" i="8"/>
  <c r="G3048" i="8"/>
  <c r="G3001" i="8"/>
  <c r="G3017" i="8"/>
  <c r="G3033" i="8"/>
  <c r="G3049" i="8"/>
  <c r="G2999" i="8"/>
  <c r="G3002" i="8"/>
  <c r="G3018" i="8"/>
  <c r="G3034" i="8"/>
  <c r="G3040" i="8"/>
  <c r="G3015" i="8"/>
  <c r="G3003" i="8"/>
  <c r="G3019" i="8"/>
  <c r="G3035" i="8"/>
  <c r="G3004" i="8"/>
  <c r="G3020" i="8"/>
  <c r="G3036" i="8"/>
  <c r="G3024" i="8"/>
  <c r="G3005" i="8"/>
  <c r="G3021" i="8"/>
  <c r="G3037" i="8"/>
  <c r="G3008" i="8"/>
  <c r="G3006" i="8"/>
  <c r="G3022" i="8"/>
  <c r="G3038" i="8"/>
  <c r="G3007" i="8"/>
  <c r="G3023" i="8"/>
  <c r="G3039" i="8"/>
  <c r="G3009" i="8"/>
  <c r="G3025" i="8"/>
  <c r="G3041" i="8"/>
  <c r="G3010" i="8"/>
  <c r="G3026" i="8"/>
  <c r="G3042" i="8"/>
  <c r="G2995" i="8"/>
  <c r="G3011" i="8"/>
  <c r="G3027" i="8"/>
  <c r="G3043" i="8"/>
  <c r="G3031" i="8"/>
  <c r="G2996" i="8"/>
  <c r="G3012" i="8"/>
  <c r="G3028" i="8"/>
  <c r="G3044" i="8"/>
  <c r="G3046" i="8"/>
  <c r="G3047" i="8"/>
  <c r="G2997" i="8"/>
  <c r="G3013" i="8"/>
  <c r="G3029" i="8"/>
  <c r="G3045" i="8"/>
  <c r="G2998" i="8"/>
  <c r="G3014" i="8"/>
  <c r="G3030" i="8"/>
  <c r="G896" i="8"/>
  <c r="G912" i="8"/>
  <c r="G928" i="8"/>
  <c r="G944" i="8"/>
  <c r="G960" i="8"/>
  <c r="G976" i="8"/>
  <c r="G992" i="8"/>
  <c r="G898" i="8"/>
  <c r="G914" i="8"/>
  <c r="G930" i="8"/>
  <c r="G946" i="8"/>
  <c r="G962" i="8"/>
  <c r="G978" i="8"/>
  <c r="G994" i="8"/>
  <c r="G899" i="8"/>
  <c r="G915" i="8"/>
  <c r="G931" i="8"/>
  <c r="G947" i="8"/>
  <c r="G963" i="8"/>
  <c r="G979" i="8"/>
  <c r="G900" i="8"/>
  <c r="G916" i="8"/>
  <c r="G932" i="8"/>
  <c r="G948" i="8"/>
  <c r="G964" i="8"/>
  <c r="G980" i="8"/>
  <c r="G901" i="8"/>
  <c r="G917" i="8"/>
  <c r="G933" i="8"/>
  <c r="G949" i="8"/>
  <c r="G965" i="8"/>
  <c r="G981" i="8"/>
  <c r="G902" i="8"/>
  <c r="G918" i="8"/>
  <c r="G934" i="8"/>
  <c r="G950" i="8"/>
  <c r="G966" i="8"/>
  <c r="G982" i="8"/>
  <c r="G903" i="8"/>
  <c r="G919" i="8"/>
  <c r="G935" i="8"/>
  <c r="G951" i="8"/>
  <c r="G967" i="8"/>
  <c r="G983" i="8"/>
  <c r="G904" i="8"/>
  <c r="G920" i="8"/>
  <c r="G936" i="8"/>
  <c r="G952" i="8"/>
  <c r="G968" i="8"/>
  <c r="G984" i="8"/>
  <c r="G905" i="8"/>
  <c r="G921" i="8"/>
  <c r="G937" i="8"/>
  <c r="G953" i="8"/>
  <c r="G969" i="8"/>
  <c r="G985" i="8"/>
  <c r="G890" i="8"/>
  <c r="G906" i="8"/>
  <c r="G922" i="8"/>
  <c r="G938" i="8"/>
  <c r="G954" i="8"/>
  <c r="G970" i="8"/>
  <c r="G986" i="8"/>
  <c r="G891" i="8"/>
  <c r="G907" i="8"/>
  <c r="G923" i="8"/>
  <c r="G939" i="8"/>
  <c r="G955" i="8"/>
  <c r="G971" i="8"/>
  <c r="G987" i="8"/>
  <c r="G892" i="8"/>
  <c r="G908" i="8"/>
  <c r="G924" i="8"/>
  <c r="G940" i="8"/>
  <c r="G956" i="8"/>
  <c r="G972" i="8"/>
  <c r="G988" i="8"/>
  <c r="G893" i="8"/>
  <c r="G909" i="8"/>
  <c r="G925" i="8"/>
  <c r="G941" i="8"/>
  <c r="G957" i="8"/>
  <c r="G973" i="8"/>
  <c r="G989" i="8"/>
  <c r="G894" i="8"/>
  <c r="G910" i="8"/>
  <c r="G926" i="8"/>
  <c r="G942" i="8"/>
  <c r="G958" i="8"/>
  <c r="G974" i="8"/>
  <c r="G990" i="8"/>
  <c r="G895" i="8"/>
  <c r="G911" i="8"/>
  <c r="G927" i="8"/>
  <c r="G943" i="8"/>
  <c r="G959" i="8"/>
  <c r="G975" i="8"/>
  <c r="G991" i="8"/>
  <c r="G897" i="8"/>
  <c r="G913" i="8"/>
  <c r="G929" i="8"/>
  <c r="G945" i="8"/>
  <c r="G961" i="8"/>
  <c r="G977" i="8"/>
  <c r="G993" i="8"/>
  <c r="G1200" i="8"/>
  <c r="G1216" i="8"/>
  <c r="G1202" i="8"/>
  <c r="G1218" i="8"/>
  <c r="G1203" i="8"/>
  <c r="G1204" i="8"/>
  <c r="G1205" i="8"/>
  <c r="G1206" i="8"/>
  <c r="G1207" i="8"/>
  <c r="G1208" i="8"/>
  <c r="G1210" i="8"/>
  <c r="G1195" i="8"/>
  <c r="G1211" i="8"/>
  <c r="G1196" i="8"/>
  <c r="G1212" i="8"/>
  <c r="G1197" i="8"/>
  <c r="G1213" i="8"/>
  <c r="G1198" i="8"/>
  <c r="G1214" i="8"/>
  <c r="G1199" i="8"/>
  <c r="G1215" i="8"/>
  <c r="G1201" i="8"/>
  <c r="G1209" i="8"/>
  <c r="G1217" i="8"/>
  <c r="G1764" i="8"/>
  <c r="G1749" i="8"/>
  <c r="G1765" i="8"/>
  <c r="G1750" i="8"/>
  <c r="G1751" i="8"/>
  <c r="G1752" i="8"/>
  <c r="G1753" i="8"/>
  <c r="G1754" i="8"/>
  <c r="G1755" i="8"/>
  <c r="G1756" i="8"/>
  <c r="G1757" i="8"/>
  <c r="G1759" i="8"/>
  <c r="G1760" i="8"/>
  <c r="G1761" i="8"/>
  <c r="G1762" i="8"/>
  <c r="G1763" i="8"/>
  <c r="G1758" i="8"/>
  <c r="G1232" i="8"/>
  <c r="G1219" i="8"/>
  <c r="G1220" i="8"/>
  <c r="G1221" i="8"/>
  <c r="G1222" i="8"/>
  <c r="G1223" i="8"/>
  <c r="G1224" i="8"/>
  <c r="G1226" i="8"/>
  <c r="G1227" i="8"/>
  <c r="G1228" i="8"/>
  <c r="G1229" i="8"/>
  <c r="G1230" i="8"/>
  <c r="G1231" i="8"/>
  <c r="G1225" i="8"/>
  <c r="G548" i="8"/>
  <c r="G549" i="8"/>
  <c r="G550" i="8"/>
  <c r="G551" i="8"/>
  <c r="G552" i="8"/>
  <c r="G2968" i="8"/>
  <c r="G2984" i="8"/>
  <c r="G2969" i="8"/>
  <c r="G2985" i="8"/>
  <c r="G2960" i="8"/>
  <c r="G2970" i="8"/>
  <c r="G2986" i="8"/>
  <c r="G2971" i="8"/>
  <c r="G2987" i="8"/>
  <c r="G2956" i="8"/>
  <c r="G2972" i="8"/>
  <c r="G2988" i="8"/>
  <c r="G2957" i="8"/>
  <c r="G2973" i="8"/>
  <c r="G2989" i="8"/>
  <c r="G2958" i="8"/>
  <c r="G2974" i="8"/>
  <c r="G2990" i="8"/>
  <c r="G2976" i="8"/>
  <c r="G2959" i="8"/>
  <c r="G2975" i="8"/>
  <c r="G2991" i="8"/>
  <c r="G2992" i="8"/>
  <c r="G2967" i="8"/>
  <c r="G2961" i="8"/>
  <c r="G2977" i="8"/>
  <c r="G2993" i="8"/>
  <c r="G2962" i="8"/>
  <c r="G2978" i="8"/>
  <c r="G2994" i="8"/>
  <c r="G2983" i="8"/>
  <c r="G2963" i="8"/>
  <c r="G2979" i="8"/>
  <c r="G2964" i="8"/>
  <c r="G2980" i="8"/>
  <c r="G2965" i="8"/>
  <c r="G2981" i="8"/>
  <c r="G2966" i="8"/>
  <c r="G2982" i="8"/>
  <c r="G310" i="8"/>
  <c r="G311" i="8"/>
  <c r="G312" i="8"/>
  <c r="G313" i="8"/>
  <c r="G314" i="8"/>
  <c r="G315" i="8"/>
  <c r="G316" i="8"/>
  <c r="G317" i="8"/>
  <c r="G2148" i="8"/>
  <c r="G2164" i="8"/>
  <c r="G2180" i="8"/>
  <c r="G2196" i="8"/>
  <c r="G2133" i="8"/>
  <c r="G2149" i="8"/>
  <c r="G2165" i="8"/>
  <c r="G2181" i="8"/>
  <c r="G2197" i="8"/>
  <c r="G2134" i="8"/>
  <c r="G2150" i="8"/>
  <c r="G2166" i="8"/>
  <c r="G2182" i="8"/>
  <c r="G2198" i="8"/>
  <c r="G2135" i="8"/>
  <c r="G2151" i="8"/>
  <c r="G2167" i="8"/>
  <c r="G2183" i="8"/>
  <c r="G2199" i="8"/>
  <c r="G2136" i="8"/>
  <c r="G2152" i="8"/>
  <c r="G2168" i="8"/>
  <c r="G2184" i="8"/>
  <c r="G2200" i="8"/>
  <c r="G2137" i="8"/>
  <c r="G2153" i="8"/>
  <c r="G2169" i="8"/>
  <c r="G2185" i="8"/>
  <c r="G2201" i="8"/>
  <c r="G2138" i="8"/>
  <c r="G2154" i="8"/>
  <c r="G2170" i="8"/>
  <c r="G2186" i="8"/>
  <c r="G2202" i="8"/>
  <c r="G2139" i="8"/>
  <c r="G2155" i="8"/>
  <c r="G2171" i="8"/>
  <c r="G2187" i="8"/>
  <c r="G2203" i="8"/>
  <c r="G2140" i="8"/>
  <c r="G2156" i="8"/>
  <c r="G2172" i="8"/>
  <c r="G2188" i="8"/>
  <c r="G2204" i="8"/>
  <c r="G2141" i="8"/>
  <c r="G2157" i="8"/>
  <c r="G2173" i="8"/>
  <c r="G2189" i="8"/>
  <c r="G2205" i="8"/>
  <c r="G2143" i="8"/>
  <c r="G2159" i="8"/>
  <c r="G2175" i="8"/>
  <c r="G2191" i="8"/>
  <c r="G2207" i="8"/>
  <c r="G2144" i="8"/>
  <c r="G2160" i="8"/>
  <c r="G2176" i="8"/>
  <c r="G2192" i="8"/>
  <c r="G2208" i="8"/>
  <c r="G2145" i="8"/>
  <c r="G2161" i="8"/>
  <c r="G2177" i="8"/>
  <c r="G2193" i="8"/>
  <c r="G2209" i="8"/>
  <c r="G2146" i="8"/>
  <c r="G2162" i="8"/>
  <c r="G2178" i="8"/>
  <c r="G2194" i="8"/>
  <c r="G2147" i="8"/>
  <c r="G2163" i="8"/>
  <c r="G2179" i="8"/>
  <c r="G2195" i="8"/>
  <c r="G2142" i="8"/>
  <c r="G2158" i="8"/>
  <c r="G2174" i="8"/>
  <c r="G2190" i="8"/>
  <c r="G2206" i="8"/>
  <c r="G2824" i="8"/>
  <c r="G2840" i="8"/>
  <c r="G2856" i="8"/>
  <c r="G2872" i="8"/>
  <c r="G2888" i="8"/>
  <c r="G2904" i="8"/>
  <c r="G2920" i="8"/>
  <c r="G2936" i="8"/>
  <c r="G2952" i="8"/>
  <c r="G2887" i="8"/>
  <c r="G2825" i="8"/>
  <c r="G2841" i="8"/>
  <c r="G2857" i="8"/>
  <c r="G2873" i="8"/>
  <c r="G2889" i="8"/>
  <c r="G2905" i="8"/>
  <c r="G2921" i="8"/>
  <c r="G2937" i="8"/>
  <c r="G2953" i="8"/>
  <c r="G2826" i="8"/>
  <c r="G2842" i="8"/>
  <c r="G2858" i="8"/>
  <c r="G2874" i="8"/>
  <c r="G2890" i="8"/>
  <c r="G2906" i="8"/>
  <c r="G2922" i="8"/>
  <c r="G2938" i="8"/>
  <c r="G2954" i="8"/>
  <c r="G2827" i="8"/>
  <c r="G2843" i="8"/>
  <c r="G2859" i="8"/>
  <c r="G2875" i="8"/>
  <c r="G2891" i="8"/>
  <c r="G2907" i="8"/>
  <c r="G2923" i="8"/>
  <c r="G2939" i="8"/>
  <c r="G2955" i="8"/>
  <c r="G2935" i="8"/>
  <c r="G2828" i="8"/>
  <c r="G2844" i="8"/>
  <c r="G2860" i="8"/>
  <c r="G2876" i="8"/>
  <c r="G2892" i="8"/>
  <c r="G2908" i="8"/>
  <c r="G2924" i="8"/>
  <c r="G2940" i="8"/>
  <c r="G2951" i="8"/>
  <c r="G2829" i="8"/>
  <c r="G2845" i="8"/>
  <c r="G2861" i="8"/>
  <c r="G2877" i="8"/>
  <c r="G2893" i="8"/>
  <c r="G2909" i="8"/>
  <c r="G2925" i="8"/>
  <c r="G2941" i="8"/>
  <c r="G2855" i="8"/>
  <c r="G2830" i="8"/>
  <c r="G2846" i="8"/>
  <c r="G2862" i="8"/>
  <c r="G2878" i="8"/>
  <c r="G2894" i="8"/>
  <c r="G2910" i="8"/>
  <c r="G2926" i="8"/>
  <c r="G2942" i="8"/>
  <c r="G2823" i="8"/>
  <c r="G2831" i="8"/>
  <c r="G2847" i="8"/>
  <c r="G2863" i="8"/>
  <c r="G2879" i="8"/>
  <c r="G2895" i="8"/>
  <c r="G2911" i="8"/>
  <c r="G2927" i="8"/>
  <c r="G2943" i="8"/>
  <c r="G2839" i="8"/>
  <c r="G2832" i="8"/>
  <c r="G2848" i="8"/>
  <c r="G2864" i="8"/>
  <c r="G2880" i="8"/>
  <c r="G2896" i="8"/>
  <c r="G2912" i="8"/>
  <c r="G2928" i="8"/>
  <c r="G2944" i="8"/>
  <c r="G2833" i="8"/>
  <c r="G2849" i="8"/>
  <c r="G2865" i="8"/>
  <c r="G2881" i="8"/>
  <c r="G2897" i="8"/>
  <c r="G2913" i="8"/>
  <c r="G2929" i="8"/>
  <c r="G2945" i="8"/>
  <c r="G2919" i="8"/>
  <c r="G2834" i="8"/>
  <c r="G2850" i="8"/>
  <c r="G2866" i="8"/>
  <c r="G2882" i="8"/>
  <c r="G2898" i="8"/>
  <c r="G2914" i="8"/>
  <c r="G2930" i="8"/>
  <c r="G2946" i="8"/>
  <c r="G2835" i="8"/>
  <c r="G2851" i="8"/>
  <c r="G2867" i="8"/>
  <c r="G2883" i="8"/>
  <c r="G2899" i="8"/>
  <c r="G2915" i="8"/>
  <c r="G2931" i="8"/>
  <c r="G2947" i="8"/>
  <c r="G2836" i="8"/>
  <c r="G2852" i="8"/>
  <c r="G2868" i="8"/>
  <c r="G2884" i="8"/>
  <c r="G2900" i="8"/>
  <c r="G2916" i="8"/>
  <c r="G2932" i="8"/>
  <c r="G2948" i="8"/>
  <c r="G2837" i="8"/>
  <c r="G2853" i="8"/>
  <c r="G2869" i="8"/>
  <c r="G2885" i="8"/>
  <c r="G2901" i="8"/>
  <c r="G2917" i="8"/>
  <c r="G2933" i="8"/>
  <c r="G2949" i="8"/>
  <c r="G2903" i="8"/>
  <c r="G2822" i="8"/>
  <c r="G2838" i="8"/>
  <c r="G2854" i="8"/>
  <c r="G2870" i="8"/>
  <c r="G2886" i="8"/>
  <c r="G2902" i="8"/>
  <c r="G2918" i="8"/>
  <c r="G2934" i="8"/>
  <c r="G2950" i="8"/>
  <c r="G2871" i="8"/>
  <c r="G3144" i="8"/>
  <c r="G3128" i="8"/>
  <c r="G3127" i="8"/>
  <c r="G3129" i="8"/>
  <c r="G3130" i="8"/>
  <c r="G3131" i="8"/>
  <c r="G3134" i="8"/>
  <c r="G3135" i="8"/>
  <c r="G3132" i="8"/>
  <c r="G3133" i="8"/>
  <c r="G3126" i="8"/>
  <c r="G3136" i="8"/>
  <c r="G3142" i="8"/>
  <c r="G3137" i="8"/>
  <c r="G3122" i="8"/>
  <c r="G3138" i="8"/>
  <c r="G3123" i="8"/>
  <c r="G3139" i="8"/>
  <c r="G3124" i="8"/>
  <c r="G3140" i="8"/>
  <c r="G3125" i="8"/>
  <c r="G3141" i="8"/>
  <c r="G3143" i="8"/>
  <c r="G1248" i="8"/>
  <c r="G1264" i="8"/>
  <c r="G1280" i="8"/>
  <c r="G1296" i="8"/>
  <c r="G1312" i="8"/>
  <c r="G1234" i="8"/>
  <c r="G1250" i="8"/>
  <c r="G1266" i="8"/>
  <c r="G1282" i="8"/>
  <c r="G1298" i="8"/>
  <c r="G1314" i="8"/>
  <c r="G1235" i="8"/>
  <c r="G1251" i="8"/>
  <c r="G1267" i="8"/>
  <c r="G1283" i="8"/>
  <c r="G1299" i="8"/>
  <c r="G1315" i="8"/>
  <c r="G1236" i="8"/>
  <c r="G1252" i="8"/>
  <c r="G1268" i="8"/>
  <c r="G1284" i="8"/>
  <c r="G1237" i="8"/>
  <c r="G1253" i="8"/>
  <c r="G1269" i="8"/>
  <c r="G1285" i="8"/>
  <c r="G1301" i="8"/>
  <c r="G1238" i="8"/>
  <c r="G1254" i="8"/>
  <c r="G1270" i="8"/>
  <c r="G1286" i="8"/>
  <c r="G1302" i="8"/>
  <c r="G1239" i="8"/>
  <c r="G1255" i="8"/>
  <c r="G1271" i="8"/>
  <c r="G1287" i="8"/>
  <c r="G1303" i="8"/>
  <c r="G1240" i="8"/>
  <c r="G1256" i="8"/>
  <c r="G1272" i="8"/>
  <c r="G1288" i="8"/>
  <c r="G1304" i="8"/>
  <c r="G1242" i="8"/>
  <c r="G1258" i="8"/>
  <c r="G1274" i="8"/>
  <c r="G1290" i="8"/>
  <c r="G1306" i="8"/>
  <c r="G1243" i="8"/>
  <c r="G1259" i="8"/>
  <c r="G1275" i="8"/>
  <c r="G1291" i="8"/>
  <c r="G1307" i="8"/>
  <c r="G1244" i="8"/>
  <c r="G1260" i="8"/>
  <c r="G1276" i="8"/>
  <c r="G1292" i="8"/>
  <c r="G1308" i="8"/>
  <c r="G1245" i="8"/>
  <c r="G1261" i="8"/>
  <c r="G1277" i="8"/>
  <c r="G1293" i="8"/>
  <c r="G1309" i="8"/>
  <c r="G1246" i="8"/>
  <c r="G1262" i="8"/>
  <c r="G1278" i="8"/>
  <c r="G1294" i="8"/>
  <c r="G1310" i="8"/>
  <c r="G1247" i="8"/>
  <c r="G1263" i="8"/>
  <c r="G1279" i="8"/>
  <c r="G1281" i="8"/>
  <c r="G1289" i="8"/>
  <c r="G1295" i="8"/>
  <c r="G1297" i="8"/>
  <c r="G1300" i="8"/>
  <c r="G1305" i="8"/>
  <c r="G1311" i="8"/>
  <c r="G1313" i="8"/>
  <c r="G1233" i="8"/>
  <c r="G1241" i="8"/>
  <c r="G1249" i="8"/>
  <c r="G1257" i="8"/>
  <c r="G1265" i="8"/>
  <c r="G1273" i="8"/>
  <c r="G400" i="8"/>
  <c r="G416" i="8"/>
  <c r="G432" i="8"/>
  <c r="G448" i="8"/>
  <c r="G464" i="8"/>
  <c r="G480" i="8"/>
  <c r="G496" i="8"/>
  <c r="G512" i="8"/>
  <c r="G528" i="8"/>
  <c r="G544" i="8"/>
  <c r="G401" i="8"/>
  <c r="G417" i="8"/>
  <c r="G433" i="8"/>
  <c r="G449" i="8"/>
  <c r="G465" i="8"/>
  <c r="G481" i="8"/>
  <c r="G497" i="8"/>
  <c r="G513" i="8"/>
  <c r="G529" i="8"/>
  <c r="G545" i="8"/>
  <c r="G402" i="8"/>
  <c r="G418" i="8"/>
  <c r="G434" i="8"/>
  <c r="G450" i="8"/>
  <c r="G466" i="8"/>
  <c r="G482" i="8"/>
  <c r="G498" i="8"/>
  <c r="G514" i="8"/>
  <c r="G530" i="8"/>
  <c r="G546" i="8"/>
  <c r="G403" i="8"/>
  <c r="G419" i="8"/>
  <c r="G435" i="8"/>
  <c r="G451" i="8"/>
  <c r="G467" i="8"/>
  <c r="G483" i="8"/>
  <c r="G499" i="8"/>
  <c r="G515" i="8"/>
  <c r="G531" i="8"/>
  <c r="G547" i="8"/>
  <c r="G404" i="8"/>
  <c r="G420" i="8"/>
  <c r="G436" i="8"/>
  <c r="G452" i="8"/>
  <c r="G468" i="8"/>
  <c r="G484" i="8"/>
  <c r="G500" i="8"/>
  <c r="G516" i="8"/>
  <c r="G532" i="8"/>
  <c r="G389" i="8"/>
  <c r="G405" i="8"/>
  <c r="G421" i="8"/>
  <c r="G437" i="8"/>
  <c r="G453" i="8"/>
  <c r="G469" i="8"/>
  <c r="G485" i="8"/>
  <c r="G501" i="8"/>
  <c r="G517" i="8"/>
  <c r="G533" i="8"/>
  <c r="G390" i="8"/>
  <c r="G406" i="8"/>
  <c r="G422" i="8"/>
  <c r="G438" i="8"/>
  <c r="G454" i="8"/>
  <c r="G470" i="8"/>
  <c r="G486" i="8"/>
  <c r="G502" i="8"/>
  <c r="G518" i="8"/>
  <c r="G534" i="8"/>
  <c r="G391" i="8"/>
  <c r="G407" i="8"/>
  <c r="G423" i="8"/>
  <c r="G439" i="8"/>
  <c r="G455" i="8"/>
  <c r="G471" i="8"/>
  <c r="G487" i="8"/>
  <c r="G503" i="8"/>
  <c r="G519" i="8"/>
  <c r="G535" i="8"/>
  <c r="G392" i="8"/>
  <c r="G408" i="8"/>
  <c r="G424" i="8"/>
  <c r="G440" i="8"/>
  <c r="G456" i="8"/>
  <c r="G472" i="8"/>
  <c r="G488" i="8"/>
  <c r="G504" i="8"/>
  <c r="G520" i="8"/>
  <c r="G536" i="8"/>
  <c r="G393" i="8"/>
  <c r="G409" i="8"/>
  <c r="G425" i="8"/>
  <c r="G441" i="8"/>
  <c r="G457" i="8"/>
  <c r="G473" i="8"/>
  <c r="G489" i="8"/>
  <c r="G505" i="8"/>
  <c r="G521" i="8"/>
  <c r="G537" i="8"/>
  <c r="G394" i="8"/>
  <c r="G410" i="8"/>
  <c r="G426" i="8"/>
  <c r="G442" i="8"/>
  <c r="G458" i="8"/>
  <c r="G474" i="8"/>
  <c r="G490" i="8"/>
  <c r="G506" i="8"/>
  <c r="G522" i="8"/>
  <c r="G538" i="8"/>
  <c r="G395" i="8"/>
  <c r="G411" i="8"/>
  <c r="G427" i="8"/>
  <c r="G443" i="8"/>
  <c r="G459" i="8"/>
  <c r="G475" i="8"/>
  <c r="G491" i="8"/>
  <c r="G507" i="8"/>
  <c r="G523" i="8"/>
  <c r="G539" i="8"/>
  <c r="G396" i="8"/>
  <c r="G412" i="8"/>
  <c r="G428" i="8"/>
  <c r="G444" i="8"/>
  <c r="G460" i="8"/>
  <c r="G476" i="8"/>
  <c r="G492" i="8"/>
  <c r="G508" i="8"/>
  <c r="G524" i="8"/>
  <c r="G540" i="8"/>
  <c r="G397" i="8"/>
  <c r="G413" i="8"/>
  <c r="G429" i="8"/>
  <c r="G445" i="8"/>
  <c r="G461" i="8"/>
  <c r="G477" i="8"/>
  <c r="G493" i="8"/>
  <c r="G509" i="8"/>
  <c r="G525" i="8"/>
  <c r="G541" i="8"/>
  <c r="G398" i="8"/>
  <c r="G414" i="8"/>
  <c r="G430" i="8"/>
  <c r="G446" i="8"/>
  <c r="G462" i="8"/>
  <c r="G478" i="8"/>
  <c r="G494" i="8"/>
  <c r="G510" i="8"/>
  <c r="G526" i="8"/>
  <c r="G542" i="8"/>
  <c r="G399" i="8"/>
  <c r="G415" i="8"/>
  <c r="G431" i="8"/>
  <c r="G447" i="8"/>
  <c r="G463" i="8"/>
  <c r="G479" i="8"/>
  <c r="G495" i="8"/>
  <c r="G511" i="8"/>
  <c r="G527" i="8"/>
  <c r="G543" i="8"/>
  <c r="G2260" i="8"/>
  <c r="G2276" i="8"/>
  <c r="G2292" i="8"/>
  <c r="G2308" i="8"/>
  <c r="G2261" i="8"/>
  <c r="G2277" i="8"/>
  <c r="G2293" i="8"/>
  <c r="G2309" i="8"/>
  <c r="G2246" i="8"/>
  <c r="G2262" i="8"/>
  <c r="G2278" i="8"/>
  <c r="G2294" i="8"/>
  <c r="G2310" i="8"/>
  <c r="G2247" i="8"/>
  <c r="G2263" i="8"/>
  <c r="G2279" i="8"/>
  <c r="G2295" i="8"/>
  <c r="G2311" i="8"/>
  <c r="G2248" i="8"/>
  <c r="G2264" i="8"/>
  <c r="G2280" i="8"/>
  <c r="G2296" i="8"/>
  <c r="G2312" i="8"/>
  <c r="G2249" i="8"/>
  <c r="G2265" i="8"/>
  <c r="G2281" i="8"/>
  <c r="G2297" i="8"/>
  <c r="G2250" i="8"/>
  <c r="G2266" i="8"/>
  <c r="G2282" i="8"/>
  <c r="G2298" i="8"/>
  <c r="G2251" i="8"/>
  <c r="G2267" i="8"/>
  <c r="G2283" i="8"/>
  <c r="G2299" i="8"/>
  <c r="G2252" i="8"/>
  <c r="G2268" i="8"/>
  <c r="G2284" i="8"/>
  <c r="G2300" i="8"/>
  <c r="G2253" i="8"/>
  <c r="G2269" i="8"/>
  <c r="G2285" i="8"/>
  <c r="G2301" i="8"/>
  <c r="G2255" i="8"/>
  <c r="G2271" i="8"/>
  <c r="G2287" i="8"/>
  <c r="G2303" i="8"/>
  <c r="G2256" i="8"/>
  <c r="G2272" i="8"/>
  <c r="G2288" i="8"/>
  <c r="G2304" i="8"/>
  <c r="G2257" i="8"/>
  <c r="G2273" i="8"/>
  <c r="G2289" i="8"/>
  <c r="G2305" i="8"/>
  <c r="G2258" i="8"/>
  <c r="G2274" i="8"/>
  <c r="G2290" i="8"/>
  <c r="G2306" i="8"/>
  <c r="G2259" i="8"/>
  <c r="G2275" i="8"/>
  <c r="G2291" i="8"/>
  <c r="G2307" i="8"/>
  <c r="G2254" i="8"/>
  <c r="G2270" i="8"/>
  <c r="G2286" i="8"/>
  <c r="G2302" i="8"/>
  <c r="G1120" i="8"/>
  <c r="G1136" i="8"/>
  <c r="G1152" i="8"/>
  <c r="G1168" i="8"/>
  <c r="G1122" i="8"/>
  <c r="G1138" i="8"/>
  <c r="G1154" i="8"/>
  <c r="G1170" i="8"/>
  <c r="G1123" i="8"/>
  <c r="G1139" i="8"/>
  <c r="G1155" i="8"/>
  <c r="G1171" i="8"/>
  <c r="G1124" i="8"/>
  <c r="G1140" i="8"/>
  <c r="G1156" i="8"/>
  <c r="G1172" i="8"/>
  <c r="G1125" i="8"/>
  <c r="G1141" i="8"/>
  <c r="G1157" i="8"/>
  <c r="G1173" i="8"/>
  <c r="G1126" i="8"/>
  <c r="G1142" i="8"/>
  <c r="G1158" i="8"/>
  <c r="G1174" i="8"/>
  <c r="G1127" i="8"/>
  <c r="G1143" i="8"/>
  <c r="G1159" i="8"/>
  <c r="G1175" i="8"/>
  <c r="G1128" i="8"/>
  <c r="G1144" i="8"/>
  <c r="G1160" i="8"/>
  <c r="G1176" i="8"/>
  <c r="G1129" i="8"/>
  <c r="G1145" i="8"/>
  <c r="G1161" i="8"/>
  <c r="G1177" i="8"/>
  <c r="G1130" i="8"/>
  <c r="G1146" i="8"/>
  <c r="G1162" i="8"/>
  <c r="G1178" i="8"/>
  <c r="G1115" i="8"/>
  <c r="G1131" i="8"/>
  <c r="G1147" i="8"/>
  <c r="G1163" i="8"/>
  <c r="G1116" i="8"/>
  <c r="G1132" i="8"/>
  <c r="G1148" i="8"/>
  <c r="G1164" i="8"/>
  <c r="G1117" i="8"/>
  <c r="G1133" i="8"/>
  <c r="G1149" i="8"/>
  <c r="G1165" i="8"/>
  <c r="G1118" i="8"/>
  <c r="G1134" i="8"/>
  <c r="G1150" i="8"/>
  <c r="G1166" i="8"/>
  <c r="G1119" i="8"/>
  <c r="G1135" i="8"/>
  <c r="G1151" i="8"/>
  <c r="G1167" i="8"/>
  <c r="G1121" i="8"/>
  <c r="G1137" i="8"/>
  <c r="G1153" i="8"/>
  <c r="G1169" i="8"/>
  <c r="G192" i="8"/>
  <c r="G208" i="8"/>
  <c r="G224" i="8"/>
  <c r="G240" i="8"/>
  <c r="G193" i="8"/>
  <c r="G209" i="8"/>
  <c r="G225" i="8"/>
  <c r="G241" i="8"/>
  <c r="G194" i="8"/>
  <c r="G210" i="8"/>
  <c r="G226" i="8"/>
  <c r="G242" i="8"/>
  <c r="G195" i="8"/>
  <c r="G211" i="8"/>
  <c r="G227" i="8"/>
  <c r="G243" i="8"/>
  <c r="G196" i="8"/>
  <c r="G212" i="8"/>
  <c r="G228" i="8"/>
  <c r="G244" i="8"/>
  <c r="G197" i="8"/>
  <c r="G213" i="8"/>
  <c r="G229" i="8"/>
  <c r="G245" i="8"/>
  <c r="G198" i="8"/>
  <c r="G214" i="8"/>
  <c r="G230" i="8"/>
  <c r="G199" i="8"/>
  <c r="G215" i="8"/>
  <c r="G231" i="8"/>
  <c r="G200" i="8"/>
  <c r="G216" i="8"/>
  <c r="G232" i="8"/>
  <c r="G201" i="8"/>
  <c r="G217" i="8"/>
  <c r="G233" i="8"/>
  <c r="G202" i="8"/>
  <c r="G218" i="8"/>
  <c r="G234" i="8"/>
  <c r="G203" i="8"/>
  <c r="G219" i="8"/>
  <c r="G235" i="8"/>
  <c r="G188" i="8"/>
  <c r="G204" i="8"/>
  <c r="G220" i="8"/>
  <c r="G236" i="8"/>
  <c r="G189" i="8"/>
  <c r="G205" i="8"/>
  <c r="G221" i="8"/>
  <c r="G237" i="8"/>
  <c r="G190" i="8"/>
  <c r="G206" i="8"/>
  <c r="G222" i="8"/>
  <c r="G238" i="8"/>
  <c r="G191" i="8"/>
  <c r="G207" i="8"/>
  <c r="G223" i="8"/>
  <c r="G239" i="8"/>
  <c r="G1766" i="8"/>
  <c r="G1767" i="8"/>
  <c r="G1768" i="8"/>
  <c r="G1769" i="8"/>
  <c r="G1770" i="8"/>
  <c r="G1771" i="8"/>
  <c r="G1772" i="8"/>
  <c r="G1773" i="8"/>
  <c r="G1775" i="8"/>
  <c r="G1774" i="8"/>
  <c r="G1184" i="8"/>
  <c r="G1186" i="8"/>
  <c r="G1187" i="8"/>
  <c r="G1188" i="8"/>
  <c r="G1189" i="8"/>
  <c r="G1190" i="8"/>
  <c r="G1191" i="8"/>
  <c r="G1192" i="8"/>
  <c r="G1193" i="8"/>
  <c r="G1194" i="8"/>
  <c r="G1179" i="8"/>
  <c r="G1180" i="8"/>
  <c r="G1181" i="8"/>
  <c r="G1182" i="8"/>
  <c r="G1183" i="8"/>
  <c r="G1185" i="8"/>
  <c r="G256" i="8"/>
  <c r="G272" i="8"/>
  <c r="G288" i="8"/>
  <c r="G304" i="8"/>
  <c r="G257" i="8"/>
  <c r="G273" i="8"/>
  <c r="G289" i="8"/>
  <c r="G305" i="8"/>
  <c r="G258" i="8"/>
  <c r="G274" i="8"/>
  <c r="G290" i="8"/>
  <c r="G306" i="8"/>
  <c r="G259" i="8"/>
  <c r="G275" i="8"/>
  <c r="G291" i="8"/>
  <c r="G307" i="8"/>
  <c r="G260" i="8"/>
  <c r="G276" i="8"/>
  <c r="G292" i="8"/>
  <c r="G308" i="8"/>
  <c r="G261" i="8"/>
  <c r="G277" i="8"/>
  <c r="G293" i="8"/>
  <c r="G309" i="8"/>
  <c r="G246" i="8"/>
  <c r="G262" i="8"/>
  <c r="G278" i="8"/>
  <c r="G294" i="8"/>
  <c r="G247" i="8"/>
  <c r="G263" i="8"/>
  <c r="G279" i="8"/>
  <c r="G295" i="8"/>
  <c r="G248" i="8"/>
  <c r="G264" i="8"/>
  <c r="G280" i="8"/>
  <c r="G296" i="8"/>
  <c r="G249" i="8"/>
  <c r="G265" i="8"/>
  <c r="G281" i="8"/>
  <c r="G297" i="8"/>
  <c r="G250" i="8"/>
  <c r="G266" i="8"/>
  <c r="G282" i="8"/>
  <c r="G298" i="8"/>
  <c r="G251" i="8"/>
  <c r="G267" i="8"/>
  <c r="G283" i="8"/>
  <c r="G299" i="8"/>
  <c r="G252" i="8"/>
  <c r="G268" i="8"/>
  <c r="G284" i="8"/>
  <c r="G300" i="8"/>
  <c r="G253" i="8"/>
  <c r="G269" i="8"/>
  <c r="G285" i="8"/>
  <c r="G301" i="8"/>
  <c r="G254" i="8"/>
  <c r="G270" i="8"/>
  <c r="G286" i="8"/>
  <c r="G302" i="8"/>
  <c r="G255" i="8"/>
  <c r="G271" i="8"/>
  <c r="G287" i="8"/>
  <c r="G303" i="8"/>
  <c r="G2004" i="8"/>
  <c r="G2020" i="8"/>
  <c r="G2036" i="8"/>
  <c r="G2005" i="8"/>
  <c r="G2021" i="8"/>
  <c r="G2037" i="8"/>
  <c r="G2006" i="8"/>
  <c r="G2022" i="8"/>
  <c r="G2038" i="8"/>
  <c r="G2007" i="8"/>
  <c r="G2023" i="8"/>
  <c r="G2039" i="8"/>
  <c r="G1992" i="8"/>
  <c r="G2008" i="8"/>
  <c r="G2024" i="8"/>
  <c r="G2040" i="8"/>
  <c r="G1993" i="8"/>
  <c r="G2009" i="8"/>
  <c r="G2025" i="8"/>
  <c r="G2041" i="8"/>
  <c r="G1994" i="8"/>
  <c r="G2010" i="8"/>
  <c r="G2026" i="8"/>
  <c r="G2042" i="8"/>
  <c r="G1995" i="8"/>
  <c r="G2011" i="8"/>
  <c r="G2027" i="8"/>
  <c r="G2043" i="8"/>
  <c r="G1996" i="8"/>
  <c r="G2012" i="8"/>
  <c r="G2028" i="8"/>
  <c r="G2044" i="8"/>
  <c r="G1997" i="8"/>
  <c r="G2013" i="8"/>
  <c r="G2029" i="8"/>
  <c r="G1999" i="8"/>
  <c r="G2015" i="8"/>
  <c r="G2031" i="8"/>
  <c r="G2000" i="8"/>
  <c r="G2016" i="8"/>
  <c r="G2032" i="8"/>
  <c r="G2001" i="8"/>
  <c r="G2017" i="8"/>
  <c r="G2033" i="8"/>
  <c r="G2002" i="8"/>
  <c r="G2018" i="8"/>
  <c r="G2034" i="8"/>
  <c r="G2003" i="8"/>
  <c r="G2019" i="8"/>
  <c r="G2035" i="8"/>
  <c r="G1998" i="8"/>
  <c r="G2014" i="8"/>
  <c r="G2030" i="8"/>
  <c r="G800" i="8"/>
  <c r="G816" i="8"/>
  <c r="G832" i="8"/>
  <c r="G848" i="8"/>
  <c r="G864" i="8"/>
  <c r="G880" i="8"/>
  <c r="G801" i="8"/>
  <c r="G817" i="8"/>
  <c r="G833" i="8"/>
  <c r="G849" i="8"/>
  <c r="G865" i="8"/>
  <c r="G881" i="8"/>
  <c r="G802" i="8"/>
  <c r="G818" i="8"/>
  <c r="G834" i="8"/>
  <c r="G850" i="8"/>
  <c r="G866" i="8"/>
  <c r="G882" i="8"/>
  <c r="G803" i="8"/>
  <c r="G819" i="8"/>
  <c r="G835" i="8"/>
  <c r="G851" i="8"/>
  <c r="G867" i="8"/>
  <c r="G883" i="8"/>
  <c r="G804" i="8"/>
  <c r="G820" i="8"/>
  <c r="G836" i="8"/>
  <c r="G852" i="8"/>
  <c r="G868" i="8"/>
  <c r="G884" i="8"/>
  <c r="G805" i="8"/>
  <c r="G821" i="8"/>
  <c r="G837" i="8"/>
  <c r="G853" i="8"/>
  <c r="G869" i="8"/>
  <c r="G885" i="8"/>
  <c r="G806" i="8"/>
  <c r="G822" i="8"/>
  <c r="G838" i="8"/>
  <c r="G854" i="8"/>
  <c r="G870" i="8"/>
  <c r="G886" i="8"/>
  <c r="G791" i="8"/>
  <c r="G807" i="8"/>
  <c r="G823" i="8"/>
  <c r="G839" i="8"/>
  <c r="G855" i="8"/>
  <c r="G871" i="8"/>
  <c r="G887" i="8"/>
  <c r="G792" i="8"/>
  <c r="G808" i="8"/>
  <c r="G824" i="8"/>
  <c r="G840" i="8"/>
  <c r="G856" i="8"/>
  <c r="G872" i="8"/>
  <c r="G888" i="8"/>
  <c r="G793" i="8"/>
  <c r="G809" i="8"/>
  <c r="G825" i="8"/>
  <c r="G841" i="8"/>
  <c r="G857" i="8"/>
  <c r="G873" i="8"/>
  <c r="G889" i="8"/>
  <c r="G794" i="8"/>
  <c r="G810" i="8"/>
  <c r="G826" i="8"/>
  <c r="G842" i="8"/>
  <c r="G858" i="8"/>
  <c r="G874" i="8"/>
  <c r="G795" i="8"/>
  <c r="G811" i="8"/>
  <c r="G827" i="8"/>
  <c r="G843" i="8"/>
  <c r="G859" i="8"/>
  <c r="G875" i="8"/>
  <c r="G796" i="8"/>
  <c r="G812" i="8"/>
  <c r="G828" i="8"/>
  <c r="G844" i="8"/>
  <c r="G860" i="8"/>
  <c r="G876" i="8"/>
  <c r="G797" i="8"/>
  <c r="G813" i="8"/>
  <c r="G829" i="8"/>
  <c r="G845" i="8"/>
  <c r="G861" i="8"/>
  <c r="G877" i="8"/>
  <c r="G798" i="8"/>
  <c r="G814" i="8"/>
  <c r="G830" i="8"/>
  <c r="G846" i="8"/>
  <c r="G862" i="8"/>
  <c r="G878" i="8"/>
  <c r="G799" i="8"/>
  <c r="G815" i="8"/>
  <c r="G831" i="8"/>
  <c r="G847" i="8"/>
  <c r="G863" i="8"/>
  <c r="G879" i="8"/>
  <c r="G1668" i="8"/>
  <c r="G1684" i="8"/>
  <c r="G1700" i="8"/>
  <c r="G1716" i="8"/>
  <c r="G1732" i="8"/>
  <c r="G1748" i="8"/>
  <c r="G1669" i="8"/>
  <c r="G1685" i="8"/>
  <c r="G1701" i="8"/>
  <c r="G1717" i="8"/>
  <c r="G1733" i="8"/>
  <c r="G1670" i="8"/>
  <c r="G1686" i="8"/>
  <c r="G1702" i="8"/>
  <c r="G1718" i="8"/>
  <c r="G1734" i="8"/>
  <c r="G1671" i="8"/>
  <c r="G1687" i="8"/>
  <c r="G1703" i="8"/>
  <c r="G1719" i="8"/>
  <c r="G1735" i="8"/>
  <c r="G1656" i="8"/>
  <c r="G1672" i="8"/>
  <c r="G1688" i="8"/>
  <c r="G1704" i="8"/>
  <c r="G1720" i="8"/>
  <c r="G1736" i="8"/>
  <c r="G1657" i="8"/>
  <c r="G1673" i="8"/>
  <c r="G1689" i="8"/>
  <c r="G1705" i="8"/>
  <c r="G1721" i="8"/>
  <c r="G1737" i="8"/>
  <c r="G1658" i="8"/>
  <c r="G1674" i="8"/>
  <c r="G1690" i="8"/>
  <c r="G1706" i="8"/>
  <c r="G1722" i="8"/>
  <c r="G1738" i="8"/>
  <c r="G1659" i="8"/>
  <c r="G1675" i="8"/>
  <c r="G1691" i="8"/>
  <c r="G1707" i="8"/>
  <c r="G1723" i="8"/>
  <c r="G1739" i="8"/>
  <c r="G1660" i="8"/>
  <c r="G1676" i="8"/>
  <c r="G1692" i="8"/>
  <c r="G1708" i="8"/>
  <c r="G1724" i="8"/>
  <c r="G1740" i="8"/>
  <c r="G1661" i="8"/>
  <c r="G1677" i="8"/>
  <c r="G1693" i="8"/>
  <c r="G1709" i="8"/>
  <c r="G1725" i="8"/>
  <c r="G1741" i="8"/>
  <c r="G1663" i="8"/>
  <c r="G1679" i="8"/>
  <c r="G1695" i="8"/>
  <c r="G1711" i="8"/>
  <c r="G1727" i="8"/>
  <c r="G1743" i="8"/>
  <c r="G1664" i="8"/>
  <c r="G1680" i="8"/>
  <c r="G1696" i="8"/>
  <c r="G1712" i="8"/>
  <c r="G1728" i="8"/>
  <c r="G1744" i="8"/>
  <c r="G1665" i="8"/>
  <c r="G1681" i="8"/>
  <c r="G1697" i="8"/>
  <c r="G1713" i="8"/>
  <c r="G1729" i="8"/>
  <c r="G1745" i="8"/>
  <c r="G1666" i="8"/>
  <c r="G1682" i="8"/>
  <c r="G1698" i="8"/>
  <c r="G1714" i="8"/>
  <c r="G1730" i="8"/>
  <c r="G1746" i="8"/>
  <c r="G1667" i="8"/>
  <c r="G1683" i="8"/>
  <c r="G1699" i="8"/>
  <c r="G1715" i="8"/>
  <c r="G1731" i="8"/>
  <c r="G1747" i="8"/>
  <c r="G1662" i="8"/>
  <c r="G1678" i="8"/>
  <c r="G1694" i="8"/>
  <c r="G1710" i="8"/>
  <c r="G1726" i="8"/>
  <c r="G1742" i="8"/>
  <c r="G80" i="8"/>
  <c r="G96" i="8"/>
  <c r="G81" i="8"/>
  <c r="G97" i="8"/>
  <c r="G82" i="8"/>
  <c r="G83" i="8"/>
  <c r="G84" i="8"/>
  <c r="G69" i="8"/>
  <c r="G85" i="8"/>
  <c r="G70" i="8"/>
  <c r="G86" i="8"/>
  <c r="G71" i="8"/>
  <c r="G87" i="8"/>
  <c r="G72" i="8"/>
  <c r="G88" i="8"/>
  <c r="G73" i="8"/>
  <c r="G89" i="8"/>
  <c r="G74" i="8"/>
  <c r="G90" i="8"/>
  <c r="G75" i="8"/>
  <c r="G91" i="8"/>
  <c r="G76" i="8"/>
  <c r="G92" i="8"/>
  <c r="G77" i="8"/>
  <c r="G93" i="8"/>
  <c r="G78" i="8"/>
  <c r="G94" i="8"/>
  <c r="G79" i="8"/>
  <c r="G95" i="8"/>
  <c r="G1328" i="8"/>
  <c r="G1344" i="8"/>
  <c r="G1330" i="8"/>
  <c r="G1346" i="8"/>
  <c r="G1331" i="8"/>
  <c r="G1317" i="8"/>
  <c r="G1333" i="8"/>
  <c r="G1318" i="8"/>
  <c r="G1334" i="8"/>
  <c r="G1319" i="8"/>
  <c r="G1335" i="8"/>
  <c r="G1351" i="8"/>
  <c r="G1320" i="8"/>
  <c r="G1336" i="8"/>
  <c r="G1322" i="8"/>
  <c r="G1323" i="8"/>
  <c r="G1339" i="8"/>
  <c r="G1324" i="8"/>
  <c r="G1340" i="8"/>
  <c r="G1356" i="8"/>
  <c r="G1325" i="8"/>
  <c r="G1341" i="8"/>
  <c r="G1357" i="8"/>
  <c r="G1326" i="8"/>
  <c r="G1343" i="8"/>
  <c r="G1364" i="8"/>
  <c r="G1380" i="8"/>
  <c r="G1396" i="8"/>
  <c r="G1345" i="8"/>
  <c r="G1365" i="8"/>
  <c r="G1381" i="8"/>
  <c r="G1397" i="8"/>
  <c r="G1347" i="8"/>
  <c r="G1366" i="8"/>
  <c r="G1382" i="8"/>
  <c r="G1398" i="8"/>
  <c r="G1348" i="8"/>
  <c r="G1367" i="8"/>
  <c r="G1383" i="8"/>
  <c r="G1399" i="8"/>
  <c r="G1349" i="8"/>
  <c r="G1368" i="8"/>
  <c r="G1384" i="8"/>
  <c r="G1400" i="8"/>
  <c r="G1350" i="8"/>
  <c r="G1369" i="8"/>
  <c r="G1385" i="8"/>
  <c r="G1401" i="8"/>
  <c r="G1352" i="8"/>
  <c r="G1370" i="8"/>
  <c r="G1386" i="8"/>
  <c r="G1402" i="8"/>
  <c r="G1353" i="8"/>
  <c r="G1371" i="8"/>
  <c r="G1387" i="8"/>
  <c r="G1316" i="8"/>
  <c r="G1354" i="8"/>
  <c r="G1372" i="8"/>
  <c r="G1388" i="8"/>
  <c r="G1321" i="8"/>
  <c r="G1355" i="8"/>
  <c r="G1373" i="8"/>
  <c r="G1389" i="8"/>
  <c r="G1327" i="8"/>
  <c r="G1358" i="8"/>
  <c r="G1329" i="8"/>
  <c r="G1359" i="8"/>
  <c r="G1375" i="8"/>
  <c r="G1391" i="8"/>
  <c r="G1332" i="8"/>
  <c r="G1360" i="8"/>
  <c r="G1376" i="8"/>
  <c r="G1392" i="8"/>
  <c r="G1337" i="8"/>
  <c r="G1361" i="8"/>
  <c r="G1377" i="8"/>
  <c r="G1393" i="8"/>
  <c r="G1338" i="8"/>
  <c r="G1362" i="8"/>
  <c r="G1378" i="8"/>
  <c r="G1394" i="8"/>
  <c r="G1342" i="8"/>
  <c r="G1363" i="8"/>
  <c r="G1379" i="8"/>
  <c r="G1395" i="8"/>
  <c r="G1374" i="8"/>
  <c r="G1390" i="8"/>
  <c r="G608" i="8"/>
  <c r="G624" i="8"/>
  <c r="G640" i="8"/>
  <c r="G656" i="8"/>
  <c r="G672" i="8"/>
  <c r="G688" i="8"/>
  <c r="G609" i="8"/>
  <c r="G625" i="8"/>
  <c r="G641" i="8"/>
  <c r="G657" i="8"/>
  <c r="G673" i="8"/>
  <c r="G689" i="8"/>
  <c r="G610" i="8"/>
  <c r="G626" i="8"/>
  <c r="G642" i="8"/>
  <c r="G658" i="8"/>
  <c r="G674" i="8"/>
  <c r="G690" i="8"/>
  <c r="G611" i="8"/>
  <c r="G627" i="8"/>
  <c r="G643" i="8"/>
  <c r="G659" i="8"/>
  <c r="G675" i="8"/>
  <c r="G691" i="8"/>
  <c r="G612" i="8"/>
  <c r="G628" i="8"/>
  <c r="G644" i="8"/>
  <c r="G660" i="8"/>
  <c r="G676" i="8"/>
  <c r="G692" i="8"/>
  <c r="G597" i="8"/>
  <c r="G613" i="8"/>
  <c r="G629" i="8"/>
  <c r="G645" i="8"/>
  <c r="G661" i="8"/>
  <c r="G677" i="8"/>
  <c r="G693" i="8"/>
  <c r="G598" i="8"/>
  <c r="G614" i="8"/>
  <c r="G630" i="8"/>
  <c r="G646" i="8"/>
  <c r="G662" i="8"/>
  <c r="G678" i="8"/>
  <c r="G694" i="8"/>
  <c r="G599" i="8"/>
  <c r="G615" i="8"/>
  <c r="G631" i="8"/>
  <c r="G647" i="8"/>
  <c r="G663" i="8"/>
  <c r="G679" i="8"/>
  <c r="G695" i="8"/>
  <c r="G600" i="8"/>
  <c r="G616" i="8"/>
  <c r="G632" i="8"/>
  <c r="G648" i="8"/>
  <c r="G664" i="8"/>
  <c r="G680" i="8"/>
  <c r="G696" i="8"/>
  <c r="G601" i="8"/>
  <c r="G617" i="8"/>
  <c r="G633" i="8"/>
  <c r="G649" i="8"/>
  <c r="G665" i="8"/>
  <c r="G681" i="8"/>
  <c r="G697" i="8"/>
  <c r="G602" i="8"/>
  <c r="G618" i="8"/>
  <c r="G634" i="8"/>
  <c r="G650" i="8"/>
  <c r="G666" i="8"/>
  <c r="G682" i="8"/>
  <c r="G698" i="8"/>
  <c r="G603" i="8"/>
  <c r="G619" i="8"/>
  <c r="G635" i="8"/>
  <c r="G651" i="8"/>
  <c r="G667" i="8"/>
  <c r="G683" i="8"/>
  <c r="G604" i="8"/>
  <c r="G620" i="8"/>
  <c r="G636" i="8"/>
  <c r="G652" i="8"/>
  <c r="G668" i="8"/>
  <c r="G684" i="8"/>
  <c r="G605" i="8"/>
  <c r="G621" i="8"/>
  <c r="G637" i="8"/>
  <c r="G653" i="8"/>
  <c r="G669" i="8"/>
  <c r="G685" i="8"/>
  <c r="G606" i="8"/>
  <c r="G622" i="8"/>
  <c r="G638" i="8"/>
  <c r="G654" i="8"/>
  <c r="G670" i="8"/>
  <c r="G686" i="8"/>
  <c r="G607" i="8"/>
  <c r="G623" i="8"/>
  <c r="G639" i="8"/>
  <c r="G655" i="8"/>
  <c r="G671" i="8"/>
  <c r="G687" i="8"/>
  <c r="G2313" i="8"/>
  <c r="G2314" i="8"/>
  <c r="G2315" i="8"/>
  <c r="G2316" i="8"/>
  <c r="G2317" i="8"/>
  <c r="G2372" i="8"/>
  <c r="G2388" i="8"/>
  <c r="G2404" i="8"/>
  <c r="G2420" i="8"/>
  <c r="G2373" i="8"/>
  <c r="G2389" i="8"/>
  <c r="G2405" i="8"/>
  <c r="G2421" i="8"/>
  <c r="G2374" i="8"/>
  <c r="G2390" i="8"/>
  <c r="G2406" i="8"/>
  <c r="G2422" i="8"/>
  <c r="G2375" i="8"/>
  <c r="G2391" i="8"/>
  <c r="G2407" i="8"/>
  <c r="G2423" i="8"/>
  <c r="G2376" i="8"/>
  <c r="G2392" i="8"/>
  <c r="G2408" i="8"/>
  <c r="G2424" i="8"/>
  <c r="G2377" i="8"/>
  <c r="G2393" i="8"/>
  <c r="G2409" i="8"/>
  <c r="G2425" i="8"/>
  <c r="G2378" i="8"/>
  <c r="G2394" i="8"/>
  <c r="G2410" i="8"/>
  <c r="G2426" i="8"/>
  <c r="G2379" i="8"/>
  <c r="G2395" i="8"/>
  <c r="G2411" i="8"/>
  <c r="G2427" i="8"/>
  <c r="G2364" i="8"/>
  <c r="G2380" i="8"/>
  <c r="G2396" i="8"/>
  <c r="G2412" i="8"/>
  <c r="G2428" i="8"/>
  <c r="G2365" i="8"/>
  <c r="G2381" i="8"/>
  <c r="G2397" i="8"/>
  <c r="G2413" i="8"/>
  <c r="G2429" i="8"/>
  <c r="G2367" i="8"/>
  <c r="G2383" i="8"/>
  <c r="G2399" i="8"/>
  <c r="G2415" i="8"/>
  <c r="G2368" i="8"/>
  <c r="G2384" i="8"/>
  <c r="G2400" i="8"/>
  <c r="G2416" i="8"/>
  <c r="G2369" i="8"/>
  <c r="G2385" i="8"/>
  <c r="G2401" i="8"/>
  <c r="G2417" i="8"/>
  <c r="G2370" i="8"/>
  <c r="G2371" i="8"/>
  <c r="G2387" i="8"/>
  <c r="G2403" i="8"/>
  <c r="G2419" i="8"/>
  <c r="G2366" i="8"/>
  <c r="G2382" i="8"/>
  <c r="G2386" i="8"/>
  <c r="G2398" i="8"/>
  <c r="G2402" i="8"/>
  <c r="G2414" i="8"/>
  <c r="G2418" i="8"/>
  <c r="G1812" i="8"/>
  <c r="G1828" i="8"/>
  <c r="G1797" i="8"/>
  <c r="G1813" i="8"/>
  <c r="G1829" i="8"/>
  <c r="G1798" i="8"/>
  <c r="G1814" i="8"/>
  <c r="G1799" i="8"/>
  <c r="G1815" i="8"/>
  <c r="G1800" i="8"/>
  <c r="G1816" i="8"/>
  <c r="G1801" i="8"/>
  <c r="G1817" i="8"/>
  <c r="G1802" i="8"/>
  <c r="G1818" i="8"/>
  <c r="G1803" i="8"/>
  <c r="G1819" i="8"/>
  <c r="G1804" i="8"/>
  <c r="G1820" i="8"/>
  <c r="G1805" i="8"/>
  <c r="G1821" i="8"/>
  <c r="G1807" i="8"/>
  <c r="G1823" i="8"/>
  <c r="G1808" i="8"/>
  <c r="G1824" i="8"/>
  <c r="G1809" i="8"/>
  <c r="G1825" i="8"/>
  <c r="G1810" i="8"/>
  <c r="G1826" i="8"/>
  <c r="G1811" i="8"/>
  <c r="G1827" i="8"/>
  <c r="G1822" i="8"/>
  <c r="G1806" i="8"/>
  <c r="G1780" i="8"/>
  <c r="G1796" i="8"/>
  <c r="G1781" i="8"/>
  <c r="G1782" i="8"/>
  <c r="G1783" i="8"/>
  <c r="G1784" i="8"/>
  <c r="G1785" i="8"/>
  <c r="G1786" i="8"/>
  <c r="G1787" i="8"/>
  <c r="G1788" i="8"/>
  <c r="G1789" i="8"/>
  <c r="G1791" i="8"/>
  <c r="G1776" i="8"/>
  <c r="G1792" i="8"/>
  <c r="G1777" i="8"/>
  <c r="G1793" i="8"/>
  <c r="G1778" i="8"/>
  <c r="G1794" i="8"/>
  <c r="G1779" i="8"/>
  <c r="G1795" i="8"/>
  <c r="G1790" i="8"/>
  <c r="G2808" i="8"/>
  <c r="G2809" i="8"/>
  <c r="G2810" i="8"/>
  <c r="G2811" i="8"/>
  <c r="G2812" i="8"/>
  <c r="G2813" i="8"/>
  <c r="G2814" i="8"/>
  <c r="G2815" i="8"/>
  <c r="G2816" i="8"/>
  <c r="G2817" i="8"/>
  <c r="G2818" i="8"/>
  <c r="G2819" i="8"/>
  <c r="G2820" i="8"/>
  <c r="G2821" i="8"/>
  <c r="G2436" i="8"/>
  <c r="G2452" i="8"/>
  <c r="G2468" i="8"/>
  <c r="G2484" i="8"/>
  <c r="G2500" i="8"/>
  <c r="G2516" i="8"/>
  <c r="G2437" i="8"/>
  <c r="G2453" i="8"/>
  <c r="G2469" i="8"/>
  <c r="G2485" i="8"/>
  <c r="G2501" i="8"/>
  <c r="G2517" i="8"/>
  <c r="G2438" i="8"/>
  <c r="G2454" i="8"/>
  <c r="G2470" i="8"/>
  <c r="G2486" i="8"/>
  <c r="G2502" i="8"/>
  <c r="G2518" i="8"/>
  <c r="G2439" i="8"/>
  <c r="G2455" i="8"/>
  <c r="G2471" i="8"/>
  <c r="G2487" i="8"/>
  <c r="G2503" i="8"/>
  <c r="G2519" i="8"/>
  <c r="G2440" i="8"/>
  <c r="G2456" i="8"/>
  <c r="G2472" i="8"/>
  <c r="G2488" i="8"/>
  <c r="G2504" i="8"/>
  <c r="G2520" i="8"/>
  <c r="G2441" i="8"/>
  <c r="G2457" i="8"/>
  <c r="G2473" i="8"/>
  <c r="G2489" i="8"/>
  <c r="G2505" i="8"/>
  <c r="G2521" i="8"/>
  <c r="G2442" i="8"/>
  <c r="G2458" i="8"/>
  <c r="G2474" i="8"/>
  <c r="G2490" i="8"/>
  <c r="G2506" i="8"/>
  <c r="G2522" i="8"/>
  <c r="G2443" i="8"/>
  <c r="G2459" i="8"/>
  <c r="G2475" i="8"/>
  <c r="G2491" i="8"/>
  <c r="G2507" i="8"/>
  <c r="G2523" i="8"/>
  <c r="G2444" i="8"/>
  <c r="G2460" i="8"/>
  <c r="G2476" i="8"/>
  <c r="G2492" i="8"/>
  <c r="G2508" i="8"/>
  <c r="G2524" i="8"/>
  <c r="G2445" i="8"/>
  <c r="G2461" i="8"/>
  <c r="G2477" i="8"/>
  <c r="G2493" i="8"/>
  <c r="G2509" i="8"/>
  <c r="G2431" i="8"/>
  <c r="G2447" i="8"/>
  <c r="G2463" i="8"/>
  <c r="G2479" i="8"/>
  <c r="G2495" i="8"/>
  <c r="G2511" i="8"/>
  <c r="G2432" i="8"/>
  <c r="G2448" i="8"/>
  <c r="G2464" i="8"/>
  <c r="G2480" i="8"/>
  <c r="G2496" i="8"/>
  <c r="G2512" i="8"/>
  <c r="G2433" i="8"/>
  <c r="G2449" i="8"/>
  <c r="G2465" i="8"/>
  <c r="G2481" i="8"/>
  <c r="G2497" i="8"/>
  <c r="G2513" i="8"/>
  <c r="G2435" i="8"/>
  <c r="G2451" i="8"/>
  <c r="G2467" i="8"/>
  <c r="G2483" i="8"/>
  <c r="G2499" i="8"/>
  <c r="G2515" i="8"/>
  <c r="G2494" i="8"/>
  <c r="G2498" i="8"/>
  <c r="G2510" i="8"/>
  <c r="G2514" i="8"/>
  <c r="G2430" i="8"/>
  <c r="G2434" i="8"/>
  <c r="G2446" i="8"/>
  <c r="G2450" i="8"/>
  <c r="G2462" i="8"/>
  <c r="G2482" i="8"/>
  <c r="G2466" i="8"/>
  <c r="G2478" i="8"/>
  <c r="G1412" i="8"/>
  <c r="G1428" i="8"/>
  <c r="G1444" i="8"/>
  <c r="G1460" i="8"/>
  <c r="G1476" i="8"/>
  <c r="G1413" i="8"/>
  <c r="G1429" i="8"/>
  <c r="G1445" i="8"/>
  <c r="G1461" i="8"/>
  <c r="G1477" i="8"/>
  <c r="G1414" i="8"/>
  <c r="G1430" i="8"/>
  <c r="G1446" i="8"/>
  <c r="G1462" i="8"/>
  <c r="G1478" i="8"/>
  <c r="G1415" i="8"/>
  <c r="G1431" i="8"/>
  <c r="G1447" i="8"/>
  <c r="G1463" i="8"/>
  <c r="G1479" i="8"/>
  <c r="G1416" i="8"/>
  <c r="G1432" i="8"/>
  <c r="G1448" i="8"/>
  <c r="G1464" i="8"/>
  <c r="G1480" i="8"/>
  <c r="G1417" i="8"/>
  <c r="G1433" i="8"/>
  <c r="G1449" i="8"/>
  <c r="G1465" i="8"/>
  <c r="G1481" i="8"/>
  <c r="G1418" i="8"/>
  <c r="G1434" i="8"/>
  <c r="G1450" i="8"/>
  <c r="G1466" i="8"/>
  <c r="G1482" i="8"/>
  <c r="G1403" i="8"/>
  <c r="G1419" i="8"/>
  <c r="G1435" i="8"/>
  <c r="G1451" i="8"/>
  <c r="G1467" i="8"/>
  <c r="G1483" i="8"/>
  <c r="G1404" i="8"/>
  <c r="G1420" i="8"/>
  <c r="G1436" i="8"/>
  <c r="G1452" i="8"/>
  <c r="G1468" i="8"/>
  <c r="G1484" i="8"/>
  <c r="G1405" i="8"/>
  <c r="G1421" i="8"/>
  <c r="G1437" i="8"/>
  <c r="G1453" i="8"/>
  <c r="G1469" i="8"/>
  <c r="G1407" i="8"/>
  <c r="G1423" i="8"/>
  <c r="G1439" i="8"/>
  <c r="G1455" i="8"/>
  <c r="G1471" i="8"/>
  <c r="G1408" i="8"/>
  <c r="G1424" i="8"/>
  <c r="G1440" i="8"/>
  <c r="G1456" i="8"/>
  <c r="G1472" i="8"/>
  <c r="G1409" i="8"/>
  <c r="G1425" i="8"/>
  <c r="G1441" i="8"/>
  <c r="G1457" i="8"/>
  <c r="G1473" i="8"/>
  <c r="G1410" i="8"/>
  <c r="G1426" i="8"/>
  <c r="G1442" i="8"/>
  <c r="G1458" i="8"/>
  <c r="G1474" i="8"/>
  <c r="G1411" i="8"/>
  <c r="G1427" i="8"/>
  <c r="G1443" i="8"/>
  <c r="G1459" i="8"/>
  <c r="G1475" i="8"/>
  <c r="G1406" i="8"/>
  <c r="G1422" i="8"/>
  <c r="G1438" i="8"/>
  <c r="G1454" i="8"/>
  <c r="G1470" i="8"/>
  <c r="G560" i="8"/>
  <c r="G576" i="8"/>
  <c r="G592" i="8"/>
  <c r="G561" i="8"/>
  <c r="G577" i="8"/>
  <c r="G593" i="8"/>
  <c r="G562" i="8"/>
  <c r="G578" i="8"/>
  <c r="G594" i="8"/>
  <c r="G563" i="8"/>
  <c r="G579" i="8"/>
  <c r="G595" i="8"/>
  <c r="G564" i="8"/>
  <c r="G580" i="8"/>
  <c r="G596" i="8"/>
  <c r="G565" i="8"/>
  <c r="G581" i="8"/>
  <c r="G566" i="8"/>
  <c r="G582" i="8"/>
  <c r="G567" i="8"/>
  <c r="G583" i="8"/>
  <c r="G568" i="8"/>
  <c r="G584" i="8"/>
  <c r="G553" i="8"/>
  <c r="G569" i="8"/>
  <c r="G585" i="8"/>
  <c r="G554" i="8"/>
  <c r="G570" i="8"/>
  <c r="G586" i="8"/>
  <c r="G555" i="8"/>
  <c r="G571" i="8"/>
  <c r="G587" i="8"/>
  <c r="G556" i="8"/>
  <c r="G572" i="8"/>
  <c r="G588" i="8"/>
  <c r="G557" i="8"/>
  <c r="G573" i="8"/>
  <c r="G589" i="8"/>
  <c r="G558" i="8"/>
  <c r="G574" i="8"/>
  <c r="G590" i="8"/>
  <c r="G559" i="8"/>
  <c r="G575" i="8"/>
  <c r="G591" i="8"/>
  <c r="G1892" i="8"/>
  <c r="G1908" i="8"/>
  <c r="G1924" i="8"/>
  <c r="G1940" i="8"/>
  <c r="G1956" i="8"/>
  <c r="G1972" i="8"/>
  <c r="G1988" i="8"/>
  <c r="G1893" i="8"/>
  <c r="G1909" i="8"/>
  <c r="G1925" i="8"/>
  <c r="G1941" i="8"/>
  <c r="G1957" i="8"/>
  <c r="G1973" i="8"/>
  <c r="G1989" i="8"/>
  <c r="G1894" i="8"/>
  <c r="G1910" i="8"/>
  <c r="G1926" i="8"/>
  <c r="G1942" i="8"/>
  <c r="G1958" i="8"/>
  <c r="G1974" i="8"/>
  <c r="G1990" i="8"/>
  <c r="G1895" i="8"/>
  <c r="G1911" i="8"/>
  <c r="G1927" i="8"/>
  <c r="G1943" i="8"/>
  <c r="G1959" i="8"/>
  <c r="G1975" i="8"/>
  <c r="G1991" i="8"/>
  <c r="G1896" i="8"/>
  <c r="G1912" i="8"/>
  <c r="G1928" i="8"/>
  <c r="G1944" i="8"/>
  <c r="G1960" i="8"/>
  <c r="G1976" i="8"/>
  <c r="G1897" i="8"/>
  <c r="G1913" i="8"/>
  <c r="G1929" i="8"/>
  <c r="G1945" i="8"/>
  <c r="G1961" i="8"/>
  <c r="G1977" i="8"/>
  <c r="G1898" i="8"/>
  <c r="G1914" i="8"/>
  <c r="G1930" i="8"/>
  <c r="G1946" i="8"/>
  <c r="G1962" i="8"/>
  <c r="G1978" i="8"/>
  <c r="G1899" i="8"/>
  <c r="G1915" i="8"/>
  <c r="G1931" i="8"/>
  <c r="G1947" i="8"/>
  <c r="G1963" i="8"/>
  <c r="G1979" i="8"/>
  <c r="G1900" i="8"/>
  <c r="G1916" i="8"/>
  <c r="G1932" i="8"/>
  <c r="G1948" i="8"/>
  <c r="G1964" i="8"/>
  <c r="G1980" i="8"/>
  <c r="G1901" i="8"/>
  <c r="G1917" i="8"/>
  <c r="G1933" i="8"/>
  <c r="G1949" i="8"/>
  <c r="G1965" i="8"/>
  <c r="G1981" i="8"/>
  <c r="G1903" i="8"/>
  <c r="G1919" i="8"/>
  <c r="G1935" i="8"/>
  <c r="G1951" i="8"/>
  <c r="G1967" i="8"/>
  <c r="G1983" i="8"/>
  <c r="G1904" i="8"/>
  <c r="G1920" i="8"/>
  <c r="G1936" i="8"/>
  <c r="G1952" i="8"/>
  <c r="G1968" i="8"/>
  <c r="G1984" i="8"/>
  <c r="G1905" i="8"/>
  <c r="G1921" i="8"/>
  <c r="G1937" i="8"/>
  <c r="G1953" i="8"/>
  <c r="G1969" i="8"/>
  <c r="G1985" i="8"/>
  <c r="G1906" i="8"/>
  <c r="G1922" i="8"/>
  <c r="G1938" i="8"/>
  <c r="G1954" i="8"/>
  <c r="G1970" i="8"/>
  <c r="G1986" i="8"/>
  <c r="G1907" i="8"/>
  <c r="G1923" i="8"/>
  <c r="G1939" i="8"/>
  <c r="G1955" i="8"/>
  <c r="G1971" i="8"/>
  <c r="G1987" i="8"/>
  <c r="G1902" i="8"/>
  <c r="G1918" i="8"/>
  <c r="G1934" i="8"/>
  <c r="G1950" i="8"/>
  <c r="G1966" i="8"/>
  <c r="G1982" i="8"/>
  <c r="G1844" i="8"/>
  <c r="G1860" i="8"/>
  <c r="G1876" i="8"/>
  <c r="G1845" i="8"/>
  <c r="G1861" i="8"/>
  <c r="G1877" i="8"/>
  <c r="G1830" i="8"/>
  <c r="G1846" i="8"/>
  <c r="G1862" i="8"/>
  <c r="G1878" i="8"/>
  <c r="G1831" i="8"/>
  <c r="G1847" i="8"/>
  <c r="G1863" i="8"/>
  <c r="G1879" i="8"/>
  <c r="G1832" i="8"/>
  <c r="G1848" i="8"/>
  <c r="G1864" i="8"/>
  <c r="G1880" i="8"/>
  <c r="G1833" i="8"/>
  <c r="G1849" i="8"/>
  <c r="G1865" i="8"/>
  <c r="G1881" i="8"/>
  <c r="G1834" i="8"/>
  <c r="G1850" i="8"/>
  <c r="G1866" i="8"/>
  <c r="G1882" i="8"/>
  <c r="G1835" i="8"/>
  <c r="G1851" i="8"/>
  <c r="G1867" i="8"/>
  <c r="G1883" i="8"/>
  <c r="G1836" i="8"/>
  <c r="G1852" i="8"/>
  <c r="G1868" i="8"/>
  <c r="G1884" i="8"/>
  <c r="G1837" i="8"/>
  <c r="G1853" i="8"/>
  <c r="G1869" i="8"/>
  <c r="G1885" i="8"/>
  <c r="G1839" i="8"/>
  <c r="G1855" i="8"/>
  <c r="G1871" i="8"/>
  <c r="G1887" i="8"/>
  <c r="G1840" i="8"/>
  <c r="G1856" i="8"/>
  <c r="G1872" i="8"/>
  <c r="G1888" i="8"/>
  <c r="G1841" i="8"/>
  <c r="G1857" i="8"/>
  <c r="G1873" i="8"/>
  <c r="G1889" i="8"/>
  <c r="G1842" i="8"/>
  <c r="G1858" i="8"/>
  <c r="G1874" i="8"/>
  <c r="G1890" i="8"/>
  <c r="G1843" i="8"/>
  <c r="G1859" i="8"/>
  <c r="G1875" i="8"/>
  <c r="G1891" i="8"/>
  <c r="G1838" i="8"/>
  <c r="G1854" i="8"/>
  <c r="G1870" i="8"/>
  <c r="G1886" i="8"/>
  <c r="G704" i="8"/>
  <c r="G720" i="8"/>
  <c r="G736" i="8"/>
  <c r="G752" i="8"/>
  <c r="G768" i="8"/>
  <c r="G784" i="8"/>
  <c r="G705" i="8"/>
  <c r="G721" i="8"/>
  <c r="G737" i="8"/>
  <c r="G753" i="8"/>
  <c r="G769" i="8"/>
  <c r="G785" i="8"/>
  <c r="G706" i="8"/>
  <c r="G722" i="8"/>
  <c r="G738" i="8"/>
  <c r="G754" i="8"/>
  <c r="G770" i="8"/>
  <c r="G786" i="8"/>
  <c r="G707" i="8"/>
  <c r="G723" i="8"/>
  <c r="G739" i="8"/>
  <c r="G755" i="8"/>
  <c r="G771" i="8"/>
  <c r="G787" i="8"/>
  <c r="G708" i="8"/>
  <c r="G724" i="8"/>
  <c r="G740" i="8"/>
  <c r="G756" i="8"/>
  <c r="G772" i="8"/>
  <c r="G788" i="8"/>
  <c r="G709" i="8"/>
  <c r="G725" i="8"/>
  <c r="G741" i="8"/>
  <c r="G757" i="8"/>
  <c r="G773" i="8"/>
  <c r="G789" i="8"/>
  <c r="G710" i="8"/>
  <c r="G726" i="8"/>
  <c r="G742" i="8"/>
  <c r="G758" i="8"/>
  <c r="G774" i="8"/>
  <c r="G790" i="8"/>
  <c r="G711" i="8"/>
  <c r="G727" i="8"/>
  <c r="G743" i="8"/>
  <c r="G759" i="8"/>
  <c r="G775" i="8"/>
  <c r="G712" i="8"/>
  <c r="G728" i="8"/>
  <c r="G744" i="8"/>
  <c r="G760" i="8"/>
  <c r="G776" i="8"/>
  <c r="G713" i="8"/>
  <c r="G729" i="8"/>
  <c r="G745" i="8"/>
  <c r="G761" i="8"/>
  <c r="G777" i="8"/>
  <c r="G714" i="8"/>
  <c r="G730" i="8"/>
  <c r="G746" i="8"/>
  <c r="G762" i="8"/>
  <c r="G778" i="8"/>
  <c r="G699" i="8"/>
  <c r="G715" i="8"/>
  <c r="G731" i="8"/>
  <c r="G747" i="8"/>
  <c r="G763" i="8"/>
  <c r="G779" i="8"/>
  <c r="G700" i="8"/>
  <c r="G716" i="8"/>
  <c r="G732" i="8"/>
  <c r="G748" i="8"/>
  <c r="G764" i="8"/>
  <c r="G780" i="8"/>
  <c r="G701" i="8"/>
  <c r="G717" i="8"/>
  <c r="G733" i="8"/>
  <c r="G749" i="8"/>
  <c r="G765" i="8"/>
  <c r="G781" i="8"/>
  <c r="G702" i="8"/>
  <c r="G718" i="8"/>
  <c r="G734" i="8"/>
  <c r="G750" i="8"/>
  <c r="G766" i="8"/>
  <c r="G782" i="8"/>
  <c r="G703" i="8"/>
  <c r="G719" i="8"/>
  <c r="G735" i="8"/>
  <c r="G751" i="8"/>
  <c r="G767" i="8"/>
  <c r="G783" i="8"/>
  <c r="G1604" i="8"/>
  <c r="G1620" i="8"/>
  <c r="G1636" i="8"/>
  <c r="G1652" i="8"/>
  <c r="G1605" i="8"/>
  <c r="G1621" i="8"/>
  <c r="G1637" i="8"/>
  <c r="G1653" i="8"/>
  <c r="G1606" i="8"/>
  <c r="G1622" i="8"/>
  <c r="G1638" i="8"/>
  <c r="G1654" i="8"/>
  <c r="G1607" i="8"/>
  <c r="G1623" i="8"/>
  <c r="G1639" i="8"/>
  <c r="G1655" i="8"/>
  <c r="G1608" i="8"/>
  <c r="G1624" i="8"/>
  <c r="G1640" i="8"/>
  <c r="G1609" i="8"/>
  <c r="G1625" i="8"/>
  <c r="G1641" i="8"/>
  <c r="G1610" i="8"/>
  <c r="G1626" i="8"/>
  <c r="G1642" i="8"/>
  <c r="G1611" i="8"/>
  <c r="G1627" i="8"/>
  <c r="G1643" i="8"/>
  <c r="G1612" i="8"/>
  <c r="G1628" i="8"/>
  <c r="G1644" i="8"/>
  <c r="G1613" i="8"/>
  <c r="G1629" i="8"/>
  <c r="G1645" i="8"/>
  <c r="G1615" i="8"/>
  <c r="G1631" i="8"/>
  <c r="G1647" i="8"/>
  <c r="G1600" i="8"/>
  <c r="G1616" i="8"/>
  <c r="G1632" i="8"/>
  <c r="G1648" i="8"/>
  <c r="G1601" i="8"/>
  <c r="G1617" i="8"/>
  <c r="G1633" i="8"/>
  <c r="G1649" i="8"/>
  <c r="G1602" i="8"/>
  <c r="G1618" i="8"/>
  <c r="G1634" i="8"/>
  <c r="G1650" i="8"/>
  <c r="G1603" i="8"/>
  <c r="G1619" i="8"/>
  <c r="G1635" i="8"/>
  <c r="G1651" i="8"/>
  <c r="G1614" i="8"/>
  <c r="G1630" i="8"/>
  <c r="G1646" i="8"/>
  <c r="G2324" i="8"/>
  <c r="G2340" i="8"/>
  <c r="G2356" i="8"/>
  <c r="G2325" i="8"/>
  <c r="G2341" i="8"/>
  <c r="G2357" i="8"/>
  <c r="G2326" i="8"/>
  <c r="G2342" i="8"/>
  <c r="G2358" i="8"/>
  <c r="G2327" i="8"/>
  <c r="G2343" i="8"/>
  <c r="G2359" i="8"/>
  <c r="G2328" i="8"/>
  <c r="G2344" i="8"/>
  <c r="G2360" i="8"/>
  <c r="G2329" i="8"/>
  <c r="G2345" i="8"/>
  <c r="G2361" i="8"/>
  <c r="G2330" i="8"/>
  <c r="G2346" i="8"/>
  <c r="G2362" i="8"/>
  <c r="G2331" i="8"/>
  <c r="G2347" i="8"/>
  <c r="G2363" i="8"/>
  <c r="G2332" i="8"/>
  <c r="G2348" i="8"/>
  <c r="G2333" i="8"/>
  <c r="G2349" i="8"/>
  <c r="G2319" i="8"/>
  <c r="G2335" i="8"/>
  <c r="G2351" i="8"/>
  <c r="G2320" i="8"/>
  <c r="G2336" i="8"/>
  <c r="G2352" i="8"/>
  <c r="G2321" i="8"/>
  <c r="G2337" i="8"/>
  <c r="G2353" i="8"/>
  <c r="G2322" i="8"/>
  <c r="G2338" i="8"/>
  <c r="G2354" i="8"/>
  <c r="G2323" i="8"/>
  <c r="G2339" i="8"/>
  <c r="G2355" i="8"/>
  <c r="G2350" i="8"/>
  <c r="G2334" i="8"/>
  <c r="G2318" i="8"/>
  <c r="G112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320" i="8"/>
  <c r="G318" i="8"/>
  <c r="G319" i="8"/>
  <c r="G3064" i="8"/>
  <c r="G3080" i="8"/>
  <c r="G3096" i="8"/>
  <c r="G3112" i="8"/>
  <c r="G3065" i="8"/>
  <c r="G3081" i="8"/>
  <c r="G3097" i="8"/>
  <c r="G3113" i="8"/>
  <c r="G3115" i="8"/>
  <c r="G3088" i="8"/>
  <c r="G3050" i="8"/>
  <c r="G3066" i="8"/>
  <c r="G3082" i="8"/>
  <c r="G3098" i="8"/>
  <c r="G3114" i="8"/>
  <c r="G3051" i="8"/>
  <c r="G3067" i="8"/>
  <c r="G3083" i="8"/>
  <c r="G3099" i="8"/>
  <c r="G3056" i="8"/>
  <c r="G3110" i="8"/>
  <c r="G3052" i="8"/>
  <c r="G3068" i="8"/>
  <c r="G3084" i="8"/>
  <c r="G3100" i="8"/>
  <c r="G3116" i="8"/>
  <c r="G3053" i="8"/>
  <c r="G3069" i="8"/>
  <c r="G3085" i="8"/>
  <c r="G3101" i="8"/>
  <c r="G3117" i="8"/>
  <c r="G3095" i="8"/>
  <c r="G3054" i="8"/>
  <c r="G3070" i="8"/>
  <c r="G3086" i="8"/>
  <c r="G3102" i="8"/>
  <c r="G3118" i="8"/>
  <c r="G3104" i="8"/>
  <c r="G3063" i="8"/>
  <c r="G3055" i="8"/>
  <c r="G3071" i="8"/>
  <c r="G3087" i="8"/>
  <c r="G3103" i="8"/>
  <c r="G3119" i="8"/>
  <c r="G3120" i="8"/>
  <c r="G3079" i="8"/>
  <c r="G3072" i="8"/>
  <c r="G3057" i="8"/>
  <c r="G3073" i="8"/>
  <c r="G3089" i="8"/>
  <c r="G3105" i="8"/>
  <c r="G3121" i="8"/>
  <c r="G3058" i="8"/>
  <c r="G3074" i="8"/>
  <c r="G3090" i="8"/>
  <c r="G3106" i="8"/>
  <c r="G3059" i="8"/>
  <c r="G3075" i="8"/>
  <c r="G3091" i="8"/>
  <c r="G3107" i="8"/>
  <c r="G3078" i="8"/>
  <c r="G3060" i="8"/>
  <c r="G3076" i="8"/>
  <c r="G3092" i="8"/>
  <c r="G3108" i="8"/>
  <c r="G3061" i="8"/>
  <c r="G3077" i="8"/>
  <c r="G3093" i="8"/>
  <c r="G3109" i="8"/>
  <c r="G3062" i="8"/>
  <c r="G3094" i="8"/>
  <c r="G3111" i="8"/>
  <c r="G128" i="8"/>
  <c r="G144" i="8"/>
  <c r="G160" i="8"/>
  <c r="G176" i="8"/>
  <c r="G113" i="8"/>
  <c r="G129" i="8"/>
  <c r="G145" i="8"/>
  <c r="G161" i="8"/>
  <c r="G177" i="8"/>
  <c r="G114" i="8"/>
  <c r="G130" i="8"/>
  <c r="G146" i="8"/>
  <c r="G162" i="8"/>
  <c r="G178" i="8"/>
  <c r="G115" i="8"/>
  <c r="G131" i="8"/>
  <c r="G147" i="8"/>
  <c r="G163" i="8"/>
  <c r="G179" i="8"/>
  <c r="G116" i="8"/>
  <c r="G132" i="8"/>
  <c r="G148" i="8"/>
  <c r="G164" i="8"/>
  <c r="G180" i="8"/>
  <c r="G117" i="8"/>
  <c r="G133" i="8"/>
  <c r="G149" i="8"/>
  <c r="G165" i="8"/>
  <c r="G181" i="8"/>
  <c r="G118" i="8"/>
  <c r="G134" i="8"/>
  <c r="G150" i="8"/>
  <c r="G166" i="8"/>
  <c r="G182" i="8"/>
  <c r="G119" i="8"/>
  <c r="G135" i="8"/>
  <c r="G151" i="8"/>
  <c r="G167" i="8"/>
  <c r="G183" i="8"/>
  <c r="G120" i="8"/>
  <c r="G136" i="8"/>
  <c r="G152" i="8"/>
  <c r="G168" i="8"/>
  <c r="G184" i="8"/>
  <c r="G121" i="8"/>
  <c r="G137" i="8"/>
  <c r="G153" i="8"/>
  <c r="G169" i="8"/>
  <c r="G185" i="8"/>
  <c r="G122" i="8"/>
  <c r="G138" i="8"/>
  <c r="G154" i="8"/>
  <c r="G170" i="8"/>
  <c r="G186" i="8"/>
  <c r="G123" i="8"/>
  <c r="G139" i="8"/>
  <c r="G155" i="8"/>
  <c r="G171" i="8"/>
  <c r="G187" i="8"/>
  <c r="G124" i="8"/>
  <c r="G140" i="8"/>
  <c r="G156" i="8"/>
  <c r="G172" i="8"/>
  <c r="G125" i="8"/>
  <c r="G141" i="8"/>
  <c r="G157" i="8"/>
  <c r="G173" i="8"/>
  <c r="G126" i="8"/>
  <c r="G142" i="8"/>
  <c r="G158" i="8"/>
  <c r="G174" i="8"/>
  <c r="G127" i="8"/>
  <c r="G143" i="8"/>
  <c r="G159" i="8"/>
  <c r="G175" i="8"/>
  <c r="E227" i="8"/>
  <c r="E191" i="8"/>
  <c r="E222" i="8"/>
  <c r="E202" i="8"/>
  <c r="E211" i="8"/>
  <c r="E242" i="8"/>
  <c r="E206" i="8"/>
  <c r="E195" i="8"/>
  <c r="E226" i="8"/>
  <c r="E190" i="8"/>
  <c r="E230" i="8"/>
  <c r="E210" i="8"/>
  <c r="E241" i="8"/>
  <c r="E214" i="8"/>
  <c r="E194" i="8"/>
  <c r="E225" i="8"/>
  <c r="E198" i="8"/>
  <c r="E245" i="8"/>
  <c r="E209" i="8"/>
  <c r="E233" i="8"/>
  <c r="E229" i="8"/>
  <c r="E193" i="8"/>
  <c r="E237" i="8"/>
  <c r="E217" i="8"/>
  <c r="E213" i="8"/>
  <c r="E244" i="8"/>
  <c r="E221" i="8"/>
  <c r="E201" i="8"/>
  <c r="E197" i="8"/>
  <c r="E228" i="8"/>
  <c r="E205" i="8"/>
  <c r="E236" i="8"/>
  <c r="E232" i="8"/>
  <c r="E212" i="8"/>
  <c r="E189" i="8"/>
  <c r="E220" i="8"/>
  <c r="E216" i="8"/>
  <c r="E196" i="8"/>
  <c r="E240" i="8"/>
  <c r="E204" i="8"/>
  <c r="E200" i="8"/>
  <c r="E231" i="8"/>
  <c r="E208" i="8"/>
  <c r="E239" i="8"/>
  <c r="E219" i="8"/>
  <c r="E199" i="8"/>
  <c r="E192" i="8"/>
  <c r="E223" i="8"/>
  <c r="E203" i="8"/>
  <c r="E234" i="8"/>
  <c r="E243" i="8"/>
  <c r="E207" i="8"/>
  <c r="E238" i="8"/>
  <c r="H25" i="6"/>
  <c r="C25" i="7" s="1"/>
  <c r="J25" i="7" s="1"/>
  <c r="F1124" i="8"/>
  <c r="F1140" i="8"/>
  <c r="F1156" i="8"/>
  <c r="F1172" i="8"/>
  <c r="F1121" i="8"/>
  <c r="F1137" i="8"/>
  <c r="F1153" i="8"/>
  <c r="F1169" i="8"/>
  <c r="F1118" i="8"/>
  <c r="F1134" i="8"/>
  <c r="F1150" i="8"/>
  <c r="F1166" i="8"/>
  <c r="F1115" i="8"/>
  <c r="F1131" i="8"/>
  <c r="F1147" i="8"/>
  <c r="F1163" i="8"/>
  <c r="F1128" i="8"/>
  <c r="F1144" i="8"/>
  <c r="F1160" i="8"/>
  <c r="F1176" i="8"/>
  <c r="F1125" i="8"/>
  <c r="F1141" i="8"/>
  <c r="F1157" i="8"/>
  <c r="F1173" i="8"/>
  <c r="F1122" i="8"/>
  <c r="F1138" i="8"/>
  <c r="F1154" i="8"/>
  <c r="F1170" i="8"/>
  <c r="F1119" i="8"/>
  <c r="F1135" i="8"/>
  <c r="F1151" i="8"/>
  <c r="F1167" i="8"/>
  <c r="F1116" i="8"/>
  <c r="F1132" i="8"/>
  <c r="F1148" i="8"/>
  <c r="F1164" i="8"/>
  <c r="F1129" i="8"/>
  <c r="F1145" i="8"/>
  <c r="F1161" i="8"/>
  <c r="F1177" i="8"/>
  <c r="F1126" i="8"/>
  <c r="F1142" i="8"/>
  <c r="F1158" i="8"/>
  <c r="F1174" i="8"/>
  <c r="F1123" i="8"/>
  <c r="F1139" i="8"/>
  <c r="F1155" i="8"/>
  <c r="F1171" i="8"/>
  <c r="F1120" i="8"/>
  <c r="F1136" i="8"/>
  <c r="F1152" i="8"/>
  <c r="F1168" i="8"/>
  <c r="F1117" i="8"/>
  <c r="F1133" i="8"/>
  <c r="F1149" i="8"/>
  <c r="F1165" i="8"/>
  <c r="F1130" i="8"/>
  <c r="F1146" i="8"/>
  <c r="F1162" i="8"/>
  <c r="F1178" i="8"/>
  <c r="F1127" i="8"/>
  <c r="F1143" i="8"/>
  <c r="F1159" i="8"/>
  <c r="F1175" i="8"/>
  <c r="F157" i="8"/>
  <c r="F173" i="8"/>
  <c r="F154" i="8"/>
  <c r="F170" i="8"/>
  <c r="F186" i="8"/>
  <c r="F151" i="8"/>
  <c r="F167" i="8"/>
  <c r="F183" i="8"/>
  <c r="F164" i="8"/>
  <c r="F180" i="8"/>
  <c r="F161" i="8"/>
  <c r="F177" i="8"/>
  <c r="F158" i="8"/>
  <c r="F174" i="8"/>
  <c r="F155" i="8"/>
  <c r="F171" i="8"/>
  <c r="F187" i="8"/>
  <c r="F152" i="8"/>
  <c r="F168" i="8"/>
  <c r="F184" i="8"/>
  <c r="F149" i="8"/>
  <c r="F165" i="8"/>
  <c r="F181" i="8"/>
  <c r="F162" i="8"/>
  <c r="F178" i="8"/>
  <c r="F159" i="8"/>
  <c r="F175" i="8"/>
  <c r="F156" i="8"/>
  <c r="F172" i="8"/>
  <c r="F153" i="8"/>
  <c r="F169" i="8"/>
  <c r="F185" i="8"/>
  <c r="F150" i="8"/>
  <c r="F166" i="8"/>
  <c r="F182" i="8"/>
  <c r="F163" i="8"/>
  <c r="F179" i="8"/>
  <c r="F160" i="8"/>
  <c r="F176" i="8"/>
  <c r="F128" i="8"/>
  <c r="F144" i="8"/>
  <c r="F125" i="8"/>
  <c r="F141" i="8"/>
  <c r="F122" i="8"/>
  <c r="F138" i="8"/>
  <c r="F119" i="8"/>
  <c r="F135" i="8"/>
  <c r="F142" i="8"/>
  <c r="F116" i="8"/>
  <c r="F132" i="8"/>
  <c r="F113" i="8"/>
  <c r="F129" i="8"/>
  <c r="F145" i="8"/>
  <c r="F126" i="8"/>
  <c r="F123" i="8"/>
  <c r="F139" i="8"/>
  <c r="F120" i="8"/>
  <c r="F136" i="8"/>
  <c r="F117" i="8"/>
  <c r="F114" i="8"/>
  <c r="F130" i="8"/>
  <c r="F146" i="8"/>
  <c r="F127" i="8"/>
  <c r="F143" i="8"/>
  <c r="F124" i="8"/>
  <c r="F140" i="8"/>
  <c r="F121" i="8"/>
  <c r="F137" i="8"/>
  <c r="F118" i="8"/>
  <c r="F134" i="8"/>
  <c r="F133" i="8"/>
  <c r="F115" i="8"/>
  <c r="F131" i="8"/>
  <c r="F147" i="8"/>
  <c r="F148" i="8"/>
  <c r="C1600" i="8"/>
  <c r="C1616" i="8"/>
  <c r="C1632" i="8"/>
  <c r="C1648" i="8"/>
  <c r="C1613" i="8"/>
  <c r="C1629" i="8"/>
  <c r="C1645" i="8"/>
  <c r="C1610" i="8"/>
  <c r="C1626" i="8"/>
  <c r="C1642" i="8"/>
  <c r="C1607" i="8"/>
  <c r="C1623" i="8"/>
  <c r="C1639" i="8"/>
  <c r="C1655" i="8"/>
  <c r="C1604" i="8"/>
  <c r="C1620" i="8"/>
  <c r="C1636" i="8"/>
  <c r="C1652" i="8"/>
  <c r="C1601" i="8"/>
  <c r="C1617" i="8"/>
  <c r="C1633" i="8"/>
  <c r="C1649" i="8"/>
  <c r="C1614" i="8"/>
  <c r="C1630" i="8"/>
  <c r="C1646" i="8"/>
  <c r="C1611" i="8"/>
  <c r="C1627" i="8"/>
  <c r="C1643" i="8"/>
  <c r="C1608" i="8"/>
  <c r="C1624" i="8"/>
  <c r="C1640" i="8"/>
  <c r="C1605" i="8"/>
  <c r="C1621" i="8"/>
  <c r="C1637" i="8"/>
  <c r="C1653" i="8"/>
  <c r="C1602" i="8"/>
  <c r="C1618" i="8"/>
  <c r="C1634" i="8"/>
  <c r="C1650" i="8"/>
  <c r="C1615" i="8"/>
  <c r="C1631" i="8"/>
  <c r="C1647" i="8"/>
  <c r="C1612" i="8"/>
  <c r="C1628" i="8"/>
  <c r="C1644" i="8"/>
  <c r="C1609" i="8"/>
  <c r="C1625" i="8"/>
  <c r="C1641" i="8"/>
  <c r="C1606" i="8"/>
  <c r="C1622" i="8"/>
  <c r="C1638" i="8"/>
  <c r="C1654" i="8"/>
  <c r="C1603" i="8"/>
  <c r="C1619" i="8"/>
  <c r="C1635" i="8"/>
  <c r="C1651" i="8"/>
  <c r="E1201" i="8"/>
  <c r="E1195" i="8"/>
  <c r="E1208" i="8"/>
  <c r="E1202" i="8"/>
  <c r="E1199" i="8"/>
  <c r="E1196" i="8"/>
  <c r="E1206" i="8"/>
  <c r="E1203" i="8"/>
  <c r="E1200" i="8"/>
  <c r="E1197" i="8"/>
  <c r="E1210" i="8"/>
  <c r="E1204" i="8"/>
  <c r="E1198" i="8"/>
  <c r="E1217" i="8"/>
  <c r="E1214" i="8"/>
  <c r="E1211" i="8"/>
  <c r="E1205" i="8"/>
  <c r="E1207" i="8"/>
  <c r="E1218" i="8"/>
  <c r="E1215" i="8"/>
  <c r="E1212" i="8"/>
  <c r="E1209" i="8"/>
  <c r="E1216" i="8"/>
  <c r="E1213" i="8"/>
  <c r="F2371" i="8"/>
  <c r="F2387" i="8"/>
  <c r="F2403" i="8"/>
  <c r="F2419" i="8"/>
  <c r="F2368" i="8"/>
  <c r="F2384" i="8"/>
  <c r="F2400" i="8"/>
  <c r="F2416" i="8"/>
  <c r="F2365" i="8"/>
  <c r="F2381" i="8"/>
  <c r="F2397" i="8"/>
  <c r="F2413" i="8"/>
  <c r="F2429" i="8"/>
  <c r="F2378" i="8"/>
  <c r="F2394" i="8"/>
  <c r="F2410" i="8"/>
  <c r="F2426" i="8"/>
  <c r="F2375" i="8"/>
  <c r="F2391" i="8"/>
  <c r="F2407" i="8"/>
  <c r="F2423" i="8"/>
  <c r="F2372" i="8"/>
  <c r="F2388" i="8"/>
  <c r="F2404" i="8"/>
  <c r="F2420" i="8"/>
  <c r="F2369" i="8"/>
  <c r="F2385" i="8"/>
  <c r="F2401" i="8"/>
  <c r="F2417" i="8"/>
  <c r="F2366" i="8"/>
  <c r="F2382" i="8"/>
  <c r="F2398" i="8"/>
  <c r="F2414" i="8"/>
  <c r="F2379" i="8"/>
  <c r="F2395" i="8"/>
  <c r="F2411" i="8"/>
  <c r="F2427" i="8"/>
  <c r="F2376" i="8"/>
  <c r="F2392" i="8"/>
  <c r="F2408" i="8"/>
  <c r="F2424" i="8"/>
  <c r="F2373" i="8"/>
  <c r="F2389" i="8"/>
  <c r="F2405" i="8"/>
  <c r="F2421" i="8"/>
  <c r="F2370" i="8"/>
  <c r="F2386" i="8"/>
  <c r="F2402" i="8"/>
  <c r="F2418" i="8"/>
  <c r="F2367" i="8"/>
  <c r="F2383" i="8"/>
  <c r="F2399" i="8"/>
  <c r="F2415" i="8"/>
  <c r="F2364" i="8"/>
  <c r="F2380" i="8"/>
  <c r="F2396" i="8"/>
  <c r="F2412" i="8"/>
  <c r="F2428" i="8"/>
  <c r="F2377" i="8"/>
  <c r="F2393" i="8"/>
  <c r="F2409" i="8"/>
  <c r="F2425" i="8"/>
  <c r="F2374" i="8"/>
  <c r="F2390" i="8"/>
  <c r="F2406" i="8"/>
  <c r="F2422" i="8"/>
  <c r="F795" i="8"/>
  <c r="F811" i="8"/>
  <c r="F827" i="8"/>
  <c r="F843" i="8"/>
  <c r="F859" i="8"/>
  <c r="F875" i="8"/>
  <c r="F792" i="8"/>
  <c r="F808" i="8"/>
  <c r="F824" i="8"/>
  <c r="F840" i="8"/>
  <c r="F856" i="8"/>
  <c r="F872" i="8"/>
  <c r="F888" i="8"/>
  <c r="F805" i="8"/>
  <c r="F821" i="8"/>
  <c r="F837" i="8"/>
  <c r="F853" i="8"/>
  <c r="F869" i="8"/>
  <c r="F885" i="8"/>
  <c r="F802" i="8"/>
  <c r="F818" i="8"/>
  <c r="F834" i="8"/>
  <c r="F850" i="8"/>
  <c r="F866" i="8"/>
  <c r="F882" i="8"/>
  <c r="F799" i="8"/>
  <c r="F815" i="8"/>
  <c r="F831" i="8"/>
  <c r="F847" i="8"/>
  <c r="F863" i="8"/>
  <c r="F879" i="8"/>
  <c r="F796" i="8"/>
  <c r="F812" i="8"/>
  <c r="F828" i="8"/>
  <c r="F844" i="8"/>
  <c r="F860" i="8"/>
  <c r="F876" i="8"/>
  <c r="F793" i="8"/>
  <c r="F809" i="8"/>
  <c r="F825" i="8"/>
  <c r="F841" i="8"/>
  <c r="F857" i="8"/>
  <c r="F873" i="8"/>
  <c r="F889" i="8"/>
  <c r="F806" i="8"/>
  <c r="F822" i="8"/>
  <c r="F838" i="8"/>
  <c r="F854" i="8"/>
  <c r="F870" i="8"/>
  <c r="F886" i="8"/>
  <c r="F803" i="8"/>
  <c r="F819" i="8"/>
  <c r="F835" i="8"/>
  <c r="F851" i="8"/>
  <c r="F867" i="8"/>
  <c r="F883" i="8"/>
  <c r="F800" i="8"/>
  <c r="F816" i="8"/>
  <c r="F832" i="8"/>
  <c r="F848" i="8"/>
  <c r="F864" i="8"/>
  <c r="F880" i="8"/>
  <c r="F797" i="8"/>
  <c r="F813" i="8"/>
  <c r="F829" i="8"/>
  <c r="F845" i="8"/>
  <c r="F861" i="8"/>
  <c r="F877" i="8"/>
  <c r="F794" i="8"/>
  <c r="F810" i="8"/>
  <c r="F826" i="8"/>
  <c r="F842" i="8"/>
  <c r="F858" i="8"/>
  <c r="F874" i="8"/>
  <c r="F791" i="8"/>
  <c r="F807" i="8"/>
  <c r="F823" i="8"/>
  <c r="F839" i="8"/>
  <c r="F855" i="8"/>
  <c r="F871" i="8"/>
  <c r="F887" i="8"/>
  <c r="F804" i="8"/>
  <c r="F820" i="8"/>
  <c r="F836" i="8"/>
  <c r="F852" i="8"/>
  <c r="F868" i="8"/>
  <c r="F884" i="8"/>
  <c r="F801" i="8"/>
  <c r="F817" i="8"/>
  <c r="F833" i="8"/>
  <c r="F849" i="8"/>
  <c r="F865" i="8"/>
  <c r="F881" i="8"/>
  <c r="F798" i="8"/>
  <c r="F814" i="8"/>
  <c r="F830" i="8"/>
  <c r="F846" i="8"/>
  <c r="F862" i="8"/>
  <c r="F878" i="8"/>
  <c r="D2959" i="8"/>
  <c r="D2975" i="8"/>
  <c r="D2991" i="8"/>
  <c r="D2956" i="8"/>
  <c r="D2972" i="8"/>
  <c r="D2988" i="8"/>
  <c r="D2969" i="8"/>
  <c r="D2985" i="8"/>
  <c r="D2966" i="8"/>
  <c r="D2982" i="8"/>
  <c r="D2963" i="8"/>
  <c r="D2979" i="8"/>
  <c r="D2960" i="8"/>
  <c r="D2976" i="8"/>
  <c r="D2992" i="8"/>
  <c r="D2957" i="8"/>
  <c r="D2973" i="8"/>
  <c r="D2989" i="8"/>
  <c r="D2970" i="8"/>
  <c r="D2986" i="8"/>
  <c r="D2967" i="8"/>
  <c r="D2983" i="8"/>
  <c r="D2964" i="8"/>
  <c r="D2980" i="8"/>
  <c r="D2961" i="8"/>
  <c r="D2977" i="8"/>
  <c r="D2993" i="8"/>
  <c r="D2958" i="8"/>
  <c r="D2974" i="8"/>
  <c r="D2990" i="8"/>
  <c r="D2971" i="8"/>
  <c r="D2987" i="8"/>
  <c r="D2968" i="8"/>
  <c r="D2984" i="8"/>
  <c r="D2965" i="8"/>
  <c r="D2981" i="8"/>
  <c r="D2962" i="8"/>
  <c r="D2978" i="8"/>
  <c r="D2994" i="8"/>
  <c r="E250" i="8"/>
  <c r="E266" i="8"/>
  <c r="E282" i="8"/>
  <c r="E298" i="8"/>
  <c r="E247" i="8"/>
  <c r="E263" i="8"/>
  <c r="E279" i="8"/>
  <c r="E295" i="8"/>
  <c r="E260" i="8"/>
  <c r="E276" i="8"/>
  <c r="E292" i="8"/>
  <c r="E308" i="8"/>
  <c r="E257" i="8"/>
  <c r="E273" i="8"/>
  <c r="E289" i="8"/>
  <c r="E305" i="8"/>
  <c r="E254" i="8"/>
  <c r="E270" i="8"/>
  <c r="E286" i="8"/>
  <c r="E302" i="8"/>
  <c r="E251" i="8"/>
  <c r="E267" i="8"/>
  <c r="E283" i="8"/>
  <c r="E299" i="8"/>
  <c r="E248" i="8"/>
  <c r="E264" i="8"/>
  <c r="E280" i="8"/>
  <c r="E296" i="8"/>
  <c r="E261" i="8"/>
  <c r="E277" i="8"/>
  <c r="E293" i="8"/>
  <c r="E309" i="8"/>
  <c r="E258" i="8"/>
  <c r="E274" i="8"/>
  <c r="E290" i="8"/>
  <c r="E306" i="8"/>
  <c r="E255" i="8"/>
  <c r="E271" i="8"/>
  <c r="E287" i="8"/>
  <c r="E303" i="8"/>
  <c r="E252" i="8"/>
  <c r="E268" i="8"/>
  <c r="E284" i="8"/>
  <c r="E300" i="8"/>
  <c r="E249" i="8"/>
  <c r="E265" i="8"/>
  <c r="E281" i="8"/>
  <c r="E297" i="8"/>
  <c r="E246" i="8"/>
  <c r="E262" i="8"/>
  <c r="E278" i="8"/>
  <c r="E294" i="8"/>
  <c r="E259" i="8"/>
  <c r="E275" i="8"/>
  <c r="E291" i="8"/>
  <c r="E307" i="8"/>
  <c r="E256" i="8"/>
  <c r="E272" i="8"/>
  <c r="E288" i="8"/>
  <c r="E304" i="8"/>
  <c r="E253" i="8"/>
  <c r="E269" i="8"/>
  <c r="E285" i="8"/>
  <c r="E301" i="8"/>
  <c r="E1999" i="8"/>
  <c r="E1993" i="8"/>
  <c r="E2000" i="8"/>
  <c r="E1994" i="8"/>
  <c r="E2010" i="8"/>
  <c r="E2004" i="8"/>
  <c r="E2001" i="8"/>
  <c r="E1998" i="8"/>
  <c r="E1995" i="8"/>
  <c r="E1992" i="8"/>
  <c r="E2008" i="8"/>
  <c r="E2005" i="8"/>
  <c r="E2016" i="8"/>
  <c r="E2032" i="8"/>
  <c r="E2013" i="8"/>
  <c r="E2029" i="8"/>
  <c r="E2006" i="8"/>
  <c r="E2026" i="8"/>
  <c r="E2042" i="8"/>
  <c r="E2023" i="8"/>
  <c r="E2039" i="8"/>
  <c r="E1996" i="8"/>
  <c r="E2020" i="8"/>
  <c r="E2036" i="8"/>
  <c r="E1997" i="8"/>
  <c r="E2017" i="8"/>
  <c r="E2033" i="8"/>
  <c r="E2007" i="8"/>
  <c r="E2014" i="8"/>
  <c r="E2030" i="8"/>
  <c r="E2027" i="8"/>
  <c r="E2043" i="8"/>
  <c r="E2011" i="8"/>
  <c r="E2024" i="8"/>
  <c r="E2040" i="8"/>
  <c r="E2021" i="8"/>
  <c r="E2037" i="8"/>
  <c r="E2002" i="8"/>
  <c r="E2018" i="8"/>
  <c r="E2034" i="8"/>
  <c r="E2015" i="8"/>
  <c r="E2031" i="8"/>
  <c r="E2003" i="8"/>
  <c r="E2012" i="8"/>
  <c r="E2028" i="8"/>
  <c r="E2044" i="8"/>
  <c r="E2025" i="8"/>
  <c r="E2041" i="8"/>
  <c r="E2022" i="8"/>
  <c r="E2038" i="8"/>
  <c r="E2009" i="8"/>
  <c r="E2019" i="8"/>
  <c r="E2035" i="8"/>
  <c r="E154" i="8"/>
  <c r="E170" i="8"/>
  <c r="E186" i="8"/>
  <c r="E151" i="8"/>
  <c r="E167" i="8"/>
  <c r="E183" i="8"/>
  <c r="E164" i="8"/>
  <c r="E180" i="8"/>
  <c r="E161" i="8"/>
  <c r="E177" i="8"/>
  <c r="E158" i="8"/>
  <c r="E174" i="8"/>
  <c r="E155" i="8"/>
  <c r="E171" i="8"/>
  <c r="E187" i="8"/>
  <c r="E152" i="8"/>
  <c r="E168" i="8"/>
  <c r="E184" i="8"/>
  <c r="E149" i="8"/>
  <c r="E165" i="8"/>
  <c r="E181" i="8"/>
  <c r="E162" i="8"/>
  <c r="E178" i="8"/>
  <c r="E159" i="8"/>
  <c r="E175" i="8"/>
  <c r="E156" i="8"/>
  <c r="E172" i="8"/>
  <c r="E153" i="8"/>
  <c r="E169" i="8"/>
  <c r="E185" i="8"/>
  <c r="E150" i="8"/>
  <c r="E166" i="8"/>
  <c r="E182" i="8"/>
  <c r="E163" i="8"/>
  <c r="E179" i="8"/>
  <c r="E160" i="8"/>
  <c r="E176" i="8"/>
  <c r="E157" i="8"/>
  <c r="E173" i="8"/>
  <c r="E125" i="8"/>
  <c r="E141" i="8"/>
  <c r="E122" i="8"/>
  <c r="E138" i="8"/>
  <c r="E148" i="8"/>
  <c r="E119" i="8"/>
  <c r="E135" i="8"/>
  <c r="E116" i="8"/>
  <c r="E132" i="8"/>
  <c r="E113" i="8"/>
  <c r="E129" i="8"/>
  <c r="E126" i="8"/>
  <c r="E142" i="8"/>
  <c r="E130" i="8"/>
  <c r="E123" i="8"/>
  <c r="E139" i="8"/>
  <c r="E120" i="8"/>
  <c r="E136" i="8"/>
  <c r="E117" i="8"/>
  <c r="E133" i="8"/>
  <c r="E114" i="8"/>
  <c r="E127" i="8"/>
  <c r="E143" i="8"/>
  <c r="E146" i="8"/>
  <c r="E124" i="8"/>
  <c r="E140" i="8"/>
  <c r="E121" i="8"/>
  <c r="E137" i="8"/>
  <c r="E118" i="8"/>
  <c r="E134" i="8"/>
  <c r="E145" i="8"/>
  <c r="E115" i="8"/>
  <c r="E131" i="8"/>
  <c r="E147" i="8"/>
  <c r="E144" i="8"/>
  <c r="E128" i="8"/>
  <c r="E2962" i="8"/>
  <c r="E2978" i="8"/>
  <c r="E2994" i="8"/>
  <c r="E2959" i="8"/>
  <c r="E2975" i="8"/>
  <c r="E2991" i="8"/>
  <c r="E2956" i="8"/>
  <c r="E2972" i="8"/>
  <c r="E2988" i="8"/>
  <c r="E2969" i="8"/>
  <c r="E2985" i="8"/>
  <c r="E2966" i="8"/>
  <c r="E2982" i="8"/>
  <c r="E2963" i="8"/>
  <c r="E2979" i="8"/>
  <c r="E2960" i="8"/>
  <c r="E2976" i="8"/>
  <c r="E2992" i="8"/>
  <c r="E2957" i="8"/>
  <c r="E2973" i="8"/>
  <c r="E2989" i="8"/>
  <c r="E2970" i="8"/>
  <c r="E2986" i="8"/>
  <c r="E2967" i="8"/>
  <c r="E2983" i="8"/>
  <c r="E2964" i="8"/>
  <c r="E2980" i="8"/>
  <c r="E2961" i="8"/>
  <c r="E2977" i="8"/>
  <c r="E2993" i="8"/>
  <c r="E2958" i="8"/>
  <c r="E2974" i="8"/>
  <c r="E2990" i="8"/>
  <c r="E2971" i="8"/>
  <c r="E2987" i="8"/>
  <c r="E2968" i="8"/>
  <c r="E2984" i="8"/>
  <c r="E2965" i="8"/>
  <c r="E2981" i="8"/>
  <c r="E2317" i="8"/>
  <c r="E2314" i="8"/>
  <c r="E2315" i="8"/>
  <c r="E2316" i="8"/>
  <c r="E2313" i="8"/>
  <c r="F996" i="8"/>
  <c r="F1012" i="8"/>
  <c r="F1028" i="8"/>
  <c r="F1044" i="8"/>
  <c r="F1060" i="8"/>
  <c r="F1076" i="8"/>
  <c r="F1092" i="8"/>
  <c r="F1108" i="8"/>
  <c r="F1009" i="8"/>
  <c r="F1025" i="8"/>
  <c r="F1041" i="8"/>
  <c r="F1057" i="8"/>
  <c r="F1073" i="8"/>
  <c r="F1089" i="8"/>
  <c r="F1105" i="8"/>
  <c r="F1006" i="8"/>
  <c r="F1022" i="8"/>
  <c r="F1038" i="8"/>
  <c r="F1054" i="8"/>
  <c r="F1070" i="8"/>
  <c r="F1086" i="8"/>
  <c r="F1102" i="8"/>
  <c r="F1003" i="8"/>
  <c r="F1019" i="8"/>
  <c r="F1035" i="8"/>
  <c r="F1051" i="8"/>
  <c r="F1067" i="8"/>
  <c r="F1083" i="8"/>
  <c r="F1099" i="8"/>
  <c r="F1000" i="8"/>
  <c r="F1016" i="8"/>
  <c r="F1032" i="8"/>
  <c r="F1048" i="8"/>
  <c r="F1064" i="8"/>
  <c r="F1080" i="8"/>
  <c r="F1096" i="8"/>
  <c r="F1112" i="8"/>
  <c r="F997" i="8"/>
  <c r="F1013" i="8"/>
  <c r="F1029" i="8"/>
  <c r="F1045" i="8"/>
  <c r="F1061" i="8"/>
  <c r="F1077" i="8"/>
  <c r="F1093" i="8"/>
  <c r="F1109" i="8"/>
  <c r="F1010" i="8"/>
  <c r="F1026" i="8"/>
  <c r="F1042" i="8"/>
  <c r="F1058" i="8"/>
  <c r="F1074" i="8"/>
  <c r="F1090" i="8"/>
  <c r="F1106" i="8"/>
  <c r="F1007" i="8"/>
  <c r="F1023" i="8"/>
  <c r="F1039" i="8"/>
  <c r="F1055" i="8"/>
  <c r="F1071" i="8"/>
  <c r="F1087" i="8"/>
  <c r="F1103" i="8"/>
  <c r="F1004" i="8"/>
  <c r="F1020" i="8"/>
  <c r="F1036" i="8"/>
  <c r="F1052" i="8"/>
  <c r="F1068" i="8"/>
  <c r="F1084" i="8"/>
  <c r="F1100" i="8"/>
  <c r="F1001" i="8"/>
  <c r="F1017" i="8"/>
  <c r="F1033" i="8"/>
  <c r="F1049" i="8"/>
  <c r="F1065" i="8"/>
  <c r="F1081" i="8"/>
  <c r="F1097" i="8"/>
  <c r="F1113" i="8"/>
  <c r="F998" i="8"/>
  <c r="F1014" i="8"/>
  <c r="F1030" i="8"/>
  <c r="F1046" i="8"/>
  <c r="F1062" i="8"/>
  <c r="F1078" i="8"/>
  <c r="F1094" i="8"/>
  <c r="F1110" i="8"/>
  <c r="F995" i="8"/>
  <c r="F1011" i="8"/>
  <c r="F1027" i="8"/>
  <c r="F1043" i="8"/>
  <c r="F1059" i="8"/>
  <c r="F1075" i="8"/>
  <c r="F1091" i="8"/>
  <c r="F1107" i="8"/>
  <c r="F1008" i="8"/>
  <c r="F1024" i="8"/>
  <c r="F1040" i="8"/>
  <c r="F1056" i="8"/>
  <c r="F1072" i="8"/>
  <c r="F1088" i="8"/>
  <c r="F1104" i="8"/>
  <c r="F1005" i="8"/>
  <c r="F1021" i="8"/>
  <c r="F1037" i="8"/>
  <c r="F1053" i="8"/>
  <c r="F1069" i="8"/>
  <c r="F1085" i="8"/>
  <c r="F1101" i="8"/>
  <c r="F1002" i="8"/>
  <c r="F1018" i="8"/>
  <c r="F1034" i="8"/>
  <c r="F1050" i="8"/>
  <c r="F1066" i="8"/>
  <c r="F1082" i="8"/>
  <c r="F1098" i="8"/>
  <c r="F1114" i="8"/>
  <c r="F999" i="8"/>
  <c r="F1015" i="8"/>
  <c r="F1031" i="8"/>
  <c r="F1047" i="8"/>
  <c r="F1063" i="8"/>
  <c r="F1079" i="8"/>
  <c r="F1095" i="8"/>
  <c r="F1111" i="8"/>
  <c r="F2051" i="8"/>
  <c r="F2067" i="8"/>
  <c r="F2083" i="8"/>
  <c r="F2099" i="8"/>
  <c r="F2115" i="8"/>
  <c r="F2131" i="8"/>
  <c r="F2048" i="8"/>
  <c r="F2064" i="8"/>
  <c r="F2080" i="8"/>
  <c r="F2096" i="8"/>
  <c r="F2112" i="8"/>
  <c r="F2128" i="8"/>
  <c r="F2045" i="8"/>
  <c r="F2061" i="8"/>
  <c r="F2077" i="8"/>
  <c r="F2093" i="8"/>
  <c r="F2109" i="8"/>
  <c r="F2125" i="8"/>
  <c r="F2058" i="8"/>
  <c r="F2074" i="8"/>
  <c r="F2090" i="8"/>
  <c r="F2106" i="8"/>
  <c r="F2122" i="8"/>
  <c r="F2055" i="8"/>
  <c r="F2071" i="8"/>
  <c r="F2087" i="8"/>
  <c r="F2103" i="8"/>
  <c r="F2119" i="8"/>
  <c r="F2052" i="8"/>
  <c r="F2068" i="8"/>
  <c r="F2084" i="8"/>
  <c r="F2100" i="8"/>
  <c r="F2116" i="8"/>
  <c r="F2132" i="8"/>
  <c r="F2049" i="8"/>
  <c r="F2065" i="8"/>
  <c r="F2081" i="8"/>
  <c r="F2097" i="8"/>
  <c r="F2113" i="8"/>
  <c r="F2129" i="8"/>
  <c r="F2046" i="8"/>
  <c r="F2062" i="8"/>
  <c r="F2078" i="8"/>
  <c r="F2094" i="8"/>
  <c r="F2110" i="8"/>
  <c r="F2126" i="8"/>
  <c r="F2059" i="8"/>
  <c r="F2075" i="8"/>
  <c r="F2091" i="8"/>
  <c r="F2107" i="8"/>
  <c r="F2123" i="8"/>
  <c r="F2056" i="8"/>
  <c r="F2072" i="8"/>
  <c r="F2088" i="8"/>
  <c r="F2104" i="8"/>
  <c r="F2120" i="8"/>
  <c r="F2053" i="8"/>
  <c r="F2069" i="8"/>
  <c r="F2085" i="8"/>
  <c r="F2101" i="8"/>
  <c r="F2117" i="8"/>
  <c r="F2050" i="8"/>
  <c r="F2066" i="8"/>
  <c r="F2082" i="8"/>
  <c r="F2098" i="8"/>
  <c r="F2114" i="8"/>
  <c r="F2130" i="8"/>
  <c r="F2047" i="8"/>
  <c r="F2063" i="8"/>
  <c r="F2079" i="8"/>
  <c r="F2095" i="8"/>
  <c r="F2111" i="8"/>
  <c r="F2127" i="8"/>
  <c r="F2060" i="8"/>
  <c r="F2076" i="8"/>
  <c r="F2092" i="8"/>
  <c r="F2108" i="8"/>
  <c r="F2124" i="8"/>
  <c r="F2057" i="8"/>
  <c r="F2073" i="8"/>
  <c r="F2089" i="8"/>
  <c r="F2105" i="8"/>
  <c r="F2121" i="8"/>
  <c r="F2054" i="8"/>
  <c r="F2070" i="8"/>
  <c r="F2086" i="8"/>
  <c r="F2102" i="8"/>
  <c r="F2118" i="8"/>
  <c r="E1807" i="8"/>
  <c r="E1823" i="8"/>
  <c r="E1804" i="8"/>
  <c r="E1820" i="8"/>
  <c r="E1801" i="8"/>
  <c r="E1817" i="8"/>
  <c r="E1798" i="8"/>
  <c r="E1814" i="8"/>
  <c r="E1811" i="8"/>
  <c r="E1827" i="8"/>
  <c r="E1808" i="8"/>
  <c r="E1824" i="8"/>
  <c r="E1805" i="8"/>
  <c r="E1821" i="8"/>
  <c r="E1802" i="8"/>
  <c r="E1818" i="8"/>
  <c r="E1799" i="8"/>
  <c r="E1815" i="8"/>
  <c r="E1812" i="8"/>
  <c r="E1828" i="8"/>
  <c r="E1809" i="8"/>
  <c r="E1825" i="8"/>
  <c r="E1806" i="8"/>
  <c r="E1822" i="8"/>
  <c r="E1803" i="8"/>
  <c r="E1819" i="8"/>
  <c r="E1800" i="8"/>
  <c r="E1816" i="8"/>
  <c r="E1797" i="8"/>
  <c r="E1813" i="8"/>
  <c r="E1829" i="8"/>
  <c r="E1810" i="8"/>
  <c r="E1826" i="8"/>
  <c r="F1188" i="8"/>
  <c r="F1185" i="8"/>
  <c r="F1182" i="8"/>
  <c r="F1179" i="8"/>
  <c r="F1192" i="8"/>
  <c r="F1189" i="8"/>
  <c r="F1186" i="8"/>
  <c r="F1183" i="8"/>
  <c r="F1180" i="8"/>
  <c r="F1193" i="8"/>
  <c r="F1190" i="8"/>
  <c r="F1187" i="8"/>
  <c r="F1184" i="8"/>
  <c r="F1181" i="8"/>
  <c r="F1194" i="8"/>
  <c r="F1191" i="8"/>
  <c r="D2221" i="8"/>
  <c r="D2237" i="8"/>
  <c r="D2218" i="8"/>
  <c r="D2234" i="8"/>
  <c r="D2215" i="8"/>
  <c r="D2231" i="8"/>
  <c r="D2212" i="8"/>
  <c r="D2228" i="8"/>
  <c r="D2244" i="8"/>
  <c r="D2225" i="8"/>
  <c r="D2241" i="8"/>
  <c r="D2222" i="8"/>
  <c r="D2238" i="8"/>
  <c r="D2219" i="8"/>
  <c r="D2235" i="8"/>
  <c r="D2216" i="8"/>
  <c r="D2232" i="8"/>
  <c r="D2213" i="8"/>
  <c r="D2229" i="8"/>
  <c r="D2245" i="8"/>
  <c r="D2210" i="8"/>
  <c r="D2226" i="8"/>
  <c r="D2242" i="8"/>
  <c r="D2223" i="8"/>
  <c r="D2239" i="8"/>
  <c r="D2220" i="8"/>
  <c r="D2236" i="8"/>
  <c r="D2217" i="8"/>
  <c r="D2233" i="8"/>
  <c r="D2214" i="8"/>
  <c r="D2230" i="8"/>
  <c r="D2211" i="8"/>
  <c r="D2227" i="8"/>
  <c r="D2243" i="8"/>
  <c r="D2224" i="8"/>
  <c r="D2240" i="8"/>
  <c r="E1230" i="8"/>
  <c r="E1227" i="8"/>
  <c r="E1224" i="8"/>
  <c r="E1221" i="8"/>
  <c r="E1231" i="8"/>
  <c r="E1228" i="8"/>
  <c r="E1225" i="8"/>
  <c r="E1222" i="8"/>
  <c r="E1219" i="8"/>
  <c r="E1232" i="8"/>
  <c r="E1229" i="8"/>
  <c r="E1226" i="8"/>
  <c r="E1223" i="8"/>
  <c r="E1220" i="8"/>
  <c r="E610" i="8"/>
  <c r="E626" i="8"/>
  <c r="E642" i="8"/>
  <c r="E658" i="8"/>
  <c r="E674" i="8"/>
  <c r="E607" i="8"/>
  <c r="E623" i="8"/>
  <c r="E639" i="8"/>
  <c r="E655" i="8"/>
  <c r="E604" i="8"/>
  <c r="E620" i="8"/>
  <c r="E636" i="8"/>
  <c r="E652" i="8"/>
  <c r="E668" i="8"/>
  <c r="E601" i="8"/>
  <c r="E617" i="8"/>
  <c r="E633" i="8"/>
  <c r="E649" i="8"/>
  <c r="E665" i="8"/>
  <c r="E598" i="8"/>
  <c r="E614" i="8"/>
  <c r="E630" i="8"/>
  <c r="E646" i="8"/>
  <c r="E662" i="8"/>
  <c r="E611" i="8"/>
  <c r="E627" i="8"/>
  <c r="E643" i="8"/>
  <c r="E659" i="8"/>
  <c r="E675" i="8"/>
  <c r="E608" i="8"/>
  <c r="E624" i="8"/>
  <c r="E640" i="8"/>
  <c r="E656" i="8"/>
  <c r="E605" i="8"/>
  <c r="E621" i="8"/>
  <c r="E637" i="8"/>
  <c r="E653" i="8"/>
  <c r="E669" i="8"/>
  <c r="E602" i="8"/>
  <c r="E618" i="8"/>
  <c r="E634" i="8"/>
  <c r="E650" i="8"/>
  <c r="E666" i="8"/>
  <c r="E599" i="8"/>
  <c r="E615" i="8"/>
  <c r="E631" i="8"/>
  <c r="E647" i="8"/>
  <c r="E663" i="8"/>
  <c r="E612" i="8"/>
  <c r="E628" i="8"/>
  <c r="E644" i="8"/>
  <c r="E660" i="8"/>
  <c r="E609" i="8"/>
  <c r="E625" i="8"/>
  <c r="E641" i="8"/>
  <c r="E657" i="8"/>
  <c r="E673" i="8"/>
  <c r="E606" i="8"/>
  <c r="E622" i="8"/>
  <c r="E638" i="8"/>
  <c r="E654" i="8"/>
  <c r="E670" i="8"/>
  <c r="E603" i="8"/>
  <c r="E619" i="8"/>
  <c r="E635" i="8"/>
  <c r="E651" i="8"/>
  <c r="E667" i="8"/>
  <c r="E600" i="8"/>
  <c r="E616" i="8"/>
  <c r="E632" i="8"/>
  <c r="E648" i="8"/>
  <c r="E664" i="8"/>
  <c r="E597" i="8"/>
  <c r="E613" i="8"/>
  <c r="E629" i="8"/>
  <c r="E645" i="8"/>
  <c r="E661" i="8"/>
  <c r="E677" i="8"/>
  <c r="E679" i="8"/>
  <c r="E696" i="8"/>
  <c r="E693" i="8"/>
  <c r="E680" i="8"/>
  <c r="E690" i="8"/>
  <c r="E687" i="8"/>
  <c r="E671" i="8"/>
  <c r="E684" i="8"/>
  <c r="E672" i="8"/>
  <c r="E697" i="8"/>
  <c r="E681" i="8"/>
  <c r="E694" i="8"/>
  <c r="E691" i="8"/>
  <c r="E688" i="8"/>
  <c r="E685" i="8"/>
  <c r="E682" i="8"/>
  <c r="E698" i="8"/>
  <c r="E676" i="8"/>
  <c r="E695" i="8"/>
  <c r="E692" i="8"/>
  <c r="E689" i="8"/>
  <c r="E678" i="8"/>
  <c r="E686" i="8"/>
  <c r="E683" i="8"/>
  <c r="E3058" i="8"/>
  <c r="E3074" i="8"/>
  <c r="E3055" i="8"/>
  <c r="E3071" i="8"/>
  <c r="E3052" i="8"/>
  <c r="E3068" i="8"/>
  <c r="E3065" i="8"/>
  <c r="E3062" i="8"/>
  <c r="E3059" i="8"/>
  <c r="E3075" i="8"/>
  <c r="E3056" i="8"/>
  <c r="E3053" i="8"/>
  <c r="E3069" i="8"/>
  <c r="E3050" i="8"/>
  <c r="E3066" i="8"/>
  <c r="E3063" i="8"/>
  <c r="E3057" i="8"/>
  <c r="E3073" i="8"/>
  <c r="E3054" i="8"/>
  <c r="E3070" i="8"/>
  <c r="E3051" i="8"/>
  <c r="E3067" i="8"/>
  <c r="E3064" i="8"/>
  <c r="E3061" i="8"/>
  <c r="E3077" i="8"/>
  <c r="E3091" i="8"/>
  <c r="E3107" i="8"/>
  <c r="E3060" i="8"/>
  <c r="E3088" i="8"/>
  <c r="E3104" i="8"/>
  <c r="E3120" i="8"/>
  <c r="E3085" i="8"/>
  <c r="E3101" i="8"/>
  <c r="E3117" i="8"/>
  <c r="E3078" i="8"/>
  <c r="E3082" i="8"/>
  <c r="E3098" i="8"/>
  <c r="E3114" i="8"/>
  <c r="E3095" i="8"/>
  <c r="E3111" i="8"/>
  <c r="E3092" i="8"/>
  <c r="E3108" i="8"/>
  <c r="E3079" i="8"/>
  <c r="E3089" i="8"/>
  <c r="E3105" i="8"/>
  <c r="E3121" i="8"/>
  <c r="E3072" i="8"/>
  <c r="E3086" i="8"/>
  <c r="E3102" i="8"/>
  <c r="E3118" i="8"/>
  <c r="E3083" i="8"/>
  <c r="E3099" i="8"/>
  <c r="E3115" i="8"/>
  <c r="E3096" i="8"/>
  <c r="E3112" i="8"/>
  <c r="E3080" i="8"/>
  <c r="E3093" i="8"/>
  <c r="E3109" i="8"/>
  <c r="E3090" i="8"/>
  <c r="E3106" i="8"/>
  <c r="E3087" i="8"/>
  <c r="E3103" i="8"/>
  <c r="E3119" i="8"/>
  <c r="E3084" i="8"/>
  <c r="E3100" i="8"/>
  <c r="E3116" i="8"/>
  <c r="E3076" i="8"/>
  <c r="E3097" i="8"/>
  <c r="E3113" i="8"/>
  <c r="E3081" i="8"/>
  <c r="E3094" i="8"/>
  <c r="E3110" i="8"/>
  <c r="E2144" i="8"/>
  <c r="E2160" i="8"/>
  <c r="E2176" i="8"/>
  <c r="E2192" i="8"/>
  <c r="E2208" i="8"/>
  <c r="E2141" i="8"/>
  <c r="E2157" i="8"/>
  <c r="E2173" i="8"/>
  <c r="E2189" i="8"/>
  <c r="E2205" i="8"/>
  <c r="E2138" i="8"/>
  <c r="E2154" i="8"/>
  <c r="E2170" i="8"/>
  <c r="E2186" i="8"/>
  <c r="E2202" i="8"/>
  <c r="E2135" i="8"/>
  <c r="E2151" i="8"/>
  <c r="E2167" i="8"/>
  <c r="E2183" i="8"/>
  <c r="E2199" i="8"/>
  <c r="E2148" i="8"/>
  <c r="E2164" i="8"/>
  <c r="E2180" i="8"/>
  <c r="E2196" i="8"/>
  <c r="E2145" i="8"/>
  <c r="E2161" i="8"/>
  <c r="E2177" i="8"/>
  <c r="E2193" i="8"/>
  <c r="E2209" i="8"/>
  <c r="E2142" i="8"/>
  <c r="E2158" i="8"/>
  <c r="E2174" i="8"/>
  <c r="E2190" i="8"/>
  <c r="E2206" i="8"/>
  <c r="E2139" i="8"/>
  <c r="E2155" i="8"/>
  <c r="E2171" i="8"/>
  <c r="E2187" i="8"/>
  <c r="E2203" i="8"/>
  <c r="E2136" i="8"/>
  <c r="E2152" i="8"/>
  <c r="E2168" i="8"/>
  <c r="E2184" i="8"/>
  <c r="E2200" i="8"/>
  <c r="E2133" i="8"/>
  <c r="E2149" i="8"/>
  <c r="E2165" i="8"/>
  <c r="E2181" i="8"/>
  <c r="E2197" i="8"/>
  <c r="E2146" i="8"/>
  <c r="E2162" i="8"/>
  <c r="E2178" i="8"/>
  <c r="E2194" i="8"/>
  <c r="E2143" i="8"/>
  <c r="E2159" i="8"/>
  <c r="E2175" i="8"/>
  <c r="E2191" i="8"/>
  <c r="E2207" i="8"/>
  <c r="E2140" i="8"/>
  <c r="E2156" i="8"/>
  <c r="E2172" i="8"/>
  <c r="E2188" i="8"/>
  <c r="E2204" i="8"/>
  <c r="E2137" i="8"/>
  <c r="E2153" i="8"/>
  <c r="E2169" i="8"/>
  <c r="E2185" i="8"/>
  <c r="E2201" i="8"/>
  <c r="E2134" i="8"/>
  <c r="E2150" i="8"/>
  <c r="E2166" i="8"/>
  <c r="E2182" i="8"/>
  <c r="E2198" i="8"/>
  <c r="E2147" i="8"/>
  <c r="E2163" i="8"/>
  <c r="E2179" i="8"/>
  <c r="E2195" i="8"/>
  <c r="F2259" i="8"/>
  <c r="F2256" i="8"/>
  <c r="F2272" i="8"/>
  <c r="F2253" i="8"/>
  <c r="F2269" i="8"/>
  <c r="F2250" i="8"/>
  <c r="F2266" i="8"/>
  <c r="F2247" i="8"/>
  <c r="F2263" i="8"/>
  <c r="F2260" i="8"/>
  <c r="F2257" i="8"/>
  <c r="F2254" i="8"/>
  <c r="F2270" i="8"/>
  <c r="F2251" i="8"/>
  <c r="F2267" i="8"/>
  <c r="F2248" i="8"/>
  <c r="F2261" i="8"/>
  <c r="F2258" i="8"/>
  <c r="F2274" i="8"/>
  <c r="F2255" i="8"/>
  <c r="F2271" i="8"/>
  <c r="F2252" i="8"/>
  <c r="F2268" i="8"/>
  <c r="F2249" i="8"/>
  <c r="F2265" i="8"/>
  <c r="F2246" i="8"/>
  <c r="F2262" i="8"/>
  <c r="F2275" i="8"/>
  <c r="F2291" i="8"/>
  <c r="F2307" i="8"/>
  <c r="F2288" i="8"/>
  <c r="F2304" i="8"/>
  <c r="F2285" i="8"/>
  <c r="F2301" i="8"/>
  <c r="F2264" i="8"/>
  <c r="F2282" i="8"/>
  <c r="F2298" i="8"/>
  <c r="F2279" i="8"/>
  <c r="F2295" i="8"/>
  <c r="F2311" i="8"/>
  <c r="F2276" i="8"/>
  <c r="F2292" i="8"/>
  <c r="F2308" i="8"/>
  <c r="F2289" i="8"/>
  <c r="F2305" i="8"/>
  <c r="F2286" i="8"/>
  <c r="F2302" i="8"/>
  <c r="F2283" i="8"/>
  <c r="F2299" i="8"/>
  <c r="F2280" i="8"/>
  <c r="F2296" i="8"/>
  <c r="F2312" i="8"/>
  <c r="F2277" i="8"/>
  <c r="F2293" i="8"/>
  <c r="F2309" i="8"/>
  <c r="F2290" i="8"/>
  <c r="F2306" i="8"/>
  <c r="F2273" i="8"/>
  <c r="F2287" i="8"/>
  <c r="F2303" i="8"/>
  <c r="F2284" i="8"/>
  <c r="F2300" i="8"/>
  <c r="F2281" i="8"/>
  <c r="F2297" i="8"/>
  <c r="F2278" i="8"/>
  <c r="F2294" i="8"/>
  <c r="F2310" i="8"/>
  <c r="F2997" i="8"/>
  <c r="F3013" i="8"/>
  <c r="F3029" i="8"/>
  <c r="F3045" i="8"/>
  <c r="F3010" i="8"/>
  <c r="F3026" i="8"/>
  <c r="F3042" i="8"/>
  <c r="F3007" i="8"/>
  <c r="F3023" i="8"/>
  <c r="F3039" i="8"/>
  <c r="F3004" i="8"/>
  <c r="F3020" i="8"/>
  <c r="F3036" i="8"/>
  <c r="F3001" i="8"/>
  <c r="F3017" i="8"/>
  <c r="F3033" i="8"/>
  <c r="F3049" i="8"/>
  <c r="F2998" i="8"/>
  <c r="F3014" i="8"/>
  <c r="F3030" i="8"/>
  <c r="F3046" i="8"/>
  <c r="F2995" i="8"/>
  <c r="F3011" i="8"/>
  <c r="F3027" i="8"/>
  <c r="F3043" i="8"/>
  <c r="F3008" i="8"/>
  <c r="F3024" i="8"/>
  <c r="F3040" i="8"/>
  <c r="F3005" i="8"/>
  <c r="F3021" i="8"/>
  <c r="F3037" i="8"/>
  <c r="F3002" i="8"/>
  <c r="F3018" i="8"/>
  <c r="F3034" i="8"/>
  <c r="F2999" i="8"/>
  <c r="F3015" i="8"/>
  <c r="F3031" i="8"/>
  <c r="F3047" i="8"/>
  <c r="F2996" i="8"/>
  <c r="F3012" i="8"/>
  <c r="F3028" i="8"/>
  <c r="F3044" i="8"/>
  <c r="F3009" i="8"/>
  <c r="F3025" i="8"/>
  <c r="F3041" i="8"/>
  <c r="F3006" i="8"/>
  <c r="F3022" i="8"/>
  <c r="F3038" i="8"/>
  <c r="F3003" i="8"/>
  <c r="F3019" i="8"/>
  <c r="F3035" i="8"/>
  <c r="F3000" i="8"/>
  <c r="F3016" i="8"/>
  <c r="F3032" i="8"/>
  <c r="F3048" i="8"/>
  <c r="E3123" i="8"/>
  <c r="E3139" i="8"/>
  <c r="E3136" i="8"/>
  <c r="E3133" i="8"/>
  <c r="E3130" i="8"/>
  <c r="E3127" i="8"/>
  <c r="E3143" i="8"/>
  <c r="E3124" i="8"/>
  <c r="E3140" i="8"/>
  <c r="E3137" i="8"/>
  <c r="E3134" i="8"/>
  <c r="E3131" i="8"/>
  <c r="E3128" i="8"/>
  <c r="E3144" i="8"/>
  <c r="E3125" i="8"/>
  <c r="E3141" i="8"/>
  <c r="E3122" i="8"/>
  <c r="E3138" i="8"/>
  <c r="E3135" i="8"/>
  <c r="E3132" i="8"/>
  <c r="E3129" i="8"/>
  <c r="E3126" i="8"/>
  <c r="E3142" i="8"/>
  <c r="F2812" i="8"/>
  <c r="F2810" i="8"/>
  <c r="F2811" i="8"/>
  <c r="F2821" i="8"/>
  <c r="F2818" i="8"/>
  <c r="F2815" i="8"/>
  <c r="F2819" i="8"/>
  <c r="F2816" i="8"/>
  <c r="F2808" i="8"/>
  <c r="F2813" i="8"/>
  <c r="F2809" i="8"/>
  <c r="F2820" i="8"/>
  <c r="F2817" i="8"/>
  <c r="F2814" i="8"/>
  <c r="F397" i="8"/>
  <c r="F394" i="8"/>
  <c r="F410" i="8"/>
  <c r="F404" i="8"/>
  <c r="F401" i="8"/>
  <c r="F398" i="8"/>
  <c r="F414" i="8"/>
  <c r="F395" i="8"/>
  <c r="F411" i="8"/>
  <c r="F392" i="8"/>
  <c r="F408" i="8"/>
  <c r="F389" i="8"/>
  <c r="F405" i="8"/>
  <c r="F399" i="8"/>
  <c r="F396" i="8"/>
  <c r="F393" i="8"/>
  <c r="F409" i="8"/>
  <c r="F390" i="8"/>
  <c r="F406" i="8"/>
  <c r="F403" i="8"/>
  <c r="F400" i="8"/>
  <c r="F402" i="8"/>
  <c r="F421" i="8"/>
  <c r="F437" i="8"/>
  <c r="F453" i="8"/>
  <c r="F469" i="8"/>
  <c r="F485" i="8"/>
  <c r="F501" i="8"/>
  <c r="F517" i="8"/>
  <c r="F533" i="8"/>
  <c r="F418" i="8"/>
  <c r="F434" i="8"/>
  <c r="F450" i="8"/>
  <c r="F466" i="8"/>
  <c r="F482" i="8"/>
  <c r="F498" i="8"/>
  <c r="F514" i="8"/>
  <c r="F530" i="8"/>
  <c r="F546" i="8"/>
  <c r="F431" i="8"/>
  <c r="F447" i="8"/>
  <c r="F463" i="8"/>
  <c r="F479" i="8"/>
  <c r="F495" i="8"/>
  <c r="F511" i="8"/>
  <c r="F527" i="8"/>
  <c r="F543" i="8"/>
  <c r="F428" i="8"/>
  <c r="F444" i="8"/>
  <c r="F460" i="8"/>
  <c r="F476" i="8"/>
  <c r="F492" i="8"/>
  <c r="F508" i="8"/>
  <c r="F524" i="8"/>
  <c r="F540" i="8"/>
  <c r="F425" i="8"/>
  <c r="F441" i="8"/>
  <c r="F457" i="8"/>
  <c r="F473" i="8"/>
  <c r="F489" i="8"/>
  <c r="F505" i="8"/>
  <c r="F521" i="8"/>
  <c r="F537" i="8"/>
  <c r="F407" i="8"/>
  <c r="F415" i="8"/>
  <c r="F422" i="8"/>
  <c r="F438" i="8"/>
  <c r="F454" i="8"/>
  <c r="F470" i="8"/>
  <c r="F486" i="8"/>
  <c r="F502" i="8"/>
  <c r="F518" i="8"/>
  <c r="F534" i="8"/>
  <c r="F419" i="8"/>
  <c r="F435" i="8"/>
  <c r="F451" i="8"/>
  <c r="F467" i="8"/>
  <c r="F483" i="8"/>
  <c r="F499" i="8"/>
  <c r="F515" i="8"/>
  <c r="F531" i="8"/>
  <c r="F547" i="8"/>
  <c r="F432" i="8"/>
  <c r="F448" i="8"/>
  <c r="F464" i="8"/>
  <c r="F480" i="8"/>
  <c r="F496" i="8"/>
  <c r="F512" i="8"/>
  <c r="F528" i="8"/>
  <c r="F544" i="8"/>
  <c r="F429" i="8"/>
  <c r="F445" i="8"/>
  <c r="F461" i="8"/>
  <c r="F477" i="8"/>
  <c r="F493" i="8"/>
  <c r="F509" i="8"/>
  <c r="F525" i="8"/>
  <c r="F541" i="8"/>
  <c r="F416" i="8"/>
  <c r="F426" i="8"/>
  <c r="F442" i="8"/>
  <c r="F458" i="8"/>
  <c r="F474" i="8"/>
  <c r="F490" i="8"/>
  <c r="F506" i="8"/>
  <c r="F522" i="8"/>
  <c r="F538" i="8"/>
  <c r="F423" i="8"/>
  <c r="F439" i="8"/>
  <c r="F455" i="8"/>
  <c r="F471" i="8"/>
  <c r="F487" i="8"/>
  <c r="F503" i="8"/>
  <c r="F519" i="8"/>
  <c r="F535" i="8"/>
  <c r="F391" i="8"/>
  <c r="F412" i="8"/>
  <c r="F420" i="8"/>
  <c r="F436" i="8"/>
  <c r="F452" i="8"/>
  <c r="F468" i="8"/>
  <c r="F484" i="8"/>
  <c r="F500" i="8"/>
  <c r="F516" i="8"/>
  <c r="F532" i="8"/>
  <c r="F433" i="8"/>
  <c r="F449" i="8"/>
  <c r="F465" i="8"/>
  <c r="F481" i="8"/>
  <c r="F497" i="8"/>
  <c r="F513" i="8"/>
  <c r="F529" i="8"/>
  <c r="F545" i="8"/>
  <c r="F430" i="8"/>
  <c r="F446" i="8"/>
  <c r="F462" i="8"/>
  <c r="F478" i="8"/>
  <c r="F494" i="8"/>
  <c r="F510" i="8"/>
  <c r="F526" i="8"/>
  <c r="F542" i="8"/>
  <c r="F413" i="8"/>
  <c r="F417" i="8"/>
  <c r="F427" i="8"/>
  <c r="F443" i="8"/>
  <c r="F459" i="8"/>
  <c r="F475" i="8"/>
  <c r="F491" i="8"/>
  <c r="F507" i="8"/>
  <c r="F523" i="8"/>
  <c r="F539" i="8"/>
  <c r="F424" i="8"/>
  <c r="F440" i="8"/>
  <c r="F456" i="8"/>
  <c r="F472" i="8"/>
  <c r="F488" i="8"/>
  <c r="F504" i="8"/>
  <c r="F520" i="8"/>
  <c r="F536" i="8"/>
  <c r="E904" i="8"/>
  <c r="E920" i="8"/>
  <c r="E936" i="8"/>
  <c r="E901" i="8"/>
  <c r="E917" i="8"/>
  <c r="E933" i="8"/>
  <c r="E898" i="8"/>
  <c r="E914" i="8"/>
  <c r="E930" i="8"/>
  <c r="E895" i="8"/>
  <c r="E911" i="8"/>
  <c r="E927" i="8"/>
  <c r="E943" i="8"/>
  <c r="E892" i="8"/>
  <c r="E908" i="8"/>
  <c r="E924" i="8"/>
  <c r="E905" i="8"/>
  <c r="E921" i="8"/>
  <c r="E937" i="8"/>
  <c r="E902" i="8"/>
  <c r="E918" i="8"/>
  <c r="E934" i="8"/>
  <c r="E899" i="8"/>
  <c r="E915" i="8"/>
  <c r="E931" i="8"/>
  <c r="E947" i="8"/>
  <c r="E896" i="8"/>
  <c r="E912" i="8"/>
  <c r="E928" i="8"/>
  <c r="E893" i="8"/>
  <c r="E890" i="8"/>
  <c r="E906" i="8"/>
  <c r="E922" i="8"/>
  <c r="E938" i="8"/>
  <c r="E903" i="8"/>
  <c r="E919" i="8"/>
  <c r="E935" i="8"/>
  <c r="E900" i="8"/>
  <c r="E916" i="8"/>
  <c r="E932" i="8"/>
  <c r="E897" i="8"/>
  <c r="E913" i="8"/>
  <c r="E929" i="8"/>
  <c r="E945" i="8"/>
  <c r="E894" i="8"/>
  <c r="E910" i="8"/>
  <c r="E926" i="8"/>
  <c r="E942" i="8"/>
  <c r="E891" i="8"/>
  <c r="E907" i="8"/>
  <c r="E923" i="8"/>
  <c r="E948" i="8"/>
  <c r="E961" i="8"/>
  <c r="E977" i="8"/>
  <c r="E993" i="8"/>
  <c r="E944" i="8"/>
  <c r="E958" i="8"/>
  <c r="E974" i="8"/>
  <c r="E990" i="8"/>
  <c r="E955" i="8"/>
  <c r="E971" i="8"/>
  <c r="E987" i="8"/>
  <c r="E952" i="8"/>
  <c r="E968" i="8"/>
  <c r="E984" i="8"/>
  <c r="E909" i="8"/>
  <c r="E949" i="8"/>
  <c r="E965" i="8"/>
  <c r="E981" i="8"/>
  <c r="E939" i="8"/>
  <c r="E962" i="8"/>
  <c r="E978" i="8"/>
  <c r="E994" i="8"/>
  <c r="E959" i="8"/>
  <c r="E975" i="8"/>
  <c r="E991" i="8"/>
  <c r="E940" i="8"/>
  <c r="E946" i="8"/>
  <c r="E956" i="8"/>
  <c r="E972" i="8"/>
  <c r="E988" i="8"/>
  <c r="E953" i="8"/>
  <c r="E969" i="8"/>
  <c r="E985" i="8"/>
  <c r="E925" i="8"/>
  <c r="E941" i="8"/>
  <c r="E950" i="8"/>
  <c r="E966" i="8"/>
  <c r="E982" i="8"/>
  <c r="E963" i="8"/>
  <c r="E979" i="8"/>
  <c r="E960" i="8"/>
  <c r="E976" i="8"/>
  <c r="E992" i="8"/>
  <c r="E957" i="8"/>
  <c r="E973" i="8"/>
  <c r="E989" i="8"/>
  <c r="E954" i="8"/>
  <c r="E970" i="8"/>
  <c r="E986" i="8"/>
  <c r="E951" i="8"/>
  <c r="E967" i="8"/>
  <c r="E983" i="8"/>
  <c r="E964" i="8"/>
  <c r="E980" i="8"/>
  <c r="F318" i="8"/>
  <c r="F319" i="8"/>
  <c r="F320" i="8"/>
  <c r="F2317" i="8"/>
  <c r="F2314" i="8"/>
  <c r="F2315" i="8"/>
  <c r="F2316" i="8"/>
  <c r="F2313" i="8"/>
  <c r="F1609" i="8"/>
  <c r="F1625" i="8"/>
  <c r="F1641" i="8"/>
  <c r="F1606" i="8"/>
  <c r="F1622" i="8"/>
  <c r="F1638" i="8"/>
  <c r="F1654" i="8"/>
  <c r="F1603" i="8"/>
  <c r="F1619" i="8"/>
  <c r="F1635" i="8"/>
  <c r="F1651" i="8"/>
  <c r="F1600" i="8"/>
  <c r="F1616" i="8"/>
  <c r="F1632" i="8"/>
  <c r="F1648" i="8"/>
  <c r="F1613" i="8"/>
  <c r="F1629" i="8"/>
  <c r="F1645" i="8"/>
  <c r="F1610" i="8"/>
  <c r="F1626" i="8"/>
  <c r="F1642" i="8"/>
  <c r="F1607" i="8"/>
  <c r="F1623" i="8"/>
  <c r="F1639" i="8"/>
  <c r="F1655" i="8"/>
  <c r="F1604" i="8"/>
  <c r="F1620" i="8"/>
  <c r="F1636" i="8"/>
  <c r="F1652" i="8"/>
  <c r="F1601" i="8"/>
  <c r="F1617" i="8"/>
  <c r="F1633" i="8"/>
  <c r="F1649" i="8"/>
  <c r="F1614" i="8"/>
  <c r="F1630" i="8"/>
  <c r="F1646" i="8"/>
  <c r="F1611" i="8"/>
  <c r="F1627" i="8"/>
  <c r="F1643" i="8"/>
  <c r="F1608" i="8"/>
  <c r="F1624" i="8"/>
  <c r="F1640" i="8"/>
  <c r="F1605" i="8"/>
  <c r="F1621" i="8"/>
  <c r="F1637" i="8"/>
  <c r="F1653" i="8"/>
  <c r="F1602" i="8"/>
  <c r="F1618" i="8"/>
  <c r="F1634" i="8"/>
  <c r="F1650" i="8"/>
  <c r="F1615" i="8"/>
  <c r="F1631" i="8"/>
  <c r="F1647" i="8"/>
  <c r="F1612" i="8"/>
  <c r="F1628" i="8"/>
  <c r="F1644" i="8"/>
  <c r="E1233" i="8"/>
  <c r="E1249" i="8"/>
  <c r="E1265" i="8"/>
  <c r="E1281" i="8"/>
  <c r="E1297" i="8"/>
  <c r="E1313" i="8"/>
  <c r="E1246" i="8"/>
  <c r="E1262" i="8"/>
  <c r="E1278" i="8"/>
  <c r="E1294" i="8"/>
  <c r="E1310" i="8"/>
  <c r="E1243" i="8"/>
  <c r="E1259" i="8"/>
  <c r="E1275" i="8"/>
  <c r="E1291" i="8"/>
  <c r="E1307" i="8"/>
  <c r="E1240" i="8"/>
  <c r="E1256" i="8"/>
  <c r="E1272" i="8"/>
  <c r="E1288" i="8"/>
  <c r="E1304" i="8"/>
  <c r="E1237" i="8"/>
  <c r="E1253" i="8"/>
  <c r="E1269" i="8"/>
  <c r="E1285" i="8"/>
  <c r="E1301" i="8"/>
  <c r="E1234" i="8"/>
  <c r="E1250" i="8"/>
  <c r="E1266" i="8"/>
  <c r="E1282" i="8"/>
  <c r="E1298" i="8"/>
  <c r="E1314" i="8"/>
  <c r="E1247" i="8"/>
  <c r="E1263" i="8"/>
  <c r="E1279" i="8"/>
  <c r="E1295" i="8"/>
  <c r="E1311" i="8"/>
  <c r="E1244" i="8"/>
  <c r="E1260" i="8"/>
  <c r="E1276" i="8"/>
  <c r="E1292" i="8"/>
  <c r="E1308" i="8"/>
  <c r="E1241" i="8"/>
  <c r="E1257" i="8"/>
  <c r="E1273" i="8"/>
  <c r="E1289" i="8"/>
  <c r="E1305" i="8"/>
  <c r="E1238" i="8"/>
  <c r="E1254" i="8"/>
  <c r="E1270" i="8"/>
  <c r="E1286" i="8"/>
  <c r="E1302" i="8"/>
  <c r="E1235" i="8"/>
  <c r="E1251" i="8"/>
  <c r="E1267" i="8"/>
  <c r="E1283" i="8"/>
  <c r="E1299" i="8"/>
  <c r="E1315" i="8"/>
  <c r="E1248" i="8"/>
  <c r="E1264" i="8"/>
  <c r="E1280" i="8"/>
  <c r="E1296" i="8"/>
  <c r="E1312" i="8"/>
  <c r="E1245" i="8"/>
  <c r="E1261" i="8"/>
  <c r="E1277" i="8"/>
  <c r="E1293" i="8"/>
  <c r="E1309" i="8"/>
  <c r="E1242" i="8"/>
  <c r="E1258" i="8"/>
  <c r="E1274" i="8"/>
  <c r="E1290" i="8"/>
  <c r="E1306" i="8"/>
  <c r="E1239" i="8"/>
  <c r="E1255" i="8"/>
  <c r="E1271" i="8"/>
  <c r="E1287" i="8"/>
  <c r="E1303" i="8"/>
  <c r="E1236" i="8"/>
  <c r="E1252" i="8"/>
  <c r="E1268" i="8"/>
  <c r="E1284" i="8"/>
  <c r="E1300" i="8"/>
  <c r="F1775" i="8"/>
  <c r="F1772" i="8"/>
  <c r="F1769" i="8"/>
  <c r="F1766" i="8"/>
  <c r="F1773" i="8"/>
  <c r="F1770" i="8"/>
  <c r="F1767" i="8"/>
  <c r="F1774" i="8"/>
  <c r="F1771" i="8"/>
  <c r="F1768" i="8"/>
  <c r="E1667" i="8"/>
  <c r="E1683" i="8"/>
  <c r="E1699" i="8"/>
  <c r="E1715" i="8"/>
  <c r="E1731" i="8"/>
  <c r="E1664" i="8"/>
  <c r="E1680" i="8"/>
  <c r="E1696" i="8"/>
  <c r="E1712" i="8"/>
  <c r="E1728" i="8"/>
  <c r="E1661" i="8"/>
  <c r="E1677" i="8"/>
  <c r="E1693" i="8"/>
  <c r="E1709" i="8"/>
  <c r="E1658" i="8"/>
  <c r="E1674" i="8"/>
  <c r="E1690" i="8"/>
  <c r="E1706" i="8"/>
  <c r="E1722" i="8"/>
  <c r="E1671" i="8"/>
  <c r="E1687" i="8"/>
  <c r="E1703" i="8"/>
  <c r="E1719" i="8"/>
  <c r="E1735" i="8"/>
  <c r="E1668" i="8"/>
  <c r="E1684" i="8"/>
  <c r="E1700" i="8"/>
  <c r="E1716" i="8"/>
  <c r="E1665" i="8"/>
  <c r="E1681" i="8"/>
  <c r="E1697" i="8"/>
  <c r="E1713" i="8"/>
  <c r="E1729" i="8"/>
  <c r="E1662" i="8"/>
  <c r="E1678" i="8"/>
  <c r="E1694" i="8"/>
  <c r="E1710" i="8"/>
  <c r="E1726" i="8"/>
  <c r="E1659" i="8"/>
  <c r="E1675" i="8"/>
  <c r="E1691" i="8"/>
  <c r="E1707" i="8"/>
  <c r="E1723" i="8"/>
  <c r="E1739" i="8"/>
  <c r="E1656" i="8"/>
  <c r="E1672" i="8"/>
  <c r="E1688" i="8"/>
  <c r="E1704" i="8"/>
  <c r="E1720" i="8"/>
  <c r="E1669" i="8"/>
  <c r="E1685" i="8"/>
  <c r="E1701" i="8"/>
  <c r="E1717" i="8"/>
  <c r="E1733" i="8"/>
  <c r="E1666" i="8"/>
  <c r="E1682" i="8"/>
  <c r="E1698" i="8"/>
  <c r="E1714" i="8"/>
  <c r="E1730" i="8"/>
  <c r="E1663" i="8"/>
  <c r="E1679" i="8"/>
  <c r="E1695" i="8"/>
  <c r="E1711" i="8"/>
  <c r="E1727" i="8"/>
  <c r="E1660" i="8"/>
  <c r="E1676" i="8"/>
  <c r="E1692" i="8"/>
  <c r="E1708" i="8"/>
  <c r="E1724" i="8"/>
  <c r="E1740" i="8"/>
  <c r="E1657" i="8"/>
  <c r="E1673" i="8"/>
  <c r="E1689" i="8"/>
  <c r="E1705" i="8"/>
  <c r="E1721" i="8"/>
  <c r="E1737" i="8"/>
  <c r="E1718" i="8"/>
  <c r="E1742" i="8"/>
  <c r="E1670" i="8"/>
  <c r="E1736" i="8"/>
  <c r="E1743" i="8"/>
  <c r="E1747" i="8"/>
  <c r="E1725" i="8"/>
  <c r="E1686" i="8"/>
  <c r="E1738" i="8"/>
  <c r="E1744" i="8"/>
  <c r="E1748" i="8"/>
  <c r="E1702" i="8"/>
  <c r="E1732" i="8"/>
  <c r="E1745" i="8"/>
  <c r="E1741" i="8"/>
  <c r="E1734" i="8"/>
  <c r="E1746" i="8"/>
  <c r="E2432" i="8"/>
  <c r="E2448" i="8"/>
  <c r="E2464" i="8"/>
  <c r="E2480" i="8"/>
  <c r="E2496" i="8"/>
  <c r="E2512" i="8"/>
  <c r="E2445" i="8"/>
  <c r="E2461" i="8"/>
  <c r="E2477" i="8"/>
  <c r="E2493" i="8"/>
  <c r="E2509" i="8"/>
  <c r="E2442" i="8"/>
  <c r="E2458" i="8"/>
  <c r="E2474" i="8"/>
  <c r="E2490" i="8"/>
  <c r="E2506" i="8"/>
  <c r="E2522" i="8"/>
  <c r="E2439" i="8"/>
  <c r="E2455" i="8"/>
  <c r="E2471" i="8"/>
  <c r="E2487" i="8"/>
  <c r="E2503" i="8"/>
  <c r="E2519" i="8"/>
  <c r="E2436" i="8"/>
  <c r="E2452" i="8"/>
  <c r="E2468" i="8"/>
  <c r="E2484" i="8"/>
  <c r="E2500" i="8"/>
  <c r="E2516" i="8"/>
  <c r="E2433" i="8"/>
  <c r="E2449" i="8"/>
  <c r="E2465" i="8"/>
  <c r="E2481" i="8"/>
  <c r="E2497" i="8"/>
  <c r="E2513" i="8"/>
  <c r="E2430" i="8"/>
  <c r="E2446" i="8"/>
  <c r="E2462" i="8"/>
  <c r="E2478" i="8"/>
  <c r="E2494" i="8"/>
  <c r="E2510" i="8"/>
  <c r="E2443" i="8"/>
  <c r="E2459" i="8"/>
  <c r="E2475" i="8"/>
  <c r="E2491" i="8"/>
  <c r="E2440" i="8"/>
  <c r="E2456" i="8"/>
  <c r="E2472" i="8"/>
  <c r="E2488" i="8"/>
  <c r="E2504" i="8"/>
  <c r="E2520" i="8"/>
  <c r="E2437" i="8"/>
  <c r="E2453" i="8"/>
  <c r="E2469" i="8"/>
  <c r="E2485" i="8"/>
  <c r="E2501" i="8"/>
  <c r="E2517" i="8"/>
  <c r="E2434" i="8"/>
  <c r="E2450" i="8"/>
  <c r="E2466" i="8"/>
  <c r="E2482" i="8"/>
  <c r="E2498" i="8"/>
  <c r="E2514" i="8"/>
  <c r="E2431" i="8"/>
  <c r="E2447" i="8"/>
  <c r="E2463" i="8"/>
  <c r="E2479" i="8"/>
  <c r="E2495" i="8"/>
  <c r="E2511" i="8"/>
  <c r="E2444" i="8"/>
  <c r="E2460" i="8"/>
  <c r="E2476" i="8"/>
  <c r="E2492" i="8"/>
  <c r="E2508" i="8"/>
  <c r="E2524" i="8"/>
  <c r="E2441" i="8"/>
  <c r="E2457" i="8"/>
  <c r="E2473" i="8"/>
  <c r="E2489" i="8"/>
  <c r="E2505" i="8"/>
  <c r="E2521" i="8"/>
  <c r="E2438" i="8"/>
  <c r="E2454" i="8"/>
  <c r="E2470" i="8"/>
  <c r="E2486" i="8"/>
  <c r="E2502" i="8"/>
  <c r="E2518" i="8"/>
  <c r="E2435" i="8"/>
  <c r="E2451" i="8"/>
  <c r="E2467" i="8"/>
  <c r="E2483" i="8"/>
  <c r="E2499" i="8"/>
  <c r="E2515" i="8"/>
  <c r="E2507" i="8"/>
  <c r="E2523" i="8"/>
  <c r="F597" i="8"/>
  <c r="F613" i="8"/>
  <c r="F629" i="8"/>
  <c r="F645" i="8"/>
  <c r="F661" i="8"/>
  <c r="F677" i="8"/>
  <c r="F610" i="8"/>
  <c r="F626" i="8"/>
  <c r="F642" i="8"/>
  <c r="F658" i="8"/>
  <c r="F607" i="8"/>
  <c r="F623" i="8"/>
  <c r="F639" i="8"/>
  <c r="F655" i="8"/>
  <c r="F671" i="8"/>
  <c r="F604" i="8"/>
  <c r="F620" i="8"/>
  <c r="F636" i="8"/>
  <c r="F652" i="8"/>
  <c r="F668" i="8"/>
  <c r="F601" i="8"/>
  <c r="F617" i="8"/>
  <c r="F633" i="8"/>
  <c r="F649" i="8"/>
  <c r="F665" i="8"/>
  <c r="F598" i="8"/>
  <c r="F614" i="8"/>
  <c r="F630" i="8"/>
  <c r="F646" i="8"/>
  <c r="F662" i="8"/>
  <c r="F678" i="8"/>
  <c r="F611" i="8"/>
  <c r="F627" i="8"/>
  <c r="F643" i="8"/>
  <c r="F659" i="8"/>
  <c r="F608" i="8"/>
  <c r="F624" i="8"/>
  <c r="F640" i="8"/>
  <c r="F656" i="8"/>
  <c r="F672" i="8"/>
  <c r="F605" i="8"/>
  <c r="F621" i="8"/>
  <c r="F637" i="8"/>
  <c r="F653" i="8"/>
  <c r="F669" i="8"/>
  <c r="F602" i="8"/>
  <c r="F618" i="8"/>
  <c r="F634" i="8"/>
  <c r="F650" i="8"/>
  <c r="F666" i="8"/>
  <c r="F599" i="8"/>
  <c r="F615" i="8"/>
  <c r="F631" i="8"/>
  <c r="F647" i="8"/>
  <c r="F663" i="8"/>
  <c r="F612" i="8"/>
  <c r="F628" i="8"/>
  <c r="F644" i="8"/>
  <c r="F660" i="8"/>
  <c r="F676" i="8"/>
  <c r="F609" i="8"/>
  <c r="F625" i="8"/>
  <c r="F641" i="8"/>
  <c r="F657" i="8"/>
  <c r="F673" i="8"/>
  <c r="F606" i="8"/>
  <c r="F622" i="8"/>
  <c r="F638" i="8"/>
  <c r="F654" i="8"/>
  <c r="F670" i="8"/>
  <c r="F603" i="8"/>
  <c r="F619" i="8"/>
  <c r="F635" i="8"/>
  <c r="F651" i="8"/>
  <c r="F667" i="8"/>
  <c r="F600" i="8"/>
  <c r="F616" i="8"/>
  <c r="F632" i="8"/>
  <c r="F648" i="8"/>
  <c r="F664" i="8"/>
  <c r="F680" i="8"/>
  <c r="F683" i="8"/>
  <c r="F679" i="8"/>
  <c r="F696" i="8"/>
  <c r="F693" i="8"/>
  <c r="F690" i="8"/>
  <c r="F687" i="8"/>
  <c r="F684" i="8"/>
  <c r="F697" i="8"/>
  <c r="F674" i="8"/>
  <c r="F681" i="8"/>
  <c r="F694" i="8"/>
  <c r="F691" i="8"/>
  <c r="F675" i="8"/>
  <c r="F688" i="8"/>
  <c r="F685" i="8"/>
  <c r="F682" i="8"/>
  <c r="F698" i="8"/>
  <c r="F695" i="8"/>
  <c r="F692" i="8"/>
  <c r="F689" i="8"/>
  <c r="F686" i="8"/>
  <c r="F2531" i="8"/>
  <c r="F2528" i="8"/>
  <c r="F2525" i="8"/>
  <c r="F2541" i="8"/>
  <c r="F2538" i="8"/>
  <c r="F2535" i="8"/>
  <c r="F2532" i="8"/>
  <c r="F2529" i="8"/>
  <c r="F2539" i="8"/>
  <c r="F2536" i="8"/>
  <c r="F2530" i="8"/>
  <c r="F2527" i="8"/>
  <c r="F2543" i="8"/>
  <c r="F2540" i="8"/>
  <c r="F2537" i="8"/>
  <c r="F2534" i="8"/>
  <c r="F2561" i="8"/>
  <c r="F2577" i="8"/>
  <c r="F2593" i="8"/>
  <c r="F2609" i="8"/>
  <c r="F2625" i="8"/>
  <c r="F2641" i="8"/>
  <c r="F2657" i="8"/>
  <c r="F2673" i="8"/>
  <c r="F2689" i="8"/>
  <c r="F2705" i="8"/>
  <c r="F2721" i="8"/>
  <c r="F2737" i="8"/>
  <c r="F2753" i="8"/>
  <c r="F2769" i="8"/>
  <c r="F2545" i="8"/>
  <c r="F2558" i="8"/>
  <c r="F2574" i="8"/>
  <c r="F2590" i="8"/>
  <c r="F2606" i="8"/>
  <c r="F2622" i="8"/>
  <c r="F2638" i="8"/>
  <c r="F2654" i="8"/>
  <c r="F2670" i="8"/>
  <c r="F2686" i="8"/>
  <c r="F2702" i="8"/>
  <c r="F2718" i="8"/>
  <c r="F2734" i="8"/>
  <c r="F2750" i="8"/>
  <c r="F2766" i="8"/>
  <c r="F2555" i="8"/>
  <c r="F2571" i="8"/>
  <c r="F2587" i="8"/>
  <c r="F2603" i="8"/>
  <c r="F2619" i="8"/>
  <c r="F2635" i="8"/>
  <c r="F2651" i="8"/>
  <c r="F2667" i="8"/>
  <c r="F2683" i="8"/>
  <c r="F2699" i="8"/>
  <c r="F2715" i="8"/>
  <c r="F2731" i="8"/>
  <c r="F2747" i="8"/>
  <c r="F2763" i="8"/>
  <c r="F2552" i="8"/>
  <c r="F2568" i="8"/>
  <c r="F2584" i="8"/>
  <c r="F2600" i="8"/>
  <c r="F2616" i="8"/>
  <c r="F2632" i="8"/>
  <c r="F2648" i="8"/>
  <c r="F2664" i="8"/>
  <c r="F2680" i="8"/>
  <c r="F2696" i="8"/>
  <c r="F2712" i="8"/>
  <c r="F2728" i="8"/>
  <c r="F2744" i="8"/>
  <c r="F2760" i="8"/>
  <c r="F2776" i="8"/>
  <c r="F2549" i="8"/>
  <c r="F2565" i="8"/>
  <c r="F2581" i="8"/>
  <c r="F2597" i="8"/>
  <c r="F2613" i="8"/>
  <c r="F2629" i="8"/>
  <c r="F2645" i="8"/>
  <c r="F2661" i="8"/>
  <c r="F2677" i="8"/>
  <c r="F2693" i="8"/>
  <c r="F2709" i="8"/>
  <c r="F2725" i="8"/>
  <c r="F2741" i="8"/>
  <c r="F2757" i="8"/>
  <c r="F2773" i="8"/>
  <c r="F2562" i="8"/>
  <c r="F2578" i="8"/>
  <c r="F2594" i="8"/>
  <c r="F2610" i="8"/>
  <c r="F2626" i="8"/>
  <c r="F2642" i="8"/>
  <c r="F2658" i="8"/>
  <c r="F2674" i="8"/>
  <c r="F2690" i="8"/>
  <c r="F2706" i="8"/>
  <c r="F2722" i="8"/>
  <c r="F2738" i="8"/>
  <c r="F2754" i="8"/>
  <c r="F2770" i="8"/>
  <c r="F2546" i="8"/>
  <c r="F2559" i="8"/>
  <c r="F2575" i="8"/>
  <c r="F2591" i="8"/>
  <c r="F2607" i="8"/>
  <c r="F2623" i="8"/>
  <c r="F2639" i="8"/>
  <c r="F2655" i="8"/>
  <c r="F2671" i="8"/>
  <c r="F2687" i="8"/>
  <c r="F2703" i="8"/>
  <c r="F2719" i="8"/>
  <c r="F2735" i="8"/>
  <c r="F2751" i="8"/>
  <c r="F2767" i="8"/>
  <c r="F2526" i="8"/>
  <c r="F2556" i="8"/>
  <c r="F2572" i="8"/>
  <c r="F2588" i="8"/>
  <c r="F2604" i="8"/>
  <c r="F2620" i="8"/>
  <c r="F2636" i="8"/>
  <c r="F2652" i="8"/>
  <c r="F2668" i="8"/>
  <c r="F2684" i="8"/>
  <c r="F2700" i="8"/>
  <c r="F2716" i="8"/>
  <c r="F2732" i="8"/>
  <c r="F2748" i="8"/>
  <c r="F2764" i="8"/>
  <c r="F2542" i="8"/>
  <c r="F2553" i="8"/>
  <c r="F2569" i="8"/>
  <c r="F2585" i="8"/>
  <c r="F2601" i="8"/>
  <c r="F2617" i="8"/>
  <c r="F2633" i="8"/>
  <c r="F2649" i="8"/>
  <c r="F2665" i="8"/>
  <c r="F2681" i="8"/>
  <c r="F2697" i="8"/>
  <c r="F2713" i="8"/>
  <c r="F2729" i="8"/>
  <c r="F2745" i="8"/>
  <c r="F2761" i="8"/>
  <c r="F2777" i="8"/>
  <c r="F2550" i="8"/>
  <c r="F2566" i="8"/>
  <c r="F2582" i="8"/>
  <c r="F2598" i="8"/>
  <c r="F2614" i="8"/>
  <c r="F2630" i="8"/>
  <c r="F2646" i="8"/>
  <c r="F2662" i="8"/>
  <c r="F2678" i="8"/>
  <c r="F2694" i="8"/>
  <c r="F2710" i="8"/>
  <c r="F2726" i="8"/>
  <c r="F2742" i="8"/>
  <c r="F2547" i="8"/>
  <c r="F2563" i="8"/>
  <c r="F2579" i="8"/>
  <c r="F2595" i="8"/>
  <c r="F2611" i="8"/>
  <c r="F2627" i="8"/>
  <c r="F2643" i="8"/>
  <c r="F2659" i="8"/>
  <c r="F2675" i="8"/>
  <c r="F2691" i="8"/>
  <c r="F2707" i="8"/>
  <c r="F2723" i="8"/>
  <c r="F2739" i="8"/>
  <c r="F2755" i="8"/>
  <c r="F2771" i="8"/>
  <c r="F2560" i="8"/>
  <c r="F2576" i="8"/>
  <c r="F2592" i="8"/>
  <c r="F2608" i="8"/>
  <c r="F2624" i="8"/>
  <c r="F2640" i="8"/>
  <c r="F2656" i="8"/>
  <c r="F2672" i="8"/>
  <c r="F2688" i="8"/>
  <c r="F2704" i="8"/>
  <c r="F2720" i="8"/>
  <c r="F2736" i="8"/>
  <c r="F2752" i="8"/>
  <c r="F2768" i="8"/>
  <c r="F2533" i="8"/>
  <c r="F2544" i="8"/>
  <c r="F2557" i="8"/>
  <c r="F2573" i="8"/>
  <c r="F2589" i="8"/>
  <c r="F2605" i="8"/>
  <c r="F2621" i="8"/>
  <c r="F2637" i="8"/>
  <c r="F2653" i="8"/>
  <c r="F2669" i="8"/>
  <c r="F2685" i="8"/>
  <c r="F2701" i="8"/>
  <c r="F2717" i="8"/>
  <c r="F2733" i="8"/>
  <c r="F2749" i="8"/>
  <c r="F2765" i="8"/>
  <c r="F2554" i="8"/>
  <c r="F2570" i="8"/>
  <c r="F2586" i="8"/>
  <c r="F2602" i="8"/>
  <c r="F2618" i="8"/>
  <c r="F2634" i="8"/>
  <c r="F2650" i="8"/>
  <c r="F2666" i="8"/>
  <c r="F2682" i="8"/>
  <c r="F2698" i="8"/>
  <c r="F2714" i="8"/>
  <c r="F2730" i="8"/>
  <c r="F2746" i="8"/>
  <c r="F2762" i="8"/>
  <c r="F2778" i="8"/>
  <c r="F2551" i="8"/>
  <c r="F2567" i="8"/>
  <c r="F2583" i="8"/>
  <c r="F2599" i="8"/>
  <c r="F2615" i="8"/>
  <c r="F2631" i="8"/>
  <c r="F2647" i="8"/>
  <c r="F2663" i="8"/>
  <c r="F2679" i="8"/>
  <c r="F2695" i="8"/>
  <c r="F2711" i="8"/>
  <c r="F2727" i="8"/>
  <c r="F2743" i="8"/>
  <c r="F2759" i="8"/>
  <c r="F2775" i="8"/>
  <c r="F2548" i="8"/>
  <c r="F2564" i="8"/>
  <c r="F2580" i="8"/>
  <c r="F2596" i="8"/>
  <c r="F2612" i="8"/>
  <c r="F2628" i="8"/>
  <c r="F2644" i="8"/>
  <c r="F2660" i="8"/>
  <c r="F2676" i="8"/>
  <c r="F2692" i="8"/>
  <c r="F2708" i="8"/>
  <c r="F2724" i="8"/>
  <c r="F2740" i="8"/>
  <c r="F2756" i="8"/>
  <c r="F2772" i="8"/>
  <c r="F2758" i="8"/>
  <c r="F2774" i="8"/>
  <c r="E1121" i="8"/>
  <c r="E1137" i="8"/>
  <c r="E1153" i="8"/>
  <c r="E1169" i="8"/>
  <c r="E1118" i="8"/>
  <c r="E1134" i="8"/>
  <c r="E1150" i="8"/>
  <c r="E1166" i="8"/>
  <c r="E1115" i="8"/>
  <c r="E1131" i="8"/>
  <c r="E1147" i="8"/>
  <c r="E1163" i="8"/>
  <c r="E1128" i="8"/>
  <c r="E1144" i="8"/>
  <c r="E1160" i="8"/>
  <c r="E1176" i="8"/>
  <c r="E1125" i="8"/>
  <c r="E1141" i="8"/>
  <c r="E1157" i="8"/>
  <c r="E1173" i="8"/>
  <c r="E1122" i="8"/>
  <c r="E1138" i="8"/>
  <c r="E1154" i="8"/>
  <c r="E1170" i="8"/>
  <c r="E1119" i="8"/>
  <c r="E1135" i="8"/>
  <c r="E1151" i="8"/>
  <c r="E1167" i="8"/>
  <c r="E1116" i="8"/>
  <c r="E1132" i="8"/>
  <c r="E1148" i="8"/>
  <c r="E1164" i="8"/>
  <c r="E1129" i="8"/>
  <c r="E1145" i="8"/>
  <c r="E1161" i="8"/>
  <c r="E1177" i="8"/>
  <c r="E1126" i="8"/>
  <c r="E1142" i="8"/>
  <c r="E1158" i="8"/>
  <c r="E1174" i="8"/>
  <c r="E1123" i="8"/>
  <c r="E1139" i="8"/>
  <c r="E1155" i="8"/>
  <c r="E1171" i="8"/>
  <c r="E1120" i="8"/>
  <c r="E1136" i="8"/>
  <c r="E1152" i="8"/>
  <c r="E1168" i="8"/>
  <c r="E1117" i="8"/>
  <c r="E1133" i="8"/>
  <c r="E1149" i="8"/>
  <c r="E1165" i="8"/>
  <c r="E1130" i="8"/>
  <c r="E1146" i="8"/>
  <c r="E1162" i="8"/>
  <c r="E1178" i="8"/>
  <c r="E1127" i="8"/>
  <c r="E1143" i="8"/>
  <c r="E1159" i="8"/>
  <c r="E1175" i="8"/>
  <c r="E1124" i="8"/>
  <c r="E1140" i="8"/>
  <c r="E1156" i="8"/>
  <c r="E1172" i="8"/>
  <c r="E77" i="8"/>
  <c r="E93" i="8"/>
  <c r="E74" i="8"/>
  <c r="E90" i="8"/>
  <c r="E71" i="8"/>
  <c r="E87" i="8"/>
  <c r="E84" i="8"/>
  <c r="E81" i="8"/>
  <c r="E97" i="8"/>
  <c r="E78" i="8"/>
  <c r="E94" i="8"/>
  <c r="E75" i="8"/>
  <c r="E91" i="8"/>
  <c r="E72" i="8"/>
  <c r="E88" i="8"/>
  <c r="E69" i="8"/>
  <c r="E85" i="8"/>
  <c r="E82" i="8"/>
  <c r="E79" i="8"/>
  <c r="E95" i="8"/>
  <c r="E76" i="8"/>
  <c r="E92" i="8"/>
  <c r="E73" i="8"/>
  <c r="E89" i="8"/>
  <c r="E70" i="8"/>
  <c r="E86" i="8"/>
  <c r="E83" i="8"/>
  <c r="E80" i="8"/>
  <c r="E96" i="8"/>
  <c r="F1220" i="8"/>
  <c r="F1230" i="8"/>
  <c r="F1227" i="8"/>
  <c r="F1224" i="8"/>
  <c r="F1221" i="8"/>
  <c r="F1231" i="8"/>
  <c r="F1228" i="8"/>
  <c r="F1225" i="8"/>
  <c r="F1222" i="8"/>
  <c r="F1232" i="8"/>
  <c r="F1229" i="8"/>
  <c r="F1226" i="8"/>
  <c r="F1223" i="8"/>
  <c r="F1236" i="8"/>
  <c r="F1252" i="8"/>
  <c r="F1268" i="8"/>
  <c r="F1284" i="8"/>
  <c r="F1300" i="8"/>
  <c r="F1233" i="8"/>
  <c r="F1249" i="8"/>
  <c r="F1265" i="8"/>
  <c r="F1281" i="8"/>
  <c r="F1297" i="8"/>
  <c r="F1313" i="8"/>
  <c r="F1246" i="8"/>
  <c r="F1262" i="8"/>
  <c r="F1278" i="8"/>
  <c r="F1294" i="8"/>
  <c r="F1310" i="8"/>
  <c r="F1243" i="8"/>
  <c r="F1259" i="8"/>
  <c r="F1275" i="8"/>
  <c r="F1291" i="8"/>
  <c r="F1307" i="8"/>
  <c r="F1240" i="8"/>
  <c r="F1256" i="8"/>
  <c r="F1272" i="8"/>
  <c r="F1288" i="8"/>
  <c r="F1304" i="8"/>
  <c r="F1237" i="8"/>
  <c r="F1253" i="8"/>
  <c r="F1269" i="8"/>
  <c r="F1285" i="8"/>
  <c r="F1301" i="8"/>
  <c r="F1234" i="8"/>
  <c r="F1250" i="8"/>
  <c r="F1266" i="8"/>
  <c r="F1282" i="8"/>
  <c r="F1298" i="8"/>
  <c r="F1314" i="8"/>
  <c r="F1247" i="8"/>
  <c r="F1263" i="8"/>
  <c r="F1279" i="8"/>
  <c r="F1295" i="8"/>
  <c r="F1311" i="8"/>
  <c r="F1244" i="8"/>
  <c r="F1260" i="8"/>
  <c r="F1276" i="8"/>
  <c r="F1292" i="8"/>
  <c r="F1308" i="8"/>
  <c r="F1241" i="8"/>
  <c r="F1257" i="8"/>
  <c r="F1273" i="8"/>
  <c r="F1289" i="8"/>
  <c r="F1305" i="8"/>
  <c r="F1238" i="8"/>
  <c r="F1254" i="8"/>
  <c r="F1270" i="8"/>
  <c r="F1286" i="8"/>
  <c r="F1302" i="8"/>
  <c r="F1235" i="8"/>
  <c r="F1251" i="8"/>
  <c r="F1267" i="8"/>
  <c r="F1283" i="8"/>
  <c r="F1299" i="8"/>
  <c r="F1315" i="8"/>
  <c r="F1248" i="8"/>
  <c r="F1264" i="8"/>
  <c r="F1280" i="8"/>
  <c r="F1296" i="8"/>
  <c r="F1312" i="8"/>
  <c r="F1245" i="8"/>
  <c r="F1261" i="8"/>
  <c r="F1277" i="8"/>
  <c r="F1293" i="8"/>
  <c r="F1309" i="8"/>
  <c r="F1242" i="8"/>
  <c r="F1258" i="8"/>
  <c r="F1274" i="8"/>
  <c r="F1290" i="8"/>
  <c r="F1306" i="8"/>
  <c r="F1239" i="8"/>
  <c r="F1255" i="8"/>
  <c r="F1271" i="8"/>
  <c r="F1287" i="8"/>
  <c r="F1303" i="8"/>
  <c r="F1412" i="8"/>
  <c r="F1428" i="8"/>
  <c r="F1444" i="8"/>
  <c r="F1460" i="8"/>
  <c r="F1409" i="8"/>
  <c r="F1425" i="8"/>
  <c r="F1441" i="8"/>
  <c r="F1457" i="8"/>
  <c r="F1406" i="8"/>
  <c r="F1422" i="8"/>
  <c r="F1438" i="8"/>
  <c r="F1454" i="8"/>
  <c r="F1470" i="8"/>
  <c r="F1403" i="8"/>
  <c r="F1419" i="8"/>
  <c r="F1435" i="8"/>
  <c r="F1451" i="8"/>
  <c r="F1467" i="8"/>
  <c r="F1416" i="8"/>
  <c r="F1432" i="8"/>
  <c r="F1448" i="8"/>
  <c r="F1464" i="8"/>
  <c r="F1413" i="8"/>
  <c r="F1429" i="8"/>
  <c r="F1445" i="8"/>
  <c r="F1461" i="8"/>
  <c r="F1477" i="8"/>
  <c r="F1410" i="8"/>
  <c r="F1426" i="8"/>
  <c r="F1442" i="8"/>
  <c r="F1458" i="8"/>
  <c r="F1407" i="8"/>
  <c r="F1423" i="8"/>
  <c r="F1439" i="8"/>
  <c r="F1455" i="8"/>
  <c r="F1471" i="8"/>
  <c r="F1404" i="8"/>
  <c r="F1420" i="8"/>
  <c r="F1436" i="8"/>
  <c r="F1452" i="8"/>
  <c r="F1468" i="8"/>
  <c r="F1417" i="8"/>
  <c r="F1433" i="8"/>
  <c r="F1449" i="8"/>
  <c r="F1465" i="8"/>
  <c r="F1414" i="8"/>
  <c r="F1430" i="8"/>
  <c r="F1446" i="8"/>
  <c r="F1462" i="8"/>
  <c r="F1411" i="8"/>
  <c r="F1427" i="8"/>
  <c r="F1443" i="8"/>
  <c r="F1459" i="8"/>
  <c r="F1408" i="8"/>
  <c r="F1424" i="8"/>
  <c r="F1440" i="8"/>
  <c r="F1456" i="8"/>
  <c r="F1472" i="8"/>
  <c r="F1405" i="8"/>
  <c r="F1421" i="8"/>
  <c r="F1437" i="8"/>
  <c r="F1453" i="8"/>
  <c r="F1469" i="8"/>
  <c r="F1418" i="8"/>
  <c r="F1434" i="8"/>
  <c r="F1450" i="8"/>
  <c r="F1466" i="8"/>
  <c r="F1415" i="8"/>
  <c r="F1431" i="8"/>
  <c r="F1447" i="8"/>
  <c r="F1463" i="8"/>
  <c r="F1479" i="8"/>
  <c r="F1481" i="8"/>
  <c r="F1478" i="8"/>
  <c r="F1482" i="8"/>
  <c r="F1473" i="8"/>
  <c r="F1483" i="8"/>
  <c r="F1480" i="8"/>
  <c r="F1474" i="8"/>
  <c r="F1475" i="8"/>
  <c r="F1476" i="8"/>
  <c r="F1484" i="8"/>
  <c r="E1185" i="8"/>
  <c r="E1182" i="8"/>
  <c r="E1179" i="8"/>
  <c r="E1192" i="8"/>
  <c r="E1189" i="8"/>
  <c r="E1186" i="8"/>
  <c r="E1183" i="8"/>
  <c r="E1180" i="8"/>
  <c r="E1193" i="8"/>
  <c r="E1190" i="8"/>
  <c r="E1187" i="8"/>
  <c r="E1184" i="8"/>
  <c r="E1181" i="8"/>
  <c r="E1194" i="8"/>
  <c r="E1191" i="8"/>
  <c r="E1188" i="8"/>
  <c r="E2808" i="8"/>
  <c r="E2809" i="8"/>
  <c r="E2810" i="8"/>
  <c r="E2818" i="8"/>
  <c r="E2815" i="8"/>
  <c r="E2812" i="8"/>
  <c r="E2819" i="8"/>
  <c r="E2816" i="8"/>
  <c r="E2813" i="8"/>
  <c r="E2820" i="8"/>
  <c r="E2817" i="8"/>
  <c r="E2814" i="8"/>
  <c r="E2811" i="8"/>
  <c r="E2821" i="8"/>
  <c r="F2785" i="8"/>
  <c r="F2801" i="8"/>
  <c r="F2782" i="8"/>
  <c r="F2798" i="8"/>
  <c r="F2779" i="8"/>
  <c r="F2795" i="8"/>
  <c r="F2792" i="8"/>
  <c r="F2789" i="8"/>
  <c r="F2786" i="8"/>
  <c r="F2802" i="8"/>
  <c r="F2783" i="8"/>
  <c r="F2799" i="8"/>
  <c r="F2780" i="8"/>
  <c r="F2796" i="8"/>
  <c r="F2793" i="8"/>
  <c r="F2787" i="8"/>
  <c r="F2803" i="8"/>
  <c r="F2784" i="8"/>
  <c r="F2800" i="8"/>
  <c r="F2781" i="8"/>
  <c r="F2797" i="8"/>
  <c r="F2794" i="8"/>
  <c r="F2791" i="8"/>
  <c r="F2807" i="8"/>
  <c r="F2788" i="8"/>
  <c r="F2804" i="8"/>
  <c r="F2805" i="8"/>
  <c r="F2806" i="8"/>
  <c r="F2790" i="8"/>
  <c r="F333" i="8"/>
  <c r="F349" i="8"/>
  <c r="F365" i="8"/>
  <c r="F381" i="8"/>
  <c r="F330" i="8"/>
  <c r="F346" i="8"/>
  <c r="F362" i="8"/>
  <c r="F378" i="8"/>
  <c r="F327" i="8"/>
  <c r="F343" i="8"/>
  <c r="F324" i="8"/>
  <c r="F340" i="8"/>
  <c r="F356" i="8"/>
  <c r="F372" i="8"/>
  <c r="F388" i="8"/>
  <c r="F337" i="8"/>
  <c r="F353" i="8"/>
  <c r="F369" i="8"/>
  <c r="F385" i="8"/>
  <c r="F334" i="8"/>
  <c r="F350" i="8"/>
  <c r="F366" i="8"/>
  <c r="F382" i="8"/>
  <c r="F331" i="8"/>
  <c r="F347" i="8"/>
  <c r="F363" i="8"/>
  <c r="F379" i="8"/>
  <c r="F328" i="8"/>
  <c r="F344" i="8"/>
  <c r="F360" i="8"/>
  <c r="F376" i="8"/>
  <c r="F325" i="8"/>
  <c r="F341" i="8"/>
  <c r="F357" i="8"/>
  <c r="F373" i="8"/>
  <c r="F322" i="8"/>
  <c r="F338" i="8"/>
  <c r="F354" i="8"/>
  <c r="F370" i="8"/>
  <c r="F386" i="8"/>
  <c r="F335" i="8"/>
  <c r="F351" i="8"/>
  <c r="F367" i="8"/>
  <c r="F383" i="8"/>
  <c r="F332" i="8"/>
  <c r="F348" i="8"/>
  <c r="F364" i="8"/>
  <c r="F380" i="8"/>
  <c r="F329" i="8"/>
  <c r="F345" i="8"/>
  <c r="F361" i="8"/>
  <c r="F377" i="8"/>
  <c r="F326" i="8"/>
  <c r="F342" i="8"/>
  <c r="F358" i="8"/>
  <c r="F374" i="8"/>
  <c r="F323" i="8"/>
  <c r="F339" i="8"/>
  <c r="F355" i="8"/>
  <c r="F371" i="8"/>
  <c r="F387" i="8"/>
  <c r="F336" i="8"/>
  <c r="F352" i="8"/>
  <c r="F368" i="8"/>
  <c r="F384" i="8"/>
  <c r="F359" i="8"/>
  <c r="F375" i="8"/>
  <c r="E2256" i="8"/>
  <c r="E2272" i="8"/>
  <c r="E2253" i="8"/>
  <c r="E2269" i="8"/>
  <c r="E2250" i="8"/>
  <c r="E2266" i="8"/>
  <c r="E2247" i="8"/>
  <c r="E2263" i="8"/>
  <c r="E2260" i="8"/>
  <c r="E2257" i="8"/>
  <c r="E2273" i="8"/>
  <c r="E2254" i="8"/>
  <c r="E2270" i="8"/>
  <c r="E2251" i="8"/>
  <c r="E2267" i="8"/>
  <c r="E2248" i="8"/>
  <c r="E2264" i="8"/>
  <c r="E2258" i="8"/>
  <c r="E2255" i="8"/>
  <c r="E2271" i="8"/>
  <c r="E2252" i="8"/>
  <c r="E2268" i="8"/>
  <c r="E2249" i="8"/>
  <c r="E2265" i="8"/>
  <c r="E2246" i="8"/>
  <c r="E2262" i="8"/>
  <c r="E2259" i="8"/>
  <c r="E2275" i="8"/>
  <c r="E2288" i="8"/>
  <c r="E2304" i="8"/>
  <c r="E2285" i="8"/>
  <c r="E2301" i="8"/>
  <c r="E2261" i="8"/>
  <c r="E2282" i="8"/>
  <c r="E2298" i="8"/>
  <c r="E2279" i="8"/>
  <c r="E2295" i="8"/>
  <c r="E2311" i="8"/>
  <c r="E2276" i="8"/>
  <c r="E2292" i="8"/>
  <c r="E2308" i="8"/>
  <c r="E2289" i="8"/>
  <c r="E2305" i="8"/>
  <c r="E2286" i="8"/>
  <c r="E2302" i="8"/>
  <c r="E2283" i="8"/>
  <c r="E2299" i="8"/>
  <c r="E2280" i="8"/>
  <c r="E2296" i="8"/>
  <c r="E2312" i="8"/>
  <c r="E2277" i="8"/>
  <c r="E2293" i="8"/>
  <c r="E2309" i="8"/>
  <c r="E2290" i="8"/>
  <c r="E2306" i="8"/>
  <c r="E2287" i="8"/>
  <c r="E2303" i="8"/>
  <c r="E2284" i="8"/>
  <c r="E2300" i="8"/>
  <c r="E2281" i="8"/>
  <c r="E2297" i="8"/>
  <c r="E2278" i="8"/>
  <c r="E2294" i="8"/>
  <c r="E2310" i="8"/>
  <c r="E2274" i="8"/>
  <c r="E2291" i="8"/>
  <c r="E2307" i="8"/>
  <c r="E792" i="8"/>
  <c r="E808" i="8"/>
  <c r="E824" i="8"/>
  <c r="E840" i="8"/>
  <c r="E856" i="8"/>
  <c r="E872" i="8"/>
  <c r="E888" i="8"/>
  <c r="E805" i="8"/>
  <c r="E821" i="8"/>
  <c r="E837" i="8"/>
  <c r="E853" i="8"/>
  <c r="E869" i="8"/>
  <c r="E885" i="8"/>
  <c r="E802" i="8"/>
  <c r="E818" i="8"/>
  <c r="E834" i="8"/>
  <c r="E850" i="8"/>
  <c r="E866" i="8"/>
  <c r="E882" i="8"/>
  <c r="E799" i="8"/>
  <c r="E815" i="8"/>
  <c r="E831" i="8"/>
  <c r="E847" i="8"/>
  <c r="E863" i="8"/>
  <c r="E879" i="8"/>
  <c r="E796" i="8"/>
  <c r="E812" i="8"/>
  <c r="E828" i="8"/>
  <c r="E844" i="8"/>
  <c r="E860" i="8"/>
  <c r="E876" i="8"/>
  <c r="E793" i="8"/>
  <c r="E809" i="8"/>
  <c r="E825" i="8"/>
  <c r="E841" i="8"/>
  <c r="E857" i="8"/>
  <c r="E873" i="8"/>
  <c r="E889" i="8"/>
  <c r="E806" i="8"/>
  <c r="E822" i="8"/>
  <c r="E838" i="8"/>
  <c r="E854" i="8"/>
  <c r="E870" i="8"/>
  <c r="E886" i="8"/>
  <c r="E803" i="8"/>
  <c r="E819" i="8"/>
  <c r="E835" i="8"/>
  <c r="E851" i="8"/>
  <c r="E867" i="8"/>
  <c r="E883" i="8"/>
  <c r="E800" i="8"/>
  <c r="E816" i="8"/>
  <c r="E832" i="8"/>
  <c r="E848" i="8"/>
  <c r="E864" i="8"/>
  <c r="E880" i="8"/>
  <c r="E797" i="8"/>
  <c r="E813" i="8"/>
  <c r="E829" i="8"/>
  <c r="E845" i="8"/>
  <c r="E861" i="8"/>
  <c r="E877" i="8"/>
  <c r="E794" i="8"/>
  <c r="E810" i="8"/>
  <c r="E826" i="8"/>
  <c r="E842" i="8"/>
  <c r="E858" i="8"/>
  <c r="E874" i="8"/>
  <c r="E791" i="8"/>
  <c r="E807" i="8"/>
  <c r="E823" i="8"/>
  <c r="E839" i="8"/>
  <c r="E855" i="8"/>
  <c r="E871" i="8"/>
  <c r="E887" i="8"/>
  <c r="E804" i="8"/>
  <c r="E820" i="8"/>
  <c r="E836" i="8"/>
  <c r="E852" i="8"/>
  <c r="E868" i="8"/>
  <c r="E884" i="8"/>
  <c r="E801" i="8"/>
  <c r="E817" i="8"/>
  <c r="E833" i="8"/>
  <c r="E849" i="8"/>
  <c r="E865" i="8"/>
  <c r="E881" i="8"/>
  <c r="E798" i="8"/>
  <c r="E814" i="8"/>
  <c r="E830" i="8"/>
  <c r="E846" i="8"/>
  <c r="E862" i="8"/>
  <c r="E878" i="8"/>
  <c r="E795" i="8"/>
  <c r="E811" i="8"/>
  <c r="E827" i="8"/>
  <c r="E843" i="8"/>
  <c r="E859" i="8"/>
  <c r="E875" i="8"/>
  <c r="D1900" i="8"/>
  <c r="D1916" i="8"/>
  <c r="D1932" i="8"/>
  <c r="D1948" i="8"/>
  <c r="D1964" i="8"/>
  <c r="D1980" i="8"/>
  <c r="D1897" i="8"/>
  <c r="D1913" i="8"/>
  <c r="D1929" i="8"/>
  <c r="D1945" i="8"/>
  <c r="D1961" i="8"/>
  <c r="D1977" i="8"/>
  <c r="D1894" i="8"/>
  <c r="D1910" i="8"/>
  <c r="D1926" i="8"/>
  <c r="D1942" i="8"/>
  <c r="D1958" i="8"/>
  <c r="D1974" i="8"/>
  <c r="D1990" i="8"/>
  <c r="D1907" i="8"/>
  <c r="D1923" i="8"/>
  <c r="D1939" i="8"/>
  <c r="D1955" i="8"/>
  <c r="D1971" i="8"/>
  <c r="D1987" i="8"/>
  <c r="D1904" i="8"/>
  <c r="D1920" i="8"/>
  <c r="D1936" i="8"/>
  <c r="D1952" i="8"/>
  <c r="D1968" i="8"/>
  <c r="D1984" i="8"/>
  <c r="D1901" i="8"/>
  <c r="D1917" i="8"/>
  <c r="D1933" i="8"/>
  <c r="D1949" i="8"/>
  <c r="D1965" i="8"/>
  <c r="D1981" i="8"/>
  <c r="D1898" i="8"/>
  <c r="D1914" i="8"/>
  <c r="D1930" i="8"/>
  <c r="D1946" i="8"/>
  <c r="D1962" i="8"/>
  <c r="D1978" i="8"/>
  <c r="D1895" i="8"/>
  <c r="D1911" i="8"/>
  <c r="D1927" i="8"/>
  <c r="D1943" i="8"/>
  <c r="D1959" i="8"/>
  <c r="D1975" i="8"/>
  <c r="D1991" i="8"/>
  <c r="D1892" i="8"/>
  <c r="D1908" i="8"/>
  <c r="D1924" i="8"/>
  <c r="D1940" i="8"/>
  <c r="D1956" i="8"/>
  <c r="D1972" i="8"/>
  <c r="D1988" i="8"/>
  <c r="D1905" i="8"/>
  <c r="D1921" i="8"/>
  <c r="D1937" i="8"/>
  <c r="D1953" i="8"/>
  <c r="D1969" i="8"/>
  <c r="D1985" i="8"/>
  <c r="D1902" i="8"/>
  <c r="D1918" i="8"/>
  <c r="D1934" i="8"/>
  <c r="D1950" i="8"/>
  <c r="D1966" i="8"/>
  <c r="D1982" i="8"/>
  <c r="D1899" i="8"/>
  <c r="D1915" i="8"/>
  <c r="D1931" i="8"/>
  <c r="D1947" i="8"/>
  <c r="D1963" i="8"/>
  <c r="D1979" i="8"/>
  <c r="D1896" i="8"/>
  <c r="D1912" i="8"/>
  <c r="D1928" i="8"/>
  <c r="D1944" i="8"/>
  <c r="D1960" i="8"/>
  <c r="D1976" i="8"/>
  <c r="D1893" i="8"/>
  <c r="D1909" i="8"/>
  <c r="D1925" i="8"/>
  <c r="D1941" i="8"/>
  <c r="D1957" i="8"/>
  <c r="D1973" i="8"/>
  <c r="D1989" i="8"/>
  <c r="D1906" i="8"/>
  <c r="D1922" i="8"/>
  <c r="D1938" i="8"/>
  <c r="D1954" i="8"/>
  <c r="D1970" i="8"/>
  <c r="D1986" i="8"/>
  <c r="D1903" i="8"/>
  <c r="D1919" i="8"/>
  <c r="D1935" i="8"/>
  <c r="D1951" i="8"/>
  <c r="D1967" i="8"/>
  <c r="D1983" i="8"/>
  <c r="F3126" i="8"/>
  <c r="F3142" i="8"/>
  <c r="F3123" i="8"/>
  <c r="F3139" i="8"/>
  <c r="F3136" i="8"/>
  <c r="F3133" i="8"/>
  <c r="F3130" i="8"/>
  <c r="F3127" i="8"/>
  <c r="F3143" i="8"/>
  <c r="F3124" i="8"/>
  <c r="F3140" i="8"/>
  <c r="F3137" i="8"/>
  <c r="F3134" i="8"/>
  <c r="F3131" i="8"/>
  <c r="F3128" i="8"/>
  <c r="F3144" i="8"/>
  <c r="F3125" i="8"/>
  <c r="F3141" i="8"/>
  <c r="F3122" i="8"/>
  <c r="F3138" i="8"/>
  <c r="F3135" i="8"/>
  <c r="F3132" i="8"/>
  <c r="F3129" i="8"/>
  <c r="E2320" i="8"/>
  <c r="E2336" i="8"/>
  <c r="E2352" i="8"/>
  <c r="E2333" i="8"/>
  <c r="E2349" i="8"/>
  <c r="E2330" i="8"/>
  <c r="E2346" i="8"/>
  <c r="E2362" i="8"/>
  <c r="E2327" i="8"/>
  <c r="E2343" i="8"/>
  <c r="E2359" i="8"/>
  <c r="E2324" i="8"/>
  <c r="E2340" i="8"/>
  <c r="E2356" i="8"/>
  <c r="E2321" i="8"/>
  <c r="E2337" i="8"/>
  <c r="E2353" i="8"/>
  <c r="E2318" i="8"/>
  <c r="E2334" i="8"/>
  <c r="E2350" i="8"/>
  <c r="E2331" i="8"/>
  <c r="E2347" i="8"/>
  <c r="E2363" i="8"/>
  <c r="E2328" i="8"/>
  <c r="E2344" i="8"/>
  <c r="E2360" i="8"/>
  <c r="E2325" i="8"/>
  <c r="E2341" i="8"/>
  <c r="E2357" i="8"/>
  <c r="E2322" i="8"/>
  <c r="E2338" i="8"/>
  <c r="E2354" i="8"/>
  <c r="E2319" i="8"/>
  <c r="E2335" i="8"/>
  <c r="E2351" i="8"/>
  <c r="E2332" i="8"/>
  <c r="E2348" i="8"/>
  <c r="E2329" i="8"/>
  <c r="E2345" i="8"/>
  <c r="E2361" i="8"/>
  <c r="E2326" i="8"/>
  <c r="E2342" i="8"/>
  <c r="E2358" i="8"/>
  <c r="E2323" i="8"/>
  <c r="E2339" i="8"/>
  <c r="E2355" i="8"/>
  <c r="D327" i="8"/>
  <c r="D343" i="8"/>
  <c r="D359" i="8"/>
  <c r="D375" i="8"/>
  <c r="D324" i="8"/>
  <c r="D340" i="8"/>
  <c r="D356" i="8"/>
  <c r="D372" i="8"/>
  <c r="D388" i="8"/>
  <c r="D337" i="8"/>
  <c r="D353" i="8"/>
  <c r="D334" i="8"/>
  <c r="D350" i="8"/>
  <c r="D366" i="8"/>
  <c r="D382" i="8"/>
  <c r="D331" i="8"/>
  <c r="D347" i="8"/>
  <c r="D363" i="8"/>
  <c r="D379" i="8"/>
  <c r="D328" i="8"/>
  <c r="D344" i="8"/>
  <c r="D360" i="8"/>
  <c r="D376" i="8"/>
  <c r="D325" i="8"/>
  <c r="D341" i="8"/>
  <c r="D357" i="8"/>
  <c r="D373" i="8"/>
  <c r="D322" i="8"/>
  <c r="D338" i="8"/>
  <c r="D354" i="8"/>
  <c r="D370" i="8"/>
  <c r="D386" i="8"/>
  <c r="D335" i="8"/>
  <c r="D351" i="8"/>
  <c r="D367" i="8"/>
  <c r="D383" i="8"/>
  <c r="D332" i="8"/>
  <c r="D348" i="8"/>
  <c r="D364" i="8"/>
  <c r="D380" i="8"/>
  <c r="D329" i="8"/>
  <c r="D345" i="8"/>
  <c r="D361" i="8"/>
  <c r="D377" i="8"/>
  <c r="D326" i="8"/>
  <c r="D342" i="8"/>
  <c r="D358" i="8"/>
  <c r="D374" i="8"/>
  <c r="D323" i="8"/>
  <c r="D339" i="8"/>
  <c r="D355" i="8"/>
  <c r="D371" i="8"/>
  <c r="D387" i="8"/>
  <c r="D336" i="8"/>
  <c r="D352" i="8"/>
  <c r="D368" i="8"/>
  <c r="D384" i="8"/>
  <c r="D333" i="8"/>
  <c r="D349" i="8"/>
  <c r="D365" i="8"/>
  <c r="D381" i="8"/>
  <c r="D330" i="8"/>
  <c r="D346" i="8"/>
  <c r="D362" i="8"/>
  <c r="D378" i="8"/>
  <c r="D369" i="8"/>
  <c r="D385" i="8"/>
  <c r="F2435" i="8"/>
  <c r="F2451" i="8"/>
  <c r="F2467" i="8"/>
  <c r="F2483" i="8"/>
  <c r="F2499" i="8"/>
  <c r="F2515" i="8"/>
  <c r="F2432" i="8"/>
  <c r="F2448" i="8"/>
  <c r="F2464" i="8"/>
  <c r="F2480" i="8"/>
  <c r="F2496" i="8"/>
  <c r="F2512" i="8"/>
  <c r="F2445" i="8"/>
  <c r="F2461" i="8"/>
  <c r="F2477" i="8"/>
  <c r="F2493" i="8"/>
  <c r="F2509" i="8"/>
  <c r="F2442" i="8"/>
  <c r="F2458" i="8"/>
  <c r="F2474" i="8"/>
  <c r="F2490" i="8"/>
  <c r="F2506" i="8"/>
  <c r="F2522" i="8"/>
  <c r="F2439" i="8"/>
  <c r="F2455" i="8"/>
  <c r="F2471" i="8"/>
  <c r="F2487" i="8"/>
  <c r="F2503" i="8"/>
  <c r="F2519" i="8"/>
  <c r="F2436" i="8"/>
  <c r="F2452" i="8"/>
  <c r="F2468" i="8"/>
  <c r="F2484" i="8"/>
  <c r="F2500" i="8"/>
  <c r="F2516" i="8"/>
  <c r="F2433" i="8"/>
  <c r="F2449" i="8"/>
  <c r="F2465" i="8"/>
  <c r="F2481" i="8"/>
  <c r="F2497" i="8"/>
  <c r="F2513" i="8"/>
  <c r="F2430" i="8"/>
  <c r="F2446" i="8"/>
  <c r="F2462" i="8"/>
  <c r="F2478" i="8"/>
  <c r="F2494" i="8"/>
  <c r="F2443" i="8"/>
  <c r="F2459" i="8"/>
  <c r="F2475" i="8"/>
  <c r="F2491" i="8"/>
  <c r="F2507" i="8"/>
  <c r="F2523" i="8"/>
  <c r="F2440" i="8"/>
  <c r="F2456" i="8"/>
  <c r="F2472" i="8"/>
  <c r="F2488" i="8"/>
  <c r="F2504" i="8"/>
  <c r="F2520" i="8"/>
  <c r="F2437" i="8"/>
  <c r="F2453" i="8"/>
  <c r="F2469" i="8"/>
  <c r="F2485" i="8"/>
  <c r="F2501" i="8"/>
  <c r="F2517" i="8"/>
  <c r="F2434" i="8"/>
  <c r="F2450" i="8"/>
  <c r="F2466" i="8"/>
  <c r="F2482" i="8"/>
  <c r="F2498" i="8"/>
  <c r="F2514" i="8"/>
  <c r="F2431" i="8"/>
  <c r="F2447" i="8"/>
  <c r="F2463" i="8"/>
  <c r="F2479" i="8"/>
  <c r="F2495" i="8"/>
  <c r="F2511" i="8"/>
  <c r="F2444" i="8"/>
  <c r="F2460" i="8"/>
  <c r="F2476" i="8"/>
  <c r="F2492" i="8"/>
  <c r="F2508" i="8"/>
  <c r="F2524" i="8"/>
  <c r="F2441" i="8"/>
  <c r="F2457" i="8"/>
  <c r="F2473" i="8"/>
  <c r="F2489" i="8"/>
  <c r="F2505" i="8"/>
  <c r="F2521" i="8"/>
  <c r="F2438" i="8"/>
  <c r="F2454" i="8"/>
  <c r="F2470" i="8"/>
  <c r="F2486" i="8"/>
  <c r="F2502" i="8"/>
  <c r="F2518" i="8"/>
  <c r="F2510" i="8"/>
  <c r="F699" i="8"/>
  <c r="F715" i="8"/>
  <c r="F731" i="8"/>
  <c r="F747" i="8"/>
  <c r="F763" i="8"/>
  <c r="F779" i="8"/>
  <c r="F712" i="8"/>
  <c r="F728" i="8"/>
  <c r="F744" i="8"/>
  <c r="F760" i="8"/>
  <c r="F776" i="8"/>
  <c r="F709" i="8"/>
  <c r="F725" i="8"/>
  <c r="F741" i="8"/>
  <c r="F757" i="8"/>
  <c r="F773" i="8"/>
  <c r="F789" i="8"/>
  <c r="F706" i="8"/>
  <c r="F722" i="8"/>
  <c r="F738" i="8"/>
  <c r="F754" i="8"/>
  <c r="F770" i="8"/>
  <c r="F786" i="8"/>
  <c r="F703" i="8"/>
  <c r="F719" i="8"/>
  <c r="F735" i="8"/>
  <c r="F751" i="8"/>
  <c r="F767" i="8"/>
  <c r="F783" i="8"/>
  <c r="F700" i="8"/>
  <c r="F716" i="8"/>
  <c r="F732" i="8"/>
  <c r="F748" i="8"/>
  <c r="F764" i="8"/>
  <c r="F780" i="8"/>
  <c r="F713" i="8"/>
  <c r="F729" i="8"/>
  <c r="F745" i="8"/>
  <c r="F761" i="8"/>
  <c r="F777" i="8"/>
  <c r="F710" i="8"/>
  <c r="F726" i="8"/>
  <c r="F742" i="8"/>
  <c r="F758" i="8"/>
  <c r="F774" i="8"/>
  <c r="F790" i="8"/>
  <c r="F707" i="8"/>
  <c r="F723" i="8"/>
  <c r="F739" i="8"/>
  <c r="F755" i="8"/>
  <c r="F771" i="8"/>
  <c r="F787" i="8"/>
  <c r="F704" i="8"/>
  <c r="F720" i="8"/>
  <c r="F736" i="8"/>
  <c r="F752" i="8"/>
  <c r="F768" i="8"/>
  <c r="F784" i="8"/>
  <c r="F701" i="8"/>
  <c r="F717" i="8"/>
  <c r="F733" i="8"/>
  <c r="F749" i="8"/>
  <c r="F765" i="8"/>
  <c r="F781" i="8"/>
  <c r="F714" i="8"/>
  <c r="F730" i="8"/>
  <c r="F746" i="8"/>
  <c r="F762" i="8"/>
  <c r="F778" i="8"/>
  <c r="F711" i="8"/>
  <c r="F727" i="8"/>
  <c r="F743" i="8"/>
  <c r="F759" i="8"/>
  <c r="F775" i="8"/>
  <c r="F708" i="8"/>
  <c r="F724" i="8"/>
  <c r="F740" i="8"/>
  <c r="F756" i="8"/>
  <c r="F772" i="8"/>
  <c r="F788" i="8"/>
  <c r="F705" i="8"/>
  <c r="F721" i="8"/>
  <c r="F737" i="8"/>
  <c r="F753" i="8"/>
  <c r="F769" i="8"/>
  <c r="F785" i="8"/>
  <c r="F702" i="8"/>
  <c r="F718" i="8"/>
  <c r="F734" i="8"/>
  <c r="F750" i="8"/>
  <c r="F766" i="8"/>
  <c r="F782" i="8"/>
  <c r="E2368" i="8"/>
  <c r="E2384" i="8"/>
  <c r="E2400" i="8"/>
  <c r="E2416" i="8"/>
  <c r="E2365" i="8"/>
  <c r="E2381" i="8"/>
  <c r="E2397" i="8"/>
  <c r="E2413" i="8"/>
  <c r="E2429" i="8"/>
  <c r="E2378" i="8"/>
  <c r="E2394" i="8"/>
  <c r="E2410" i="8"/>
  <c r="E2426" i="8"/>
  <c r="E2375" i="8"/>
  <c r="E2391" i="8"/>
  <c r="E2407" i="8"/>
  <c r="E2423" i="8"/>
  <c r="E2372" i="8"/>
  <c r="E2388" i="8"/>
  <c r="E2404" i="8"/>
  <c r="E2420" i="8"/>
  <c r="E2369" i="8"/>
  <c r="E2385" i="8"/>
  <c r="E2401" i="8"/>
  <c r="E2417" i="8"/>
  <c r="E2366" i="8"/>
  <c r="E2382" i="8"/>
  <c r="E2398" i="8"/>
  <c r="E2414" i="8"/>
  <c r="E2379" i="8"/>
  <c r="E2395" i="8"/>
  <c r="E2411" i="8"/>
  <c r="E2427" i="8"/>
  <c r="E2376" i="8"/>
  <c r="E2392" i="8"/>
  <c r="E2408" i="8"/>
  <c r="E2424" i="8"/>
  <c r="E2373" i="8"/>
  <c r="E2389" i="8"/>
  <c r="E2405" i="8"/>
  <c r="E2421" i="8"/>
  <c r="E2370" i="8"/>
  <c r="E2386" i="8"/>
  <c r="E2402" i="8"/>
  <c r="E2418" i="8"/>
  <c r="E2367" i="8"/>
  <c r="E2383" i="8"/>
  <c r="E2399" i="8"/>
  <c r="E2415" i="8"/>
  <c r="E2364" i="8"/>
  <c r="E2380" i="8"/>
  <c r="E2396" i="8"/>
  <c r="E2412" i="8"/>
  <c r="E2428" i="8"/>
  <c r="E2377" i="8"/>
  <c r="E2393" i="8"/>
  <c r="E2409" i="8"/>
  <c r="E2425" i="8"/>
  <c r="E2374" i="8"/>
  <c r="E2390" i="8"/>
  <c r="E2406" i="8"/>
  <c r="E2422" i="8"/>
  <c r="E2371" i="8"/>
  <c r="E2387" i="8"/>
  <c r="E2403" i="8"/>
  <c r="E2419" i="8"/>
  <c r="C1365" i="8"/>
  <c r="C1372" i="8"/>
  <c r="C1363" i="8"/>
  <c r="C1370" i="8"/>
  <c r="C1345" i="8"/>
  <c r="E1409" i="8"/>
  <c r="E1425" i="8"/>
  <c r="E1441" i="8"/>
  <c r="E1457" i="8"/>
  <c r="E1473" i="8"/>
  <c r="E1406" i="8"/>
  <c r="E1422" i="8"/>
  <c r="E1438" i="8"/>
  <c r="E1454" i="8"/>
  <c r="E1403" i="8"/>
  <c r="E1419" i="8"/>
  <c r="E1435" i="8"/>
  <c r="E1451" i="8"/>
  <c r="E1467" i="8"/>
  <c r="E1416" i="8"/>
  <c r="E1432" i="8"/>
  <c r="E1448" i="8"/>
  <c r="E1464" i="8"/>
  <c r="E1413" i="8"/>
  <c r="E1429" i="8"/>
  <c r="E1445" i="8"/>
  <c r="E1461" i="8"/>
  <c r="E1410" i="8"/>
  <c r="E1426" i="8"/>
  <c r="E1442" i="8"/>
  <c r="E1458" i="8"/>
  <c r="E1474" i="8"/>
  <c r="E1407" i="8"/>
  <c r="E1423" i="8"/>
  <c r="E1439" i="8"/>
  <c r="E1455" i="8"/>
  <c r="E1404" i="8"/>
  <c r="E1420" i="8"/>
  <c r="E1436" i="8"/>
  <c r="E1452" i="8"/>
  <c r="E1468" i="8"/>
  <c r="E1417" i="8"/>
  <c r="E1433" i="8"/>
  <c r="E1449" i="8"/>
  <c r="E1465" i="8"/>
  <c r="E1414" i="8"/>
  <c r="E1430" i="8"/>
  <c r="E1446" i="8"/>
  <c r="E1462" i="8"/>
  <c r="E1411" i="8"/>
  <c r="E1427" i="8"/>
  <c r="E1443" i="8"/>
  <c r="E1459" i="8"/>
  <c r="E1408" i="8"/>
  <c r="E1424" i="8"/>
  <c r="E1440" i="8"/>
  <c r="E1456" i="8"/>
  <c r="E1405" i="8"/>
  <c r="E1421" i="8"/>
  <c r="E1437" i="8"/>
  <c r="E1453" i="8"/>
  <c r="E1469" i="8"/>
  <c r="E1418" i="8"/>
  <c r="E1434" i="8"/>
  <c r="E1450" i="8"/>
  <c r="E1466" i="8"/>
  <c r="E1415" i="8"/>
  <c r="E1431" i="8"/>
  <c r="E1447" i="8"/>
  <c r="E1463" i="8"/>
  <c r="E1479" i="8"/>
  <c r="E1412" i="8"/>
  <c r="E1428" i="8"/>
  <c r="E1444" i="8"/>
  <c r="E1460" i="8"/>
  <c r="E1476" i="8"/>
  <c r="E1477" i="8"/>
  <c r="E1478" i="8"/>
  <c r="E1482" i="8"/>
  <c r="E1470" i="8"/>
  <c r="E1471" i="8"/>
  <c r="E1472" i="8"/>
  <c r="E1483" i="8"/>
  <c r="E1480" i="8"/>
  <c r="E1475" i="8"/>
  <c r="E1484" i="8"/>
  <c r="E1481" i="8"/>
  <c r="F1906" i="8"/>
  <c r="F1922" i="8"/>
  <c r="F1938" i="8"/>
  <c r="F1954" i="8"/>
  <c r="F1970" i="8"/>
  <c r="F1986" i="8"/>
  <c r="F1903" i="8"/>
  <c r="F1919" i="8"/>
  <c r="F1935" i="8"/>
  <c r="F1951" i="8"/>
  <c r="F1967" i="8"/>
  <c r="F1983" i="8"/>
  <c r="F1900" i="8"/>
  <c r="F1916" i="8"/>
  <c r="F1932" i="8"/>
  <c r="F1948" i="8"/>
  <c r="F1964" i="8"/>
  <c r="F1980" i="8"/>
  <c r="F1897" i="8"/>
  <c r="F1913" i="8"/>
  <c r="F1929" i="8"/>
  <c r="F1945" i="8"/>
  <c r="F1961" i="8"/>
  <c r="F1977" i="8"/>
  <c r="F1894" i="8"/>
  <c r="F1910" i="8"/>
  <c r="F1926" i="8"/>
  <c r="F1942" i="8"/>
  <c r="F1958" i="8"/>
  <c r="F1974" i="8"/>
  <c r="F1990" i="8"/>
  <c r="F1907" i="8"/>
  <c r="F1923" i="8"/>
  <c r="F1939" i="8"/>
  <c r="F1955" i="8"/>
  <c r="F1971" i="8"/>
  <c r="F1987" i="8"/>
  <c r="F1904" i="8"/>
  <c r="F1920" i="8"/>
  <c r="F1936" i="8"/>
  <c r="F1952" i="8"/>
  <c r="F1968" i="8"/>
  <c r="F1984" i="8"/>
  <c r="F1901" i="8"/>
  <c r="F1917" i="8"/>
  <c r="F1933" i="8"/>
  <c r="F1949" i="8"/>
  <c r="F1965" i="8"/>
  <c r="F1981" i="8"/>
  <c r="F1898" i="8"/>
  <c r="F1914" i="8"/>
  <c r="F1930" i="8"/>
  <c r="F1946" i="8"/>
  <c r="F1962" i="8"/>
  <c r="F1978" i="8"/>
  <c r="F1895" i="8"/>
  <c r="F1911" i="8"/>
  <c r="F1927" i="8"/>
  <c r="F1943" i="8"/>
  <c r="F1959" i="8"/>
  <c r="F1975" i="8"/>
  <c r="F1991" i="8"/>
  <c r="F1892" i="8"/>
  <c r="F1908" i="8"/>
  <c r="F1924" i="8"/>
  <c r="F1940" i="8"/>
  <c r="F1956" i="8"/>
  <c r="F1972" i="8"/>
  <c r="F1988" i="8"/>
  <c r="F1905" i="8"/>
  <c r="F1921" i="8"/>
  <c r="F1937" i="8"/>
  <c r="F1953" i="8"/>
  <c r="F1969" i="8"/>
  <c r="F1985" i="8"/>
  <c r="F1902" i="8"/>
  <c r="F1918" i="8"/>
  <c r="F1934" i="8"/>
  <c r="F1950" i="8"/>
  <c r="F1966" i="8"/>
  <c r="F1982" i="8"/>
  <c r="F1899" i="8"/>
  <c r="F1915" i="8"/>
  <c r="F1931" i="8"/>
  <c r="F1947" i="8"/>
  <c r="F1963" i="8"/>
  <c r="F1979" i="8"/>
  <c r="F1896" i="8"/>
  <c r="F1912" i="8"/>
  <c r="F1928" i="8"/>
  <c r="F1944" i="8"/>
  <c r="F1960" i="8"/>
  <c r="F1976" i="8"/>
  <c r="F1893" i="8"/>
  <c r="F1909" i="8"/>
  <c r="F1925" i="8"/>
  <c r="F1941" i="8"/>
  <c r="F1957" i="8"/>
  <c r="F1973" i="8"/>
  <c r="F1989" i="8"/>
  <c r="E1791" i="8"/>
  <c r="E1788" i="8"/>
  <c r="E1785" i="8"/>
  <c r="E1782" i="8"/>
  <c r="E1779" i="8"/>
  <c r="E1795" i="8"/>
  <c r="E1776" i="8"/>
  <c r="E1792" i="8"/>
  <c r="E1789" i="8"/>
  <c r="E1786" i="8"/>
  <c r="E1783" i="8"/>
  <c r="E1780" i="8"/>
  <c r="E1796" i="8"/>
  <c r="E1777" i="8"/>
  <c r="E1793" i="8"/>
  <c r="E1790" i="8"/>
  <c r="E1787" i="8"/>
  <c r="E1784" i="8"/>
  <c r="E1781" i="8"/>
  <c r="E1778" i="8"/>
  <c r="E1794" i="8"/>
  <c r="F1810" i="8"/>
  <c r="F1826" i="8"/>
  <c r="F1807" i="8"/>
  <c r="F1823" i="8"/>
  <c r="F1804" i="8"/>
  <c r="F1820" i="8"/>
  <c r="F1801" i="8"/>
  <c r="F1817" i="8"/>
  <c r="F1798" i="8"/>
  <c r="F1814" i="8"/>
  <c r="F1811" i="8"/>
  <c r="F1827" i="8"/>
  <c r="F1808" i="8"/>
  <c r="F1824" i="8"/>
  <c r="F1805" i="8"/>
  <c r="F1821" i="8"/>
  <c r="F1802" i="8"/>
  <c r="F1818" i="8"/>
  <c r="F1799" i="8"/>
  <c r="F1815" i="8"/>
  <c r="F1812" i="8"/>
  <c r="F1828" i="8"/>
  <c r="F1809" i="8"/>
  <c r="F1825" i="8"/>
  <c r="F1806" i="8"/>
  <c r="F1822" i="8"/>
  <c r="F1803" i="8"/>
  <c r="F1819" i="8"/>
  <c r="F1800" i="8"/>
  <c r="F1816" i="8"/>
  <c r="F1797" i="8"/>
  <c r="F1813" i="8"/>
  <c r="F1829" i="8"/>
  <c r="D1804" i="8"/>
  <c r="D1820" i="8"/>
  <c r="D1801" i="8"/>
  <c r="D1817" i="8"/>
  <c r="D1798" i="8"/>
  <c r="D1814" i="8"/>
  <c r="D1811" i="8"/>
  <c r="D1827" i="8"/>
  <c r="D1808" i="8"/>
  <c r="D1824" i="8"/>
  <c r="D1805" i="8"/>
  <c r="D1821" i="8"/>
  <c r="D1802" i="8"/>
  <c r="D1818" i="8"/>
  <c r="D1799" i="8"/>
  <c r="D1815" i="8"/>
  <c r="D1812" i="8"/>
  <c r="D1828" i="8"/>
  <c r="D1809" i="8"/>
  <c r="D1825" i="8"/>
  <c r="D1806" i="8"/>
  <c r="D1822" i="8"/>
  <c r="D1803" i="8"/>
  <c r="D1819" i="8"/>
  <c r="D1800" i="8"/>
  <c r="D1816" i="8"/>
  <c r="D1797" i="8"/>
  <c r="D1813" i="8"/>
  <c r="D1829" i="8"/>
  <c r="D1810" i="8"/>
  <c r="D1826" i="8"/>
  <c r="D1807" i="8"/>
  <c r="D1823" i="8"/>
  <c r="F2147" i="8"/>
  <c r="F2163" i="8"/>
  <c r="F2179" i="8"/>
  <c r="F2195" i="8"/>
  <c r="F2144" i="8"/>
  <c r="F2160" i="8"/>
  <c r="F2176" i="8"/>
  <c r="F2192" i="8"/>
  <c r="F2208" i="8"/>
  <c r="F2141" i="8"/>
  <c r="F2157" i="8"/>
  <c r="F2173" i="8"/>
  <c r="F2189" i="8"/>
  <c r="F2205" i="8"/>
  <c r="F2138" i="8"/>
  <c r="F2154" i="8"/>
  <c r="F2170" i="8"/>
  <c r="F2186" i="8"/>
  <c r="F2202" i="8"/>
  <c r="F2135" i="8"/>
  <c r="F2151" i="8"/>
  <c r="F2167" i="8"/>
  <c r="F2183" i="8"/>
  <c r="F2199" i="8"/>
  <c r="F2148" i="8"/>
  <c r="F2164" i="8"/>
  <c r="F2180" i="8"/>
  <c r="F2196" i="8"/>
  <c r="F2145" i="8"/>
  <c r="F2161" i="8"/>
  <c r="F2177" i="8"/>
  <c r="F2193" i="8"/>
  <c r="F2209" i="8"/>
  <c r="F2142" i="8"/>
  <c r="F2158" i="8"/>
  <c r="F2174" i="8"/>
  <c r="F2190" i="8"/>
  <c r="F2206" i="8"/>
  <c r="F2139" i="8"/>
  <c r="F2155" i="8"/>
  <c r="F2171" i="8"/>
  <c r="F2187" i="8"/>
  <c r="F2203" i="8"/>
  <c r="F2136" i="8"/>
  <c r="F2152" i="8"/>
  <c r="F2168" i="8"/>
  <c r="F2184" i="8"/>
  <c r="F2200" i="8"/>
  <c r="F2133" i="8"/>
  <c r="F2149" i="8"/>
  <c r="F2165" i="8"/>
  <c r="F2181" i="8"/>
  <c r="F2197" i="8"/>
  <c r="F2146" i="8"/>
  <c r="F2162" i="8"/>
  <c r="F2178" i="8"/>
  <c r="F2194" i="8"/>
  <c r="F2143" i="8"/>
  <c r="F2159" i="8"/>
  <c r="F2175" i="8"/>
  <c r="F2191" i="8"/>
  <c r="F2207" i="8"/>
  <c r="F2140" i="8"/>
  <c r="F2156" i="8"/>
  <c r="F2172" i="8"/>
  <c r="F2188" i="8"/>
  <c r="F2204" i="8"/>
  <c r="F2137" i="8"/>
  <c r="F2153" i="8"/>
  <c r="F2169" i="8"/>
  <c r="F2185" i="8"/>
  <c r="F2201" i="8"/>
  <c r="F2134" i="8"/>
  <c r="F2150" i="8"/>
  <c r="F2166" i="8"/>
  <c r="F2182" i="8"/>
  <c r="F2198" i="8"/>
  <c r="F112" i="8"/>
  <c r="F109" i="8"/>
  <c r="F106" i="8"/>
  <c r="F103" i="8"/>
  <c r="F100" i="8"/>
  <c r="F110" i="8"/>
  <c r="F107" i="8"/>
  <c r="F104" i="8"/>
  <c r="F101" i="8"/>
  <c r="F98" i="8"/>
  <c r="F111" i="8"/>
  <c r="F108" i="8"/>
  <c r="F105" i="8"/>
  <c r="F102" i="8"/>
  <c r="F99" i="8"/>
  <c r="F891" i="8"/>
  <c r="F907" i="8"/>
  <c r="F923" i="8"/>
  <c r="F939" i="8"/>
  <c r="F904" i="8"/>
  <c r="F920" i="8"/>
  <c r="F936" i="8"/>
  <c r="F901" i="8"/>
  <c r="F917" i="8"/>
  <c r="F933" i="8"/>
  <c r="F898" i="8"/>
  <c r="F914" i="8"/>
  <c r="F930" i="8"/>
  <c r="F895" i="8"/>
  <c r="F911" i="8"/>
  <c r="F892" i="8"/>
  <c r="F908" i="8"/>
  <c r="F924" i="8"/>
  <c r="F940" i="8"/>
  <c r="F905" i="8"/>
  <c r="F921" i="8"/>
  <c r="F902" i="8"/>
  <c r="F918" i="8"/>
  <c r="F934" i="8"/>
  <c r="F899" i="8"/>
  <c r="F915" i="8"/>
  <c r="F931" i="8"/>
  <c r="F893" i="8"/>
  <c r="F909" i="8"/>
  <c r="F925" i="8"/>
  <c r="F941" i="8"/>
  <c r="F890" i="8"/>
  <c r="F906" i="8"/>
  <c r="F922" i="8"/>
  <c r="F938" i="8"/>
  <c r="F903" i="8"/>
  <c r="F919" i="8"/>
  <c r="F935" i="8"/>
  <c r="F900" i="8"/>
  <c r="F916" i="8"/>
  <c r="F932" i="8"/>
  <c r="F948" i="8"/>
  <c r="F897" i="8"/>
  <c r="F913" i="8"/>
  <c r="F929" i="8"/>
  <c r="F945" i="8"/>
  <c r="F894" i="8"/>
  <c r="F910" i="8"/>
  <c r="F926" i="8"/>
  <c r="F896" i="8"/>
  <c r="F964" i="8"/>
  <c r="F980" i="8"/>
  <c r="F961" i="8"/>
  <c r="F977" i="8"/>
  <c r="F993" i="8"/>
  <c r="F944" i="8"/>
  <c r="F958" i="8"/>
  <c r="F974" i="8"/>
  <c r="F990" i="8"/>
  <c r="F937" i="8"/>
  <c r="F955" i="8"/>
  <c r="F971" i="8"/>
  <c r="F987" i="8"/>
  <c r="F952" i="8"/>
  <c r="F968" i="8"/>
  <c r="F984" i="8"/>
  <c r="F912" i="8"/>
  <c r="F949" i="8"/>
  <c r="F965" i="8"/>
  <c r="F981" i="8"/>
  <c r="F962" i="8"/>
  <c r="F978" i="8"/>
  <c r="F994" i="8"/>
  <c r="F959" i="8"/>
  <c r="F975" i="8"/>
  <c r="F991" i="8"/>
  <c r="F946" i="8"/>
  <c r="F956" i="8"/>
  <c r="F972" i="8"/>
  <c r="F988" i="8"/>
  <c r="F953" i="8"/>
  <c r="F969" i="8"/>
  <c r="F985" i="8"/>
  <c r="F927" i="8"/>
  <c r="F950" i="8"/>
  <c r="F966" i="8"/>
  <c r="F982" i="8"/>
  <c r="F928" i="8"/>
  <c r="F942" i="8"/>
  <c r="F963" i="8"/>
  <c r="F979" i="8"/>
  <c r="F947" i="8"/>
  <c r="F960" i="8"/>
  <c r="F976" i="8"/>
  <c r="F992" i="8"/>
  <c r="F957" i="8"/>
  <c r="F973" i="8"/>
  <c r="F989" i="8"/>
  <c r="F954" i="8"/>
  <c r="F970" i="8"/>
  <c r="F986" i="8"/>
  <c r="F943" i="8"/>
  <c r="F951" i="8"/>
  <c r="F967" i="8"/>
  <c r="F983" i="8"/>
  <c r="F1762" i="8"/>
  <c r="F1759" i="8"/>
  <c r="F1756" i="8"/>
  <c r="F1753" i="8"/>
  <c r="F1750" i="8"/>
  <c r="F1763" i="8"/>
  <c r="F1760" i="8"/>
  <c r="F1757" i="8"/>
  <c r="F1754" i="8"/>
  <c r="F1751" i="8"/>
  <c r="F1764" i="8"/>
  <c r="F1761" i="8"/>
  <c r="F1758" i="8"/>
  <c r="F1755" i="8"/>
  <c r="F1752" i="8"/>
  <c r="F1749" i="8"/>
  <c r="F1765" i="8"/>
  <c r="D311" i="8"/>
  <c r="D315" i="8"/>
  <c r="D312" i="8"/>
  <c r="D316" i="8"/>
  <c r="D313" i="8"/>
  <c r="D310" i="8"/>
  <c r="D317" i="8"/>
  <c r="D314" i="8"/>
  <c r="E562" i="8"/>
  <c r="E578" i="8"/>
  <c r="E594" i="8"/>
  <c r="E559" i="8"/>
  <c r="E575" i="8"/>
  <c r="E591" i="8"/>
  <c r="E556" i="8"/>
  <c r="E572" i="8"/>
  <c r="E588" i="8"/>
  <c r="E553" i="8"/>
  <c r="E569" i="8"/>
  <c r="E585" i="8"/>
  <c r="E566" i="8"/>
  <c r="E582" i="8"/>
  <c r="E563" i="8"/>
  <c r="E579" i="8"/>
  <c r="E595" i="8"/>
  <c r="E560" i="8"/>
  <c r="E576" i="8"/>
  <c r="E592" i="8"/>
  <c r="E557" i="8"/>
  <c r="E573" i="8"/>
  <c r="E589" i="8"/>
  <c r="E554" i="8"/>
  <c r="E570" i="8"/>
  <c r="E586" i="8"/>
  <c r="E567" i="8"/>
  <c r="E583" i="8"/>
  <c r="E564" i="8"/>
  <c r="E580" i="8"/>
  <c r="E596" i="8"/>
  <c r="E561" i="8"/>
  <c r="E577" i="8"/>
  <c r="E593" i="8"/>
  <c r="E558" i="8"/>
  <c r="E574" i="8"/>
  <c r="E590" i="8"/>
  <c r="E555" i="8"/>
  <c r="E571" i="8"/>
  <c r="E587" i="8"/>
  <c r="E568" i="8"/>
  <c r="E584" i="8"/>
  <c r="E565" i="8"/>
  <c r="E581" i="8"/>
  <c r="D2333" i="8"/>
  <c r="D2349" i="8"/>
  <c r="D2330" i="8"/>
  <c r="D2346" i="8"/>
  <c r="D2362" i="8"/>
  <c r="D2327" i="8"/>
  <c r="D2343" i="8"/>
  <c r="D2359" i="8"/>
  <c r="D2324" i="8"/>
  <c r="D2340" i="8"/>
  <c r="D2356" i="8"/>
  <c r="D2321" i="8"/>
  <c r="D2337" i="8"/>
  <c r="D2353" i="8"/>
  <c r="D2318" i="8"/>
  <c r="D2334" i="8"/>
  <c r="D2350" i="8"/>
  <c r="D2331" i="8"/>
  <c r="D2347" i="8"/>
  <c r="D2363" i="8"/>
  <c r="D2328" i="8"/>
  <c r="D2344" i="8"/>
  <c r="D2360" i="8"/>
  <c r="D2325" i="8"/>
  <c r="D2341" i="8"/>
  <c r="D2357" i="8"/>
  <c r="D2322" i="8"/>
  <c r="D2338" i="8"/>
  <c r="D2354" i="8"/>
  <c r="D2319" i="8"/>
  <c r="D2335" i="8"/>
  <c r="D2351" i="8"/>
  <c r="D2332" i="8"/>
  <c r="D2348" i="8"/>
  <c r="D2329" i="8"/>
  <c r="D2345" i="8"/>
  <c r="D2361" i="8"/>
  <c r="D2326" i="8"/>
  <c r="D2342" i="8"/>
  <c r="D2358" i="8"/>
  <c r="D2323" i="8"/>
  <c r="D2339" i="8"/>
  <c r="D2355" i="8"/>
  <c r="D2320" i="8"/>
  <c r="D2336" i="8"/>
  <c r="D2352" i="8"/>
  <c r="F2211" i="8"/>
  <c r="F2227" i="8"/>
  <c r="F2243" i="8"/>
  <c r="F2224" i="8"/>
  <c r="F2240" i="8"/>
  <c r="F2221" i="8"/>
  <c r="F2237" i="8"/>
  <c r="F2218" i="8"/>
  <c r="F2234" i="8"/>
  <c r="F2215" i="8"/>
  <c r="F2231" i="8"/>
  <c r="F2212" i="8"/>
  <c r="F2228" i="8"/>
  <c r="F2244" i="8"/>
  <c r="F2225" i="8"/>
  <c r="F2241" i="8"/>
  <c r="F2222" i="8"/>
  <c r="F2238" i="8"/>
  <c r="F2219" i="8"/>
  <c r="F2235" i="8"/>
  <c r="F2216" i="8"/>
  <c r="F2232" i="8"/>
  <c r="F2213" i="8"/>
  <c r="F2229" i="8"/>
  <c r="F2245" i="8"/>
  <c r="F2210" i="8"/>
  <c r="F2226" i="8"/>
  <c r="F2242" i="8"/>
  <c r="F2223" i="8"/>
  <c r="F2239" i="8"/>
  <c r="F2220" i="8"/>
  <c r="F2236" i="8"/>
  <c r="F2217" i="8"/>
  <c r="F2233" i="8"/>
  <c r="F2214" i="8"/>
  <c r="F2230" i="8"/>
  <c r="C196" i="8"/>
  <c r="C212" i="8"/>
  <c r="C228" i="8"/>
  <c r="C244" i="8"/>
  <c r="C193" i="8"/>
  <c r="C209" i="8"/>
  <c r="C225" i="8"/>
  <c r="C241" i="8"/>
  <c r="C190" i="8"/>
  <c r="C206" i="8"/>
  <c r="C222" i="8"/>
  <c r="C238" i="8"/>
  <c r="C203" i="8"/>
  <c r="C219" i="8"/>
  <c r="C235" i="8"/>
  <c r="C200" i="8"/>
  <c r="C216" i="8"/>
  <c r="C232" i="8"/>
  <c r="C197" i="8"/>
  <c r="C213" i="8"/>
  <c r="C229" i="8"/>
  <c r="C245" i="8"/>
  <c r="C194" i="8"/>
  <c r="C210" i="8"/>
  <c r="C226" i="8"/>
  <c r="C242" i="8"/>
  <c r="C191" i="8"/>
  <c r="C207" i="8"/>
  <c r="C223" i="8"/>
  <c r="C239" i="8"/>
  <c r="C188" i="8"/>
  <c r="C204" i="8"/>
  <c r="C220" i="8"/>
  <c r="C236" i="8"/>
  <c r="C201" i="8"/>
  <c r="C217" i="8"/>
  <c r="C233" i="8"/>
  <c r="C198" i="8"/>
  <c r="C214" i="8"/>
  <c r="C230" i="8"/>
  <c r="C195" i="8"/>
  <c r="C211" i="8"/>
  <c r="C227" i="8"/>
  <c r="C243" i="8"/>
  <c r="C192" i="8"/>
  <c r="C208" i="8"/>
  <c r="C224" i="8"/>
  <c r="C240" i="8"/>
  <c r="C189" i="8"/>
  <c r="C205" i="8"/>
  <c r="C221" i="8"/>
  <c r="C237" i="8"/>
  <c r="C202" i="8"/>
  <c r="C218" i="8"/>
  <c r="C234" i="8"/>
  <c r="C199" i="8"/>
  <c r="C215" i="8"/>
  <c r="C231" i="8"/>
  <c r="F549" i="8"/>
  <c r="F550" i="8"/>
  <c r="F551" i="8"/>
  <c r="F548" i="8"/>
  <c r="F552" i="8"/>
  <c r="F1497" i="8"/>
  <c r="F1513" i="8"/>
  <c r="F1529" i="8"/>
  <c r="F1545" i="8"/>
  <c r="F1561" i="8"/>
  <c r="F1577" i="8"/>
  <c r="F1593" i="8"/>
  <c r="F1494" i="8"/>
  <c r="F1510" i="8"/>
  <c r="F1526" i="8"/>
  <c r="F1542" i="8"/>
  <c r="F1558" i="8"/>
  <c r="F1574" i="8"/>
  <c r="F1590" i="8"/>
  <c r="F1491" i="8"/>
  <c r="F1507" i="8"/>
  <c r="F1523" i="8"/>
  <c r="F1539" i="8"/>
  <c r="F1555" i="8"/>
  <c r="F1571" i="8"/>
  <c r="F1587" i="8"/>
  <c r="F1488" i="8"/>
  <c r="F1504" i="8"/>
  <c r="F1520" i="8"/>
  <c r="F1536" i="8"/>
  <c r="F1552" i="8"/>
  <c r="F1568" i="8"/>
  <c r="F1584" i="8"/>
  <c r="F1485" i="8"/>
  <c r="F1501" i="8"/>
  <c r="F1517" i="8"/>
  <c r="F1533" i="8"/>
  <c r="F1549" i="8"/>
  <c r="F1565" i="8"/>
  <c r="F1581" i="8"/>
  <c r="F1597" i="8"/>
  <c r="F1498" i="8"/>
  <c r="F1514" i="8"/>
  <c r="F1530" i="8"/>
  <c r="F1546" i="8"/>
  <c r="F1562" i="8"/>
  <c r="F1578" i="8"/>
  <c r="F1594" i="8"/>
  <c r="F1495" i="8"/>
  <c r="F1511" i="8"/>
  <c r="F1527" i="8"/>
  <c r="F1543" i="8"/>
  <c r="F1559" i="8"/>
  <c r="F1575" i="8"/>
  <c r="F1591" i="8"/>
  <c r="F1492" i="8"/>
  <c r="F1508" i="8"/>
  <c r="F1524" i="8"/>
  <c r="F1540" i="8"/>
  <c r="F1556" i="8"/>
  <c r="F1572" i="8"/>
  <c r="F1588" i="8"/>
  <c r="F1489" i="8"/>
  <c r="F1505" i="8"/>
  <c r="F1521" i="8"/>
  <c r="F1537" i="8"/>
  <c r="F1553" i="8"/>
  <c r="F1569" i="8"/>
  <c r="F1585" i="8"/>
  <c r="F1486" i="8"/>
  <c r="F1502" i="8"/>
  <c r="F1518" i="8"/>
  <c r="F1534" i="8"/>
  <c r="F1550" i="8"/>
  <c r="F1566" i="8"/>
  <c r="F1582" i="8"/>
  <c r="F1598" i="8"/>
  <c r="F1499" i="8"/>
  <c r="F1515" i="8"/>
  <c r="F1531" i="8"/>
  <c r="F1547" i="8"/>
  <c r="F1563" i="8"/>
  <c r="F1579" i="8"/>
  <c r="F1595" i="8"/>
  <c r="F1496" i="8"/>
  <c r="F1512" i="8"/>
  <c r="F1528" i="8"/>
  <c r="F1544" i="8"/>
  <c r="F1560" i="8"/>
  <c r="F1576" i="8"/>
  <c r="F1592" i="8"/>
  <c r="F1493" i="8"/>
  <c r="F1509" i="8"/>
  <c r="F1525" i="8"/>
  <c r="F1541" i="8"/>
  <c r="F1557" i="8"/>
  <c r="F1573" i="8"/>
  <c r="F1589" i="8"/>
  <c r="F1490" i="8"/>
  <c r="F1506" i="8"/>
  <c r="F1522" i="8"/>
  <c r="F1538" i="8"/>
  <c r="F1554" i="8"/>
  <c r="F1570" i="8"/>
  <c r="F1586" i="8"/>
  <c r="F1487" i="8"/>
  <c r="F1503" i="8"/>
  <c r="F1519" i="8"/>
  <c r="F1535" i="8"/>
  <c r="F1551" i="8"/>
  <c r="F1567" i="8"/>
  <c r="F1583" i="8"/>
  <c r="F1599" i="8"/>
  <c r="F1500" i="8"/>
  <c r="F1516" i="8"/>
  <c r="F1532" i="8"/>
  <c r="F1548" i="8"/>
  <c r="F1564" i="8"/>
  <c r="F1580" i="8"/>
  <c r="F1596" i="8"/>
  <c r="F2837" i="8"/>
  <c r="F2853" i="8"/>
  <c r="F2869" i="8"/>
  <c r="F2885" i="8"/>
  <c r="F2901" i="8"/>
  <c r="F2917" i="8"/>
  <c r="F2933" i="8"/>
  <c r="F2949" i="8"/>
  <c r="F2834" i="8"/>
  <c r="F2850" i="8"/>
  <c r="F2866" i="8"/>
  <c r="F2882" i="8"/>
  <c r="F2898" i="8"/>
  <c r="F2914" i="8"/>
  <c r="F2930" i="8"/>
  <c r="F2946" i="8"/>
  <c r="F2831" i="8"/>
  <c r="F2847" i="8"/>
  <c r="F2863" i="8"/>
  <c r="F2879" i="8"/>
  <c r="F2895" i="8"/>
  <c r="F2911" i="8"/>
  <c r="F2927" i="8"/>
  <c r="F2943" i="8"/>
  <c r="F2828" i="8"/>
  <c r="F2844" i="8"/>
  <c r="F2860" i="8"/>
  <c r="F2876" i="8"/>
  <c r="F2892" i="8"/>
  <c r="F2908" i="8"/>
  <c r="F2924" i="8"/>
  <c r="F2940" i="8"/>
  <c r="F2825" i="8"/>
  <c r="F2841" i="8"/>
  <c r="F2857" i="8"/>
  <c r="F2873" i="8"/>
  <c r="F2889" i="8"/>
  <c r="F2905" i="8"/>
  <c r="F2921" i="8"/>
  <c r="F2937" i="8"/>
  <c r="F2953" i="8"/>
  <c r="F2822" i="8"/>
  <c r="F2838" i="8"/>
  <c r="F2854" i="8"/>
  <c r="F2870" i="8"/>
  <c r="F2886" i="8"/>
  <c r="F2902" i="8"/>
  <c r="F2918" i="8"/>
  <c r="F2934" i="8"/>
  <c r="F2950" i="8"/>
  <c r="F2835" i="8"/>
  <c r="F2851" i="8"/>
  <c r="F2867" i="8"/>
  <c r="F2883" i="8"/>
  <c r="F2899" i="8"/>
  <c r="F2915" i="8"/>
  <c r="F2931" i="8"/>
  <c r="F2947" i="8"/>
  <c r="F2832" i="8"/>
  <c r="F2848" i="8"/>
  <c r="F2864" i="8"/>
  <c r="F2880" i="8"/>
  <c r="F2896" i="8"/>
  <c r="F2912" i="8"/>
  <c r="F2928" i="8"/>
  <c r="F2944" i="8"/>
  <c r="F2829" i="8"/>
  <c r="F2845" i="8"/>
  <c r="F2861" i="8"/>
  <c r="F2877" i="8"/>
  <c r="F2893" i="8"/>
  <c r="F2909" i="8"/>
  <c r="F2925" i="8"/>
  <c r="F2941" i="8"/>
  <c r="F2826" i="8"/>
  <c r="F2842" i="8"/>
  <c r="F2858" i="8"/>
  <c r="F2874" i="8"/>
  <c r="F2890" i="8"/>
  <c r="F2906" i="8"/>
  <c r="F2922" i="8"/>
  <c r="F2938" i="8"/>
  <c r="F2954" i="8"/>
  <c r="F2823" i="8"/>
  <c r="F2839" i="8"/>
  <c r="F2855" i="8"/>
  <c r="F2871" i="8"/>
  <c r="F2887" i="8"/>
  <c r="F2903" i="8"/>
  <c r="F2919" i="8"/>
  <c r="F2935" i="8"/>
  <c r="F2951" i="8"/>
  <c r="F2836" i="8"/>
  <c r="F2852" i="8"/>
  <c r="F2868" i="8"/>
  <c r="F2884" i="8"/>
  <c r="F2900" i="8"/>
  <c r="F2916" i="8"/>
  <c r="F2932" i="8"/>
  <c r="F2948" i="8"/>
  <c r="F2833" i="8"/>
  <c r="F2849" i="8"/>
  <c r="F2865" i="8"/>
  <c r="F2881" i="8"/>
  <c r="F2897" i="8"/>
  <c r="F2913" i="8"/>
  <c r="F2929" i="8"/>
  <c r="F2945" i="8"/>
  <c r="F2830" i="8"/>
  <c r="F2846" i="8"/>
  <c r="F2862" i="8"/>
  <c r="F2878" i="8"/>
  <c r="F2894" i="8"/>
  <c r="F2910" i="8"/>
  <c r="F2926" i="8"/>
  <c r="F2942" i="8"/>
  <c r="F2827" i="8"/>
  <c r="F2843" i="8"/>
  <c r="F2859" i="8"/>
  <c r="F2875" i="8"/>
  <c r="F2891" i="8"/>
  <c r="F2907" i="8"/>
  <c r="F2923" i="8"/>
  <c r="F2939" i="8"/>
  <c r="F2955" i="8"/>
  <c r="F2824" i="8"/>
  <c r="F2840" i="8"/>
  <c r="F2856" i="8"/>
  <c r="F2872" i="8"/>
  <c r="F2888" i="8"/>
  <c r="F2904" i="8"/>
  <c r="F2920" i="8"/>
  <c r="F2936" i="8"/>
  <c r="F2952" i="8"/>
  <c r="E1329" i="8"/>
  <c r="E1345" i="8"/>
  <c r="E1361" i="8"/>
  <c r="E1377" i="8"/>
  <c r="E1393" i="8"/>
  <c r="E1326" i="8"/>
  <c r="E1342" i="8"/>
  <c r="E1358" i="8"/>
  <c r="E1374" i="8"/>
  <c r="E1390" i="8"/>
  <c r="E1323" i="8"/>
  <c r="E1339" i="8"/>
  <c r="E1355" i="8"/>
  <c r="E1371" i="8"/>
  <c r="E1387" i="8"/>
  <c r="E1320" i="8"/>
  <c r="E1336" i="8"/>
  <c r="E1352" i="8"/>
  <c r="E1368" i="8"/>
  <c r="E1384" i="8"/>
  <c r="E1400" i="8"/>
  <c r="E1317" i="8"/>
  <c r="E1333" i="8"/>
  <c r="E1349" i="8"/>
  <c r="E1365" i="8"/>
  <c r="E1381" i="8"/>
  <c r="E1397" i="8"/>
  <c r="E1330" i="8"/>
  <c r="E1346" i="8"/>
  <c r="E1362" i="8"/>
  <c r="E1378" i="8"/>
  <c r="E1394" i="8"/>
  <c r="E1327" i="8"/>
  <c r="E1343" i="8"/>
  <c r="E1359" i="8"/>
  <c r="E1375" i="8"/>
  <c r="E1391" i="8"/>
  <c r="E1324" i="8"/>
  <c r="E1340" i="8"/>
  <c r="E1356" i="8"/>
  <c r="E1372" i="8"/>
  <c r="E1388" i="8"/>
  <c r="E1321" i="8"/>
  <c r="E1337" i="8"/>
  <c r="E1353" i="8"/>
  <c r="E1369" i="8"/>
  <c r="E1385" i="8"/>
  <c r="E1401" i="8"/>
  <c r="E1318" i="8"/>
  <c r="E1334" i="8"/>
  <c r="E1350" i="8"/>
  <c r="E1366" i="8"/>
  <c r="E1382" i="8"/>
  <c r="E1398" i="8"/>
  <c r="E1331" i="8"/>
  <c r="E1347" i="8"/>
  <c r="E1363" i="8"/>
  <c r="E1379" i="8"/>
  <c r="E1395" i="8"/>
  <c r="E1328" i="8"/>
  <c r="E1344" i="8"/>
  <c r="E1360" i="8"/>
  <c r="E1376" i="8"/>
  <c r="E1392" i="8"/>
  <c r="E1325" i="8"/>
  <c r="E1341" i="8"/>
  <c r="E1357" i="8"/>
  <c r="E1373" i="8"/>
  <c r="E1389" i="8"/>
  <c r="E1322" i="8"/>
  <c r="E1338" i="8"/>
  <c r="E1354" i="8"/>
  <c r="E1370" i="8"/>
  <c r="E1386" i="8"/>
  <c r="E1402" i="8"/>
  <c r="E1319" i="8"/>
  <c r="E1335" i="8"/>
  <c r="E1351" i="8"/>
  <c r="E1367" i="8"/>
  <c r="E1383" i="8"/>
  <c r="E1399" i="8"/>
  <c r="E1316" i="8"/>
  <c r="E1332" i="8"/>
  <c r="E1348" i="8"/>
  <c r="E1364" i="8"/>
  <c r="E1380" i="8"/>
  <c r="E1396" i="8"/>
  <c r="D1406" i="8"/>
  <c r="D1422" i="8"/>
  <c r="D1438" i="8"/>
  <c r="D1454" i="8"/>
  <c r="D1470" i="8"/>
  <c r="D1403" i="8"/>
  <c r="D1419" i="8"/>
  <c r="D1435" i="8"/>
  <c r="D1451" i="8"/>
  <c r="D1416" i="8"/>
  <c r="D1432" i="8"/>
  <c r="D1448" i="8"/>
  <c r="D1464" i="8"/>
  <c r="D1413" i="8"/>
  <c r="D1429" i="8"/>
  <c r="D1445" i="8"/>
  <c r="D1461" i="8"/>
  <c r="D1477" i="8"/>
  <c r="D1410" i="8"/>
  <c r="D1426" i="8"/>
  <c r="D1442" i="8"/>
  <c r="D1458" i="8"/>
  <c r="D1407" i="8"/>
  <c r="D1423" i="8"/>
  <c r="D1439" i="8"/>
  <c r="D1455" i="8"/>
  <c r="D1471" i="8"/>
  <c r="D1404" i="8"/>
  <c r="D1420" i="8"/>
  <c r="D1436" i="8"/>
  <c r="D1452" i="8"/>
  <c r="D1468" i="8"/>
  <c r="D1417" i="8"/>
  <c r="D1433" i="8"/>
  <c r="D1449" i="8"/>
  <c r="D1465" i="8"/>
  <c r="D1414" i="8"/>
  <c r="D1430" i="8"/>
  <c r="D1446" i="8"/>
  <c r="D1462" i="8"/>
  <c r="D1478" i="8"/>
  <c r="D1411" i="8"/>
  <c r="D1427" i="8"/>
  <c r="D1443" i="8"/>
  <c r="D1459" i="8"/>
  <c r="D1475" i="8"/>
  <c r="D1408" i="8"/>
  <c r="D1424" i="8"/>
  <c r="D1440" i="8"/>
  <c r="D1456" i="8"/>
  <c r="D1472" i="8"/>
  <c r="D1405" i="8"/>
  <c r="D1421" i="8"/>
  <c r="D1437" i="8"/>
  <c r="D1453" i="8"/>
  <c r="D1418" i="8"/>
  <c r="D1434" i="8"/>
  <c r="D1450" i="8"/>
  <c r="D1466" i="8"/>
  <c r="D1415" i="8"/>
  <c r="D1431" i="8"/>
  <c r="D1447" i="8"/>
  <c r="D1463" i="8"/>
  <c r="D1479" i="8"/>
  <c r="D1412" i="8"/>
  <c r="D1428" i="8"/>
  <c r="D1444" i="8"/>
  <c r="D1460" i="8"/>
  <c r="D1476" i="8"/>
  <c r="D1409" i="8"/>
  <c r="D1425" i="8"/>
  <c r="D1441" i="8"/>
  <c r="D1457" i="8"/>
  <c r="D1473" i="8"/>
  <c r="D1467" i="8"/>
  <c r="D1482" i="8"/>
  <c r="D1469" i="8"/>
  <c r="D1483" i="8"/>
  <c r="D1480" i="8"/>
  <c r="D1474" i="8"/>
  <c r="D1484" i="8"/>
  <c r="D1481" i="8"/>
  <c r="F1204" i="8"/>
  <c r="F1198" i="8"/>
  <c r="F1195" i="8"/>
  <c r="F1205" i="8"/>
  <c r="F1202" i="8"/>
  <c r="F1199" i="8"/>
  <c r="F1196" i="8"/>
  <c r="F1206" i="8"/>
  <c r="F1203" i="8"/>
  <c r="F1200" i="8"/>
  <c r="F1197" i="8"/>
  <c r="F1207" i="8"/>
  <c r="F1201" i="8"/>
  <c r="F1217" i="8"/>
  <c r="F1214" i="8"/>
  <c r="F1211" i="8"/>
  <c r="F1218" i="8"/>
  <c r="F1215" i="8"/>
  <c r="F1208" i="8"/>
  <c r="F1212" i="8"/>
  <c r="F1209" i="8"/>
  <c r="F1216" i="8"/>
  <c r="F1213" i="8"/>
  <c r="F1210" i="8"/>
  <c r="E330" i="8"/>
  <c r="E346" i="8"/>
  <c r="E362" i="8"/>
  <c r="E378" i="8"/>
  <c r="E327" i="8"/>
  <c r="E343" i="8"/>
  <c r="E359" i="8"/>
  <c r="E375" i="8"/>
  <c r="E324" i="8"/>
  <c r="E340" i="8"/>
  <c r="E337" i="8"/>
  <c r="E353" i="8"/>
  <c r="E369" i="8"/>
  <c r="E385" i="8"/>
  <c r="E334" i="8"/>
  <c r="E350" i="8"/>
  <c r="E366" i="8"/>
  <c r="E382" i="8"/>
  <c r="E331" i="8"/>
  <c r="E347" i="8"/>
  <c r="E363" i="8"/>
  <c r="E379" i="8"/>
  <c r="E328" i="8"/>
  <c r="E344" i="8"/>
  <c r="E360" i="8"/>
  <c r="E376" i="8"/>
  <c r="E325" i="8"/>
  <c r="E341" i="8"/>
  <c r="E357" i="8"/>
  <c r="E373" i="8"/>
  <c r="E322" i="8"/>
  <c r="E338" i="8"/>
  <c r="E354" i="8"/>
  <c r="E370" i="8"/>
  <c r="E386" i="8"/>
  <c r="E335" i="8"/>
  <c r="E351" i="8"/>
  <c r="E367" i="8"/>
  <c r="E383" i="8"/>
  <c r="E332" i="8"/>
  <c r="E348" i="8"/>
  <c r="E364" i="8"/>
  <c r="E380" i="8"/>
  <c r="E329" i="8"/>
  <c r="E345" i="8"/>
  <c r="E361" i="8"/>
  <c r="E377" i="8"/>
  <c r="E326" i="8"/>
  <c r="E342" i="8"/>
  <c r="E358" i="8"/>
  <c r="E374" i="8"/>
  <c r="E323" i="8"/>
  <c r="E339" i="8"/>
  <c r="E355" i="8"/>
  <c r="E371" i="8"/>
  <c r="E387" i="8"/>
  <c r="E336" i="8"/>
  <c r="E352" i="8"/>
  <c r="E368" i="8"/>
  <c r="E384" i="8"/>
  <c r="E333" i="8"/>
  <c r="E349" i="8"/>
  <c r="E365" i="8"/>
  <c r="E381" i="8"/>
  <c r="E356" i="8"/>
  <c r="E372" i="8"/>
  <c r="E388" i="8"/>
  <c r="E1903" i="8"/>
  <c r="E1919" i="8"/>
  <c r="E1935" i="8"/>
  <c r="E1951" i="8"/>
  <c r="E1967" i="8"/>
  <c r="E1983" i="8"/>
  <c r="E1900" i="8"/>
  <c r="E1916" i="8"/>
  <c r="E1932" i="8"/>
  <c r="E1948" i="8"/>
  <c r="E1964" i="8"/>
  <c r="E1980" i="8"/>
  <c r="E1897" i="8"/>
  <c r="E1913" i="8"/>
  <c r="E1929" i="8"/>
  <c r="E1945" i="8"/>
  <c r="E1961" i="8"/>
  <c r="E1977" i="8"/>
  <c r="E1894" i="8"/>
  <c r="E1910" i="8"/>
  <c r="E1926" i="8"/>
  <c r="E1942" i="8"/>
  <c r="E1958" i="8"/>
  <c r="E1974" i="8"/>
  <c r="E1990" i="8"/>
  <c r="E1907" i="8"/>
  <c r="E1923" i="8"/>
  <c r="E1939" i="8"/>
  <c r="E1955" i="8"/>
  <c r="E1971" i="8"/>
  <c r="E1987" i="8"/>
  <c r="E1904" i="8"/>
  <c r="E1920" i="8"/>
  <c r="E1936" i="8"/>
  <c r="E1952" i="8"/>
  <c r="E1968" i="8"/>
  <c r="E1984" i="8"/>
  <c r="E1901" i="8"/>
  <c r="E1917" i="8"/>
  <c r="E1933" i="8"/>
  <c r="E1949" i="8"/>
  <c r="E1965" i="8"/>
  <c r="E1981" i="8"/>
  <c r="E1898" i="8"/>
  <c r="E1914" i="8"/>
  <c r="E1930" i="8"/>
  <c r="E1946" i="8"/>
  <c r="E1962" i="8"/>
  <c r="E1978" i="8"/>
  <c r="E1895" i="8"/>
  <c r="E1911" i="8"/>
  <c r="E1927" i="8"/>
  <c r="E1943" i="8"/>
  <c r="E1959" i="8"/>
  <c r="E1975" i="8"/>
  <c r="E1991" i="8"/>
  <c r="E1892" i="8"/>
  <c r="E1908" i="8"/>
  <c r="E1924" i="8"/>
  <c r="E1940" i="8"/>
  <c r="E1956" i="8"/>
  <c r="E1972" i="8"/>
  <c r="E1988" i="8"/>
  <c r="E1905" i="8"/>
  <c r="E1921" i="8"/>
  <c r="E1937" i="8"/>
  <c r="E1953" i="8"/>
  <c r="E1969" i="8"/>
  <c r="E1985" i="8"/>
  <c r="E1902" i="8"/>
  <c r="E1918" i="8"/>
  <c r="E1934" i="8"/>
  <c r="E1950" i="8"/>
  <c r="E1966" i="8"/>
  <c r="E1982" i="8"/>
  <c r="E1899" i="8"/>
  <c r="E1915" i="8"/>
  <c r="E1931" i="8"/>
  <c r="E1947" i="8"/>
  <c r="E1963" i="8"/>
  <c r="E1979" i="8"/>
  <c r="E1896" i="8"/>
  <c r="E1912" i="8"/>
  <c r="E1928" i="8"/>
  <c r="E1944" i="8"/>
  <c r="E1960" i="8"/>
  <c r="E1976" i="8"/>
  <c r="E1893" i="8"/>
  <c r="E1909" i="8"/>
  <c r="E1925" i="8"/>
  <c r="E1941" i="8"/>
  <c r="E1957" i="8"/>
  <c r="E1973" i="8"/>
  <c r="E1989" i="8"/>
  <c r="E1906" i="8"/>
  <c r="E1922" i="8"/>
  <c r="E1938" i="8"/>
  <c r="E1954" i="8"/>
  <c r="E1970" i="8"/>
  <c r="E1986" i="8"/>
  <c r="E2528" i="8"/>
  <c r="E2525" i="8"/>
  <c r="E2541" i="8"/>
  <c r="E2538" i="8"/>
  <c r="E2535" i="8"/>
  <c r="E2532" i="8"/>
  <c r="E2529" i="8"/>
  <c r="E2526" i="8"/>
  <c r="E2536" i="8"/>
  <c r="E2533" i="8"/>
  <c r="E2527" i="8"/>
  <c r="E2543" i="8"/>
  <c r="E2540" i="8"/>
  <c r="E2537" i="8"/>
  <c r="E2534" i="8"/>
  <c r="E2531" i="8"/>
  <c r="E2545" i="8"/>
  <c r="E2558" i="8"/>
  <c r="E2574" i="8"/>
  <c r="E2590" i="8"/>
  <c r="E2606" i="8"/>
  <c r="E2622" i="8"/>
  <c r="E2638" i="8"/>
  <c r="E2654" i="8"/>
  <c r="E2670" i="8"/>
  <c r="E2686" i="8"/>
  <c r="E2702" i="8"/>
  <c r="E2718" i="8"/>
  <c r="E2734" i="8"/>
  <c r="E2750" i="8"/>
  <c r="E2766" i="8"/>
  <c r="E2555" i="8"/>
  <c r="E2571" i="8"/>
  <c r="E2587" i="8"/>
  <c r="E2603" i="8"/>
  <c r="E2619" i="8"/>
  <c r="E2635" i="8"/>
  <c r="E2651" i="8"/>
  <c r="E2667" i="8"/>
  <c r="E2683" i="8"/>
  <c r="E2699" i="8"/>
  <c r="E2715" i="8"/>
  <c r="E2731" i="8"/>
  <c r="E2747" i="8"/>
  <c r="E2763" i="8"/>
  <c r="E2539" i="8"/>
  <c r="E2552" i="8"/>
  <c r="E2568" i="8"/>
  <c r="E2584" i="8"/>
  <c r="E2600" i="8"/>
  <c r="E2616" i="8"/>
  <c r="E2632" i="8"/>
  <c r="E2648" i="8"/>
  <c r="E2664" i="8"/>
  <c r="E2680" i="8"/>
  <c r="E2696" i="8"/>
  <c r="E2712" i="8"/>
  <c r="E2728" i="8"/>
  <c r="E2744" i="8"/>
  <c r="E2760" i="8"/>
  <c r="E2776" i="8"/>
  <c r="E2549" i="8"/>
  <c r="E2565" i="8"/>
  <c r="E2581" i="8"/>
  <c r="E2597" i="8"/>
  <c r="E2613" i="8"/>
  <c r="E2629" i="8"/>
  <c r="E2645" i="8"/>
  <c r="E2661" i="8"/>
  <c r="E2677" i="8"/>
  <c r="E2693" i="8"/>
  <c r="E2709" i="8"/>
  <c r="E2725" i="8"/>
  <c r="E2741" i="8"/>
  <c r="E2757" i="8"/>
  <c r="E2773" i="8"/>
  <c r="E2562" i="8"/>
  <c r="E2578" i="8"/>
  <c r="E2594" i="8"/>
  <c r="E2610" i="8"/>
  <c r="E2626" i="8"/>
  <c r="E2642" i="8"/>
  <c r="E2658" i="8"/>
  <c r="E2674" i="8"/>
  <c r="E2690" i="8"/>
  <c r="E2706" i="8"/>
  <c r="E2722" i="8"/>
  <c r="E2738" i="8"/>
  <c r="E2754" i="8"/>
  <c r="E2770" i="8"/>
  <c r="E2546" i="8"/>
  <c r="E2559" i="8"/>
  <c r="E2575" i="8"/>
  <c r="E2591" i="8"/>
  <c r="E2607" i="8"/>
  <c r="E2623" i="8"/>
  <c r="E2639" i="8"/>
  <c r="E2655" i="8"/>
  <c r="E2671" i="8"/>
  <c r="E2687" i="8"/>
  <c r="E2703" i="8"/>
  <c r="E2719" i="8"/>
  <c r="E2735" i="8"/>
  <c r="E2751" i="8"/>
  <c r="E2767" i="8"/>
  <c r="E2556" i="8"/>
  <c r="E2572" i="8"/>
  <c r="E2588" i="8"/>
  <c r="E2604" i="8"/>
  <c r="E2620" i="8"/>
  <c r="E2636" i="8"/>
  <c r="E2652" i="8"/>
  <c r="E2668" i="8"/>
  <c r="E2684" i="8"/>
  <c r="E2700" i="8"/>
  <c r="E2716" i="8"/>
  <c r="E2732" i="8"/>
  <c r="E2748" i="8"/>
  <c r="E2764" i="8"/>
  <c r="E2542" i="8"/>
  <c r="E2553" i="8"/>
  <c r="E2569" i="8"/>
  <c r="E2585" i="8"/>
  <c r="E2601" i="8"/>
  <c r="E2617" i="8"/>
  <c r="E2633" i="8"/>
  <c r="E2649" i="8"/>
  <c r="E2665" i="8"/>
  <c r="E2681" i="8"/>
  <c r="E2697" i="8"/>
  <c r="E2713" i="8"/>
  <c r="E2729" i="8"/>
  <c r="E2745" i="8"/>
  <c r="E2761" i="8"/>
  <c r="E2777" i="8"/>
  <c r="E2550" i="8"/>
  <c r="E2566" i="8"/>
  <c r="E2582" i="8"/>
  <c r="E2598" i="8"/>
  <c r="E2614" i="8"/>
  <c r="E2630" i="8"/>
  <c r="E2646" i="8"/>
  <c r="E2662" i="8"/>
  <c r="E2678" i="8"/>
  <c r="E2694" i="8"/>
  <c r="E2710" i="8"/>
  <c r="E2726" i="8"/>
  <c r="E2742" i="8"/>
  <c r="E2758" i="8"/>
  <c r="E2774" i="8"/>
  <c r="E2547" i="8"/>
  <c r="E2563" i="8"/>
  <c r="E2579" i="8"/>
  <c r="E2595" i="8"/>
  <c r="E2611" i="8"/>
  <c r="E2627" i="8"/>
  <c r="E2643" i="8"/>
  <c r="E2659" i="8"/>
  <c r="E2675" i="8"/>
  <c r="E2691" i="8"/>
  <c r="E2707" i="8"/>
  <c r="E2723" i="8"/>
  <c r="E2739" i="8"/>
  <c r="E2530" i="8"/>
  <c r="E2560" i="8"/>
  <c r="E2576" i="8"/>
  <c r="E2592" i="8"/>
  <c r="E2608" i="8"/>
  <c r="E2624" i="8"/>
  <c r="E2640" i="8"/>
  <c r="E2656" i="8"/>
  <c r="E2672" i="8"/>
  <c r="E2688" i="8"/>
  <c r="E2704" i="8"/>
  <c r="E2720" i="8"/>
  <c r="E2736" i="8"/>
  <c r="E2752" i="8"/>
  <c r="E2768" i="8"/>
  <c r="E2544" i="8"/>
  <c r="E2557" i="8"/>
  <c r="E2573" i="8"/>
  <c r="E2589" i="8"/>
  <c r="E2605" i="8"/>
  <c r="E2621" i="8"/>
  <c r="E2637" i="8"/>
  <c r="E2653" i="8"/>
  <c r="E2669" i="8"/>
  <c r="E2685" i="8"/>
  <c r="E2701" i="8"/>
  <c r="E2717" i="8"/>
  <c r="E2733" i="8"/>
  <c r="E2749" i="8"/>
  <c r="E2765" i="8"/>
  <c r="E2554" i="8"/>
  <c r="E2570" i="8"/>
  <c r="E2586" i="8"/>
  <c r="E2602" i="8"/>
  <c r="E2618" i="8"/>
  <c r="E2634" i="8"/>
  <c r="E2650" i="8"/>
  <c r="E2666" i="8"/>
  <c r="E2682" i="8"/>
  <c r="E2698" i="8"/>
  <c r="E2714" i="8"/>
  <c r="E2730" i="8"/>
  <c r="E2746" i="8"/>
  <c r="E2762" i="8"/>
  <c r="E2778" i="8"/>
  <c r="E2551" i="8"/>
  <c r="E2567" i="8"/>
  <c r="E2583" i="8"/>
  <c r="E2599" i="8"/>
  <c r="E2615" i="8"/>
  <c r="E2631" i="8"/>
  <c r="E2647" i="8"/>
  <c r="E2663" i="8"/>
  <c r="E2679" i="8"/>
  <c r="E2695" i="8"/>
  <c r="E2711" i="8"/>
  <c r="E2727" i="8"/>
  <c r="E2743" i="8"/>
  <c r="E2759" i="8"/>
  <c r="E2775" i="8"/>
  <c r="E2548" i="8"/>
  <c r="E2564" i="8"/>
  <c r="E2580" i="8"/>
  <c r="E2596" i="8"/>
  <c r="E2612" i="8"/>
  <c r="E2628" i="8"/>
  <c r="E2644" i="8"/>
  <c r="E2660" i="8"/>
  <c r="E2676" i="8"/>
  <c r="E2692" i="8"/>
  <c r="E2708" i="8"/>
  <c r="E2724" i="8"/>
  <c r="E2740" i="8"/>
  <c r="E2756" i="8"/>
  <c r="E2772" i="8"/>
  <c r="E2561" i="8"/>
  <c r="E2577" i="8"/>
  <c r="E2593" i="8"/>
  <c r="E2609" i="8"/>
  <c r="E2625" i="8"/>
  <c r="E2641" i="8"/>
  <c r="E2657" i="8"/>
  <c r="E2673" i="8"/>
  <c r="E2689" i="8"/>
  <c r="E2705" i="8"/>
  <c r="E2721" i="8"/>
  <c r="E2737" i="8"/>
  <c r="E2753" i="8"/>
  <c r="E2769" i="8"/>
  <c r="E2755" i="8"/>
  <c r="E2771" i="8"/>
  <c r="E1759" i="8"/>
  <c r="E1756" i="8"/>
  <c r="E1753" i="8"/>
  <c r="E1750" i="8"/>
  <c r="E1763" i="8"/>
  <c r="E1760" i="8"/>
  <c r="E1757" i="8"/>
  <c r="E1754" i="8"/>
  <c r="E1751" i="8"/>
  <c r="E1764" i="8"/>
  <c r="E1761" i="8"/>
  <c r="E1758" i="8"/>
  <c r="E1755" i="8"/>
  <c r="E1752" i="8"/>
  <c r="E1749" i="8"/>
  <c r="E1765" i="8"/>
  <c r="E1762" i="8"/>
  <c r="F565" i="8"/>
  <c r="F581" i="8"/>
  <c r="F562" i="8"/>
  <c r="F578" i="8"/>
  <c r="F594" i="8"/>
  <c r="F559" i="8"/>
  <c r="F575" i="8"/>
  <c r="F591" i="8"/>
  <c r="F556" i="8"/>
  <c r="F572" i="8"/>
  <c r="F588" i="8"/>
  <c r="F553" i="8"/>
  <c r="F569" i="8"/>
  <c r="F585" i="8"/>
  <c r="F566" i="8"/>
  <c r="F582" i="8"/>
  <c r="F563" i="8"/>
  <c r="F579" i="8"/>
  <c r="F595" i="8"/>
  <c r="F560" i="8"/>
  <c r="F576" i="8"/>
  <c r="F592" i="8"/>
  <c r="F557" i="8"/>
  <c r="F573" i="8"/>
  <c r="F589" i="8"/>
  <c r="F554" i="8"/>
  <c r="F570" i="8"/>
  <c r="F586" i="8"/>
  <c r="F567" i="8"/>
  <c r="F583" i="8"/>
  <c r="F564" i="8"/>
  <c r="F580" i="8"/>
  <c r="F596" i="8"/>
  <c r="F561" i="8"/>
  <c r="F577" i="8"/>
  <c r="F593" i="8"/>
  <c r="F558" i="8"/>
  <c r="F574" i="8"/>
  <c r="F590" i="8"/>
  <c r="F555" i="8"/>
  <c r="F571" i="8"/>
  <c r="F587" i="8"/>
  <c r="F568" i="8"/>
  <c r="F584" i="8"/>
  <c r="E314" i="8"/>
  <c r="E311" i="8"/>
  <c r="E315" i="8"/>
  <c r="E312" i="8"/>
  <c r="E316" i="8"/>
  <c r="E313" i="8"/>
  <c r="E310" i="8"/>
  <c r="E317" i="8"/>
  <c r="E2048" i="8"/>
  <c r="E2064" i="8"/>
  <c r="E2080" i="8"/>
  <c r="E2096" i="8"/>
  <c r="E2112" i="8"/>
  <c r="E2128" i="8"/>
  <c r="E2045" i="8"/>
  <c r="E2061" i="8"/>
  <c r="E2077" i="8"/>
  <c r="E2093" i="8"/>
  <c r="E2109" i="8"/>
  <c r="E2125" i="8"/>
  <c r="E2058" i="8"/>
  <c r="E2074" i="8"/>
  <c r="E2090" i="8"/>
  <c r="E2106" i="8"/>
  <c r="E2122" i="8"/>
  <c r="E2055" i="8"/>
  <c r="E2071" i="8"/>
  <c r="E2087" i="8"/>
  <c r="E2103" i="8"/>
  <c r="E2119" i="8"/>
  <c r="E2052" i="8"/>
  <c r="E2068" i="8"/>
  <c r="E2084" i="8"/>
  <c r="E2100" i="8"/>
  <c r="E2116" i="8"/>
  <c r="E2132" i="8"/>
  <c r="E2049" i="8"/>
  <c r="E2065" i="8"/>
  <c r="E2081" i="8"/>
  <c r="E2097" i="8"/>
  <c r="E2113" i="8"/>
  <c r="E2129" i="8"/>
  <c r="E2046" i="8"/>
  <c r="E2062" i="8"/>
  <c r="E2078" i="8"/>
  <c r="E2094" i="8"/>
  <c r="E2110" i="8"/>
  <c r="E2126" i="8"/>
  <c r="E2059" i="8"/>
  <c r="E2075" i="8"/>
  <c r="E2091" i="8"/>
  <c r="E2107" i="8"/>
  <c r="E2123" i="8"/>
  <c r="E2056" i="8"/>
  <c r="E2072" i="8"/>
  <c r="E2088" i="8"/>
  <c r="E2104" i="8"/>
  <c r="E2120" i="8"/>
  <c r="E2053" i="8"/>
  <c r="E2069" i="8"/>
  <c r="E2085" i="8"/>
  <c r="E2101" i="8"/>
  <c r="E2117" i="8"/>
  <c r="E2050" i="8"/>
  <c r="E2066" i="8"/>
  <c r="E2082" i="8"/>
  <c r="E2098" i="8"/>
  <c r="E2114" i="8"/>
  <c r="E2130" i="8"/>
  <c r="E2047" i="8"/>
  <c r="E2063" i="8"/>
  <c r="E2079" i="8"/>
  <c r="E2095" i="8"/>
  <c r="E2111" i="8"/>
  <c r="E2127" i="8"/>
  <c r="E2060" i="8"/>
  <c r="E2076" i="8"/>
  <c r="E2092" i="8"/>
  <c r="E2108" i="8"/>
  <c r="E2124" i="8"/>
  <c r="E2057" i="8"/>
  <c r="E2073" i="8"/>
  <c r="E2089" i="8"/>
  <c r="E2105" i="8"/>
  <c r="E2121" i="8"/>
  <c r="E2054" i="8"/>
  <c r="E2070" i="8"/>
  <c r="E2086" i="8"/>
  <c r="E2102" i="8"/>
  <c r="E2118" i="8"/>
  <c r="E2051" i="8"/>
  <c r="E2067" i="8"/>
  <c r="E2083" i="8"/>
  <c r="E2099" i="8"/>
  <c r="E2115" i="8"/>
  <c r="E2131" i="8"/>
  <c r="E394" i="8"/>
  <c r="E410" i="8"/>
  <c r="E391" i="8"/>
  <c r="E407" i="8"/>
  <c r="E401" i="8"/>
  <c r="E398" i="8"/>
  <c r="E395" i="8"/>
  <c r="E411" i="8"/>
  <c r="E392" i="8"/>
  <c r="E408" i="8"/>
  <c r="E389" i="8"/>
  <c r="E405" i="8"/>
  <c r="E402" i="8"/>
  <c r="E396" i="8"/>
  <c r="E412" i="8"/>
  <c r="E393" i="8"/>
  <c r="E390" i="8"/>
  <c r="E406" i="8"/>
  <c r="E403" i="8"/>
  <c r="E400" i="8"/>
  <c r="E397" i="8"/>
  <c r="E418" i="8"/>
  <c r="E434" i="8"/>
  <c r="E450" i="8"/>
  <c r="E466" i="8"/>
  <c r="E482" i="8"/>
  <c r="E498" i="8"/>
  <c r="E514" i="8"/>
  <c r="E530" i="8"/>
  <c r="E546" i="8"/>
  <c r="E404" i="8"/>
  <c r="E431" i="8"/>
  <c r="E447" i="8"/>
  <c r="E463" i="8"/>
  <c r="E479" i="8"/>
  <c r="E495" i="8"/>
  <c r="E511" i="8"/>
  <c r="E527" i="8"/>
  <c r="E543" i="8"/>
  <c r="E414" i="8"/>
  <c r="E428" i="8"/>
  <c r="E444" i="8"/>
  <c r="E460" i="8"/>
  <c r="E476" i="8"/>
  <c r="E492" i="8"/>
  <c r="E508" i="8"/>
  <c r="E524" i="8"/>
  <c r="E540" i="8"/>
  <c r="E425" i="8"/>
  <c r="E441" i="8"/>
  <c r="E457" i="8"/>
  <c r="E473" i="8"/>
  <c r="E489" i="8"/>
  <c r="E505" i="8"/>
  <c r="E521" i="8"/>
  <c r="E537" i="8"/>
  <c r="E415" i="8"/>
  <c r="E422" i="8"/>
  <c r="E438" i="8"/>
  <c r="E454" i="8"/>
  <c r="E470" i="8"/>
  <c r="E486" i="8"/>
  <c r="E502" i="8"/>
  <c r="E518" i="8"/>
  <c r="E534" i="8"/>
  <c r="E419" i="8"/>
  <c r="E435" i="8"/>
  <c r="E451" i="8"/>
  <c r="E467" i="8"/>
  <c r="E483" i="8"/>
  <c r="E499" i="8"/>
  <c r="E515" i="8"/>
  <c r="E531" i="8"/>
  <c r="E547" i="8"/>
  <c r="E432" i="8"/>
  <c r="E448" i="8"/>
  <c r="E464" i="8"/>
  <c r="E480" i="8"/>
  <c r="E496" i="8"/>
  <c r="E512" i="8"/>
  <c r="E528" i="8"/>
  <c r="E544" i="8"/>
  <c r="E409" i="8"/>
  <c r="E429" i="8"/>
  <c r="E445" i="8"/>
  <c r="E461" i="8"/>
  <c r="E477" i="8"/>
  <c r="E493" i="8"/>
  <c r="E509" i="8"/>
  <c r="E525" i="8"/>
  <c r="E541" i="8"/>
  <c r="E416" i="8"/>
  <c r="E426" i="8"/>
  <c r="E442" i="8"/>
  <c r="E458" i="8"/>
  <c r="E474" i="8"/>
  <c r="E490" i="8"/>
  <c r="E506" i="8"/>
  <c r="E522" i="8"/>
  <c r="E538" i="8"/>
  <c r="E423" i="8"/>
  <c r="E439" i="8"/>
  <c r="E455" i="8"/>
  <c r="E471" i="8"/>
  <c r="E487" i="8"/>
  <c r="E503" i="8"/>
  <c r="E519" i="8"/>
  <c r="E535" i="8"/>
  <c r="E420" i="8"/>
  <c r="E436" i="8"/>
  <c r="E452" i="8"/>
  <c r="E468" i="8"/>
  <c r="E484" i="8"/>
  <c r="E500" i="8"/>
  <c r="E516" i="8"/>
  <c r="E532" i="8"/>
  <c r="E433" i="8"/>
  <c r="E449" i="8"/>
  <c r="E465" i="8"/>
  <c r="E481" i="8"/>
  <c r="E497" i="8"/>
  <c r="E513" i="8"/>
  <c r="E529" i="8"/>
  <c r="E545" i="8"/>
  <c r="E430" i="8"/>
  <c r="E446" i="8"/>
  <c r="E462" i="8"/>
  <c r="E478" i="8"/>
  <c r="E494" i="8"/>
  <c r="E510" i="8"/>
  <c r="E526" i="8"/>
  <c r="E542" i="8"/>
  <c r="E413" i="8"/>
  <c r="E417" i="8"/>
  <c r="E427" i="8"/>
  <c r="E443" i="8"/>
  <c r="E459" i="8"/>
  <c r="E475" i="8"/>
  <c r="E491" i="8"/>
  <c r="E507" i="8"/>
  <c r="E523" i="8"/>
  <c r="E539" i="8"/>
  <c r="E399" i="8"/>
  <c r="E424" i="8"/>
  <c r="E440" i="8"/>
  <c r="E456" i="8"/>
  <c r="E472" i="8"/>
  <c r="E488" i="8"/>
  <c r="E504" i="8"/>
  <c r="E520" i="8"/>
  <c r="E536" i="8"/>
  <c r="E421" i="8"/>
  <c r="E437" i="8"/>
  <c r="E453" i="8"/>
  <c r="E469" i="8"/>
  <c r="E485" i="8"/>
  <c r="E501" i="8"/>
  <c r="E517" i="8"/>
  <c r="E533" i="8"/>
  <c r="E1009" i="8"/>
  <c r="E1025" i="8"/>
  <c r="E1041" i="8"/>
  <c r="E1057" i="8"/>
  <c r="E1073" i="8"/>
  <c r="E1089" i="8"/>
  <c r="E1105" i="8"/>
  <c r="E1006" i="8"/>
  <c r="E1022" i="8"/>
  <c r="E1038" i="8"/>
  <c r="E1054" i="8"/>
  <c r="E1070" i="8"/>
  <c r="E1086" i="8"/>
  <c r="E1102" i="8"/>
  <c r="E1003" i="8"/>
  <c r="E1019" i="8"/>
  <c r="E1035" i="8"/>
  <c r="E1051" i="8"/>
  <c r="E1067" i="8"/>
  <c r="E1083" i="8"/>
  <c r="E1099" i="8"/>
  <c r="E1000" i="8"/>
  <c r="E1016" i="8"/>
  <c r="E1032" i="8"/>
  <c r="E1048" i="8"/>
  <c r="E1064" i="8"/>
  <c r="E1080" i="8"/>
  <c r="E1096" i="8"/>
  <c r="E1112" i="8"/>
  <c r="E997" i="8"/>
  <c r="E1013" i="8"/>
  <c r="E1029" i="8"/>
  <c r="E1045" i="8"/>
  <c r="E1061" i="8"/>
  <c r="E1077" i="8"/>
  <c r="E1093" i="8"/>
  <c r="E1109" i="8"/>
  <c r="E1010" i="8"/>
  <c r="E1026" i="8"/>
  <c r="E1042" i="8"/>
  <c r="E1058" i="8"/>
  <c r="E1074" i="8"/>
  <c r="E1090" i="8"/>
  <c r="E1106" i="8"/>
  <c r="E1007" i="8"/>
  <c r="E1023" i="8"/>
  <c r="E1039" i="8"/>
  <c r="E1055" i="8"/>
  <c r="E1071" i="8"/>
  <c r="E1087" i="8"/>
  <c r="E1103" i="8"/>
  <c r="E1004" i="8"/>
  <c r="E1020" i="8"/>
  <c r="E1036" i="8"/>
  <c r="E1052" i="8"/>
  <c r="E1068" i="8"/>
  <c r="E1084" i="8"/>
  <c r="E1100" i="8"/>
  <c r="E1001" i="8"/>
  <c r="E1017" i="8"/>
  <c r="E1033" i="8"/>
  <c r="E1049" i="8"/>
  <c r="E1065" i="8"/>
  <c r="E1081" i="8"/>
  <c r="E1097" i="8"/>
  <c r="E1113" i="8"/>
  <c r="E998" i="8"/>
  <c r="E1014" i="8"/>
  <c r="E1030" i="8"/>
  <c r="E1046" i="8"/>
  <c r="E1062" i="8"/>
  <c r="E1078" i="8"/>
  <c r="E1094" i="8"/>
  <c r="E1110" i="8"/>
  <c r="E995" i="8"/>
  <c r="E1011" i="8"/>
  <c r="E1027" i="8"/>
  <c r="E1043" i="8"/>
  <c r="E1059" i="8"/>
  <c r="E1075" i="8"/>
  <c r="E1091" i="8"/>
  <c r="E1107" i="8"/>
  <c r="E1008" i="8"/>
  <c r="E1024" i="8"/>
  <c r="E1040" i="8"/>
  <c r="E1056" i="8"/>
  <c r="E1072" i="8"/>
  <c r="E1088" i="8"/>
  <c r="E1104" i="8"/>
  <c r="E1005" i="8"/>
  <c r="E1021" i="8"/>
  <c r="E1037" i="8"/>
  <c r="E1053" i="8"/>
  <c r="E1069" i="8"/>
  <c r="E1085" i="8"/>
  <c r="E1101" i="8"/>
  <c r="E1002" i="8"/>
  <c r="E1018" i="8"/>
  <c r="E1034" i="8"/>
  <c r="E1050" i="8"/>
  <c r="E1066" i="8"/>
  <c r="E1082" i="8"/>
  <c r="E1098" i="8"/>
  <c r="E1114" i="8"/>
  <c r="E999" i="8"/>
  <c r="E1015" i="8"/>
  <c r="E1031" i="8"/>
  <c r="E1047" i="8"/>
  <c r="E1063" i="8"/>
  <c r="E1079" i="8"/>
  <c r="E1095" i="8"/>
  <c r="E1111" i="8"/>
  <c r="E996" i="8"/>
  <c r="E1012" i="8"/>
  <c r="E1028" i="8"/>
  <c r="E1044" i="8"/>
  <c r="E1060" i="8"/>
  <c r="E1076" i="8"/>
  <c r="E1092" i="8"/>
  <c r="E1108" i="8"/>
  <c r="F3061" i="8"/>
  <c r="F3058" i="8"/>
  <c r="F3055" i="8"/>
  <c r="F3071" i="8"/>
  <c r="F3052" i="8"/>
  <c r="F3068" i="8"/>
  <c r="F3065" i="8"/>
  <c r="F3062" i="8"/>
  <c r="F3078" i="8"/>
  <c r="F3059" i="8"/>
  <c r="F3056" i="8"/>
  <c r="F3072" i="8"/>
  <c r="F3053" i="8"/>
  <c r="F3069" i="8"/>
  <c r="F3050" i="8"/>
  <c r="F3066" i="8"/>
  <c r="F3060" i="8"/>
  <c r="F3076" i="8"/>
  <c r="F3057" i="8"/>
  <c r="F3073" i="8"/>
  <c r="F3054" i="8"/>
  <c r="F3070" i="8"/>
  <c r="F3051" i="8"/>
  <c r="F3067" i="8"/>
  <c r="F3064" i="8"/>
  <c r="F3081" i="8"/>
  <c r="F3094" i="8"/>
  <c r="F3110" i="8"/>
  <c r="F3091" i="8"/>
  <c r="F3107" i="8"/>
  <c r="F3063" i="8"/>
  <c r="F3088" i="8"/>
  <c r="F3104" i="8"/>
  <c r="F3120" i="8"/>
  <c r="F3085" i="8"/>
  <c r="F3101" i="8"/>
  <c r="F3117" i="8"/>
  <c r="F3082" i="8"/>
  <c r="F3098" i="8"/>
  <c r="F3114" i="8"/>
  <c r="F3095" i="8"/>
  <c r="F3111" i="8"/>
  <c r="F3092" i="8"/>
  <c r="F3108" i="8"/>
  <c r="F3079" i="8"/>
  <c r="F3089" i="8"/>
  <c r="F3105" i="8"/>
  <c r="F3121" i="8"/>
  <c r="F3086" i="8"/>
  <c r="F3102" i="8"/>
  <c r="F3118" i="8"/>
  <c r="F3074" i="8"/>
  <c r="F3083" i="8"/>
  <c r="F3099" i="8"/>
  <c r="F3115" i="8"/>
  <c r="F3096" i="8"/>
  <c r="F3112" i="8"/>
  <c r="F3080" i="8"/>
  <c r="F3093" i="8"/>
  <c r="F3109" i="8"/>
  <c r="F3075" i="8"/>
  <c r="F3090" i="8"/>
  <c r="F3106" i="8"/>
  <c r="F3087" i="8"/>
  <c r="F3103" i="8"/>
  <c r="F3119" i="8"/>
  <c r="F3084" i="8"/>
  <c r="F3100" i="8"/>
  <c r="F3116" i="8"/>
  <c r="F3077" i="8"/>
  <c r="F3097" i="8"/>
  <c r="F3113" i="8"/>
  <c r="D1326" i="8"/>
  <c r="D1342" i="8"/>
  <c r="D1358" i="8"/>
  <c r="D1374" i="8"/>
  <c r="D1390" i="8"/>
  <c r="D1323" i="8"/>
  <c r="D1339" i="8"/>
  <c r="D1355" i="8"/>
  <c r="D1371" i="8"/>
  <c r="D1387" i="8"/>
  <c r="D1320" i="8"/>
  <c r="D1336" i="8"/>
  <c r="D1352" i="8"/>
  <c r="D1368" i="8"/>
  <c r="D1384" i="8"/>
  <c r="D1400" i="8"/>
  <c r="D1317" i="8"/>
  <c r="D1333" i="8"/>
  <c r="D1349" i="8"/>
  <c r="D1365" i="8"/>
  <c r="D1381" i="8"/>
  <c r="D1397" i="8"/>
  <c r="D1330" i="8"/>
  <c r="D1346" i="8"/>
  <c r="D1362" i="8"/>
  <c r="D1378" i="8"/>
  <c r="D1394" i="8"/>
  <c r="D1327" i="8"/>
  <c r="D1343" i="8"/>
  <c r="D1359" i="8"/>
  <c r="D1375" i="8"/>
  <c r="D1391" i="8"/>
  <c r="D1324" i="8"/>
  <c r="D1340" i="8"/>
  <c r="D1356" i="8"/>
  <c r="D1372" i="8"/>
  <c r="D1388" i="8"/>
  <c r="D1321" i="8"/>
  <c r="D1337" i="8"/>
  <c r="D1353" i="8"/>
  <c r="D1369" i="8"/>
  <c r="D1385" i="8"/>
  <c r="D1401" i="8"/>
  <c r="D1318" i="8"/>
  <c r="D1334" i="8"/>
  <c r="D1350" i="8"/>
  <c r="D1366" i="8"/>
  <c r="D1382" i="8"/>
  <c r="D1398" i="8"/>
  <c r="D1331" i="8"/>
  <c r="D1347" i="8"/>
  <c r="D1363" i="8"/>
  <c r="D1379" i="8"/>
  <c r="D1395" i="8"/>
  <c r="D1328" i="8"/>
  <c r="D1344" i="8"/>
  <c r="D1360" i="8"/>
  <c r="D1376" i="8"/>
  <c r="D1392" i="8"/>
  <c r="D1325" i="8"/>
  <c r="D1341" i="8"/>
  <c r="D1357" i="8"/>
  <c r="D1373" i="8"/>
  <c r="D1389" i="8"/>
  <c r="D1322" i="8"/>
  <c r="D1338" i="8"/>
  <c r="D1354" i="8"/>
  <c r="D1370" i="8"/>
  <c r="D1386" i="8"/>
  <c r="D1402" i="8"/>
  <c r="D1319" i="8"/>
  <c r="D1335" i="8"/>
  <c r="D1351" i="8"/>
  <c r="D1367" i="8"/>
  <c r="D1383" i="8"/>
  <c r="D1399" i="8"/>
  <c r="D1316" i="8"/>
  <c r="D1332" i="8"/>
  <c r="D1348" i="8"/>
  <c r="D1364" i="8"/>
  <c r="D1380" i="8"/>
  <c r="D1396" i="8"/>
  <c r="D1329" i="8"/>
  <c r="D1345" i="8"/>
  <c r="D1361" i="8"/>
  <c r="D1377" i="8"/>
  <c r="D1393" i="8"/>
  <c r="D805" i="8"/>
  <c r="D821" i="8"/>
  <c r="D837" i="8"/>
  <c r="D853" i="8"/>
  <c r="D869" i="8"/>
  <c r="D885" i="8"/>
  <c r="D802" i="8"/>
  <c r="D818" i="8"/>
  <c r="D834" i="8"/>
  <c r="D850" i="8"/>
  <c r="D866" i="8"/>
  <c r="D882" i="8"/>
  <c r="D799" i="8"/>
  <c r="D815" i="8"/>
  <c r="D831" i="8"/>
  <c r="D847" i="8"/>
  <c r="D863" i="8"/>
  <c r="D879" i="8"/>
  <c r="D796" i="8"/>
  <c r="D812" i="8"/>
  <c r="D828" i="8"/>
  <c r="D844" i="8"/>
  <c r="D860" i="8"/>
  <c r="D876" i="8"/>
  <c r="D793" i="8"/>
  <c r="D809" i="8"/>
  <c r="D825" i="8"/>
  <c r="D841" i="8"/>
  <c r="D857" i="8"/>
  <c r="D873" i="8"/>
  <c r="D889" i="8"/>
  <c r="D806" i="8"/>
  <c r="D822" i="8"/>
  <c r="D838" i="8"/>
  <c r="D854" i="8"/>
  <c r="D870" i="8"/>
  <c r="D886" i="8"/>
  <c r="D803" i="8"/>
  <c r="D819" i="8"/>
  <c r="D835" i="8"/>
  <c r="D851" i="8"/>
  <c r="D867" i="8"/>
  <c r="D883" i="8"/>
  <c r="D800" i="8"/>
  <c r="D816" i="8"/>
  <c r="D832" i="8"/>
  <c r="D848" i="8"/>
  <c r="D864" i="8"/>
  <c r="D880" i="8"/>
  <c r="D797" i="8"/>
  <c r="D813" i="8"/>
  <c r="D829" i="8"/>
  <c r="D845" i="8"/>
  <c r="D861" i="8"/>
  <c r="D877" i="8"/>
  <c r="D794" i="8"/>
  <c r="D810" i="8"/>
  <c r="D826" i="8"/>
  <c r="D842" i="8"/>
  <c r="D858" i="8"/>
  <c r="D874" i="8"/>
  <c r="D791" i="8"/>
  <c r="D807" i="8"/>
  <c r="D823" i="8"/>
  <c r="D839" i="8"/>
  <c r="D855" i="8"/>
  <c r="D871" i="8"/>
  <c r="D887" i="8"/>
  <c r="D804" i="8"/>
  <c r="D820" i="8"/>
  <c r="D836" i="8"/>
  <c r="D852" i="8"/>
  <c r="D868" i="8"/>
  <c r="D884" i="8"/>
  <c r="D801" i="8"/>
  <c r="D817" i="8"/>
  <c r="D833" i="8"/>
  <c r="D849" i="8"/>
  <c r="D865" i="8"/>
  <c r="D881" i="8"/>
  <c r="D798" i="8"/>
  <c r="D814" i="8"/>
  <c r="D830" i="8"/>
  <c r="D846" i="8"/>
  <c r="D862" i="8"/>
  <c r="D878" i="8"/>
  <c r="D795" i="8"/>
  <c r="D811" i="8"/>
  <c r="D827" i="8"/>
  <c r="D843" i="8"/>
  <c r="D859" i="8"/>
  <c r="D875" i="8"/>
  <c r="D792" i="8"/>
  <c r="D808" i="8"/>
  <c r="D824" i="8"/>
  <c r="D840" i="8"/>
  <c r="D856" i="8"/>
  <c r="D872" i="8"/>
  <c r="D888" i="8"/>
  <c r="F2965" i="8"/>
  <c r="F2981" i="8"/>
  <c r="F2962" i="8"/>
  <c r="F2978" i="8"/>
  <c r="F2994" i="8"/>
  <c r="F2959" i="8"/>
  <c r="F2975" i="8"/>
  <c r="F2991" i="8"/>
  <c r="F2956" i="8"/>
  <c r="F2972" i="8"/>
  <c r="F2988" i="8"/>
  <c r="F2969" i="8"/>
  <c r="F2985" i="8"/>
  <c r="F2966" i="8"/>
  <c r="F2982" i="8"/>
  <c r="F2963" i="8"/>
  <c r="F2979" i="8"/>
  <c r="F2960" i="8"/>
  <c r="F2976" i="8"/>
  <c r="F2992" i="8"/>
  <c r="F2957" i="8"/>
  <c r="F2973" i="8"/>
  <c r="F2989" i="8"/>
  <c r="F2970" i="8"/>
  <c r="F2986" i="8"/>
  <c r="F2967" i="8"/>
  <c r="F2983" i="8"/>
  <c r="F2964" i="8"/>
  <c r="F2980" i="8"/>
  <c r="F2961" i="8"/>
  <c r="F2977" i="8"/>
  <c r="F2993" i="8"/>
  <c r="F2958" i="8"/>
  <c r="F2974" i="8"/>
  <c r="F2990" i="8"/>
  <c r="F2971" i="8"/>
  <c r="F2987" i="8"/>
  <c r="F2968" i="8"/>
  <c r="F2984" i="8"/>
  <c r="E2834" i="8"/>
  <c r="E2850" i="8"/>
  <c r="E2866" i="8"/>
  <c r="E2882" i="8"/>
  <c r="E2898" i="8"/>
  <c r="E2914" i="8"/>
  <c r="E2930" i="8"/>
  <c r="E2946" i="8"/>
  <c r="E2831" i="8"/>
  <c r="E2847" i="8"/>
  <c r="E2863" i="8"/>
  <c r="E2879" i="8"/>
  <c r="E2895" i="8"/>
  <c r="E2911" i="8"/>
  <c r="E2927" i="8"/>
  <c r="E2943" i="8"/>
  <c r="E2828" i="8"/>
  <c r="E2844" i="8"/>
  <c r="E2860" i="8"/>
  <c r="E2876" i="8"/>
  <c r="E2892" i="8"/>
  <c r="E2908" i="8"/>
  <c r="E2924" i="8"/>
  <c r="E2940" i="8"/>
  <c r="E2825" i="8"/>
  <c r="E2841" i="8"/>
  <c r="E2857" i="8"/>
  <c r="E2873" i="8"/>
  <c r="E2889" i="8"/>
  <c r="E2905" i="8"/>
  <c r="E2921" i="8"/>
  <c r="E2937" i="8"/>
  <c r="E2953" i="8"/>
  <c r="E2822" i="8"/>
  <c r="E2838" i="8"/>
  <c r="E2854" i="8"/>
  <c r="E2870" i="8"/>
  <c r="E2886" i="8"/>
  <c r="E2902" i="8"/>
  <c r="E2918" i="8"/>
  <c r="E2934" i="8"/>
  <c r="E2950" i="8"/>
  <c r="E2835" i="8"/>
  <c r="E2851" i="8"/>
  <c r="E2867" i="8"/>
  <c r="E2883" i="8"/>
  <c r="E2899" i="8"/>
  <c r="E2915" i="8"/>
  <c r="E2931" i="8"/>
  <c r="E2947" i="8"/>
  <c r="E2832" i="8"/>
  <c r="E2848" i="8"/>
  <c r="E2864" i="8"/>
  <c r="E2880" i="8"/>
  <c r="E2896" i="8"/>
  <c r="E2912" i="8"/>
  <c r="E2928" i="8"/>
  <c r="E2944" i="8"/>
  <c r="E2829" i="8"/>
  <c r="E2845" i="8"/>
  <c r="E2861" i="8"/>
  <c r="E2877" i="8"/>
  <c r="E2893" i="8"/>
  <c r="E2909" i="8"/>
  <c r="E2925" i="8"/>
  <c r="E2941" i="8"/>
  <c r="E2826" i="8"/>
  <c r="E2842" i="8"/>
  <c r="E2858" i="8"/>
  <c r="E2874" i="8"/>
  <c r="E2890" i="8"/>
  <c r="E2906" i="8"/>
  <c r="E2922" i="8"/>
  <c r="E2938" i="8"/>
  <c r="E2954" i="8"/>
  <c r="E2823" i="8"/>
  <c r="E2839" i="8"/>
  <c r="E2855" i="8"/>
  <c r="E2871" i="8"/>
  <c r="E2887" i="8"/>
  <c r="E2903" i="8"/>
  <c r="E2919" i="8"/>
  <c r="E2935" i="8"/>
  <c r="E2951" i="8"/>
  <c r="E2836" i="8"/>
  <c r="E2852" i="8"/>
  <c r="E2868" i="8"/>
  <c r="E2884" i="8"/>
  <c r="E2900" i="8"/>
  <c r="E2916" i="8"/>
  <c r="E2932" i="8"/>
  <c r="E2948" i="8"/>
  <c r="E2833" i="8"/>
  <c r="E2849" i="8"/>
  <c r="E2865" i="8"/>
  <c r="E2881" i="8"/>
  <c r="E2897" i="8"/>
  <c r="E2913" i="8"/>
  <c r="E2929" i="8"/>
  <c r="E2945" i="8"/>
  <c r="E2830" i="8"/>
  <c r="E2846" i="8"/>
  <c r="E2862" i="8"/>
  <c r="E2878" i="8"/>
  <c r="E2894" i="8"/>
  <c r="E2910" i="8"/>
  <c r="E2926" i="8"/>
  <c r="E2942" i="8"/>
  <c r="E2827" i="8"/>
  <c r="E2843" i="8"/>
  <c r="E2859" i="8"/>
  <c r="E2875" i="8"/>
  <c r="E2891" i="8"/>
  <c r="E2907" i="8"/>
  <c r="E2923" i="8"/>
  <c r="E2939" i="8"/>
  <c r="E2955" i="8"/>
  <c r="E2824" i="8"/>
  <c r="E2840" i="8"/>
  <c r="E2856" i="8"/>
  <c r="E2872" i="8"/>
  <c r="E2888" i="8"/>
  <c r="E2904" i="8"/>
  <c r="E2920" i="8"/>
  <c r="E2936" i="8"/>
  <c r="E2952" i="8"/>
  <c r="E2837" i="8"/>
  <c r="E2853" i="8"/>
  <c r="E2869" i="8"/>
  <c r="E2885" i="8"/>
  <c r="E2901" i="8"/>
  <c r="E2917" i="8"/>
  <c r="E2933" i="8"/>
  <c r="E2949" i="8"/>
  <c r="F2323" i="8"/>
  <c r="F2339" i="8"/>
  <c r="F2355" i="8"/>
  <c r="F2320" i="8"/>
  <c r="F2336" i="8"/>
  <c r="F2352" i="8"/>
  <c r="F2333" i="8"/>
  <c r="F2349" i="8"/>
  <c r="F2330" i="8"/>
  <c r="F2346" i="8"/>
  <c r="F2362" i="8"/>
  <c r="F2327" i="8"/>
  <c r="F2343" i="8"/>
  <c r="F2359" i="8"/>
  <c r="F2324" i="8"/>
  <c r="F2340" i="8"/>
  <c r="F2356" i="8"/>
  <c r="F2321" i="8"/>
  <c r="F2337" i="8"/>
  <c r="F2353" i="8"/>
  <c r="F2318" i="8"/>
  <c r="F2334" i="8"/>
  <c r="F2350" i="8"/>
  <c r="F2331" i="8"/>
  <c r="F2347" i="8"/>
  <c r="F2363" i="8"/>
  <c r="F2328" i="8"/>
  <c r="F2344" i="8"/>
  <c r="F2360" i="8"/>
  <c r="F2325" i="8"/>
  <c r="F2341" i="8"/>
  <c r="F2357" i="8"/>
  <c r="F2322" i="8"/>
  <c r="F2338" i="8"/>
  <c r="F2354" i="8"/>
  <c r="F2319" i="8"/>
  <c r="F2335" i="8"/>
  <c r="F2351" i="8"/>
  <c r="F2332" i="8"/>
  <c r="F2348" i="8"/>
  <c r="F2329" i="8"/>
  <c r="F2345" i="8"/>
  <c r="F2361" i="8"/>
  <c r="F2326" i="8"/>
  <c r="F2342" i="8"/>
  <c r="F2358" i="8"/>
  <c r="E2782" i="8"/>
  <c r="E2798" i="8"/>
  <c r="E2779" i="8"/>
  <c r="E2795" i="8"/>
  <c r="E2792" i="8"/>
  <c r="E2789" i="8"/>
  <c r="E2805" i="8"/>
  <c r="E2786" i="8"/>
  <c r="E2783" i="8"/>
  <c r="E2799" i="8"/>
  <c r="E2780" i="8"/>
  <c r="E2796" i="8"/>
  <c r="E2793" i="8"/>
  <c r="E2790" i="8"/>
  <c r="E2806" i="8"/>
  <c r="E2784" i="8"/>
  <c r="E2800" i="8"/>
  <c r="E2781" i="8"/>
  <c r="E2797" i="8"/>
  <c r="E2794" i="8"/>
  <c r="E2791" i="8"/>
  <c r="E2807" i="8"/>
  <c r="E2788" i="8"/>
  <c r="E2804" i="8"/>
  <c r="E2785" i="8"/>
  <c r="E2801" i="8"/>
  <c r="E2802" i="8"/>
  <c r="E2803" i="8"/>
  <c r="E2787" i="8"/>
  <c r="D1772" i="8"/>
  <c r="D1769" i="8"/>
  <c r="D1766" i="8"/>
  <c r="D1773" i="8"/>
  <c r="D1770" i="8"/>
  <c r="D1767" i="8"/>
  <c r="D1774" i="8"/>
  <c r="D1771" i="8"/>
  <c r="D1768" i="8"/>
  <c r="D1775" i="8"/>
  <c r="D3136" i="8"/>
  <c r="D3133" i="8"/>
  <c r="D3130" i="8"/>
  <c r="D3127" i="8"/>
  <c r="D3143" i="8"/>
  <c r="D3124" i="8"/>
  <c r="D3140" i="8"/>
  <c r="D3137" i="8"/>
  <c r="D3134" i="8"/>
  <c r="D3131" i="8"/>
  <c r="D3128" i="8"/>
  <c r="D3144" i="8"/>
  <c r="D3125" i="8"/>
  <c r="D3141" i="8"/>
  <c r="D3122" i="8"/>
  <c r="D3138" i="8"/>
  <c r="D3135" i="8"/>
  <c r="D3132" i="8"/>
  <c r="D3129" i="8"/>
  <c r="D3126" i="8"/>
  <c r="D3142" i="8"/>
  <c r="D3123" i="8"/>
  <c r="D3139" i="8"/>
  <c r="D106" i="8"/>
  <c r="D103" i="8"/>
  <c r="D100" i="8"/>
  <c r="D110" i="8"/>
  <c r="D107" i="8"/>
  <c r="D104" i="8"/>
  <c r="D101" i="8"/>
  <c r="D98" i="8"/>
  <c r="D111" i="8"/>
  <c r="D108" i="8"/>
  <c r="D105" i="8"/>
  <c r="D102" i="8"/>
  <c r="D99" i="8"/>
  <c r="D112" i="8"/>
  <c r="D109" i="8"/>
  <c r="E550" i="8"/>
  <c r="E551" i="8"/>
  <c r="E548" i="8"/>
  <c r="E552" i="8"/>
  <c r="E549" i="8"/>
  <c r="E109" i="8"/>
  <c r="E106" i="8"/>
  <c r="E103" i="8"/>
  <c r="E100" i="8"/>
  <c r="E110" i="8"/>
  <c r="E107" i="8"/>
  <c r="E104" i="8"/>
  <c r="E101" i="8"/>
  <c r="E98" i="8"/>
  <c r="E111" i="8"/>
  <c r="E108" i="8"/>
  <c r="E105" i="8"/>
  <c r="E102" i="8"/>
  <c r="E99" i="8"/>
  <c r="E112" i="8"/>
  <c r="E1494" i="8"/>
  <c r="E1510" i="8"/>
  <c r="E1526" i="8"/>
  <c r="E1542" i="8"/>
  <c r="E1558" i="8"/>
  <c r="E1574" i="8"/>
  <c r="E1590" i="8"/>
  <c r="E1491" i="8"/>
  <c r="E1507" i="8"/>
  <c r="E1523" i="8"/>
  <c r="E1539" i="8"/>
  <c r="E1555" i="8"/>
  <c r="E1571" i="8"/>
  <c r="E1587" i="8"/>
  <c r="E1488" i="8"/>
  <c r="E1504" i="8"/>
  <c r="E1520" i="8"/>
  <c r="E1536" i="8"/>
  <c r="E1552" i="8"/>
  <c r="E1568" i="8"/>
  <c r="E1584" i="8"/>
  <c r="E1485" i="8"/>
  <c r="E1501" i="8"/>
  <c r="E1517" i="8"/>
  <c r="E1533" i="8"/>
  <c r="E1549" i="8"/>
  <c r="E1565" i="8"/>
  <c r="E1581" i="8"/>
  <c r="E1597" i="8"/>
  <c r="E1498" i="8"/>
  <c r="E1514" i="8"/>
  <c r="E1530" i="8"/>
  <c r="E1546" i="8"/>
  <c r="E1562" i="8"/>
  <c r="E1578" i="8"/>
  <c r="E1594" i="8"/>
  <c r="E1495" i="8"/>
  <c r="E1511" i="8"/>
  <c r="E1527" i="8"/>
  <c r="E1543" i="8"/>
  <c r="E1559" i="8"/>
  <c r="E1575" i="8"/>
  <c r="E1591" i="8"/>
  <c r="E1492" i="8"/>
  <c r="E1508" i="8"/>
  <c r="E1524" i="8"/>
  <c r="E1540" i="8"/>
  <c r="E1556" i="8"/>
  <c r="E1572" i="8"/>
  <c r="E1588" i="8"/>
  <c r="E1489" i="8"/>
  <c r="E1505" i="8"/>
  <c r="E1521" i="8"/>
  <c r="E1537" i="8"/>
  <c r="E1553" i="8"/>
  <c r="E1569" i="8"/>
  <c r="E1585" i="8"/>
  <c r="E1486" i="8"/>
  <c r="E1502" i="8"/>
  <c r="E1518" i="8"/>
  <c r="E1534" i="8"/>
  <c r="E1550" i="8"/>
  <c r="E1566" i="8"/>
  <c r="E1582" i="8"/>
  <c r="E1598" i="8"/>
  <c r="E1499" i="8"/>
  <c r="E1515" i="8"/>
  <c r="E1531" i="8"/>
  <c r="E1547" i="8"/>
  <c r="E1563" i="8"/>
  <c r="E1579" i="8"/>
  <c r="E1595" i="8"/>
  <c r="E1496" i="8"/>
  <c r="E1512" i="8"/>
  <c r="E1528" i="8"/>
  <c r="E1544" i="8"/>
  <c r="E1560" i="8"/>
  <c r="E1576" i="8"/>
  <c r="E1592" i="8"/>
  <c r="E1493" i="8"/>
  <c r="E1509" i="8"/>
  <c r="E1525" i="8"/>
  <c r="E1541" i="8"/>
  <c r="E1557" i="8"/>
  <c r="E1573" i="8"/>
  <c r="E1589" i="8"/>
  <c r="E1490" i="8"/>
  <c r="E1506" i="8"/>
  <c r="E1522" i="8"/>
  <c r="E1538" i="8"/>
  <c r="E1554" i="8"/>
  <c r="E1570" i="8"/>
  <c r="E1586" i="8"/>
  <c r="E1487" i="8"/>
  <c r="E1503" i="8"/>
  <c r="E1519" i="8"/>
  <c r="E1535" i="8"/>
  <c r="E1551" i="8"/>
  <c r="E1567" i="8"/>
  <c r="E1583" i="8"/>
  <c r="E1599" i="8"/>
  <c r="E1500" i="8"/>
  <c r="E1516" i="8"/>
  <c r="E1532" i="8"/>
  <c r="E1548" i="8"/>
  <c r="E1564" i="8"/>
  <c r="E1580" i="8"/>
  <c r="E1596" i="8"/>
  <c r="E1497" i="8"/>
  <c r="E1513" i="8"/>
  <c r="E1529" i="8"/>
  <c r="E1545" i="8"/>
  <c r="E1561" i="8"/>
  <c r="E1577" i="8"/>
  <c r="E1593" i="8"/>
  <c r="C898" i="8"/>
  <c r="C914" i="8"/>
  <c r="C930" i="8"/>
  <c r="C895" i="8"/>
  <c r="C911" i="8"/>
  <c r="C927" i="8"/>
  <c r="C892" i="8"/>
  <c r="C908" i="8"/>
  <c r="C924" i="8"/>
  <c r="C905" i="8"/>
  <c r="C921" i="8"/>
  <c r="C937" i="8"/>
  <c r="C902" i="8"/>
  <c r="C918" i="8"/>
  <c r="C899" i="8"/>
  <c r="C915" i="8"/>
  <c r="C931" i="8"/>
  <c r="C896" i="8"/>
  <c r="C912" i="8"/>
  <c r="C928" i="8"/>
  <c r="C893" i="8"/>
  <c r="C909" i="8"/>
  <c r="C925" i="8"/>
  <c r="C941" i="8"/>
  <c r="C890" i="8"/>
  <c r="C906" i="8"/>
  <c r="C922" i="8"/>
  <c r="C938" i="8"/>
  <c r="C900" i="8"/>
  <c r="C916" i="8"/>
  <c r="C932" i="8"/>
  <c r="C897" i="8"/>
  <c r="C913" i="8"/>
  <c r="C929" i="8"/>
  <c r="C894" i="8"/>
  <c r="C910" i="8"/>
  <c r="C926" i="8"/>
  <c r="C942" i="8"/>
  <c r="C891" i="8"/>
  <c r="C907" i="8"/>
  <c r="C923" i="8"/>
  <c r="C939" i="8"/>
  <c r="C904" i="8"/>
  <c r="C920" i="8"/>
  <c r="C936" i="8"/>
  <c r="C901" i="8"/>
  <c r="C917" i="8"/>
  <c r="C935" i="8"/>
  <c r="C944" i="8"/>
  <c r="C955" i="8"/>
  <c r="C971" i="8"/>
  <c r="C987" i="8"/>
  <c r="C952" i="8"/>
  <c r="C968" i="8"/>
  <c r="C984" i="8"/>
  <c r="C903" i="8"/>
  <c r="C949" i="8"/>
  <c r="C965" i="8"/>
  <c r="C981" i="8"/>
  <c r="C945" i="8"/>
  <c r="C962" i="8"/>
  <c r="C978" i="8"/>
  <c r="C994" i="8"/>
  <c r="C959" i="8"/>
  <c r="C975" i="8"/>
  <c r="C991" i="8"/>
  <c r="C946" i="8"/>
  <c r="C956" i="8"/>
  <c r="C972" i="8"/>
  <c r="C988" i="8"/>
  <c r="C940" i="8"/>
  <c r="C953" i="8"/>
  <c r="C969" i="8"/>
  <c r="C985" i="8"/>
  <c r="C919" i="8"/>
  <c r="C950" i="8"/>
  <c r="C966" i="8"/>
  <c r="C982" i="8"/>
  <c r="C963" i="8"/>
  <c r="C979" i="8"/>
  <c r="C960" i="8"/>
  <c r="C976" i="8"/>
  <c r="C992" i="8"/>
  <c r="C947" i="8"/>
  <c r="C957" i="8"/>
  <c r="C973" i="8"/>
  <c r="C989" i="8"/>
  <c r="C954" i="8"/>
  <c r="C970" i="8"/>
  <c r="C986" i="8"/>
  <c r="C951" i="8"/>
  <c r="C967" i="8"/>
  <c r="C983" i="8"/>
  <c r="C943" i="8"/>
  <c r="C964" i="8"/>
  <c r="C980" i="8"/>
  <c r="C933" i="8"/>
  <c r="C948" i="8"/>
  <c r="C961" i="8"/>
  <c r="C977" i="8"/>
  <c r="C993" i="8"/>
  <c r="C934" i="8"/>
  <c r="C958" i="8"/>
  <c r="C974" i="8"/>
  <c r="C990" i="8"/>
  <c r="F1657" i="8"/>
  <c r="F1670" i="8"/>
  <c r="F1686" i="8"/>
  <c r="F1702" i="8"/>
  <c r="F1718" i="8"/>
  <c r="F1734" i="8"/>
  <c r="F1667" i="8"/>
  <c r="F1683" i="8"/>
  <c r="F1699" i="8"/>
  <c r="F1715" i="8"/>
  <c r="F1731" i="8"/>
  <c r="F1664" i="8"/>
  <c r="F1680" i="8"/>
  <c r="F1696" i="8"/>
  <c r="F1712" i="8"/>
  <c r="F1661" i="8"/>
  <c r="F1677" i="8"/>
  <c r="F1693" i="8"/>
  <c r="F1709" i="8"/>
  <c r="F1725" i="8"/>
  <c r="F1658" i="8"/>
  <c r="F1674" i="8"/>
  <c r="F1690" i="8"/>
  <c r="F1706" i="8"/>
  <c r="F1722" i="8"/>
  <c r="F1738" i="8"/>
  <c r="F1671" i="8"/>
  <c r="F1687" i="8"/>
  <c r="F1703" i="8"/>
  <c r="F1719" i="8"/>
  <c r="F1668" i="8"/>
  <c r="F1684" i="8"/>
  <c r="F1700" i="8"/>
  <c r="F1716" i="8"/>
  <c r="F1732" i="8"/>
  <c r="F1665" i="8"/>
  <c r="F1681" i="8"/>
  <c r="F1697" i="8"/>
  <c r="F1713" i="8"/>
  <c r="F1729" i="8"/>
  <c r="F1662" i="8"/>
  <c r="F1678" i="8"/>
  <c r="F1694" i="8"/>
  <c r="F1710" i="8"/>
  <c r="F1726" i="8"/>
  <c r="F1742" i="8"/>
  <c r="F1659" i="8"/>
  <c r="F1675" i="8"/>
  <c r="F1691" i="8"/>
  <c r="F1707" i="8"/>
  <c r="F1723" i="8"/>
  <c r="F1656" i="8"/>
  <c r="F1672" i="8"/>
  <c r="F1688" i="8"/>
  <c r="F1704" i="8"/>
  <c r="F1720" i="8"/>
  <c r="F1736" i="8"/>
  <c r="F1669" i="8"/>
  <c r="F1685" i="8"/>
  <c r="F1701" i="8"/>
  <c r="F1717" i="8"/>
  <c r="F1666" i="8"/>
  <c r="F1682" i="8"/>
  <c r="F1698" i="8"/>
  <c r="F1714" i="8"/>
  <c r="F1730" i="8"/>
  <c r="F1663" i="8"/>
  <c r="F1679" i="8"/>
  <c r="F1695" i="8"/>
  <c r="F1711" i="8"/>
  <c r="F1727" i="8"/>
  <c r="F1743" i="8"/>
  <c r="F1660" i="8"/>
  <c r="F1676" i="8"/>
  <c r="F1692" i="8"/>
  <c r="F1708" i="8"/>
  <c r="F1724" i="8"/>
  <c r="F1740" i="8"/>
  <c r="F1746" i="8"/>
  <c r="F1735" i="8"/>
  <c r="F1673" i="8"/>
  <c r="F1721" i="8"/>
  <c r="F1737" i="8"/>
  <c r="F1747" i="8"/>
  <c r="F1689" i="8"/>
  <c r="F1728" i="8"/>
  <c r="F1744" i="8"/>
  <c r="F1739" i="8"/>
  <c r="F1748" i="8"/>
  <c r="F1705" i="8"/>
  <c r="F1745" i="8"/>
  <c r="F1733" i="8"/>
  <c r="F1741" i="8"/>
  <c r="E318" i="8"/>
  <c r="E319" i="8"/>
  <c r="E320" i="8"/>
  <c r="D2365" i="8"/>
  <c r="D2381" i="8"/>
  <c r="D2397" i="8"/>
  <c r="D2413" i="8"/>
  <c r="D2429" i="8"/>
  <c r="D2378" i="8"/>
  <c r="D2394" i="8"/>
  <c r="D2410" i="8"/>
  <c r="D2426" i="8"/>
  <c r="D2375" i="8"/>
  <c r="D2391" i="8"/>
  <c r="D2407" i="8"/>
  <c r="D2423" i="8"/>
  <c r="D2372" i="8"/>
  <c r="D2388" i="8"/>
  <c r="D2404" i="8"/>
  <c r="D2420" i="8"/>
  <c r="D2369" i="8"/>
  <c r="D2385" i="8"/>
  <c r="D2401" i="8"/>
  <c r="D2417" i="8"/>
  <c r="D2366" i="8"/>
  <c r="D2382" i="8"/>
  <c r="D2398" i="8"/>
  <c r="D2414" i="8"/>
  <c r="D2379" i="8"/>
  <c r="D2395" i="8"/>
  <c r="D2411" i="8"/>
  <c r="D2427" i="8"/>
  <c r="D2376" i="8"/>
  <c r="D2392" i="8"/>
  <c r="D2408" i="8"/>
  <c r="D2424" i="8"/>
  <c r="D2373" i="8"/>
  <c r="D2389" i="8"/>
  <c r="D2405" i="8"/>
  <c r="D2421" i="8"/>
  <c r="D2370" i="8"/>
  <c r="D2386" i="8"/>
  <c r="D2402" i="8"/>
  <c r="D2418" i="8"/>
  <c r="D2367" i="8"/>
  <c r="D2383" i="8"/>
  <c r="D2399" i="8"/>
  <c r="D2415" i="8"/>
  <c r="D2364" i="8"/>
  <c r="D2380" i="8"/>
  <c r="D2396" i="8"/>
  <c r="D2412" i="8"/>
  <c r="D2428" i="8"/>
  <c r="D2377" i="8"/>
  <c r="D2393" i="8"/>
  <c r="D2409" i="8"/>
  <c r="D2425" i="8"/>
  <c r="D2374" i="8"/>
  <c r="D2390" i="8"/>
  <c r="D2406" i="8"/>
  <c r="D2422" i="8"/>
  <c r="D2371" i="8"/>
  <c r="D2387" i="8"/>
  <c r="D2403" i="8"/>
  <c r="D2419" i="8"/>
  <c r="D2368" i="8"/>
  <c r="D2384" i="8"/>
  <c r="D2400" i="8"/>
  <c r="D2416" i="8"/>
  <c r="E1839" i="8"/>
  <c r="E1855" i="8"/>
  <c r="E1871" i="8"/>
  <c r="E1887" i="8"/>
  <c r="E1836" i="8"/>
  <c r="E1852" i="8"/>
  <c r="E1868" i="8"/>
  <c r="E1884" i="8"/>
  <c r="E1833" i="8"/>
  <c r="E1849" i="8"/>
  <c r="E1865" i="8"/>
  <c r="E1881" i="8"/>
  <c r="E1830" i="8"/>
  <c r="E1846" i="8"/>
  <c r="E1862" i="8"/>
  <c r="E1878" i="8"/>
  <c r="E1843" i="8"/>
  <c r="E1859" i="8"/>
  <c r="E1875" i="8"/>
  <c r="E1891" i="8"/>
  <c r="E1840" i="8"/>
  <c r="E1856" i="8"/>
  <c r="E1872" i="8"/>
  <c r="E1888" i="8"/>
  <c r="E1837" i="8"/>
  <c r="E1853" i="8"/>
  <c r="E1869" i="8"/>
  <c r="E1885" i="8"/>
  <c r="E1834" i="8"/>
  <c r="E1850" i="8"/>
  <c r="E1866" i="8"/>
  <c r="E1882" i="8"/>
  <c r="E1831" i="8"/>
  <c r="E1847" i="8"/>
  <c r="E1863" i="8"/>
  <c r="E1879" i="8"/>
  <c r="E1844" i="8"/>
  <c r="E1860" i="8"/>
  <c r="E1876" i="8"/>
  <c r="E1841" i="8"/>
  <c r="E1857" i="8"/>
  <c r="E1873" i="8"/>
  <c r="E1889" i="8"/>
  <c r="E1838" i="8"/>
  <c r="E1854" i="8"/>
  <c r="E1870" i="8"/>
  <c r="E1886" i="8"/>
  <c r="E1835" i="8"/>
  <c r="E1851" i="8"/>
  <c r="E1867" i="8"/>
  <c r="E1883" i="8"/>
  <c r="E1832" i="8"/>
  <c r="E1848" i="8"/>
  <c r="E1864" i="8"/>
  <c r="E1880" i="8"/>
  <c r="E1845" i="8"/>
  <c r="E1861" i="8"/>
  <c r="E1877" i="8"/>
  <c r="E1842" i="8"/>
  <c r="E1858" i="8"/>
  <c r="E1874" i="8"/>
  <c r="E1890" i="8"/>
  <c r="F1778" i="8"/>
  <c r="F1794" i="8"/>
  <c r="F1791" i="8"/>
  <c r="F1788" i="8"/>
  <c r="F1785" i="8"/>
  <c r="F1782" i="8"/>
  <c r="F1779" i="8"/>
  <c r="F1795" i="8"/>
  <c r="F1776" i="8"/>
  <c r="F1792" i="8"/>
  <c r="F1789" i="8"/>
  <c r="F1786" i="8"/>
  <c r="F1783" i="8"/>
  <c r="F1780" i="8"/>
  <c r="F1796" i="8"/>
  <c r="F1777" i="8"/>
  <c r="F1793" i="8"/>
  <c r="F1790" i="8"/>
  <c r="F1787" i="8"/>
  <c r="F1784" i="8"/>
  <c r="F1781" i="8"/>
  <c r="E1606" i="8"/>
  <c r="E1622" i="8"/>
  <c r="E1638" i="8"/>
  <c r="E1654" i="8"/>
  <c r="E1603" i="8"/>
  <c r="E1619" i="8"/>
  <c r="E1635" i="8"/>
  <c r="E1651" i="8"/>
  <c r="E1600" i="8"/>
  <c r="E1616" i="8"/>
  <c r="E1632" i="8"/>
  <c r="E1648" i="8"/>
  <c r="E1613" i="8"/>
  <c r="E1629" i="8"/>
  <c r="E1645" i="8"/>
  <c r="E1610" i="8"/>
  <c r="E1626" i="8"/>
  <c r="E1642" i="8"/>
  <c r="E1607" i="8"/>
  <c r="E1623" i="8"/>
  <c r="E1639" i="8"/>
  <c r="E1655" i="8"/>
  <c r="E1604" i="8"/>
  <c r="E1620" i="8"/>
  <c r="E1636" i="8"/>
  <c r="E1652" i="8"/>
  <c r="E1601" i="8"/>
  <c r="E1617" i="8"/>
  <c r="E1633" i="8"/>
  <c r="E1649" i="8"/>
  <c r="E1614" i="8"/>
  <c r="E1630" i="8"/>
  <c r="E1646" i="8"/>
  <c r="E1611" i="8"/>
  <c r="E1627" i="8"/>
  <c r="E1643" i="8"/>
  <c r="E1608" i="8"/>
  <c r="E1624" i="8"/>
  <c r="E1640" i="8"/>
  <c r="E1605" i="8"/>
  <c r="E1621" i="8"/>
  <c r="E1637" i="8"/>
  <c r="E1653" i="8"/>
  <c r="E1602" i="8"/>
  <c r="E1618" i="8"/>
  <c r="E1634" i="8"/>
  <c r="E1650" i="8"/>
  <c r="E1615" i="8"/>
  <c r="E1631" i="8"/>
  <c r="E1647" i="8"/>
  <c r="E1612" i="8"/>
  <c r="E1628" i="8"/>
  <c r="E1644" i="8"/>
  <c r="E1609" i="8"/>
  <c r="E1625" i="8"/>
  <c r="E1641" i="8"/>
  <c r="E712" i="8"/>
  <c r="E728" i="8"/>
  <c r="E744" i="8"/>
  <c r="E760" i="8"/>
  <c r="E776" i="8"/>
  <c r="E709" i="8"/>
  <c r="E725" i="8"/>
  <c r="E741" i="8"/>
  <c r="E757" i="8"/>
  <c r="E773" i="8"/>
  <c r="E789" i="8"/>
  <c r="E706" i="8"/>
  <c r="E722" i="8"/>
  <c r="E738" i="8"/>
  <c r="E754" i="8"/>
  <c r="E770" i="8"/>
  <c r="E786" i="8"/>
  <c r="E703" i="8"/>
  <c r="E719" i="8"/>
  <c r="E735" i="8"/>
  <c r="E751" i="8"/>
  <c r="E767" i="8"/>
  <c r="E783" i="8"/>
  <c r="E700" i="8"/>
  <c r="E716" i="8"/>
  <c r="E732" i="8"/>
  <c r="E748" i="8"/>
  <c r="E764" i="8"/>
  <c r="E780" i="8"/>
  <c r="E713" i="8"/>
  <c r="E729" i="8"/>
  <c r="E745" i="8"/>
  <c r="E761" i="8"/>
  <c r="E777" i="8"/>
  <c r="E710" i="8"/>
  <c r="E726" i="8"/>
  <c r="E742" i="8"/>
  <c r="E758" i="8"/>
  <c r="E774" i="8"/>
  <c r="E790" i="8"/>
  <c r="E707" i="8"/>
  <c r="E723" i="8"/>
  <c r="E739" i="8"/>
  <c r="E755" i="8"/>
  <c r="E771" i="8"/>
  <c r="E787" i="8"/>
  <c r="E704" i="8"/>
  <c r="E720" i="8"/>
  <c r="E736" i="8"/>
  <c r="E752" i="8"/>
  <c r="E768" i="8"/>
  <c r="E784" i="8"/>
  <c r="E701" i="8"/>
  <c r="E717" i="8"/>
  <c r="E733" i="8"/>
  <c r="E749" i="8"/>
  <c r="E765" i="8"/>
  <c r="E781" i="8"/>
  <c r="E714" i="8"/>
  <c r="E730" i="8"/>
  <c r="E746" i="8"/>
  <c r="E762" i="8"/>
  <c r="E778" i="8"/>
  <c r="E711" i="8"/>
  <c r="E727" i="8"/>
  <c r="E743" i="8"/>
  <c r="E759" i="8"/>
  <c r="E775" i="8"/>
  <c r="E708" i="8"/>
  <c r="E724" i="8"/>
  <c r="E740" i="8"/>
  <c r="E756" i="8"/>
  <c r="E772" i="8"/>
  <c r="E788" i="8"/>
  <c r="E705" i="8"/>
  <c r="E721" i="8"/>
  <c r="E737" i="8"/>
  <c r="E753" i="8"/>
  <c r="E769" i="8"/>
  <c r="E785" i="8"/>
  <c r="E702" i="8"/>
  <c r="E718" i="8"/>
  <c r="E734" i="8"/>
  <c r="E750" i="8"/>
  <c r="E766" i="8"/>
  <c r="E782" i="8"/>
  <c r="E699" i="8"/>
  <c r="E715" i="8"/>
  <c r="E731" i="8"/>
  <c r="E747" i="8"/>
  <c r="E763" i="8"/>
  <c r="E779" i="8"/>
  <c r="D2317" i="8"/>
  <c r="D2314" i="8"/>
  <c r="D2315" i="8"/>
  <c r="D2316" i="8"/>
  <c r="D2313" i="8"/>
  <c r="F253" i="8"/>
  <c r="F269" i="8"/>
  <c r="F285" i="8"/>
  <c r="F301" i="8"/>
  <c r="F250" i="8"/>
  <c r="F266" i="8"/>
  <c r="F282" i="8"/>
  <c r="F298" i="8"/>
  <c r="F247" i="8"/>
  <c r="F263" i="8"/>
  <c r="F279" i="8"/>
  <c r="F295" i="8"/>
  <c r="F260" i="8"/>
  <c r="F276" i="8"/>
  <c r="F292" i="8"/>
  <c r="F308" i="8"/>
  <c r="F257" i="8"/>
  <c r="F273" i="8"/>
  <c r="F289" i="8"/>
  <c r="F305" i="8"/>
  <c r="F254" i="8"/>
  <c r="F270" i="8"/>
  <c r="F286" i="8"/>
  <c r="F302" i="8"/>
  <c r="F251" i="8"/>
  <c r="F267" i="8"/>
  <c r="F283" i="8"/>
  <c r="F299" i="8"/>
  <c r="F248" i="8"/>
  <c r="F264" i="8"/>
  <c r="F280" i="8"/>
  <c r="F296" i="8"/>
  <c r="F261" i="8"/>
  <c r="F277" i="8"/>
  <c r="F293" i="8"/>
  <c r="F309" i="8"/>
  <c r="F258" i="8"/>
  <c r="F274" i="8"/>
  <c r="F290" i="8"/>
  <c r="F306" i="8"/>
  <c r="F255" i="8"/>
  <c r="F271" i="8"/>
  <c r="F287" i="8"/>
  <c r="F303" i="8"/>
  <c r="F252" i="8"/>
  <c r="F268" i="8"/>
  <c r="F284" i="8"/>
  <c r="F300" i="8"/>
  <c r="F249" i="8"/>
  <c r="F265" i="8"/>
  <c r="F281" i="8"/>
  <c r="F297" i="8"/>
  <c r="F246" i="8"/>
  <c r="F262" i="8"/>
  <c r="F278" i="8"/>
  <c r="F294" i="8"/>
  <c r="F259" i="8"/>
  <c r="F275" i="8"/>
  <c r="F291" i="8"/>
  <c r="F307" i="8"/>
  <c r="F256" i="8"/>
  <c r="F272" i="8"/>
  <c r="F288" i="8"/>
  <c r="F304" i="8"/>
  <c r="F2002" i="8"/>
  <c r="F1996" i="8"/>
  <c r="F1993" i="8"/>
  <c r="F2003" i="8"/>
  <c r="F1997" i="8"/>
  <c r="F1994" i="8"/>
  <c r="F2004" i="8"/>
  <c r="F2001" i="8"/>
  <c r="F1998" i="8"/>
  <c r="F1995" i="8"/>
  <c r="F2011" i="8"/>
  <c r="F1992" i="8"/>
  <c r="F2009" i="8"/>
  <c r="F2019" i="8"/>
  <c r="F2035" i="8"/>
  <c r="F2016" i="8"/>
  <c r="F2032" i="8"/>
  <c r="F2013" i="8"/>
  <c r="F2029" i="8"/>
  <c r="F2006" i="8"/>
  <c r="F2026" i="8"/>
  <c r="F2042" i="8"/>
  <c r="F2010" i="8"/>
  <c r="F2023" i="8"/>
  <c r="F2039" i="8"/>
  <c r="F2020" i="8"/>
  <c r="F2036" i="8"/>
  <c r="F2017" i="8"/>
  <c r="F2033" i="8"/>
  <c r="F1999" i="8"/>
  <c r="F2007" i="8"/>
  <c r="F2014" i="8"/>
  <c r="F2030" i="8"/>
  <c r="F2027" i="8"/>
  <c r="F2043" i="8"/>
  <c r="F2000" i="8"/>
  <c r="F2024" i="8"/>
  <c r="F2040" i="8"/>
  <c r="F2021" i="8"/>
  <c r="F2037" i="8"/>
  <c r="F2008" i="8"/>
  <c r="F2018" i="8"/>
  <c r="F2034" i="8"/>
  <c r="F2015" i="8"/>
  <c r="F2031" i="8"/>
  <c r="F2012" i="8"/>
  <c r="F2028" i="8"/>
  <c r="F2044" i="8"/>
  <c r="F2005" i="8"/>
  <c r="F2025" i="8"/>
  <c r="F2041" i="8"/>
  <c r="F2022" i="8"/>
  <c r="F2038" i="8"/>
  <c r="F80" i="8"/>
  <c r="F96" i="8"/>
  <c r="F77" i="8"/>
  <c r="F93" i="8"/>
  <c r="F74" i="8"/>
  <c r="F90" i="8"/>
  <c r="F71" i="8"/>
  <c r="F87" i="8"/>
  <c r="F84" i="8"/>
  <c r="F81" i="8"/>
  <c r="F97" i="8"/>
  <c r="F78" i="8"/>
  <c r="F94" i="8"/>
  <c r="F75" i="8"/>
  <c r="F91" i="8"/>
  <c r="F72" i="8"/>
  <c r="F88" i="8"/>
  <c r="F69" i="8"/>
  <c r="F85" i="8"/>
  <c r="F82" i="8"/>
  <c r="F79" i="8"/>
  <c r="F95" i="8"/>
  <c r="F76" i="8"/>
  <c r="F92" i="8"/>
  <c r="F73" i="8"/>
  <c r="F89" i="8"/>
  <c r="F70" i="8"/>
  <c r="F86" i="8"/>
  <c r="F83" i="8"/>
  <c r="F317" i="8"/>
  <c r="F314" i="8"/>
  <c r="F311" i="8"/>
  <c r="F315" i="8"/>
  <c r="F312" i="8"/>
  <c r="F316" i="8"/>
  <c r="F313" i="8"/>
  <c r="F310" i="8"/>
  <c r="E3010" i="8"/>
  <c r="E3026" i="8"/>
  <c r="E3042" i="8"/>
  <c r="E3007" i="8"/>
  <c r="E3023" i="8"/>
  <c r="E3039" i="8"/>
  <c r="E3004" i="8"/>
  <c r="E3020" i="8"/>
  <c r="E3036" i="8"/>
  <c r="E3001" i="8"/>
  <c r="E3017" i="8"/>
  <c r="E3033" i="8"/>
  <c r="E3049" i="8"/>
  <c r="E2998" i="8"/>
  <c r="E3014" i="8"/>
  <c r="E3030" i="8"/>
  <c r="E3046" i="8"/>
  <c r="E2995" i="8"/>
  <c r="E3011" i="8"/>
  <c r="E3027" i="8"/>
  <c r="E3043" i="8"/>
  <c r="E3008" i="8"/>
  <c r="E3024" i="8"/>
  <c r="E3040" i="8"/>
  <c r="E3005" i="8"/>
  <c r="E3021" i="8"/>
  <c r="E3037" i="8"/>
  <c r="E3002" i="8"/>
  <c r="E3018" i="8"/>
  <c r="E3034" i="8"/>
  <c r="E2999" i="8"/>
  <c r="E3015" i="8"/>
  <c r="E3031" i="8"/>
  <c r="E3047" i="8"/>
  <c r="E2996" i="8"/>
  <c r="E3012" i="8"/>
  <c r="E3028" i="8"/>
  <c r="E3044" i="8"/>
  <c r="E3009" i="8"/>
  <c r="E3025" i="8"/>
  <c r="E3041" i="8"/>
  <c r="E3006" i="8"/>
  <c r="E3022" i="8"/>
  <c r="E3038" i="8"/>
  <c r="E3003" i="8"/>
  <c r="E3019" i="8"/>
  <c r="E3035" i="8"/>
  <c r="E3000" i="8"/>
  <c r="E3016" i="8"/>
  <c r="E3032" i="8"/>
  <c r="E3048" i="8"/>
  <c r="E2997" i="8"/>
  <c r="E3013" i="8"/>
  <c r="E3029" i="8"/>
  <c r="E3045" i="8"/>
  <c r="D607" i="8"/>
  <c r="D623" i="8"/>
  <c r="D639" i="8"/>
  <c r="D655" i="8"/>
  <c r="D671" i="8"/>
  <c r="D604" i="8"/>
  <c r="D620" i="8"/>
  <c r="D636" i="8"/>
  <c r="D652" i="8"/>
  <c r="D601" i="8"/>
  <c r="D617" i="8"/>
  <c r="D633" i="8"/>
  <c r="D649" i="8"/>
  <c r="D665" i="8"/>
  <c r="D598" i="8"/>
  <c r="D614" i="8"/>
  <c r="D630" i="8"/>
  <c r="D646" i="8"/>
  <c r="D662" i="8"/>
  <c r="D678" i="8"/>
  <c r="D611" i="8"/>
  <c r="D627" i="8"/>
  <c r="D643" i="8"/>
  <c r="D659" i="8"/>
  <c r="D675" i="8"/>
  <c r="D608" i="8"/>
  <c r="D624" i="8"/>
  <c r="D640" i="8"/>
  <c r="D656" i="8"/>
  <c r="D672" i="8"/>
  <c r="D605" i="8"/>
  <c r="D621" i="8"/>
  <c r="D637" i="8"/>
  <c r="D653" i="8"/>
  <c r="D602" i="8"/>
  <c r="D618" i="8"/>
  <c r="D634" i="8"/>
  <c r="D650" i="8"/>
  <c r="D666" i="8"/>
  <c r="D682" i="8"/>
  <c r="D599" i="8"/>
  <c r="D615" i="8"/>
  <c r="D631" i="8"/>
  <c r="D647" i="8"/>
  <c r="D663" i="8"/>
  <c r="D679" i="8"/>
  <c r="D612" i="8"/>
  <c r="D628" i="8"/>
  <c r="D644" i="8"/>
  <c r="D660" i="8"/>
  <c r="D609" i="8"/>
  <c r="D625" i="8"/>
  <c r="D641" i="8"/>
  <c r="D657" i="8"/>
  <c r="D673" i="8"/>
  <c r="D606" i="8"/>
  <c r="D622" i="8"/>
  <c r="D638" i="8"/>
  <c r="D654" i="8"/>
  <c r="D670" i="8"/>
  <c r="D603" i="8"/>
  <c r="D619" i="8"/>
  <c r="D635" i="8"/>
  <c r="D651" i="8"/>
  <c r="D667" i="8"/>
  <c r="D600" i="8"/>
  <c r="D616" i="8"/>
  <c r="D632" i="8"/>
  <c r="D648" i="8"/>
  <c r="D664" i="8"/>
  <c r="D680" i="8"/>
  <c r="D597" i="8"/>
  <c r="D613" i="8"/>
  <c r="D629" i="8"/>
  <c r="D645" i="8"/>
  <c r="D661" i="8"/>
  <c r="D677" i="8"/>
  <c r="D610" i="8"/>
  <c r="D626" i="8"/>
  <c r="D642" i="8"/>
  <c r="D658" i="8"/>
  <c r="D674" i="8"/>
  <c r="D693" i="8"/>
  <c r="D690" i="8"/>
  <c r="D668" i="8"/>
  <c r="D687" i="8"/>
  <c r="D669" i="8"/>
  <c r="D684" i="8"/>
  <c r="D697" i="8"/>
  <c r="D681" i="8"/>
  <c r="D694" i="8"/>
  <c r="D691" i="8"/>
  <c r="D688" i="8"/>
  <c r="D685" i="8"/>
  <c r="D698" i="8"/>
  <c r="D676" i="8"/>
  <c r="D695" i="8"/>
  <c r="D692" i="8"/>
  <c r="D689" i="8"/>
  <c r="D686" i="8"/>
  <c r="D683" i="8"/>
  <c r="D696" i="8"/>
  <c r="H41" i="6"/>
  <c r="C41" i="7" s="1"/>
  <c r="J41" i="7" s="1"/>
  <c r="H26" i="6"/>
  <c r="C26" i="7" s="1"/>
  <c r="J26" i="7" s="1"/>
  <c r="I37" i="6"/>
  <c r="D37" i="7" s="1"/>
  <c r="K37" i="7" s="1"/>
  <c r="H42" i="6"/>
  <c r="C42" i="7" s="1"/>
  <c r="J42" i="7" s="1"/>
  <c r="I48" i="6"/>
  <c r="D48" i="7" s="1"/>
  <c r="K48" i="7" s="1"/>
  <c r="I32" i="6"/>
  <c r="D32" i="7" s="1"/>
  <c r="K32" i="7" s="1"/>
  <c r="I3" i="6"/>
  <c r="D3" i="7" s="1"/>
  <c r="K3" i="7" s="1"/>
  <c r="I14" i="6"/>
  <c r="D14" i="7" s="1"/>
  <c r="K14" i="7" s="1"/>
  <c r="I7" i="6"/>
  <c r="D7" i="7" s="1"/>
  <c r="K7" i="7" s="1"/>
  <c r="I29" i="6"/>
  <c r="D29" i="7" s="1"/>
  <c r="K29" i="7" s="1"/>
  <c r="I2" i="6"/>
  <c r="H2" i="6" s="1"/>
  <c r="C2" i="7" s="1"/>
  <c r="J2" i="7" s="1"/>
  <c r="G53" i="6"/>
  <c r="I30" i="6"/>
  <c r="D30" i="7" s="1"/>
  <c r="K30" i="7" s="1"/>
  <c r="I20" i="6"/>
  <c r="D20" i="7" s="1"/>
  <c r="K20" i="7" s="1"/>
  <c r="H33" i="6"/>
  <c r="C33" i="7" s="1"/>
  <c r="J33" i="7" s="1"/>
  <c r="I46" i="6"/>
  <c r="D46" i="7" s="1"/>
  <c r="K46" i="7" s="1"/>
  <c r="I5" i="6"/>
  <c r="D5" i="7" s="1"/>
  <c r="K5" i="7" s="1"/>
  <c r="I34" i="6"/>
  <c r="D34" i="7" s="1"/>
  <c r="K34" i="7" s="1"/>
  <c r="I51" i="6"/>
  <c r="D51" i="7" s="1"/>
  <c r="K51" i="7" s="1"/>
  <c r="I50" i="6"/>
  <c r="D50" i="7" s="1"/>
  <c r="K50" i="7" s="1"/>
  <c r="I23" i="6"/>
  <c r="D23" i="7" s="1"/>
  <c r="K23" i="7" s="1"/>
  <c r="I38" i="6"/>
  <c r="D38" i="7" s="1"/>
  <c r="K38" i="7" s="1"/>
  <c r="I44" i="6"/>
  <c r="D44" i="7" s="1"/>
  <c r="K44" i="7" s="1"/>
  <c r="F2" i="7"/>
  <c r="M2" i="7" s="1"/>
  <c r="K53" i="6"/>
  <c r="I22" i="6"/>
  <c r="D22" i="7" s="1"/>
  <c r="K22" i="7" s="1"/>
  <c r="I12" i="6"/>
  <c r="D12" i="7" s="1"/>
  <c r="K12" i="7" s="1"/>
  <c r="H43" i="6"/>
  <c r="C43" i="7" s="1"/>
  <c r="J43" i="7" s="1"/>
  <c r="G2" i="7"/>
  <c r="N2" i="7" s="1"/>
  <c r="L53" i="6"/>
  <c r="I47" i="6"/>
  <c r="D47" i="7" s="1"/>
  <c r="K47" i="7" s="1"/>
  <c r="I21" i="6"/>
  <c r="D21" i="7" s="1"/>
  <c r="K21" i="7" s="1"/>
  <c r="I16" i="6"/>
  <c r="D16" i="7" s="1"/>
  <c r="K16" i="7" s="1"/>
  <c r="I45" i="6"/>
  <c r="D45" i="7" s="1"/>
  <c r="K45" i="7" s="1"/>
  <c r="I40" i="6"/>
  <c r="D40" i="7" s="1"/>
  <c r="K40" i="7" s="1"/>
  <c r="I27" i="6"/>
  <c r="D27" i="7" s="1"/>
  <c r="K27" i="7" s="1"/>
  <c r="I13" i="6"/>
  <c r="D13" i="7" s="1"/>
  <c r="K13" i="7" s="1"/>
  <c r="E2" i="7"/>
  <c r="L2" i="7" s="1"/>
  <c r="J53" i="6"/>
  <c r="H8" i="6"/>
  <c r="C8" i="7" s="1"/>
  <c r="J8" i="7" s="1"/>
  <c r="I19" i="6"/>
  <c r="D19" i="7" s="1"/>
  <c r="K19" i="7" s="1"/>
  <c r="H15" i="6"/>
  <c r="C15" i="7" s="1"/>
  <c r="J15" i="7" s="1"/>
  <c r="I9" i="6"/>
  <c r="D9" i="7" s="1"/>
  <c r="K9" i="7" s="1"/>
  <c r="H11" i="6"/>
  <c r="C11" i="7" s="1"/>
  <c r="J11" i="7" s="1"/>
  <c r="I24" i="6"/>
  <c r="D24" i="7" s="1"/>
  <c r="K24" i="7" s="1"/>
  <c r="I36" i="6"/>
  <c r="D36" i="7" s="1"/>
  <c r="K36" i="7" s="1"/>
  <c r="H4" i="6"/>
  <c r="C4" i="7" s="1"/>
  <c r="J4" i="7" s="1"/>
  <c r="H35" i="6"/>
  <c r="C35" i="7" s="1"/>
  <c r="J35" i="7" s="1"/>
  <c r="H17" i="6"/>
  <c r="C17" i="7" s="1"/>
  <c r="J17" i="7" s="1"/>
  <c r="H52" i="6"/>
  <c r="C52" i="7" s="1"/>
  <c r="J52" i="7" s="1"/>
  <c r="H49" i="6"/>
  <c r="C49" i="7" s="1"/>
  <c r="J49" i="7" s="1"/>
  <c r="H39" i="6"/>
  <c r="C39" i="7" s="1"/>
  <c r="J39" i="7" s="1"/>
  <c r="H10" i="6"/>
  <c r="C10" i="7" s="1"/>
  <c r="H31" i="6"/>
  <c r="C31" i="7" s="1"/>
  <c r="J31" i="7" s="1"/>
  <c r="C1361" i="8" l="1"/>
  <c r="C1386" i="8"/>
  <c r="C1379" i="8"/>
  <c r="C1388" i="8"/>
  <c r="C1381" i="8"/>
  <c r="C1329" i="8"/>
  <c r="C1354" i="8"/>
  <c r="C1347" i="8"/>
  <c r="C1356" i="8"/>
  <c r="C1349" i="8"/>
  <c r="C1396" i="8"/>
  <c r="C1338" i="8"/>
  <c r="C1331" i="8"/>
  <c r="C1340" i="8"/>
  <c r="C1333" i="8"/>
  <c r="C1380" i="8"/>
  <c r="C1322" i="8"/>
  <c r="C1398" i="8"/>
  <c r="C1324" i="8"/>
  <c r="C1317" i="8"/>
  <c r="C1364" i="8"/>
  <c r="C1389" i="8"/>
  <c r="C1382" i="8"/>
  <c r="C1391" i="8"/>
  <c r="C1400" i="8"/>
  <c r="C1348" i="8"/>
  <c r="C1373" i="8"/>
  <c r="C1366" i="8"/>
  <c r="C1375" i="8"/>
  <c r="C1384" i="8"/>
  <c r="C1332" i="8"/>
  <c r="C1357" i="8"/>
  <c r="C1350" i="8"/>
  <c r="C1359" i="8"/>
  <c r="C1368" i="8"/>
  <c r="C1316" i="8"/>
  <c r="C1341" i="8"/>
  <c r="C1334" i="8"/>
  <c r="C1343" i="8"/>
  <c r="C1352" i="8"/>
  <c r="C1390" i="8"/>
  <c r="C1399" i="8"/>
  <c r="C1325" i="8"/>
  <c r="C1318" i="8"/>
  <c r="C1327" i="8"/>
  <c r="C1336" i="8"/>
  <c r="C1374" i="8"/>
  <c r="C1383" i="8"/>
  <c r="C1392" i="8"/>
  <c r="C1401" i="8"/>
  <c r="C1394" i="8"/>
  <c r="C1320" i="8"/>
  <c r="C1358" i="8"/>
  <c r="C1367" i="8"/>
  <c r="C1376" i="8"/>
  <c r="C1385" i="8"/>
  <c r="C1378" i="8"/>
  <c r="C1387" i="8"/>
  <c r="C1342" i="8"/>
  <c r="C1351" i="8"/>
  <c r="C1360" i="8"/>
  <c r="C1369" i="8"/>
  <c r="C1362" i="8"/>
  <c r="C1371" i="8"/>
  <c r="C1326" i="8"/>
  <c r="C1335" i="8"/>
  <c r="C1344" i="8"/>
  <c r="C1353" i="8"/>
  <c r="C1346" i="8"/>
  <c r="C1355" i="8"/>
  <c r="C1393" i="8"/>
  <c r="C1319" i="8"/>
  <c r="C1328" i="8"/>
  <c r="C1337" i="8"/>
  <c r="C1330" i="8"/>
  <c r="C1339" i="8"/>
  <c r="C1377" i="8"/>
  <c r="C1402" i="8"/>
  <c r="C1395" i="8"/>
  <c r="C1321" i="8"/>
  <c r="C1397" i="8"/>
  <c r="C1323" i="8"/>
  <c r="C321" i="8"/>
  <c r="J10" i="7"/>
  <c r="G16" i="8"/>
  <c r="G32" i="8"/>
  <c r="G48" i="8"/>
  <c r="G64" i="8"/>
  <c r="G17" i="8"/>
  <c r="G33" i="8"/>
  <c r="G49" i="8"/>
  <c r="G65" i="8"/>
  <c r="G18" i="8"/>
  <c r="G34" i="8"/>
  <c r="G50" i="8"/>
  <c r="G66" i="8"/>
  <c r="G19" i="8"/>
  <c r="G35" i="8"/>
  <c r="G51" i="8"/>
  <c r="G67" i="8"/>
  <c r="G4" i="8"/>
  <c r="G20" i="8"/>
  <c r="G36" i="8"/>
  <c r="G52" i="8"/>
  <c r="G68" i="8"/>
  <c r="G5" i="8"/>
  <c r="G21" i="8"/>
  <c r="G37" i="8"/>
  <c r="G53" i="8"/>
  <c r="G6" i="8"/>
  <c r="G22" i="8"/>
  <c r="G38" i="8"/>
  <c r="G54" i="8"/>
  <c r="G7" i="8"/>
  <c r="G23" i="8"/>
  <c r="G39" i="8"/>
  <c r="G55" i="8"/>
  <c r="G8" i="8"/>
  <c r="G24" i="8"/>
  <c r="G40" i="8"/>
  <c r="G56" i="8"/>
  <c r="G9" i="8"/>
  <c r="G25" i="8"/>
  <c r="G41" i="8"/>
  <c r="G57" i="8"/>
  <c r="G10" i="8"/>
  <c r="G26" i="8"/>
  <c r="G42" i="8"/>
  <c r="G58" i="8"/>
  <c r="G11" i="8"/>
  <c r="G27" i="8"/>
  <c r="G43" i="8"/>
  <c r="G59" i="8"/>
  <c r="G12" i="8"/>
  <c r="G28" i="8"/>
  <c r="G44" i="8"/>
  <c r="G60" i="8"/>
  <c r="G13" i="8"/>
  <c r="G29" i="8"/>
  <c r="G45" i="8"/>
  <c r="G61" i="8"/>
  <c r="G14" i="8"/>
  <c r="G30" i="8"/>
  <c r="G46" i="8"/>
  <c r="G62" i="8"/>
  <c r="G15" i="8"/>
  <c r="G31" i="8"/>
  <c r="G47" i="8"/>
  <c r="G63" i="8"/>
  <c r="G3" i="8"/>
  <c r="G2" i="8"/>
  <c r="C1769" i="8"/>
  <c r="C1766" i="8"/>
  <c r="C1773" i="8"/>
  <c r="C1770" i="8"/>
  <c r="C1767" i="8"/>
  <c r="C1774" i="8"/>
  <c r="C1771" i="8"/>
  <c r="C1768" i="8"/>
  <c r="C1775" i="8"/>
  <c r="C1772" i="8"/>
  <c r="C2218" i="8"/>
  <c r="C2234" i="8"/>
  <c r="C2215" i="8"/>
  <c r="C2231" i="8"/>
  <c r="C2212" i="8"/>
  <c r="C2228" i="8"/>
  <c r="C2244" i="8"/>
  <c r="C2225" i="8"/>
  <c r="C2241" i="8"/>
  <c r="C2222" i="8"/>
  <c r="C2238" i="8"/>
  <c r="C2219" i="8"/>
  <c r="C2235" i="8"/>
  <c r="C2216" i="8"/>
  <c r="C2232" i="8"/>
  <c r="C2213" i="8"/>
  <c r="C2229" i="8"/>
  <c r="C2245" i="8"/>
  <c r="C2210" i="8"/>
  <c r="C2226" i="8"/>
  <c r="C2242" i="8"/>
  <c r="C2223" i="8"/>
  <c r="C2239" i="8"/>
  <c r="C2220" i="8"/>
  <c r="C2236" i="8"/>
  <c r="C2217" i="8"/>
  <c r="C2233" i="8"/>
  <c r="C2214" i="8"/>
  <c r="C2230" i="8"/>
  <c r="C2211" i="8"/>
  <c r="C2227" i="8"/>
  <c r="C2243" i="8"/>
  <c r="C2224" i="8"/>
  <c r="C2240" i="8"/>
  <c r="C2221" i="8"/>
  <c r="C2237" i="8"/>
  <c r="C2956" i="8"/>
  <c r="C2972" i="8"/>
  <c r="C2988" i="8"/>
  <c r="C2969" i="8"/>
  <c r="C2985" i="8"/>
  <c r="C2966" i="8"/>
  <c r="C2982" i="8"/>
  <c r="C2963" i="8"/>
  <c r="C2979" i="8"/>
  <c r="C2960" i="8"/>
  <c r="C2976" i="8"/>
  <c r="C2992" i="8"/>
  <c r="C2957" i="8"/>
  <c r="C2973" i="8"/>
  <c r="C2989" i="8"/>
  <c r="C2970" i="8"/>
  <c r="C2986" i="8"/>
  <c r="C2967" i="8"/>
  <c r="C2983" i="8"/>
  <c r="C2964" i="8"/>
  <c r="C2980" i="8"/>
  <c r="C2961" i="8"/>
  <c r="C2977" i="8"/>
  <c r="C2993" i="8"/>
  <c r="C2958" i="8"/>
  <c r="C2974" i="8"/>
  <c r="C2990" i="8"/>
  <c r="C2971" i="8"/>
  <c r="C2987" i="8"/>
  <c r="C2968" i="8"/>
  <c r="C2984" i="8"/>
  <c r="C2965" i="8"/>
  <c r="C2981" i="8"/>
  <c r="C2962" i="8"/>
  <c r="C2978" i="8"/>
  <c r="C2994" i="8"/>
  <c r="C2959" i="8"/>
  <c r="C2975" i="8"/>
  <c r="C2991" i="8"/>
  <c r="C3133" i="8"/>
  <c r="C3130" i="8"/>
  <c r="C3127" i="8"/>
  <c r="C3143" i="8"/>
  <c r="C3124" i="8"/>
  <c r="C3140" i="8"/>
  <c r="C3137" i="8"/>
  <c r="C3134" i="8"/>
  <c r="C3131" i="8"/>
  <c r="C3128" i="8"/>
  <c r="C3144" i="8"/>
  <c r="C3125" i="8"/>
  <c r="C3141" i="8"/>
  <c r="C3122" i="8"/>
  <c r="C3138" i="8"/>
  <c r="C3135" i="8"/>
  <c r="C3132" i="8"/>
  <c r="C3129" i="8"/>
  <c r="C3126" i="8"/>
  <c r="C3142" i="8"/>
  <c r="C3123" i="8"/>
  <c r="C3139" i="8"/>
  <c r="C3136" i="8"/>
  <c r="C802" i="8"/>
  <c r="C818" i="8"/>
  <c r="C834" i="8"/>
  <c r="C850" i="8"/>
  <c r="C866" i="8"/>
  <c r="C882" i="8"/>
  <c r="C799" i="8"/>
  <c r="C815" i="8"/>
  <c r="C831" i="8"/>
  <c r="C847" i="8"/>
  <c r="C863" i="8"/>
  <c r="C879" i="8"/>
  <c r="C796" i="8"/>
  <c r="C812" i="8"/>
  <c r="C828" i="8"/>
  <c r="C844" i="8"/>
  <c r="C860" i="8"/>
  <c r="C876" i="8"/>
  <c r="C793" i="8"/>
  <c r="C809" i="8"/>
  <c r="C825" i="8"/>
  <c r="C841" i="8"/>
  <c r="C857" i="8"/>
  <c r="C873" i="8"/>
  <c r="C889" i="8"/>
  <c r="C806" i="8"/>
  <c r="C822" i="8"/>
  <c r="C838" i="8"/>
  <c r="C854" i="8"/>
  <c r="C870" i="8"/>
  <c r="C886" i="8"/>
  <c r="C803" i="8"/>
  <c r="C819" i="8"/>
  <c r="C835" i="8"/>
  <c r="C851" i="8"/>
  <c r="C867" i="8"/>
  <c r="C883" i="8"/>
  <c r="C800" i="8"/>
  <c r="C816" i="8"/>
  <c r="C832" i="8"/>
  <c r="C848" i="8"/>
  <c r="C864" i="8"/>
  <c r="C880" i="8"/>
  <c r="C797" i="8"/>
  <c r="C813" i="8"/>
  <c r="C829" i="8"/>
  <c r="C845" i="8"/>
  <c r="C861" i="8"/>
  <c r="C877" i="8"/>
  <c r="C794" i="8"/>
  <c r="C810" i="8"/>
  <c r="C826" i="8"/>
  <c r="C842" i="8"/>
  <c r="C858" i="8"/>
  <c r="C874" i="8"/>
  <c r="C791" i="8"/>
  <c r="C807" i="8"/>
  <c r="C823" i="8"/>
  <c r="C839" i="8"/>
  <c r="C855" i="8"/>
  <c r="C871" i="8"/>
  <c r="C887" i="8"/>
  <c r="C804" i="8"/>
  <c r="C820" i="8"/>
  <c r="C836" i="8"/>
  <c r="C852" i="8"/>
  <c r="C868" i="8"/>
  <c r="C884" i="8"/>
  <c r="C801" i="8"/>
  <c r="C817" i="8"/>
  <c r="C833" i="8"/>
  <c r="C849" i="8"/>
  <c r="C865" i="8"/>
  <c r="C881" i="8"/>
  <c r="C798" i="8"/>
  <c r="C814" i="8"/>
  <c r="C830" i="8"/>
  <c r="C846" i="8"/>
  <c r="C862" i="8"/>
  <c r="C878" i="8"/>
  <c r="C795" i="8"/>
  <c r="C811" i="8"/>
  <c r="C827" i="8"/>
  <c r="C843" i="8"/>
  <c r="C859" i="8"/>
  <c r="C875" i="8"/>
  <c r="C792" i="8"/>
  <c r="C808" i="8"/>
  <c r="C824" i="8"/>
  <c r="C840" i="8"/>
  <c r="C856" i="8"/>
  <c r="C872" i="8"/>
  <c r="C888" i="8"/>
  <c r="C805" i="8"/>
  <c r="C821" i="8"/>
  <c r="C837" i="8"/>
  <c r="C853" i="8"/>
  <c r="C869" i="8"/>
  <c r="C885" i="8"/>
  <c r="C1897" i="8"/>
  <c r="C1913" i="8"/>
  <c r="C1929" i="8"/>
  <c r="C1945" i="8"/>
  <c r="C1961" i="8"/>
  <c r="C1977" i="8"/>
  <c r="C1894" i="8"/>
  <c r="C1910" i="8"/>
  <c r="C1926" i="8"/>
  <c r="C1942" i="8"/>
  <c r="C1958" i="8"/>
  <c r="C1974" i="8"/>
  <c r="C1990" i="8"/>
  <c r="C1907" i="8"/>
  <c r="C1923" i="8"/>
  <c r="C1939" i="8"/>
  <c r="C1955" i="8"/>
  <c r="C1971" i="8"/>
  <c r="C1987" i="8"/>
  <c r="C1904" i="8"/>
  <c r="C1920" i="8"/>
  <c r="C1936" i="8"/>
  <c r="C1952" i="8"/>
  <c r="C1968" i="8"/>
  <c r="C1984" i="8"/>
  <c r="C1901" i="8"/>
  <c r="C1917" i="8"/>
  <c r="C1933" i="8"/>
  <c r="C1949" i="8"/>
  <c r="C1965" i="8"/>
  <c r="C1981" i="8"/>
  <c r="C1898" i="8"/>
  <c r="C1914" i="8"/>
  <c r="C1930" i="8"/>
  <c r="C1946" i="8"/>
  <c r="C1962" i="8"/>
  <c r="C1978" i="8"/>
  <c r="C1895" i="8"/>
  <c r="C1911" i="8"/>
  <c r="C1927" i="8"/>
  <c r="C1943" i="8"/>
  <c r="C1959" i="8"/>
  <c r="C1975" i="8"/>
  <c r="C1991" i="8"/>
  <c r="C1892" i="8"/>
  <c r="C1908" i="8"/>
  <c r="C1924" i="8"/>
  <c r="C1940" i="8"/>
  <c r="C1956" i="8"/>
  <c r="C1972" i="8"/>
  <c r="C1988" i="8"/>
  <c r="C1905" i="8"/>
  <c r="C1921" i="8"/>
  <c r="C1937" i="8"/>
  <c r="C1953" i="8"/>
  <c r="C1969" i="8"/>
  <c r="C1985" i="8"/>
  <c r="C1902" i="8"/>
  <c r="C1918" i="8"/>
  <c r="C1934" i="8"/>
  <c r="C1950" i="8"/>
  <c r="C1966" i="8"/>
  <c r="C1982" i="8"/>
  <c r="C1899" i="8"/>
  <c r="C1915" i="8"/>
  <c r="C1931" i="8"/>
  <c r="C1947" i="8"/>
  <c r="C1963" i="8"/>
  <c r="C1979" i="8"/>
  <c r="C1896" i="8"/>
  <c r="C1912" i="8"/>
  <c r="C1928" i="8"/>
  <c r="C1944" i="8"/>
  <c r="C1960" i="8"/>
  <c r="C1976" i="8"/>
  <c r="C1893" i="8"/>
  <c r="C1909" i="8"/>
  <c r="C1925" i="8"/>
  <c r="C1941" i="8"/>
  <c r="C1957" i="8"/>
  <c r="C1973" i="8"/>
  <c r="C1989" i="8"/>
  <c r="C1906" i="8"/>
  <c r="C1922" i="8"/>
  <c r="C1938" i="8"/>
  <c r="C1954" i="8"/>
  <c r="C1970" i="8"/>
  <c r="C1986" i="8"/>
  <c r="C1903" i="8"/>
  <c r="C1919" i="8"/>
  <c r="C1935" i="8"/>
  <c r="C1951" i="8"/>
  <c r="C1967" i="8"/>
  <c r="C1983" i="8"/>
  <c r="C1900" i="8"/>
  <c r="C1916" i="8"/>
  <c r="C1932" i="8"/>
  <c r="C1948" i="8"/>
  <c r="C1964" i="8"/>
  <c r="C1980" i="8"/>
  <c r="C103" i="8"/>
  <c r="C100" i="8"/>
  <c r="C110" i="8"/>
  <c r="C107" i="8"/>
  <c r="C104" i="8"/>
  <c r="C101" i="8"/>
  <c r="C98" i="8"/>
  <c r="C111" i="8"/>
  <c r="C108" i="8"/>
  <c r="C105" i="8"/>
  <c r="C102" i="8"/>
  <c r="C99" i="8"/>
  <c r="C112" i="8"/>
  <c r="C109" i="8"/>
  <c r="C106" i="8"/>
  <c r="D1996" i="8"/>
  <c r="D1993" i="8"/>
  <c r="D2003" i="8"/>
  <c r="D1997" i="8"/>
  <c r="D1994" i="8"/>
  <c r="D2007" i="8"/>
  <c r="D2004" i="8"/>
  <c r="D2001" i="8"/>
  <c r="D1998" i="8"/>
  <c r="D1995" i="8"/>
  <c r="D1992" i="8"/>
  <c r="D2005" i="8"/>
  <c r="D2002" i="8"/>
  <c r="D2013" i="8"/>
  <c r="D2029" i="8"/>
  <c r="D2006" i="8"/>
  <c r="D2026" i="8"/>
  <c r="D2042" i="8"/>
  <c r="D2023" i="8"/>
  <c r="D2039" i="8"/>
  <c r="D2010" i="8"/>
  <c r="D2020" i="8"/>
  <c r="D2036" i="8"/>
  <c r="D2017" i="8"/>
  <c r="D2033" i="8"/>
  <c r="D2014" i="8"/>
  <c r="D2030" i="8"/>
  <c r="D1999" i="8"/>
  <c r="D2027" i="8"/>
  <c r="D2043" i="8"/>
  <c r="D2011" i="8"/>
  <c r="D2024" i="8"/>
  <c r="D2040" i="8"/>
  <c r="D2000" i="8"/>
  <c r="D2021" i="8"/>
  <c r="D2037" i="8"/>
  <c r="D2018" i="8"/>
  <c r="D2034" i="8"/>
  <c r="D2008" i="8"/>
  <c r="D2015" i="8"/>
  <c r="D2031" i="8"/>
  <c r="D2012" i="8"/>
  <c r="D2028" i="8"/>
  <c r="D2044" i="8"/>
  <c r="D2025" i="8"/>
  <c r="D2041" i="8"/>
  <c r="D2022" i="8"/>
  <c r="D2038" i="8"/>
  <c r="D2009" i="8"/>
  <c r="D2019" i="8"/>
  <c r="D2035" i="8"/>
  <c r="D2016" i="8"/>
  <c r="D2032" i="8"/>
  <c r="D1246" i="8"/>
  <c r="D1262" i="8"/>
  <c r="D1278" i="8"/>
  <c r="D1294" i="8"/>
  <c r="D1310" i="8"/>
  <c r="D1243" i="8"/>
  <c r="D1259" i="8"/>
  <c r="D1275" i="8"/>
  <c r="D1291" i="8"/>
  <c r="D1307" i="8"/>
  <c r="D1240" i="8"/>
  <c r="D1256" i="8"/>
  <c r="D1272" i="8"/>
  <c r="D1288" i="8"/>
  <c r="D1304" i="8"/>
  <c r="D1237" i="8"/>
  <c r="D1253" i="8"/>
  <c r="D1269" i="8"/>
  <c r="D1285" i="8"/>
  <c r="D1301" i="8"/>
  <c r="D1234" i="8"/>
  <c r="D1250" i="8"/>
  <c r="D1266" i="8"/>
  <c r="D1282" i="8"/>
  <c r="D1298" i="8"/>
  <c r="D1314" i="8"/>
  <c r="D1247" i="8"/>
  <c r="D1263" i="8"/>
  <c r="D1279" i="8"/>
  <c r="D1295" i="8"/>
  <c r="D1311" i="8"/>
  <c r="D1244" i="8"/>
  <c r="D1260" i="8"/>
  <c r="D1276" i="8"/>
  <c r="D1292" i="8"/>
  <c r="D1308" i="8"/>
  <c r="D1241" i="8"/>
  <c r="D1257" i="8"/>
  <c r="D1273" i="8"/>
  <c r="D1289" i="8"/>
  <c r="D1305" i="8"/>
  <c r="D1238" i="8"/>
  <c r="D1254" i="8"/>
  <c r="D1270" i="8"/>
  <c r="D1286" i="8"/>
  <c r="D1302" i="8"/>
  <c r="D1235" i="8"/>
  <c r="D1251" i="8"/>
  <c r="D1267" i="8"/>
  <c r="D1283" i="8"/>
  <c r="D1299" i="8"/>
  <c r="D1315" i="8"/>
  <c r="D1248" i="8"/>
  <c r="D1264" i="8"/>
  <c r="D1280" i="8"/>
  <c r="D1296" i="8"/>
  <c r="D1312" i="8"/>
  <c r="D1245" i="8"/>
  <c r="D1261" i="8"/>
  <c r="D1277" i="8"/>
  <c r="D1293" i="8"/>
  <c r="D1309" i="8"/>
  <c r="D1242" i="8"/>
  <c r="D1258" i="8"/>
  <c r="D1274" i="8"/>
  <c r="D1290" i="8"/>
  <c r="D1306" i="8"/>
  <c r="D1239" i="8"/>
  <c r="D1255" i="8"/>
  <c r="D1271" i="8"/>
  <c r="D1287" i="8"/>
  <c r="D1303" i="8"/>
  <c r="D1236" i="8"/>
  <c r="D1252" i="8"/>
  <c r="D1268" i="8"/>
  <c r="D1284" i="8"/>
  <c r="D1300" i="8"/>
  <c r="D1233" i="8"/>
  <c r="D1249" i="8"/>
  <c r="D1265" i="8"/>
  <c r="D1281" i="8"/>
  <c r="D1297" i="8"/>
  <c r="D1313" i="8"/>
  <c r="C324" i="8"/>
  <c r="C340" i="8"/>
  <c r="C356" i="8"/>
  <c r="C372" i="8"/>
  <c r="C388" i="8"/>
  <c r="C337" i="8"/>
  <c r="C353" i="8"/>
  <c r="C369" i="8"/>
  <c r="C385" i="8"/>
  <c r="C334" i="8"/>
  <c r="C350" i="8"/>
  <c r="C331" i="8"/>
  <c r="C347" i="8"/>
  <c r="C363" i="8"/>
  <c r="C379" i="8"/>
  <c r="C328" i="8"/>
  <c r="C344" i="8"/>
  <c r="C360" i="8"/>
  <c r="C376" i="8"/>
  <c r="C325" i="8"/>
  <c r="C341" i="8"/>
  <c r="C357" i="8"/>
  <c r="C373" i="8"/>
  <c r="C322" i="8"/>
  <c r="C338" i="8"/>
  <c r="C354" i="8"/>
  <c r="C370" i="8"/>
  <c r="C386" i="8"/>
  <c r="C335" i="8"/>
  <c r="C351" i="8"/>
  <c r="C367" i="8"/>
  <c r="C383" i="8"/>
  <c r="C332" i="8"/>
  <c r="C348" i="8"/>
  <c r="C364" i="8"/>
  <c r="C380" i="8"/>
  <c r="C329" i="8"/>
  <c r="C345" i="8"/>
  <c r="C361" i="8"/>
  <c r="C377" i="8"/>
  <c r="C326" i="8"/>
  <c r="C342" i="8"/>
  <c r="C358" i="8"/>
  <c r="C374" i="8"/>
  <c r="C323" i="8"/>
  <c r="C339" i="8"/>
  <c r="C355" i="8"/>
  <c r="C371" i="8"/>
  <c r="C387" i="8"/>
  <c r="C336" i="8"/>
  <c r="C352" i="8"/>
  <c r="C368" i="8"/>
  <c r="C384" i="8"/>
  <c r="C333" i="8"/>
  <c r="C349" i="8"/>
  <c r="C365" i="8"/>
  <c r="C381" i="8"/>
  <c r="C330" i="8"/>
  <c r="C346" i="8"/>
  <c r="C362" i="8"/>
  <c r="C378" i="8"/>
  <c r="C327" i="8"/>
  <c r="C343" i="8"/>
  <c r="C359" i="8"/>
  <c r="C375" i="8"/>
  <c r="C366" i="8"/>
  <c r="C382" i="8"/>
  <c r="D318" i="8"/>
  <c r="D319" i="8"/>
  <c r="D320" i="8"/>
  <c r="C604" i="8"/>
  <c r="C620" i="8"/>
  <c r="C636" i="8"/>
  <c r="C652" i="8"/>
  <c r="C668" i="8"/>
  <c r="C601" i="8"/>
  <c r="C617" i="8"/>
  <c r="C633" i="8"/>
  <c r="C649" i="8"/>
  <c r="C598" i="8"/>
  <c r="C614" i="8"/>
  <c r="C630" i="8"/>
  <c r="C646" i="8"/>
  <c r="C662" i="8"/>
  <c r="C611" i="8"/>
  <c r="C627" i="8"/>
  <c r="C643" i="8"/>
  <c r="C659" i="8"/>
  <c r="C675" i="8"/>
  <c r="C608" i="8"/>
  <c r="C624" i="8"/>
  <c r="C640" i="8"/>
  <c r="C656" i="8"/>
  <c r="C672" i="8"/>
  <c r="C605" i="8"/>
  <c r="C621" i="8"/>
  <c r="C637" i="8"/>
  <c r="C653" i="8"/>
  <c r="C669" i="8"/>
  <c r="C602" i="8"/>
  <c r="C618" i="8"/>
  <c r="C634" i="8"/>
  <c r="C650" i="8"/>
  <c r="C599" i="8"/>
  <c r="C615" i="8"/>
  <c r="C631" i="8"/>
  <c r="C647" i="8"/>
  <c r="C663" i="8"/>
  <c r="C679" i="8"/>
  <c r="C612" i="8"/>
  <c r="C628" i="8"/>
  <c r="C644" i="8"/>
  <c r="C660" i="8"/>
  <c r="C676" i="8"/>
  <c r="C609" i="8"/>
  <c r="C625" i="8"/>
  <c r="C641" i="8"/>
  <c r="C657" i="8"/>
  <c r="C606" i="8"/>
  <c r="C622" i="8"/>
  <c r="C638" i="8"/>
  <c r="C654" i="8"/>
  <c r="C670" i="8"/>
  <c r="C603" i="8"/>
  <c r="C619" i="8"/>
  <c r="C635" i="8"/>
  <c r="C651" i="8"/>
  <c r="C667" i="8"/>
  <c r="C600" i="8"/>
  <c r="C616" i="8"/>
  <c r="C632" i="8"/>
  <c r="C648" i="8"/>
  <c r="C664" i="8"/>
  <c r="C680" i="8"/>
  <c r="C597" i="8"/>
  <c r="C613" i="8"/>
  <c r="C629" i="8"/>
  <c r="C645" i="8"/>
  <c r="C661" i="8"/>
  <c r="C677" i="8"/>
  <c r="C610" i="8"/>
  <c r="C626" i="8"/>
  <c r="C642" i="8"/>
  <c r="C658" i="8"/>
  <c r="C674" i="8"/>
  <c r="C607" i="8"/>
  <c r="C623" i="8"/>
  <c r="C639" i="8"/>
  <c r="C655" i="8"/>
  <c r="C671" i="8"/>
  <c r="C665" i="8"/>
  <c r="C690" i="8"/>
  <c r="C666" i="8"/>
  <c r="C687" i="8"/>
  <c r="C684" i="8"/>
  <c r="C697" i="8"/>
  <c r="C681" i="8"/>
  <c r="C694" i="8"/>
  <c r="C691" i="8"/>
  <c r="C673" i="8"/>
  <c r="C688" i="8"/>
  <c r="C685" i="8"/>
  <c r="C698" i="8"/>
  <c r="C682" i="8"/>
  <c r="C695" i="8"/>
  <c r="C692" i="8"/>
  <c r="C689" i="8"/>
  <c r="C686" i="8"/>
  <c r="C678" i="8"/>
  <c r="C683" i="8"/>
  <c r="C696" i="8"/>
  <c r="C693" i="8"/>
  <c r="D1006" i="8"/>
  <c r="D1022" i="8"/>
  <c r="D1038" i="8"/>
  <c r="D1054" i="8"/>
  <c r="D1070" i="8"/>
  <c r="D1086" i="8"/>
  <c r="D1102" i="8"/>
  <c r="D1003" i="8"/>
  <c r="D1019" i="8"/>
  <c r="D1035" i="8"/>
  <c r="D1051" i="8"/>
  <c r="D1067" i="8"/>
  <c r="D1083" i="8"/>
  <c r="D1099" i="8"/>
  <c r="D1000" i="8"/>
  <c r="D1016" i="8"/>
  <c r="D1032" i="8"/>
  <c r="D1048" i="8"/>
  <c r="D1064" i="8"/>
  <c r="D1080" i="8"/>
  <c r="D1096" i="8"/>
  <c r="D1112" i="8"/>
  <c r="D997" i="8"/>
  <c r="D1013" i="8"/>
  <c r="D1029" i="8"/>
  <c r="D1045" i="8"/>
  <c r="D1061" i="8"/>
  <c r="D1077" i="8"/>
  <c r="D1093" i="8"/>
  <c r="D1109" i="8"/>
  <c r="D1010" i="8"/>
  <c r="D1026" i="8"/>
  <c r="D1042" i="8"/>
  <c r="D1058" i="8"/>
  <c r="D1074" i="8"/>
  <c r="D1090" i="8"/>
  <c r="D1106" i="8"/>
  <c r="D1007" i="8"/>
  <c r="D1023" i="8"/>
  <c r="D1039" i="8"/>
  <c r="D1055" i="8"/>
  <c r="D1071" i="8"/>
  <c r="D1087" i="8"/>
  <c r="D1103" i="8"/>
  <c r="D1004" i="8"/>
  <c r="D1020" i="8"/>
  <c r="D1036" i="8"/>
  <c r="D1052" i="8"/>
  <c r="D1068" i="8"/>
  <c r="D1084" i="8"/>
  <c r="D1100" i="8"/>
  <c r="D1001" i="8"/>
  <c r="D1017" i="8"/>
  <c r="D1033" i="8"/>
  <c r="D1049" i="8"/>
  <c r="D1065" i="8"/>
  <c r="D1081" i="8"/>
  <c r="D1097" i="8"/>
  <c r="D1113" i="8"/>
  <c r="D998" i="8"/>
  <c r="D1014" i="8"/>
  <c r="D1030" i="8"/>
  <c r="D1046" i="8"/>
  <c r="D1062" i="8"/>
  <c r="D1078" i="8"/>
  <c r="D1094" i="8"/>
  <c r="D1110" i="8"/>
  <c r="D995" i="8"/>
  <c r="D1011" i="8"/>
  <c r="D1027" i="8"/>
  <c r="D1043" i="8"/>
  <c r="D1059" i="8"/>
  <c r="D1075" i="8"/>
  <c r="D1091" i="8"/>
  <c r="D1107" i="8"/>
  <c r="D1008" i="8"/>
  <c r="D1024" i="8"/>
  <c r="D1040" i="8"/>
  <c r="D1056" i="8"/>
  <c r="D1072" i="8"/>
  <c r="D1088" i="8"/>
  <c r="D1104" i="8"/>
  <c r="D1005" i="8"/>
  <c r="D1021" i="8"/>
  <c r="D1037" i="8"/>
  <c r="D1053" i="8"/>
  <c r="D1069" i="8"/>
  <c r="D1085" i="8"/>
  <c r="D1101" i="8"/>
  <c r="D1002" i="8"/>
  <c r="D1018" i="8"/>
  <c r="D1034" i="8"/>
  <c r="D1050" i="8"/>
  <c r="D1066" i="8"/>
  <c r="D1082" i="8"/>
  <c r="D1098" i="8"/>
  <c r="D1114" i="8"/>
  <c r="D999" i="8"/>
  <c r="D1015" i="8"/>
  <c r="D1031" i="8"/>
  <c r="D1047" i="8"/>
  <c r="D1063" i="8"/>
  <c r="D1079" i="8"/>
  <c r="D1095" i="8"/>
  <c r="D1111" i="8"/>
  <c r="D996" i="8"/>
  <c r="D1012" i="8"/>
  <c r="D1028" i="8"/>
  <c r="D1044" i="8"/>
  <c r="D1060" i="8"/>
  <c r="D1076" i="8"/>
  <c r="D1092" i="8"/>
  <c r="D1108" i="8"/>
  <c r="D1009" i="8"/>
  <c r="D1025" i="8"/>
  <c r="D1041" i="8"/>
  <c r="D1057" i="8"/>
  <c r="D1073" i="8"/>
  <c r="D1089" i="8"/>
  <c r="D1105" i="8"/>
  <c r="C315" i="8"/>
  <c r="C312" i="8"/>
  <c r="C316" i="8"/>
  <c r="C313" i="8"/>
  <c r="C310" i="8"/>
  <c r="C317" i="8"/>
  <c r="C314" i="8"/>
  <c r="C311" i="8"/>
  <c r="E53" i="7"/>
  <c r="E13" i="8"/>
  <c r="E29" i="8"/>
  <c r="E45" i="8"/>
  <c r="E61" i="8"/>
  <c r="E10" i="8"/>
  <c r="E26" i="8"/>
  <c r="E42" i="8"/>
  <c r="E58" i="8"/>
  <c r="E7" i="8"/>
  <c r="E23" i="8"/>
  <c r="E39" i="8"/>
  <c r="E55" i="8"/>
  <c r="E4" i="8"/>
  <c r="E20" i="8"/>
  <c r="E36" i="8"/>
  <c r="E52" i="8"/>
  <c r="E68" i="8"/>
  <c r="E17" i="8"/>
  <c r="E33" i="8"/>
  <c r="E49" i="8"/>
  <c r="E65" i="8"/>
  <c r="E14" i="8"/>
  <c r="E30" i="8"/>
  <c r="E46" i="8"/>
  <c r="E62" i="8"/>
  <c r="E11" i="8"/>
  <c r="E27" i="8"/>
  <c r="E43" i="8"/>
  <c r="E59" i="8"/>
  <c r="E8" i="8"/>
  <c r="E24" i="8"/>
  <c r="E40" i="8"/>
  <c r="E56" i="8"/>
  <c r="E5" i="8"/>
  <c r="E21" i="8"/>
  <c r="E37" i="8"/>
  <c r="E53" i="8"/>
  <c r="E2" i="8"/>
  <c r="E18" i="8"/>
  <c r="E34" i="8"/>
  <c r="E50" i="8"/>
  <c r="E66" i="8"/>
  <c r="E15" i="8"/>
  <c r="E31" i="8"/>
  <c r="E47" i="8"/>
  <c r="E63" i="8"/>
  <c r="E12" i="8"/>
  <c r="E28" i="8"/>
  <c r="E44" i="8"/>
  <c r="E60" i="8"/>
  <c r="E9" i="8"/>
  <c r="E25" i="8"/>
  <c r="E41" i="8"/>
  <c r="E57" i="8"/>
  <c r="E6" i="8"/>
  <c r="E22" i="8"/>
  <c r="E38" i="8"/>
  <c r="E54" i="8"/>
  <c r="E3" i="8"/>
  <c r="E19" i="8"/>
  <c r="E35" i="8"/>
  <c r="E51" i="8"/>
  <c r="E67" i="8"/>
  <c r="E16" i="8"/>
  <c r="E32" i="8"/>
  <c r="E48" i="8"/>
  <c r="E64" i="8"/>
  <c r="D550" i="8"/>
  <c r="D551" i="8"/>
  <c r="D548" i="8"/>
  <c r="D552" i="8"/>
  <c r="D549" i="8"/>
  <c r="D1491" i="8"/>
  <c r="D1507" i="8"/>
  <c r="D1523" i="8"/>
  <c r="D1539" i="8"/>
  <c r="D1555" i="8"/>
  <c r="D1571" i="8"/>
  <c r="D1587" i="8"/>
  <c r="D1488" i="8"/>
  <c r="D1504" i="8"/>
  <c r="D1520" i="8"/>
  <c r="D1536" i="8"/>
  <c r="D1552" i="8"/>
  <c r="D1568" i="8"/>
  <c r="D1584" i="8"/>
  <c r="D1485" i="8"/>
  <c r="D1501" i="8"/>
  <c r="D1517" i="8"/>
  <c r="D1533" i="8"/>
  <c r="D1549" i="8"/>
  <c r="D1565" i="8"/>
  <c r="D1581" i="8"/>
  <c r="D1597" i="8"/>
  <c r="D1498" i="8"/>
  <c r="D1514" i="8"/>
  <c r="D1530" i="8"/>
  <c r="D1546" i="8"/>
  <c r="D1562" i="8"/>
  <c r="D1578" i="8"/>
  <c r="D1594" i="8"/>
  <c r="D1495" i="8"/>
  <c r="D1511" i="8"/>
  <c r="D1527" i="8"/>
  <c r="D1543" i="8"/>
  <c r="D1559" i="8"/>
  <c r="D1575" i="8"/>
  <c r="D1591" i="8"/>
  <c r="D1492" i="8"/>
  <c r="D1508" i="8"/>
  <c r="D1524" i="8"/>
  <c r="D1540" i="8"/>
  <c r="D1556" i="8"/>
  <c r="D1572" i="8"/>
  <c r="D1588" i="8"/>
  <c r="D1489" i="8"/>
  <c r="D1505" i="8"/>
  <c r="D1521" i="8"/>
  <c r="D1537" i="8"/>
  <c r="D1553" i="8"/>
  <c r="D1569" i="8"/>
  <c r="D1585" i="8"/>
  <c r="D1486" i="8"/>
  <c r="D1502" i="8"/>
  <c r="D1518" i="8"/>
  <c r="D1534" i="8"/>
  <c r="D1550" i="8"/>
  <c r="D1566" i="8"/>
  <c r="D1582" i="8"/>
  <c r="D1598" i="8"/>
  <c r="D1499" i="8"/>
  <c r="D1515" i="8"/>
  <c r="D1531" i="8"/>
  <c r="D1547" i="8"/>
  <c r="D1563" i="8"/>
  <c r="D1579" i="8"/>
  <c r="D1595" i="8"/>
  <c r="D1496" i="8"/>
  <c r="D1512" i="8"/>
  <c r="D1528" i="8"/>
  <c r="D1544" i="8"/>
  <c r="D1560" i="8"/>
  <c r="D1576" i="8"/>
  <c r="D1592" i="8"/>
  <c r="D1493" i="8"/>
  <c r="D1509" i="8"/>
  <c r="D1525" i="8"/>
  <c r="D1541" i="8"/>
  <c r="D1557" i="8"/>
  <c r="D1573" i="8"/>
  <c r="D1589" i="8"/>
  <c r="D1490" i="8"/>
  <c r="D1506" i="8"/>
  <c r="D1522" i="8"/>
  <c r="D1538" i="8"/>
  <c r="D1554" i="8"/>
  <c r="D1570" i="8"/>
  <c r="D1586" i="8"/>
  <c r="D1487" i="8"/>
  <c r="D1503" i="8"/>
  <c r="D1519" i="8"/>
  <c r="D1535" i="8"/>
  <c r="D1551" i="8"/>
  <c r="D1567" i="8"/>
  <c r="D1583" i="8"/>
  <c r="D1599" i="8"/>
  <c r="D1500" i="8"/>
  <c r="D1516" i="8"/>
  <c r="D1532" i="8"/>
  <c r="D1548" i="8"/>
  <c r="D1564" i="8"/>
  <c r="D1580" i="8"/>
  <c r="D1596" i="8"/>
  <c r="D1497" i="8"/>
  <c r="D1513" i="8"/>
  <c r="D1529" i="8"/>
  <c r="D1545" i="8"/>
  <c r="D1561" i="8"/>
  <c r="D1577" i="8"/>
  <c r="D1593" i="8"/>
  <c r="D1494" i="8"/>
  <c r="D1510" i="8"/>
  <c r="D1526" i="8"/>
  <c r="D1542" i="8"/>
  <c r="D1558" i="8"/>
  <c r="D1574" i="8"/>
  <c r="D1590" i="8"/>
  <c r="D2253" i="8"/>
  <c r="D2269" i="8"/>
  <c r="D2250" i="8"/>
  <c r="D2266" i="8"/>
  <c r="D2247" i="8"/>
  <c r="D2263" i="8"/>
  <c r="D2260" i="8"/>
  <c r="D2257" i="8"/>
  <c r="D2254" i="8"/>
  <c r="D2270" i="8"/>
  <c r="D2251" i="8"/>
  <c r="D2267" i="8"/>
  <c r="D2248" i="8"/>
  <c r="D2264" i="8"/>
  <c r="D2261" i="8"/>
  <c r="D2255" i="8"/>
  <c r="D2252" i="8"/>
  <c r="D2268" i="8"/>
  <c r="D2249" i="8"/>
  <c r="D2265" i="8"/>
  <c r="D2246" i="8"/>
  <c r="D2262" i="8"/>
  <c r="D2259" i="8"/>
  <c r="D2275" i="8"/>
  <c r="D2256" i="8"/>
  <c r="D2272" i="8"/>
  <c r="D2285" i="8"/>
  <c r="D2301" i="8"/>
  <c r="D2258" i="8"/>
  <c r="D2282" i="8"/>
  <c r="D2298" i="8"/>
  <c r="D2279" i="8"/>
  <c r="D2295" i="8"/>
  <c r="D2311" i="8"/>
  <c r="D2276" i="8"/>
  <c r="D2292" i="8"/>
  <c r="D2308" i="8"/>
  <c r="D2289" i="8"/>
  <c r="D2305" i="8"/>
  <c r="D2286" i="8"/>
  <c r="D2302" i="8"/>
  <c r="D2283" i="8"/>
  <c r="D2299" i="8"/>
  <c r="D2280" i="8"/>
  <c r="D2296" i="8"/>
  <c r="D2312" i="8"/>
  <c r="D2277" i="8"/>
  <c r="D2293" i="8"/>
  <c r="D2309" i="8"/>
  <c r="D2271" i="8"/>
  <c r="D2290" i="8"/>
  <c r="D2306" i="8"/>
  <c r="D2287" i="8"/>
  <c r="D2303" i="8"/>
  <c r="D2273" i="8"/>
  <c r="D2284" i="8"/>
  <c r="D2300" i="8"/>
  <c r="D2281" i="8"/>
  <c r="D2297" i="8"/>
  <c r="D2278" i="8"/>
  <c r="D2294" i="8"/>
  <c r="D2310" i="8"/>
  <c r="D2274" i="8"/>
  <c r="D2291" i="8"/>
  <c r="D2307" i="8"/>
  <c r="D2288" i="8"/>
  <c r="D2304" i="8"/>
  <c r="D2525" i="8"/>
  <c r="D2541" i="8"/>
  <c r="D2538" i="8"/>
  <c r="D2535" i="8"/>
  <c r="D2532" i="8"/>
  <c r="D2529" i="8"/>
  <c r="D2526" i="8"/>
  <c r="D2533" i="8"/>
  <c r="D2530" i="8"/>
  <c r="D2540" i="8"/>
  <c r="D2537" i="8"/>
  <c r="D2534" i="8"/>
  <c r="D2531" i="8"/>
  <c r="D2528" i="8"/>
  <c r="D2555" i="8"/>
  <c r="D2571" i="8"/>
  <c r="D2587" i="8"/>
  <c r="D2603" i="8"/>
  <c r="D2619" i="8"/>
  <c r="D2635" i="8"/>
  <c r="D2651" i="8"/>
  <c r="D2667" i="8"/>
  <c r="D2683" i="8"/>
  <c r="D2699" i="8"/>
  <c r="D2715" i="8"/>
  <c r="D2731" i="8"/>
  <c r="D2747" i="8"/>
  <c r="D2763" i="8"/>
  <c r="D2539" i="8"/>
  <c r="D2552" i="8"/>
  <c r="D2568" i="8"/>
  <c r="D2584" i="8"/>
  <c r="D2600" i="8"/>
  <c r="D2616" i="8"/>
  <c r="D2632" i="8"/>
  <c r="D2648" i="8"/>
  <c r="D2664" i="8"/>
  <c r="D2680" i="8"/>
  <c r="D2696" i="8"/>
  <c r="D2712" i="8"/>
  <c r="D2728" i="8"/>
  <c r="D2744" i="8"/>
  <c r="D2760" i="8"/>
  <c r="D2776" i="8"/>
  <c r="D2549" i="8"/>
  <c r="D2565" i="8"/>
  <c r="D2581" i="8"/>
  <c r="D2597" i="8"/>
  <c r="D2613" i="8"/>
  <c r="D2629" i="8"/>
  <c r="D2645" i="8"/>
  <c r="D2661" i="8"/>
  <c r="D2677" i="8"/>
  <c r="D2693" i="8"/>
  <c r="D2709" i="8"/>
  <c r="D2725" i="8"/>
  <c r="D2741" i="8"/>
  <c r="D2757" i="8"/>
  <c r="D2773" i="8"/>
  <c r="D2562" i="8"/>
  <c r="D2578" i="8"/>
  <c r="D2594" i="8"/>
  <c r="D2610" i="8"/>
  <c r="D2626" i="8"/>
  <c r="D2642" i="8"/>
  <c r="D2658" i="8"/>
  <c r="D2674" i="8"/>
  <c r="D2690" i="8"/>
  <c r="D2706" i="8"/>
  <c r="D2722" i="8"/>
  <c r="D2738" i="8"/>
  <c r="D2754" i="8"/>
  <c r="D2770" i="8"/>
  <c r="D2546" i="8"/>
  <c r="D2559" i="8"/>
  <c r="D2575" i="8"/>
  <c r="D2591" i="8"/>
  <c r="D2607" i="8"/>
  <c r="D2623" i="8"/>
  <c r="D2639" i="8"/>
  <c r="D2655" i="8"/>
  <c r="D2671" i="8"/>
  <c r="D2687" i="8"/>
  <c r="D2703" i="8"/>
  <c r="D2719" i="8"/>
  <c r="D2735" i="8"/>
  <c r="D2751" i="8"/>
  <c r="D2767" i="8"/>
  <c r="D2556" i="8"/>
  <c r="D2572" i="8"/>
  <c r="D2588" i="8"/>
  <c r="D2604" i="8"/>
  <c r="D2620" i="8"/>
  <c r="D2636" i="8"/>
  <c r="D2652" i="8"/>
  <c r="D2668" i="8"/>
  <c r="D2684" i="8"/>
  <c r="D2700" i="8"/>
  <c r="D2716" i="8"/>
  <c r="D2732" i="8"/>
  <c r="D2748" i="8"/>
  <c r="D2764" i="8"/>
  <c r="D2542" i="8"/>
  <c r="D2553" i="8"/>
  <c r="D2569" i="8"/>
  <c r="D2585" i="8"/>
  <c r="D2601" i="8"/>
  <c r="D2617" i="8"/>
  <c r="D2633" i="8"/>
  <c r="D2649" i="8"/>
  <c r="D2665" i="8"/>
  <c r="D2681" i="8"/>
  <c r="D2697" i="8"/>
  <c r="D2713" i="8"/>
  <c r="D2729" i="8"/>
  <c r="D2745" i="8"/>
  <c r="D2761" i="8"/>
  <c r="D2777" i="8"/>
  <c r="D2550" i="8"/>
  <c r="D2566" i="8"/>
  <c r="D2582" i="8"/>
  <c r="D2598" i="8"/>
  <c r="D2614" i="8"/>
  <c r="D2630" i="8"/>
  <c r="D2646" i="8"/>
  <c r="D2662" i="8"/>
  <c r="D2678" i="8"/>
  <c r="D2694" i="8"/>
  <c r="D2710" i="8"/>
  <c r="D2726" i="8"/>
  <c r="D2742" i="8"/>
  <c r="D2758" i="8"/>
  <c r="D2774" i="8"/>
  <c r="D2527" i="8"/>
  <c r="D2547" i="8"/>
  <c r="D2563" i="8"/>
  <c r="D2579" i="8"/>
  <c r="D2595" i="8"/>
  <c r="D2611" i="8"/>
  <c r="D2627" i="8"/>
  <c r="D2643" i="8"/>
  <c r="D2659" i="8"/>
  <c r="D2675" i="8"/>
  <c r="D2691" i="8"/>
  <c r="D2707" i="8"/>
  <c r="D2723" i="8"/>
  <c r="D2739" i="8"/>
  <c r="D2755" i="8"/>
  <c r="D2771" i="8"/>
  <c r="D2543" i="8"/>
  <c r="D2560" i="8"/>
  <c r="D2576" i="8"/>
  <c r="D2592" i="8"/>
  <c r="D2608" i="8"/>
  <c r="D2624" i="8"/>
  <c r="D2640" i="8"/>
  <c r="D2656" i="8"/>
  <c r="D2672" i="8"/>
  <c r="D2688" i="8"/>
  <c r="D2704" i="8"/>
  <c r="D2720" i="8"/>
  <c r="D2736" i="8"/>
  <c r="D2544" i="8"/>
  <c r="D2557" i="8"/>
  <c r="D2573" i="8"/>
  <c r="D2589" i="8"/>
  <c r="D2605" i="8"/>
  <c r="D2621" i="8"/>
  <c r="D2637" i="8"/>
  <c r="D2653" i="8"/>
  <c r="D2669" i="8"/>
  <c r="D2685" i="8"/>
  <c r="D2701" i="8"/>
  <c r="D2717" i="8"/>
  <c r="D2733" i="8"/>
  <c r="D2749" i="8"/>
  <c r="D2765" i="8"/>
  <c r="D2554" i="8"/>
  <c r="D2570" i="8"/>
  <c r="D2586" i="8"/>
  <c r="D2602" i="8"/>
  <c r="D2618" i="8"/>
  <c r="D2634" i="8"/>
  <c r="D2650" i="8"/>
  <c r="D2666" i="8"/>
  <c r="D2682" i="8"/>
  <c r="D2698" i="8"/>
  <c r="D2714" i="8"/>
  <c r="D2730" i="8"/>
  <c r="D2746" i="8"/>
  <c r="D2762" i="8"/>
  <c r="D2778" i="8"/>
  <c r="D2551" i="8"/>
  <c r="D2567" i="8"/>
  <c r="D2583" i="8"/>
  <c r="D2599" i="8"/>
  <c r="D2615" i="8"/>
  <c r="D2631" i="8"/>
  <c r="D2647" i="8"/>
  <c r="D2663" i="8"/>
  <c r="D2679" i="8"/>
  <c r="D2695" i="8"/>
  <c r="D2711" i="8"/>
  <c r="D2727" i="8"/>
  <c r="D2743" i="8"/>
  <c r="D2759" i="8"/>
  <c r="D2775" i="8"/>
  <c r="D2536" i="8"/>
  <c r="D2548" i="8"/>
  <c r="D2564" i="8"/>
  <c r="D2580" i="8"/>
  <c r="D2596" i="8"/>
  <c r="D2612" i="8"/>
  <c r="D2628" i="8"/>
  <c r="D2644" i="8"/>
  <c r="D2660" i="8"/>
  <c r="D2676" i="8"/>
  <c r="D2692" i="8"/>
  <c r="D2708" i="8"/>
  <c r="D2724" i="8"/>
  <c r="D2740" i="8"/>
  <c r="D2756" i="8"/>
  <c r="D2772" i="8"/>
  <c r="D2561" i="8"/>
  <c r="D2577" i="8"/>
  <c r="D2593" i="8"/>
  <c r="D2609" i="8"/>
  <c r="D2625" i="8"/>
  <c r="D2641" i="8"/>
  <c r="D2657" i="8"/>
  <c r="D2673" i="8"/>
  <c r="D2689" i="8"/>
  <c r="D2705" i="8"/>
  <c r="D2721" i="8"/>
  <c r="D2737" i="8"/>
  <c r="D2753" i="8"/>
  <c r="D2769" i="8"/>
  <c r="D2545" i="8"/>
  <c r="D2558" i="8"/>
  <c r="D2574" i="8"/>
  <c r="D2590" i="8"/>
  <c r="D2606" i="8"/>
  <c r="D2622" i="8"/>
  <c r="D2638" i="8"/>
  <c r="D2654" i="8"/>
  <c r="D2670" i="8"/>
  <c r="D2686" i="8"/>
  <c r="D2702" i="8"/>
  <c r="D2718" i="8"/>
  <c r="D2734" i="8"/>
  <c r="D2750" i="8"/>
  <c r="D2766" i="8"/>
  <c r="D2752" i="8"/>
  <c r="D2768" i="8"/>
  <c r="D709" i="8"/>
  <c r="D725" i="8"/>
  <c r="D741" i="8"/>
  <c r="D757" i="8"/>
  <c r="D773" i="8"/>
  <c r="D789" i="8"/>
  <c r="D706" i="8"/>
  <c r="D722" i="8"/>
  <c r="D738" i="8"/>
  <c r="D754" i="8"/>
  <c r="D770" i="8"/>
  <c r="D786" i="8"/>
  <c r="D703" i="8"/>
  <c r="D719" i="8"/>
  <c r="D735" i="8"/>
  <c r="D751" i="8"/>
  <c r="D767" i="8"/>
  <c r="D783" i="8"/>
  <c r="D700" i="8"/>
  <c r="D716" i="8"/>
  <c r="D732" i="8"/>
  <c r="D748" i="8"/>
  <c r="D764" i="8"/>
  <c r="D780" i="8"/>
  <c r="D713" i="8"/>
  <c r="D729" i="8"/>
  <c r="D745" i="8"/>
  <c r="D761" i="8"/>
  <c r="D777" i="8"/>
  <c r="D710" i="8"/>
  <c r="D726" i="8"/>
  <c r="D742" i="8"/>
  <c r="D758" i="8"/>
  <c r="D774" i="8"/>
  <c r="D790" i="8"/>
  <c r="D707" i="8"/>
  <c r="D723" i="8"/>
  <c r="D739" i="8"/>
  <c r="D755" i="8"/>
  <c r="D771" i="8"/>
  <c r="D787" i="8"/>
  <c r="D704" i="8"/>
  <c r="D720" i="8"/>
  <c r="D736" i="8"/>
  <c r="D752" i="8"/>
  <c r="D768" i="8"/>
  <c r="D784" i="8"/>
  <c r="D701" i="8"/>
  <c r="D717" i="8"/>
  <c r="D733" i="8"/>
  <c r="D749" i="8"/>
  <c r="D765" i="8"/>
  <c r="D781" i="8"/>
  <c r="D714" i="8"/>
  <c r="D730" i="8"/>
  <c r="D746" i="8"/>
  <c r="D762" i="8"/>
  <c r="D778" i="8"/>
  <c r="D711" i="8"/>
  <c r="D727" i="8"/>
  <c r="D743" i="8"/>
  <c r="D759" i="8"/>
  <c r="D775" i="8"/>
  <c r="D708" i="8"/>
  <c r="D724" i="8"/>
  <c r="D740" i="8"/>
  <c r="D756" i="8"/>
  <c r="D772" i="8"/>
  <c r="D788" i="8"/>
  <c r="D705" i="8"/>
  <c r="D721" i="8"/>
  <c r="D737" i="8"/>
  <c r="D753" i="8"/>
  <c r="D769" i="8"/>
  <c r="D785" i="8"/>
  <c r="D702" i="8"/>
  <c r="D718" i="8"/>
  <c r="D734" i="8"/>
  <c r="D750" i="8"/>
  <c r="D766" i="8"/>
  <c r="D782" i="8"/>
  <c r="D699" i="8"/>
  <c r="D715" i="8"/>
  <c r="D731" i="8"/>
  <c r="D747" i="8"/>
  <c r="D763" i="8"/>
  <c r="D779" i="8"/>
  <c r="D712" i="8"/>
  <c r="D728" i="8"/>
  <c r="D744" i="8"/>
  <c r="D760" i="8"/>
  <c r="D776" i="8"/>
  <c r="D1182" i="8"/>
  <c r="D1179" i="8"/>
  <c r="D1192" i="8"/>
  <c r="D1189" i="8"/>
  <c r="D1186" i="8"/>
  <c r="D1183" i="8"/>
  <c r="D1180" i="8"/>
  <c r="D1193" i="8"/>
  <c r="D1190" i="8"/>
  <c r="D1187" i="8"/>
  <c r="D1184" i="8"/>
  <c r="D1181" i="8"/>
  <c r="D1194" i="8"/>
  <c r="D1191" i="8"/>
  <c r="D1188" i="8"/>
  <c r="D1185" i="8"/>
  <c r="D2809" i="8"/>
  <c r="D2810" i="8"/>
  <c r="D2815" i="8"/>
  <c r="D2812" i="8"/>
  <c r="D2819" i="8"/>
  <c r="D2816" i="8"/>
  <c r="D2808" i="8"/>
  <c r="D2813" i="8"/>
  <c r="D2820" i="8"/>
  <c r="D2817" i="8"/>
  <c r="D2814" i="8"/>
  <c r="D2811" i="8"/>
  <c r="D2821" i="8"/>
  <c r="D2818" i="8"/>
  <c r="G53" i="7"/>
  <c r="C2378" i="8"/>
  <c r="C2394" i="8"/>
  <c r="C2410" i="8"/>
  <c r="C2426" i="8"/>
  <c r="C2375" i="8"/>
  <c r="C2391" i="8"/>
  <c r="C2407" i="8"/>
  <c r="C2423" i="8"/>
  <c r="C2372" i="8"/>
  <c r="C2388" i="8"/>
  <c r="C2404" i="8"/>
  <c r="C2420" i="8"/>
  <c r="C2369" i="8"/>
  <c r="C2385" i="8"/>
  <c r="C2401" i="8"/>
  <c r="C2417" i="8"/>
  <c r="C2366" i="8"/>
  <c r="C2382" i="8"/>
  <c r="C2398" i="8"/>
  <c r="C2414" i="8"/>
  <c r="C2379" i="8"/>
  <c r="C2395" i="8"/>
  <c r="C2411" i="8"/>
  <c r="C2427" i="8"/>
  <c r="C2376" i="8"/>
  <c r="C2392" i="8"/>
  <c r="C2408" i="8"/>
  <c r="C2424" i="8"/>
  <c r="C2373" i="8"/>
  <c r="C2389" i="8"/>
  <c r="C2405" i="8"/>
  <c r="C2421" i="8"/>
  <c r="C2370" i="8"/>
  <c r="C2386" i="8"/>
  <c r="C2402" i="8"/>
  <c r="C2418" i="8"/>
  <c r="C2367" i="8"/>
  <c r="C2383" i="8"/>
  <c r="C2399" i="8"/>
  <c r="C2415" i="8"/>
  <c r="C2364" i="8"/>
  <c r="C2380" i="8"/>
  <c r="C2396" i="8"/>
  <c r="C2412" i="8"/>
  <c r="C2428" i="8"/>
  <c r="C2377" i="8"/>
  <c r="C2393" i="8"/>
  <c r="C2409" i="8"/>
  <c r="C2425" i="8"/>
  <c r="C2374" i="8"/>
  <c r="C2390" i="8"/>
  <c r="C2406" i="8"/>
  <c r="C2422" i="8"/>
  <c r="C2371" i="8"/>
  <c r="C2387" i="8"/>
  <c r="C2403" i="8"/>
  <c r="C2419" i="8"/>
  <c r="C2368" i="8"/>
  <c r="C2384" i="8"/>
  <c r="C2400" i="8"/>
  <c r="C2416" i="8"/>
  <c r="C2365" i="8"/>
  <c r="C2381" i="8"/>
  <c r="C2397" i="8"/>
  <c r="C2413" i="8"/>
  <c r="C2429" i="8"/>
  <c r="D391" i="8"/>
  <c r="D407" i="8"/>
  <c r="D404" i="8"/>
  <c r="D398" i="8"/>
  <c r="D395" i="8"/>
  <c r="D411" i="8"/>
  <c r="D392" i="8"/>
  <c r="D408" i="8"/>
  <c r="D389" i="8"/>
  <c r="D405" i="8"/>
  <c r="D402" i="8"/>
  <c r="D418" i="8"/>
  <c r="D399" i="8"/>
  <c r="D415" i="8"/>
  <c r="D396" i="8"/>
  <c r="D393" i="8"/>
  <c r="D409" i="8"/>
  <c r="D390" i="8"/>
  <c r="D403" i="8"/>
  <c r="D400" i="8"/>
  <c r="D397" i="8"/>
  <c r="D413" i="8"/>
  <c r="D394" i="8"/>
  <c r="D431" i="8"/>
  <c r="D447" i="8"/>
  <c r="D463" i="8"/>
  <c r="D479" i="8"/>
  <c r="D495" i="8"/>
  <c r="D511" i="8"/>
  <c r="D527" i="8"/>
  <c r="D543" i="8"/>
  <c r="D414" i="8"/>
  <c r="D428" i="8"/>
  <c r="D444" i="8"/>
  <c r="D460" i="8"/>
  <c r="D476" i="8"/>
  <c r="D492" i="8"/>
  <c r="D508" i="8"/>
  <c r="D524" i="8"/>
  <c r="D540" i="8"/>
  <c r="D425" i="8"/>
  <c r="D441" i="8"/>
  <c r="D457" i="8"/>
  <c r="D473" i="8"/>
  <c r="D489" i="8"/>
  <c r="D505" i="8"/>
  <c r="D521" i="8"/>
  <c r="D537" i="8"/>
  <c r="D406" i="8"/>
  <c r="D422" i="8"/>
  <c r="D438" i="8"/>
  <c r="D454" i="8"/>
  <c r="D470" i="8"/>
  <c r="D486" i="8"/>
  <c r="D502" i="8"/>
  <c r="D518" i="8"/>
  <c r="D534" i="8"/>
  <c r="D419" i="8"/>
  <c r="D435" i="8"/>
  <c r="D451" i="8"/>
  <c r="D467" i="8"/>
  <c r="D483" i="8"/>
  <c r="D499" i="8"/>
  <c r="D515" i="8"/>
  <c r="D531" i="8"/>
  <c r="D547" i="8"/>
  <c r="D432" i="8"/>
  <c r="D448" i="8"/>
  <c r="D464" i="8"/>
  <c r="D480" i="8"/>
  <c r="D496" i="8"/>
  <c r="D512" i="8"/>
  <c r="D528" i="8"/>
  <c r="D544" i="8"/>
  <c r="D429" i="8"/>
  <c r="D445" i="8"/>
  <c r="D461" i="8"/>
  <c r="D477" i="8"/>
  <c r="D493" i="8"/>
  <c r="D509" i="8"/>
  <c r="D525" i="8"/>
  <c r="D541" i="8"/>
  <c r="D416" i="8"/>
  <c r="D426" i="8"/>
  <c r="D442" i="8"/>
  <c r="D458" i="8"/>
  <c r="D474" i="8"/>
  <c r="D490" i="8"/>
  <c r="D506" i="8"/>
  <c r="D522" i="8"/>
  <c r="D538" i="8"/>
  <c r="D410" i="8"/>
  <c r="D423" i="8"/>
  <c r="D439" i="8"/>
  <c r="D455" i="8"/>
  <c r="D471" i="8"/>
  <c r="D487" i="8"/>
  <c r="D503" i="8"/>
  <c r="D519" i="8"/>
  <c r="D535" i="8"/>
  <c r="D420" i="8"/>
  <c r="D436" i="8"/>
  <c r="D452" i="8"/>
  <c r="D468" i="8"/>
  <c r="D484" i="8"/>
  <c r="D500" i="8"/>
  <c r="D516" i="8"/>
  <c r="D532" i="8"/>
  <c r="D412" i="8"/>
  <c r="D433" i="8"/>
  <c r="D449" i="8"/>
  <c r="D465" i="8"/>
  <c r="D481" i="8"/>
  <c r="D497" i="8"/>
  <c r="D513" i="8"/>
  <c r="D529" i="8"/>
  <c r="D545" i="8"/>
  <c r="D430" i="8"/>
  <c r="D446" i="8"/>
  <c r="D462" i="8"/>
  <c r="D478" i="8"/>
  <c r="D494" i="8"/>
  <c r="D510" i="8"/>
  <c r="D526" i="8"/>
  <c r="D542" i="8"/>
  <c r="D417" i="8"/>
  <c r="D427" i="8"/>
  <c r="D443" i="8"/>
  <c r="D459" i="8"/>
  <c r="D475" i="8"/>
  <c r="D491" i="8"/>
  <c r="D507" i="8"/>
  <c r="D523" i="8"/>
  <c r="D539" i="8"/>
  <c r="D424" i="8"/>
  <c r="D440" i="8"/>
  <c r="D456" i="8"/>
  <c r="D472" i="8"/>
  <c r="D488" i="8"/>
  <c r="D504" i="8"/>
  <c r="D520" i="8"/>
  <c r="D536" i="8"/>
  <c r="D421" i="8"/>
  <c r="D437" i="8"/>
  <c r="D453" i="8"/>
  <c r="D469" i="8"/>
  <c r="D485" i="8"/>
  <c r="D501" i="8"/>
  <c r="D517" i="8"/>
  <c r="D533" i="8"/>
  <c r="D401" i="8"/>
  <c r="D434" i="8"/>
  <c r="D450" i="8"/>
  <c r="D466" i="8"/>
  <c r="D482" i="8"/>
  <c r="D498" i="8"/>
  <c r="D514" i="8"/>
  <c r="D530" i="8"/>
  <c r="D546" i="8"/>
  <c r="D1198" i="8"/>
  <c r="D1195" i="8"/>
  <c r="D1205" i="8"/>
  <c r="D1202" i="8"/>
  <c r="D1199" i="8"/>
  <c r="D1196" i="8"/>
  <c r="D1206" i="8"/>
  <c r="D1203" i="8"/>
  <c r="D1200" i="8"/>
  <c r="D1197" i="8"/>
  <c r="D1210" i="8"/>
  <c r="D1207" i="8"/>
  <c r="D1204" i="8"/>
  <c r="D1201" i="8"/>
  <c r="D1214" i="8"/>
  <c r="D1211" i="8"/>
  <c r="D1218" i="8"/>
  <c r="D1215" i="8"/>
  <c r="D1212" i="8"/>
  <c r="D1208" i="8"/>
  <c r="D1209" i="8"/>
  <c r="D1216" i="8"/>
  <c r="D1213" i="8"/>
  <c r="D1217" i="8"/>
  <c r="F53" i="7"/>
  <c r="F16" i="8"/>
  <c r="F32" i="8"/>
  <c r="F48" i="8"/>
  <c r="F64" i="8"/>
  <c r="F13" i="8"/>
  <c r="F29" i="8"/>
  <c r="F45" i="8"/>
  <c r="F61" i="8"/>
  <c r="F10" i="8"/>
  <c r="F26" i="8"/>
  <c r="F42" i="8"/>
  <c r="F58" i="8"/>
  <c r="F7" i="8"/>
  <c r="F23" i="8"/>
  <c r="F39" i="8"/>
  <c r="F55" i="8"/>
  <c r="F4" i="8"/>
  <c r="F20" i="8"/>
  <c r="F36" i="8"/>
  <c r="F52" i="8"/>
  <c r="F68" i="8"/>
  <c r="F17" i="8"/>
  <c r="F33" i="8"/>
  <c r="F49" i="8"/>
  <c r="F65" i="8"/>
  <c r="F14" i="8"/>
  <c r="F30" i="8"/>
  <c r="F46" i="8"/>
  <c r="F62" i="8"/>
  <c r="F11" i="8"/>
  <c r="F27" i="8"/>
  <c r="F43" i="8"/>
  <c r="F59" i="8"/>
  <c r="F2" i="8"/>
  <c r="F8" i="8"/>
  <c r="F24" i="8"/>
  <c r="F40" i="8"/>
  <c r="F56" i="8"/>
  <c r="F5" i="8"/>
  <c r="F21" i="8"/>
  <c r="F37" i="8"/>
  <c r="F53" i="8"/>
  <c r="F18" i="8"/>
  <c r="F34" i="8"/>
  <c r="F50" i="8"/>
  <c r="F66" i="8"/>
  <c r="F15" i="8"/>
  <c r="F31" i="8"/>
  <c r="F47" i="8"/>
  <c r="F63" i="8"/>
  <c r="F12" i="8"/>
  <c r="F28" i="8"/>
  <c r="F44" i="8"/>
  <c r="F60" i="8"/>
  <c r="F9" i="8"/>
  <c r="F25" i="8"/>
  <c r="F41" i="8"/>
  <c r="F57" i="8"/>
  <c r="F6" i="8"/>
  <c r="F22" i="8"/>
  <c r="F38" i="8"/>
  <c r="F54" i="8"/>
  <c r="F3" i="8"/>
  <c r="F19" i="8"/>
  <c r="F35" i="8"/>
  <c r="F51" i="8"/>
  <c r="F67" i="8"/>
  <c r="D2445" i="8"/>
  <c r="D2461" i="8"/>
  <c r="D2477" i="8"/>
  <c r="D2493" i="8"/>
  <c r="D2509" i="8"/>
  <c r="D2442" i="8"/>
  <c r="D2458" i="8"/>
  <c r="D2474" i="8"/>
  <c r="D2490" i="8"/>
  <c r="D2506" i="8"/>
  <c r="D2522" i="8"/>
  <c r="D2439" i="8"/>
  <c r="D2455" i="8"/>
  <c r="D2471" i="8"/>
  <c r="D2487" i="8"/>
  <c r="D2503" i="8"/>
  <c r="D2519" i="8"/>
  <c r="D2436" i="8"/>
  <c r="D2452" i="8"/>
  <c r="D2468" i="8"/>
  <c r="D2484" i="8"/>
  <c r="D2500" i="8"/>
  <c r="D2516" i="8"/>
  <c r="D2433" i="8"/>
  <c r="D2449" i="8"/>
  <c r="D2465" i="8"/>
  <c r="D2481" i="8"/>
  <c r="D2497" i="8"/>
  <c r="D2513" i="8"/>
  <c r="D2430" i="8"/>
  <c r="D2446" i="8"/>
  <c r="D2462" i="8"/>
  <c r="D2478" i="8"/>
  <c r="D2494" i="8"/>
  <c r="D2510" i="8"/>
  <c r="D2443" i="8"/>
  <c r="D2459" i="8"/>
  <c r="D2475" i="8"/>
  <c r="D2491" i="8"/>
  <c r="D2507" i="8"/>
  <c r="D2523" i="8"/>
  <c r="D2440" i="8"/>
  <c r="D2456" i="8"/>
  <c r="D2472" i="8"/>
  <c r="D2488" i="8"/>
  <c r="D2437" i="8"/>
  <c r="D2453" i="8"/>
  <c r="D2469" i="8"/>
  <c r="D2485" i="8"/>
  <c r="D2501" i="8"/>
  <c r="D2517" i="8"/>
  <c r="D2434" i="8"/>
  <c r="D2450" i="8"/>
  <c r="D2466" i="8"/>
  <c r="D2482" i="8"/>
  <c r="D2498" i="8"/>
  <c r="D2514" i="8"/>
  <c r="D2431" i="8"/>
  <c r="D2447" i="8"/>
  <c r="D2463" i="8"/>
  <c r="D2479" i="8"/>
  <c r="D2495" i="8"/>
  <c r="D2511" i="8"/>
  <c r="D2444" i="8"/>
  <c r="D2460" i="8"/>
  <c r="D2476" i="8"/>
  <c r="D2492" i="8"/>
  <c r="D2508" i="8"/>
  <c r="D2524" i="8"/>
  <c r="D2441" i="8"/>
  <c r="D2457" i="8"/>
  <c r="D2473" i="8"/>
  <c r="D2489" i="8"/>
  <c r="D2505" i="8"/>
  <c r="D2521" i="8"/>
  <c r="D2438" i="8"/>
  <c r="D2454" i="8"/>
  <c r="D2470" i="8"/>
  <c r="D2486" i="8"/>
  <c r="D2502" i="8"/>
  <c r="D2518" i="8"/>
  <c r="D2435" i="8"/>
  <c r="D2451" i="8"/>
  <c r="D2467" i="8"/>
  <c r="D2483" i="8"/>
  <c r="D2499" i="8"/>
  <c r="D2515" i="8"/>
  <c r="D2432" i="8"/>
  <c r="D2448" i="8"/>
  <c r="D2464" i="8"/>
  <c r="D2480" i="8"/>
  <c r="D2496" i="8"/>
  <c r="D2512" i="8"/>
  <c r="D2504" i="8"/>
  <c r="D2520" i="8"/>
  <c r="D2141" i="8"/>
  <c r="D2157" i="8"/>
  <c r="D2173" i="8"/>
  <c r="D2189" i="8"/>
  <c r="D2205" i="8"/>
  <c r="D2138" i="8"/>
  <c r="D2154" i="8"/>
  <c r="D2170" i="8"/>
  <c r="D2186" i="8"/>
  <c r="D2202" i="8"/>
  <c r="D2135" i="8"/>
  <c r="D2151" i="8"/>
  <c r="D2167" i="8"/>
  <c r="D2183" i="8"/>
  <c r="D2199" i="8"/>
  <c r="D2148" i="8"/>
  <c r="D2164" i="8"/>
  <c r="D2180" i="8"/>
  <c r="D2196" i="8"/>
  <c r="D2145" i="8"/>
  <c r="D2161" i="8"/>
  <c r="D2177" i="8"/>
  <c r="D2193" i="8"/>
  <c r="D2209" i="8"/>
  <c r="D2142" i="8"/>
  <c r="D2158" i="8"/>
  <c r="D2174" i="8"/>
  <c r="D2190" i="8"/>
  <c r="D2206" i="8"/>
  <c r="D2139" i="8"/>
  <c r="D2155" i="8"/>
  <c r="D2171" i="8"/>
  <c r="D2187" i="8"/>
  <c r="D2203" i="8"/>
  <c r="D2136" i="8"/>
  <c r="D2152" i="8"/>
  <c r="D2168" i="8"/>
  <c r="D2184" i="8"/>
  <c r="D2200" i="8"/>
  <c r="D2133" i="8"/>
  <c r="D2149" i="8"/>
  <c r="D2165" i="8"/>
  <c r="D2181" i="8"/>
  <c r="D2197" i="8"/>
  <c r="D2146" i="8"/>
  <c r="D2162" i="8"/>
  <c r="D2178" i="8"/>
  <c r="D2194" i="8"/>
  <c r="D2143" i="8"/>
  <c r="D2159" i="8"/>
  <c r="D2175" i="8"/>
  <c r="D2191" i="8"/>
  <c r="D2207" i="8"/>
  <c r="D2140" i="8"/>
  <c r="D2156" i="8"/>
  <c r="D2172" i="8"/>
  <c r="D2188" i="8"/>
  <c r="D2204" i="8"/>
  <c r="D2137" i="8"/>
  <c r="D2153" i="8"/>
  <c r="D2169" i="8"/>
  <c r="D2185" i="8"/>
  <c r="D2201" i="8"/>
  <c r="D2134" i="8"/>
  <c r="D2150" i="8"/>
  <c r="D2166" i="8"/>
  <c r="D2182" i="8"/>
  <c r="D2198" i="8"/>
  <c r="D2147" i="8"/>
  <c r="D2163" i="8"/>
  <c r="D2179" i="8"/>
  <c r="D2195" i="8"/>
  <c r="D2144" i="8"/>
  <c r="D2160" i="8"/>
  <c r="D2176" i="8"/>
  <c r="D2192" i="8"/>
  <c r="D2208" i="8"/>
  <c r="D1230" i="8"/>
  <c r="D1227" i="8"/>
  <c r="D1224" i="8"/>
  <c r="D1221" i="8"/>
  <c r="D1231" i="8"/>
  <c r="D1228" i="8"/>
  <c r="D1225" i="8"/>
  <c r="D1222" i="8"/>
  <c r="D1219" i="8"/>
  <c r="D1232" i="8"/>
  <c r="D1229" i="8"/>
  <c r="D1226" i="8"/>
  <c r="D1223" i="8"/>
  <c r="D1220" i="8"/>
  <c r="D3007" i="8"/>
  <c r="D3023" i="8"/>
  <c r="D3039" i="8"/>
  <c r="D3004" i="8"/>
  <c r="D3020" i="8"/>
  <c r="D3036" i="8"/>
  <c r="D3001" i="8"/>
  <c r="D3017" i="8"/>
  <c r="D3033" i="8"/>
  <c r="D3049" i="8"/>
  <c r="D2998" i="8"/>
  <c r="D3014" i="8"/>
  <c r="D3030" i="8"/>
  <c r="D3046" i="8"/>
  <c r="D2995" i="8"/>
  <c r="D3011" i="8"/>
  <c r="D3027" i="8"/>
  <c r="D3043" i="8"/>
  <c r="D3008" i="8"/>
  <c r="D3024" i="8"/>
  <c r="D3040" i="8"/>
  <c r="D3005" i="8"/>
  <c r="D3021" i="8"/>
  <c r="D3037" i="8"/>
  <c r="D3002" i="8"/>
  <c r="D3018" i="8"/>
  <c r="D3034" i="8"/>
  <c r="D2999" i="8"/>
  <c r="D3015" i="8"/>
  <c r="D3031" i="8"/>
  <c r="D3047" i="8"/>
  <c r="D2996" i="8"/>
  <c r="D3012" i="8"/>
  <c r="D3028" i="8"/>
  <c r="D3044" i="8"/>
  <c r="D3009" i="8"/>
  <c r="D3025" i="8"/>
  <c r="D3041" i="8"/>
  <c r="D3006" i="8"/>
  <c r="D3022" i="8"/>
  <c r="D3038" i="8"/>
  <c r="D3003" i="8"/>
  <c r="D3019" i="8"/>
  <c r="D3035" i="8"/>
  <c r="D3000" i="8"/>
  <c r="D3016" i="8"/>
  <c r="D3032" i="8"/>
  <c r="D3048" i="8"/>
  <c r="D2997" i="8"/>
  <c r="D3013" i="8"/>
  <c r="D3029" i="8"/>
  <c r="D3045" i="8"/>
  <c r="D3010" i="8"/>
  <c r="D3026" i="8"/>
  <c r="D3042" i="8"/>
  <c r="D3055" i="8"/>
  <c r="D3071" i="8"/>
  <c r="D3052" i="8"/>
  <c r="D3068" i="8"/>
  <c r="D3065" i="8"/>
  <c r="D3062" i="8"/>
  <c r="D3059" i="8"/>
  <c r="D3056" i="8"/>
  <c r="D3072" i="8"/>
  <c r="D3053" i="8"/>
  <c r="D3069" i="8"/>
  <c r="D3050" i="8"/>
  <c r="D3066" i="8"/>
  <c r="D3082" i="8"/>
  <c r="D3063" i="8"/>
  <c r="D3060" i="8"/>
  <c r="D3054" i="8"/>
  <c r="D3070" i="8"/>
  <c r="D3051" i="8"/>
  <c r="D3067" i="8"/>
  <c r="D3064" i="8"/>
  <c r="D3061" i="8"/>
  <c r="D3077" i="8"/>
  <c r="D3058" i="8"/>
  <c r="D3074" i="8"/>
  <c r="D3057" i="8"/>
  <c r="D3088" i="8"/>
  <c r="D3104" i="8"/>
  <c r="D3120" i="8"/>
  <c r="D3085" i="8"/>
  <c r="D3101" i="8"/>
  <c r="D3117" i="8"/>
  <c r="D3078" i="8"/>
  <c r="D3098" i="8"/>
  <c r="D3114" i="8"/>
  <c r="D3095" i="8"/>
  <c r="D3111" i="8"/>
  <c r="D3092" i="8"/>
  <c r="D3108" i="8"/>
  <c r="D3079" i="8"/>
  <c r="D3089" i="8"/>
  <c r="D3105" i="8"/>
  <c r="D3121" i="8"/>
  <c r="D3086" i="8"/>
  <c r="D3102" i="8"/>
  <c r="D3118" i="8"/>
  <c r="D3083" i="8"/>
  <c r="D3099" i="8"/>
  <c r="D3115" i="8"/>
  <c r="D3073" i="8"/>
  <c r="D3096" i="8"/>
  <c r="D3112" i="8"/>
  <c r="D3080" i="8"/>
  <c r="D3093" i="8"/>
  <c r="D3109" i="8"/>
  <c r="D3090" i="8"/>
  <c r="D3106" i="8"/>
  <c r="D3075" i="8"/>
  <c r="D3087" i="8"/>
  <c r="D3103" i="8"/>
  <c r="D3119" i="8"/>
  <c r="D3084" i="8"/>
  <c r="D3100" i="8"/>
  <c r="D3116" i="8"/>
  <c r="D3076" i="8"/>
  <c r="D3097" i="8"/>
  <c r="D3113" i="8"/>
  <c r="D3081" i="8"/>
  <c r="D3094" i="8"/>
  <c r="D3110" i="8"/>
  <c r="D3091" i="8"/>
  <c r="D3107" i="8"/>
  <c r="D1836" i="8"/>
  <c r="D1852" i="8"/>
  <c r="D1868" i="8"/>
  <c r="D1884" i="8"/>
  <c r="D1833" i="8"/>
  <c r="D1849" i="8"/>
  <c r="D1865" i="8"/>
  <c r="D1881" i="8"/>
  <c r="D1830" i="8"/>
  <c r="D1846" i="8"/>
  <c r="D1862" i="8"/>
  <c r="D1878" i="8"/>
  <c r="D1843" i="8"/>
  <c r="D1859" i="8"/>
  <c r="D1875" i="8"/>
  <c r="D1891" i="8"/>
  <c r="D1840" i="8"/>
  <c r="D1856" i="8"/>
  <c r="D1872" i="8"/>
  <c r="D1888" i="8"/>
  <c r="D1837" i="8"/>
  <c r="D1853" i="8"/>
  <c r="D1869" i="8"/>
  <c r="D1885" i="8"/>
  <c r="D1834" i="8"/>
  <c r="D1850" i="8"/>
  <c r="D1866" i="8"/>
  <c r="D1882" i="8"/>
  <c r="D1831" i="8"/>
  <c r="D1847" i="8"/>
  <c r="D1863" i="8"/>
  <c r="D1879" i="8"/>
  <c r="D1844" i="8"/>
  <c r="D1860" i="8"/>
  <c r="D1876" i="8"/>
  <c r="D1841" i="8"/>
  <c r="D1857" i="8"/>
  <c r="D1873" i="8"/>
  <c r="D1889" i="8"/>
  <c r="D1838" i="8"/>
  <c r="D1854" i="8"/>
  <c r="D1870" i="8"/>
  <c r="D1886" i="8"/>
  <c r="D1835" i="8"/>
  <c r="D1851" i="8"/>
  <c r="D1867" i="8"/>
  <c r="D1883" i="8"/>
  <c r="D1832" i="8"/>
  <c r="D1848" i="8"/>
  <c r="D1864" i="8"/>
  <c r="D1880" i="8"/>
  <c r="D1845" i="8"/>
  <c r="D1861" i="8"/>
  <c r="D1877" i="8"/>
  <c r="D1842" i="8"/>
  <c r="D1858" i="8"/>
  <c r="D1874" i="8"/>
  <c r="D1890" i="8"/>
  <c r="D1839" i="8"/>
  <c r="D1855" i="8"/>
  <c r="D1871" i="8"/>
  <c r="D1887" i="8"/>
  <c r="D151" i="8"/>
  <c r="D167" i="8"/>
  <c r="D183" i="8"/>
  <c r="D164" i="8"/>
  <c r="D180" i="8"/>
  <c r="D161" i="8"/>
  <c r="D177" i="8"/>
  <c r="D158" i="8"/>
  <c r="D174" i="8"/>
  <c r="D155" i="8"/>
  <c r="D171" i="8"/>
  <c r="D187" i="8"/>
  <c r="D152" i="8"/>
  <c r="D168" i="8"/>
  <c r="D184" i="8"/>
  <c r="D149" i="8"/>
  <c r="D165" i="8"/>
  <c r="D181" i="8"/>
  <c r="D162" i="8"/>
  <c r="D178" i="8"/>
  <c r="D159" i="8"/>
  <c r="D175" i="8"/>
  <c r="D156" i="8"/>
  <c r="D172" i="8"/>
  <c r="D153" i="8"/>
  <c r="D169" i="8"/>
  <c r="D185" i="8"/>
  <c r="D150" i="8"/>
  <c r="D166" i="8"/>
  <c r="D182" i="8"/>
  <c r="D163" i="8"/>
  <c r="D179" i="8"/>
  <c r="D160" i="8"/>
  <c r="D176" i="8"/>
  <c r="D157" i="8"/>
  <c r="D173" i="8"/>
  <c r="D154" i="8"/>
  <c r="D170" i="8"/>
  <c r="D186" i="8"/>
  <c r="D122" i="8"/>
  <c r="D138" i="8"/>
  <c r="D127" i="8"/>
  <c r="D119" i="8"/>
  <c r="D135" i="8"/>
  <c r="D116" i="8"/>
  <c r="D132" i="8"/>
  <c r="D148" i="8"/>
  <c r="D113" i="8"/>
  <c r="D129" i="8"/>
  <c r="D145" i="8"/>
  <c r="D126" i="8"/>
  <c r="D142" i="8"/>
  <c r="D123" i="8"/>
  <c r="D139" i="8"/>
  <c r="D120" i="8"/>
  <c r="D136" i="8"/>
  <c r="D117" i="8"/>
  <c r="D133" i="8"/>
  <c r="D114" i="8"/>
  <c r="D130" i="8"/>
  <c r="D146" i="8"/>
  <c r="D124" i="8"/>
  <c r="D140" i="8"/>
  <c r="D121" i="8"/>
  <c r="D137" i="8"/>
  <c r="D143" i="8"/>
  <c r="D118" i="8"/>
  <c r="D134" i="8"/>
  <c r="D147" i="8"/>
  <c r="D115" i="8"/>
  <c r="D131" i="8"/>
  <c r="D128" i="8"/>
  <c r="D144" i="8"/>
  <c r="D125" i="8"/>
  <c r="D141" i="8"/>
  <c r="D2779" i="8"/>
  <c r="D2795" i="8"/>
  <c r="D2792" i="8"/>
  <c r="D2789" i="8"/>
  <c r="D2805" i="8"/>
  <c r="D2786" i="8"/>
  <c r="D2802" i="8"/>
  <c r="D2783" i="8"/>
  <c r="D2799" i="8"/>
  <c r="D2780" i="8"/>
  <c r="D2796" i="8"/>
  <c r="D2793" i="8"/>
  <c r="D2790" i="8"/>
  <c r="D2806" i="8"/>
  <c r="D2787" i="8"/>
  <c r="D2803" i="8"/>
  <c r="D2781" i="8"/>
  <c r="D2797" i="8"/>
  <c r="D2794" i="8"/>
  <c r="D2791" i="8"/>
  <c r="D2807" i="8"/>
  <c r="D2788" i="8"/>
  <c r="D2804" i="8"/>
  <c r="D2785" i="8"/>
  <c r="D2801" i="8"/>
  <c r="D2782" i="8"/>
  <c r="D2798" i="8"/>
  <c r="D2800" i="8"/>
  <c r="D2784" i="8"/>
  <c r="C1801" i="8"/>
  <c r="C1817" i="8"/>
  <c r="C1798" i="8"/>
  <c r="C1814" i="8"/>
  <c r="C1811" i="8"/>
  <c r="C1827" i="8"/>
  <c r="C1808" i="8"/>
  <c r="C1824" i="8"/>
  <c r="C1805" i="8"/>
  <c r="C1821" i="8"/>
  <c r="C1802" i="8"/>
  <c r="C1818" i="8"/>
  <c r="C1799" i="8"/>
  <c r="C1815" i="8"/>
  <c r="C1812" i="8"/>
  <c r="C1828" i="8"/>
  <c r="C1809" i="8"/>
  <c r="C1825" i="8"/>
  <c r="C1806" i="8"/>
  <c r="C1822" i="8"/>
  <c r="C1803" i="8"/>
  <c r="C1819" i="8"/>
  <c r="C1800" i="8"/>
  <c r="C1816" i="8"/>
  <c r="C1797" i="8"/>
  <c r="C1813" i="8"/>
  <c r="C1829" i="8"/>
  <c r="C1810" i="8"/>
  <c r="C1826" i="8"/>
  <c r="C1807" i="8"/>
  <c r="C1823" i="8"/>
  <c r="C1804" i="8"/>
  <c r="C1820" i="8"/>
  <c r="D1118" i="8"/>
  <c r="D1134" i="8"/>
  <c r="D1150" i="8"/>
  <c r="D1166" i="8"/>
  <c r="D1115" i="8"/>
  <c r="D1131" i="8"/>
  <c r="D1147" i="8"/>
  <c r="D1163" i="8"/>
  <c r="D1128" i="8"/>
  <c r="D1144" i="8"/>
  <c r="D1160" i="8"/>
  <c r="D1176" i="8"/>
  <c r="D1125" i="8"/>
  <c r="D1141" i="8"/>
  <c r="D1157" i="8"/>
  <c r="D1173" i="8"/>
  <c r="D1122" i="8"/>
  <c r="D1138" i="8"/>
  <c r="D1154" i="8"/>
  <c r="D1170" i="8"/>
  <c r="D1119" i="8"/>
  <c r="D1135" i="8"/>
  <c r="D1151" i="8"/>
  <c r="D1167" i="8"/>
  <c r="D1116" i="8"/>
  <c r="D1132" i="8"/>
  <c r="D1148" i="8"/>
  <c r="D1164" i="8"/>
  <c r="D1129" i="8"/>
  <c r="D1145" i="8"/>
  <c r="D1161" i="8"/>
  <c r="D1177" i="8"/>
  <c r="D1126" i="8"/>
  <c r="D1142" i="8"/>
  <c r="D1158" i="8"/>
  <c r="D1174" i="8"/>
  <c r="D1123" i="8"/>
  <c r="D1139" i="8"/>
  <c r="D1155" i="8"/>
  <c r="D1171" i="8"/>
  <c r="D1120" i="8"/>
  <c r="D1136" i="8"/>
  <c r="D1152" i="8"/>
  <c r="D1168" i="8"/>
  <c r="D1117" i="8"/>
  <c r="D1133" i="8"/>
  <c r="D1149" i="8"/>
  <c r="D1165" i="8"/>
  <c r="D1130" i="8"/>
  <c r="D1146" i="8"/>
  <c r="D1162" i="8"/>
  <c r="D1178" i="8"/>
  <c r="D1127" i="8"/>
  <c r="D1143" i="8"/>
  <c r="D1159" i="8"/>
  <c r="D1175" i="8"/>
  <c r="D1124" i="8"/>
  <c r="D1140" i="8"/>
  <c r="D1156" i="8"/>
  <c r="D1172" i="8"/>
  <c r="D1121" i="8"/>
  <c r="D1137" i="8"/>
  <c r="D1153" i="8"/>
  <c r="D1169" i="8"/>
  <c r="D1756" i="8"/>
  <c r="D1753" i="8"/>
  <c r="D1750" i="8"/>
  <c r="D1763" i="8"/>
  <c r="D1760" i="8"/>
  <c r="D1757" i="8"/>
  <c r="D1754" i="8"/>
  <c r="D1751" i="8"/>
  <c r="D1764" i="8"/>
  <c r="D1761" i="8"/>
  <c r="D1758" i="8"/>
  <c r="D1755" i="8"/>
  <c r="D1752" i="8"/>
  <c r="D1749" i="8"/>
  <c r="D1765" i="8"/>
  <c r="D1762" i="8"/>
  <c r="D1759" i="8"/>
  <c r="C7" i="8"/>
  <c r="C23" i="8"/>
  <c r="C39" i="8"/>
  <c r="C55" i="8"/>
  <c r="C4" i="8"/>
  <c r="C20" i="8"/>
  <c r="C36" i="8"/>
  <c r="C52" i="8"/>
  <c r="C68" i="8"/>
  <c r="C17" i="8"/>
  <c r="C33" i="8"/>
  <c r="C49" i="8"/>
  <c r="C65" i="8"/>
  <c r="C14" i="8"/>
  <c r="C30" i="8"/>
  <c r="C46" i="8"/>
  <c r="C62" i="8"/>
  <c r="C11" i="8"/>
  <c r="C27" i="8"/>
  <c r="C43" i="8"/>
  <c r="C59" i="8"/>
  <c r="C8" i="8"/>
  <c r="C24" i="8"/>
  <c r="C40" i="8"/>
  <c r="C56" i="8"/>
  <c r="C5" i="8"/>
  <c r="C21" i="8"/>
  <c r="C37" i="8"/>
  <c r="C53" i="8"/>
  <c r="C18" i="8"/>
  <c r="C34" i="8"/>
  <c r="C50" i="8"/>
  <c r="C66" i="8"/>
  <c r="C15" i="8"/>
  <c r="C31" i="8"/>
  <c r="C47" i="8"/>
  <c r="C63" i="8"/>
  <c r="C12" i="8"/>
  <c r="C28" i="8"/>
  <c r="C44" i="8"/>
  <c r="C60" i="8"/>
  <c r="C9" i="8"/>
  <c r="C25" i="8"/>
  <c r="C41" i="8"/>
  <c r="C57" i="8"/>
  <c r="C2" i="8"/>
  <c r="C6" i="8"/>
  <c r="C22" i="8"/>
  <c r="C38" i="8"/>
  <c r="C54" i="8"/>
  <c r="C3" i="8"/>
  <c r="C19" i="8"/>
  <c r="C35" i="8"/>
  <c r="C51" i="8"/>
  <c r="C67" i="8"/>
  <c r="C16" i="8"/>
  <c r="C32" i="8"/>
  <c r="C48" i="8"/>
  <c r="C64" i="8"/>
  <c r="C13" i="8"/>
  <c r="C29" i="8"/>
  <c r="C45" i="8"/>
  <c r="C61" i="8"/>
  <c r="C10" i="8"/>
  <c r="C26" i="8"/>
  <c r="C42" i="8"/>
  <c r="C58" i="8"/>
  <c r="D1664" i="8"/>
  <c r="D1680" i="8"/>
  <c r="D1696" i="8"/>
  <c r="D1712" i="8"/>
  <c r="D1728" i="8"/>
  <c r="D1661" i="8"/>
  <c r="D1677" i="8"/>
  <c r="D1693" i="8"/>
  <c r="D1709" i="8"/>
  <c r="D1725" i="8"/>
  <c r="D1741" i="8"/>
  <c r="D1658" i="8"/>
  <c r="D1674" i="8"/>
  <c r="D1690" i="8"/>
  <c r="D1706" i="8"/>
  <c r="D1671" i="8"/>
  <c r="D1687" i="8"/>
  <c r="D1703" i="8"/>
  <c r="D1719" i="8"/>
  <c r="D1735" i="8"/>
  <c r="D1668" i="8"/>
  <c r="D1684" i="8"/>
  <c r="D1700" i="8"/>
  <c r="D1716" i="8"/>
  <c r="D1732" i="8"/>
  <c r="D1665" i="8"/>
  <c r="D1681" i="8"/>
  <c r="D1697" i="8"/>
  <c r="D1713" i="8"/>
  <c r="D1729" i="8"/>
  <c r="D1662" i="8"/>
  <c r="D1678" i="8"/>
  <c r="D1694" i="8"/>
  <c r="D1710" i="8"/>
  <c r="D1726" i="8"/>
  <c r="D1742" i="8"/>
  <c r="D1659" i="8"/>
  <c r="D1675" i="8"/>
  <c r="D1691" i="8"/>
  <c r="D1707" i="8"/>
  <c r="D1723" i="8"/>
  <c r="D1739" i="8"/>
  <c r="D1656" i="8"/>
  <c r="D1672" i="8"/>
  <c r="D1688" i="8"/>
  <c r="D1704" i="8"/>
  <c r="D1720" i="8"/>
  <c r="D1736" i="8"/>
  <c r="D1669" i="8"/>
  <c r="D1685" i="8"/>
  <c r="D1701" i="8"/>
  <c r="D1717" i="8"/>
  <c r="D1666" i="8"/>
  <c r="D1682" i="8"/>
  <c r="D1698" i="8"/>
  <c r="D1714" i="8"/>
  <c r="D1730" i="8"/>
  <c r="D1663" i="8"/>
  <c r="D1679" i="8"/>
  <c r="D1695" i="8"/>
  <c r="D1711" i="8"/>
  <c r="D1727" i="8"/>
  <c r="D1660" i="8"/>
  <c r="D1676" i="8"/>
  <c r="D1692" i="8"/>
  <c r="D1708" i="8"/>
  <c r="D1724" i="8"/>
  <c r="D1657" i="8"/>
  <c r="D1673" i="8"/>
  <c r="D1689" i="8"/>
  <c r="D1705" i="8"/>
  <c r="D1721" i="8"/>
  <c r="D1737" i="8"/>
  <c r="D1670" i="8"/>
  <c r="D1686" i="8"/>
  <c r="D1702" i="8"/>
  <c r="D1718" i="8"/>
  <c r="D1734" i="8"/>
  <c r="D1667" i="8"/>
  <c r="D1722" i="8"/>
  <c r="D1743" i="8"/>
  <c r="D1747" i="8"/>
  <c r="D1683" i="8"/>
  <c r="D1738" i="8"/>
  <c r="D1744" i="8"/>
  <c r="D1748" i="8"/>
  <c r="D1731" i="8"/>
  <c r="D1699" i="8"/>
  <c r="D1745" i="8"/>
  <c r="D1740" i="8"/>
  <c r="D1733" i="8"/>
  <c r="D1746" i="8"/>
  <c r="D1715" i="8"/>
  <c r="D247" i="8"/>
  <c r="D263" i="8"/>
  <c r="D279" i="8"/>
  <c r="D295" i="8"/>
  <c r="D260" i="8"/>
  <c r="D276" i="8"/>
  <c r="D292" i="8"/>
  <c r="D308" i="8"/>
  <c r="D257" i="8"/>
  <c r="D273" i="8"/>
  <c r="D289" i="8"/>
  <c r="D305" i="8"/>
  <c r="D254" i="8"/>
  <c r="D270" i="8"/>
  <c r="D286" i="8"/>
  <c r="D302" i="8"/>
  <c r="D251" i="8"/>
  <c r="D267" i="8"/>
  <c r="D283" i="8"/>
  <c r="D299" i="8"/>
  <c r="D248" i="8"/>
  <c r="D264" i="8"/>
  <c r="D280" i="8"/>
  <c r="D296" i="8"/>
  <c r="D261" i="8"/>
  <c r="D277" i="8"/>
  <c r="D293" i="8"/>
  <c r="D309" i="8"/>
  <c r="D258" i="8"/>
  <c r="D274" i="8"/>
  <c r="D290" i="8"/>
  <c r="D306" i="8"/>
  <c r="D255" i="8"/>
  <c r="D271" i="8"/>
  <c r="D287" i="8"/>
  <c r="D303" i="8"/>
  <c r="D252" i="8"/>
  <c r="D268" i="8"/>
  <c r="D284" i="8"/>
  <c r="D300" i="8"/>
  <c r="D249" i="8"/>
  <c r="D265" i="8"/>
  <c r="D281" i="8"/>
  <c r="D297" i="8"/>
  <c r="D246" i="8"/>
  <c r="D262" i="8"/>
  <c r="D278" i="8"/>
  <c r="D294" i="8"/>
  <c r="D259" i="8"/>
  <c r="D275" i="8"/>
  <c r="D291" i="8"/>
  <c r="D307" i="8"/>
  <c r="D256" i="8"/>
  <c r="D272" i="8"/>
  <c r="D288" i="8"/>
  <c r="D304" i="8"/>
  <c r="D253" i="8"/>
  <c r="D269" i="8"/>
  <c r="D285" i="8"/>
  <c r="D301" i="8"/>
  <c r="D250" i="8"/>
  <c r="D266" i="8"/>
  <c r="D282" i="8"/>
  <c r="D298" i="8"/>
  <c r="D559" i="8"/>
  <c r="D575" i="8"/>
  <c r="D591" i="8"/>
  <c r="D556" i="8"/>
  <c r="D572" i="8"/>
  <c r="D588" i="8"/>
  <c r="D553" i="8"/>
  <c r="D569" i="8"/>
  <c r="D585" i="8"/>
  <c r="D566" i="8"/>
  <c r="D582" i="8"/>
  <c r="D563" i="8"/>
  <c r="D579" i="8"/>
  <c r="D595" i="8"/>
  <c r="D560" i="8"/>
  <c r="D576" i="8"/>
  <c r="D592" i="8"/>
  <c r="D557" i="8"/>
  <c r="D573" i="8"/>
  <c r="D589" i="8"/>
  <c r="D554" i="8"/>
  <c r="D570" i="8"/>
  <c r="D586" i="8"/>
  <c r="D567" i="8"/>
  <c r="D583" i="8"/>
  <c r="D564" i="8"/>
  <c r="D580" i="8"/>
  <c r="D596" i="8"/>
  <c r="D561" i="8"/>
  <c r="D577" i="8"/>
  <c r="D593" i="8"/>
  <c r="D558" i="8"/>
  <c r="D574" i="8"/>
  <c r="D590" i="8"/>
  <c r="D555" i="8"/>
  <c r="D571" i="8"/>
  <c r="D587" i="8"/>
  <c r="D568" i="8"/>
  <c r="D584" i="8"/>
  <c r="D565" i="8"/>
  <c r="D581" i="8"/>
  <c r="D562" i="8"/>
  <c r="D578" i="8"/>
  <c r="D594" i="8"/>
  <c r="D74" i="8"/>
  <c r="D90" i="8"/>
  <c r="D71" i="8"/>
  <c r="D87" i="8"/>
  <c r="D84" i="8"/>
  <c r="D81" i="8"/>
  <c r="D97" i="8"/>
  <c r="D78" i="8"/>
  <c r="D94" i="8"/>
  <c r="D75" i="8"/>
  <c r="D91" i="8"/>
  <c r="D72" i="8"/>
  <c r="D88" i="8"/>
  <c r="D69" i="8"/>
  <c r="D85" i="8"/>
  <c r="D82" i="8"/>
  <c r="D79" i="8"/>
  <c r="D95" i="8"/>
  <c r="D76" i="8"/>
  <c r="D92" i="8"/>
  <c r="D73" i="8"/>
  <c r="D89" i="8"/>
  <c r="D70" i="8"/>
  <c r="D86" i="8"/>
  <c r="D83" i="8"/>
  <c r="D80" i="8"/>
  <c r="D96" i="8"/>
  <c r="D77" i="8"/>
  <c r="D93" i="8"/>
  <c r="D1788" i="8"/>
  <c r="D1785" i="8"/>
  <c r="D1782" i="8"/>
  <c r="D1779" i="8"/>
  <c r="D1795" i="8"/>
  <c r="D1776" i="8"/>
  <c r="D1792" i="8"/>
  <c r="D1789" i="8"/>
  <c r="D1786" i="8"/>
  <c r="D1783" i="8"/>
  <c r="D1780" i="8"/>
  <c r="D1796" i="8"/>
  <c r="D1777" i="8"/>
  <c r="D1793" i="8"/>
  <c r="D1790" i="8"/>
  <c r="D1787" i="8"/>
  <c r="D1784" i="8"/>
  <c r="D1781" i="8"/>
  <c r="D1778" i="8"/>
  <c r="D1794" i="8"/>
  <c r="D1791" i="8"/>
  <c r="D2831" i="8"/>
  <c r="D2847" i="8"/>
  <c r="D2863" i="8"/>
  <c r="D2879" i="8"/>
  <c r="D2895" i="8"/>
  <c r="D2911" i="8"/>
  <c r="D2927" i="8"/>
  <c r="D2943" i="8"/>
  <c r="D2828" i="8"/>
  <c r="D2844" i="8"/>
  <c r="D2860" i="8"/>
  <c r="D2876" i="8"/>
  <c r="D2892" i="8"/>
  <c r="D2908" i="8"/>
  <c r="D2924" i="8"/>
  <c r="D2940" i="8"/>
  <c r="D2825" i="8"/>
  <c r="D2841" i="8"/>
  <c r="D2857" i="8"/>
  <c r="D2873" i="8"/>
  <c r="D2889" i="8"/>
  <c r="D2905" i="8"/>
  <c r="D2921" i="8"/>
  <c r="D2937" i="8"/>
  <c r="D2953" i="8"/>
  <c r="D2822" i="8"/>
  <c r="D2838" i="8"/>
  <c r="D2854" i="8"/>
  <c r="D2870" i="8"/>
  <c r="D2886" i="8"/>
  <c r="D2902" i="8"/>
  <c r="D2918" i="8"/>
  <c r="D2934" i="8"/>
  <c r="D2950" i="8"/>
  <c r="D2835" i="8"/>
  <c r="D2851" i="8"/>
  <c r="D2867" i="8"/>
  <c r="D2883" i="8"/>
  <c r="D2899" i="8"/>
  <c r="D2915" i="8"/>
  <c r="D2931" i="8"/>
  <c r="D2947" i="8"/>
  <c r="D2832" i="8"/>
  <c r="D2848" i="8"/>
  <c r="D2864" i="8"/>
  <c r="D2880" i="8"/>
  <c r="D2896" i="8"/>
  <c r="D2912" i="8"/>
  <c r="D2928" i="8"/>
  <c r="D2944" i="8"/>
  <c r="D2829" i="8"/>
  <c r="D2845" i="8"/>
  <c r="D2861" i="8"/>
  <c r="D2877" i="8"/>
  <c r="D2893" i="8"/>
  <c r="D2909" i="8"/>
  <c r="D2925" i="8"/>
  <c r="D2941" i="8"/>
  <c r="D2826" i="8"/>
  <c r="D2842" i="8"/>
  <c r="D2858" i="8"/>
  <c r="D2874" i="8"/>
  <c r="D2890" i="8"/>
  <c r="D2906" i="8"/>
  <c r="D2922" i="8"/>
  <c r="D2938" i="8"/>
  <c r="D2954" i="8"/>
  <c r="D2823" i="8"/>
  <c r="D2839" i="8"/>
  <c r="D2855" i="8"/>
  <c r="D2871" i="8"/>
  <c r="D2887" i="8"/>
  <c r="D2903" i="8"/>
  <c r="D2919" i="8"/>
  <c r="D2935" i="8"/>
  <c r="D2951" i="8"/>
  <c r="D2836" i="8"/>
  <c r="D2852" i="8"/>
  <c r="D2868" i="8"/>
  <c r="D2884" i="8"/>
  <c r="D2900" i="8"/>
  <c r="D2916" i="8"/>
  <c r="D2932" i="8"/>
  <c r="D2948" i="8"/>
  <c r="D2833" i="8"/>
  <c r="D2849" i="8"/>
  <c r="D2865" i="8"/>
  <c r="D2881" i="8"/>
  <c r="D2897" i="8"/>
  <c r="D2913" i="8"/>
  <c r="D2929" i="8"/>
  <c r="D2945" i="8"/>
  <c r="D2830" i="8"/>
  <c r="D2846" i="8"/>
  <c r="D2862" i="8"/>
  <c r="D2878" i="8"/>
  <c r="D2894" i="8"/>
  <c r="D2910" i="8"/>
  <c r="D2926" i="8"/>
  <c r="D2942" i="8"/>
  <c r="D2827" i="8"/>
  <c r="D2843" i="8"/>
  <c r="D2859" i="8"/>
  <c r="D2875" i="8"/>
  <c r="D2891" i="8"/>
  <c r="D2907" i="8"/>
  <c r="D2923" i="8"/>
  <c r="D2939" i="8"/>
  <c r="D2955" i="8"/>
  <c r="D2824" i="8"/>
  <c r="D2840" i="8"/>
  <c r="D2856" i="8"/>
  <c r="D2872" i="8"/>
  <c r="D2888" i="8"/>
  <c r="D2904" i="8"/>
  <c r="D2920" i="8"/>
  <c r="D2936" i="8"/>
  <c r="D2952" i="8"/>
  <c r="D2837" i="8"/>
  <c r="D2853" i="8"/>
  <c r="D2869" i="8"/>
  <c r="D2885" i="8"/>
  <c r="D2901" i="8"/>
  <c r="D2917" i="8"/>
  <c r="D2933" i="8"/>
  <c r="D2949" i="8"/>
  <c r="D2834" i="8"/>
  <c r="D2850" i="8"/>
  <c r="D2866" i="8"/>
  <c r="D2882" i="8"/>
  <c r="D2898" i="8"/>
  <c r="D2914" i="8"/>
  <c r="D2930" i="8"/>
  <c r="D2946" i="8"/>
  <c r="C2330" i="8"/>
  <c r="C2346" i="8"/>
  <c r="C2362" i="8"/>
  <c r="C2327" i="8"/>
  <c r="C2343" i="8"/>
  <c r="C2359" i="8"/>
  <c r="C2324" i="8"/>
  <c r="C2340" i="8"/>
  <c r="C2356" i="8"/>
  <c r="C2321" i="8"/>
  <c r="C2337" i="8"/>
  <c r="C2353" i="8"/>
  <c r="C2318" i="8"/>
  <c r="C2334" i="8"/>
  <c r="C2350" i="8"/>
  <c r="C2331" i="8"/>
  <c r="C2347" i="8"/>
  <c r="C2363" i="8"/>
  <c r="C2328" i="8"/>
  <c r="C2344" i="8"/>
  <c r="C2360" i="8"/>
  <c r="C2325" i="8"/>
  <c r="C2341" i="8"/>
  <c r="C2357" i="8"/>
  <c r="C2322" i="8"/>
  <c r="C2338" i="8"/>
  <c r="C2354" i="8"/>
  <c r="C2319" i="8"/>
  <c r="C2335" i="8"/>
  <c r="C2351" i="8"/>
  <c r="C2332" i="8"/>
  <c r="C2348" i="8"/>
  <c r="C2329" i="8"/>
  <c r="C2345" i="8"/>
  <c r="C2361" i="8"/>
  <c r="C2326" i="8"/>
  <c r="C2342" i="8"/>
  <c r="C2358" i="8"/>
  <c r="C2323" i="8"/>
  <c r="C2339" i="8"/>
  <c r="C2355" i="8"/>
  <c r="C2320" i="8"/>
  <c r="C2336" i="8"/>
  <c r="C2352" i="8"/>
  <c r="C2333" i="8"/>
  <c r="C2349" i="8"/>
  <c r="D2045" i="8"/>
  <c r="D2061" i="8"/>
  <c r="D2077" i="8"/>
  <c r="D2093" i="8"/>
  <c r="D2109" i="8"/>
  <c r="D2125" i="8"/>
  <c r="D2058" i="8"/>
  <c r="D2074" i="8"/>
  <c r="D2090" i="8"/>
  <c r="D2106" i="8"/>
  <c r="D2122" i="8"/>
  <c r="D2055" i="8"/>
  <c r="D2071" i="8"/>
  <c r="D2087" i="8"/>
  <c r="D2103" i="8"/>
  <c r="D2119" i="8"/>
  <c r="D2052" i="8"/>
  <c r="D2068" i="8"/>
  <c r="D2084" i="8"/>
  <c r="D2100" i="8"/>
  <c r="D2116" i="8"/>
  <c r="D2132" i="8"/>
  <c r="D2049" i="8"/>
  <c r="D2065" i="8"/>
  <c r="D2081" i="8"/>
  <c r="D2097" i="8"/>
  <c r="D2113" i="8"/>
  <c r="D2129" i="8"/>
  <c r="D2046" i="8"/>
  <c r="D2062" i="8"/>
  <c r="D2078" i="8"/>
  <c r="D2094" i="8"/>
  <c r="D2110" i="8"/>
  <c r="D2126" i="8"/>
  <c r="D2059" i="8"/>
  <c r="D2075" i="8"/>
  <c r="D2091" i="8"/>
  <c r="D2107" i="8"/>
  <c r="D2123" i="8"/>
  <c r="D2056" i="8"/>
  <c r="D2072" i="8"/>
  <c r="D2088" i="8"/>
  <c r="D2104" i="8"/>
  <c r="D2120" i="8"/>
  <c r="D2053" i="8"/>
  <c r="D2069" i="8"/>
  <c r="D2085" i="8"/>
  <c r="D2101" i="8"/>
  <c r="D2117" i="8"/>
  <c r="D2050" i="8"/>
  <c r="D2066" i="8"/>
  <c r="D2082" i="8"/>
  <c r="D2098" i="8"/>
  <c r="D2114" i="8"/>
  <c r="D2130" i="8"/>
  <c r="D2047" i="8"/>
  <c r="D2063" i="8"/>
  <c r="D2079" i="8"/>
  <c r="D2095" i="8"/>
  <c r="D2111" i="8"/>
  <c r="D2127" i="8"/>
  <c r="D2060" i="8"/>
  <c r="D2076" i="8"/>
  <c r="D2092" i="8"/>
  <c r="D2108" i="8"/>
  <c r="D2124" i="8"/>
  <c r="D2057" i="8"/>
  <c r="D2073" i="8"/>
  <c r="D2089" i="8"/>
  <c r="D2105" i="8"/>
  <c r="D2121" i="8"/>
  <c r="D2054" i="8"/>
  <c r="D2070" i="8"/>
  <c r="D2086" i="8"/>
  <c r="D2102" i="8"/>
  <c r="D2118" i="8"/>
  <c r="D2051" i="8"/>
  <c r="D2067" i="8"/>
  <c r="D2083" i="8"/>
  <c r="D2099" i="8"/>
  <c r="D2115" i="8"/>
  <c r="D2131" i="8"/>
  <c r="D2048" i="8"/>
  <c r="D2064" i="8"/>
  <c r="D2080" i="8"/>
  <c r="D2096" i="8"/>
  <c r="D2112" i="8"/>
  <c r="D2128" i="8"/>
  <c r="C1403" i="8"/>
  <c r="C1419" i="8"/>
  <c r="C1435" i="8"/>
  <c r="C1451" i="8"/>
  <c r="C1467" i="8"/>
  <c r="C1416" i="8"/>
  <c r="C1432" i="8"/>
  <c r="C1448" i="8"/>
  <c r="C1413" i="8"/>
  <c r="C1429" i="8"/>
  <c r="C1445" i="8"/>
  <c r="C1461" i="8"/>
  <c r="C1410" i="8"/>
  <c r="C1426" i="8"/>
  <c r="C1442" i="8"/>
  <c r="C1458" i="8"/>
  <c r="C1474" i="8"/>
  <c r="C1407" i="8"/>
  <c r="C1423" i="8"/>
  <c r="C1439" i="8"/>
  <c r="C1455" i="8"/>
  <c r="C1404" i="8"/>
  <c r="C1420" i="8"/>
  <c r="C1436" i="8"/>
  <c r="C1452" i="8"/>
  <c r="C1468" i="8"/>
  <c r="C1417" i="8"/>
  <c r="C1433" i="8"/>
  <c r="C1449" i="8"/>
  <c r="C1465" i="8"/>
  <c r="C1414" i="8"/>
  <c r="C1430" i="8"/>
  <c r="C1446" i="8"/>
  <c r="C1462" i="8"/>
  <c r="C1478" i="8"/>
  <c r="C1411" i="8"/>
  <c r="C1427" i="8"/>
  <c r="C1443" i="8"/>
  <c r="C1459" i="8"/>
  <c r="C1475" i="8"/>
  <c r="C1408" i="8"/>
  <c r="C1424" i="8"/>
  <c r="C1440" i="8"/>
  <c r="C1456" i="8"/>
  <c r="C1472" i="8"/>
  <c r="C1405" i="8"/>
  <c r="C1421" i="8"/>
  <c r="C1437" i="8"/>
  <c r="C1453" i="8"/>
  <c r="C1469" i="8"/>
  <c r="C1418" i="8"/>
  <c r="C1434" i="8"/>
  <c r="C1450" i="8"/>
  <c r="C1466" i="8"/>
  <c r="C1415" i="8"/>
  <c r="C1431" i="8"/>
  <c r="C1447" i="8"/>
  <c r="C1463" i="8"/>
  <c r="C1479" i="8"/>
  <c r="C1412" i="8"/>
  <c r="C1428" i="8"/>
  <c r="C1444" i="8"/>
  <c r="C1460" i="8"/>
  <c r="C1476" i="8"/>
  <c r="C1409" i="8"/>
  <c r="C1425" i="8"/>
  <c r="C1441" i="8"/>
  <c r="C1457" i="8"/>
  <c r="C1473" i="8"/>
  <c r="C1406" i="8"/>
  <c r="C1422" i="8"/>
  <c r="C1438" i="8"/>
  <c r="C1454" i="8"/>
  <c r="C1470" i="8"/>
  <c r="C1464" i="8"/>
  <c r="C1477" i="8"/>
  <c r="C1482" i="8"/>
  <c r="C1471" i="8"/>
  <c r="C1483" i="8"/>
  <c r="C1480" i="8"/>
  <c r="C1484" i="8"/>
  <c r="C1481" i="8"/>
  <c r="C2314" i="8"/>
  <c r="C2315" i="8"/>
  <c r="C2316" i="8"/>
  <c r="C2313" i="8"/>
  <c r="C2317" i="8"/>
  <c r="H13" i="6"/>
  <c r="C13" i="7" s="1"/>
  <c r="J13" i="7" s="1"/>
  <c r="H40" i="6"/>
  <c r="C40" i="7" s="1"/>
  <c r="J40" i="7" s="1"/>
  <c r="H50" i="6"/>
  <c r="C50" i="7" s="1"/>
  <c r="J50" i="7" s="1"/>
  <c r="H45" i="6"/>
  <c r="C45" i="7" s="1"/>
  <c r="J45" i="7" s="1"/>
  <c r="H24" i="6"/>
  <c r="C24" i="7" s="1"/>
  <c r="J24" i="7" s="1"/>
  <c r="H51" i="6"/>
  <c r="C51" i="7" s="1"/>
  <c r="J51" i="7" s="1"/>
  <c r="H29" i="6"/>
  <c r="C29" i="7" s="1"/>
  <c r="J29" i="7" s="1"/>
  <c r="H27" i="6"/>
  <c r="C27" i="7" s="1"/>
  <c r="J27" i="7" s="1"/>
  <c r="H12" i="6"/>
  <c r="C12" i="7" s="1"/>
  <c r="J12" i="7" s="1"/>
  <c r="H34" i="6"/>
  <c r="C34" i="7" s="1"/>
  <c r="J34" i="7" s="1"/>
  <c r="H7" i="6"/>
  <c r="C7" i="7" s="1"/>
  <c r="J7" i="7" s="1"/>
  <c r="H36" i="6"/>
  <c r="C36" i="7" s="1"/>
  <c r="J36" i="7" s="1"/>
  <c r="H22" i="6"/>
  <c r="C22" i="7" s="1"/>
  <c r="J22" i="7" s="1"/>
  <c r="H5" i="6"/>
  <c r="C5" i="7" s="1"/>
  <c r="J5" i="7" s="1"/>
  <c r="H14" i="6"/>
  <c r="C14" i="7" s="1"/>
  <c r="J14" i="7" s="1"/>
  <c r="H46" i="6"/>
  <c r="C46" i="7" s="1"/>
  <c r="J46" i="7" s="1"/>
  <c r="H3" i="6"/>
  <c r="C3" i="7" s="1"/>
  <c r="J3" i="7" s="1"/>
  <c r="H44" i="6"/>
  <c r="C44" i="7" s="1"/>
  <c r="J44" i="7" s="1"/>
  <c r="H32" i="6"/>
  <c r="C32" i="7" s="1"/>
  <c r="J32" i="7" s="1"/>
  <c r="H9" i="6"/>
  <c r="C9" i="7" s="1"/>
  <c r="J9" i="7" s="1"/>
  <c r="H16" i="6"/>
  <c r="C16" i="7" s="1"/>
  <c r="J16" i="7" s="1"/>
  <c r="H20" i="6"/>
  <c r="C20" i="7" s="1"/>
  <c r="J20" i="7" s="1"/>
  <c r="H38" i="6"/>
  <c r="C38" i="7" s="1"/>
  <c r="J38" i="7" s="1"/>
  <c r="H48" i="6"/>
  <c r="C48" i="7" s="1"/>
  <c r="J48" i="7" s="1"/>
  <c r="H21" i="6"/>
  <c r="C21" i="7" s="1"/>
  <c r="J21" i="7" s="1"/>
  <c r="H30" i="6"/>
  <c r="C30" i="7" s="1"/>
  <c r="J30" i="7" s="1"/>
  <c r="H19" i="6"/>
  <c r="C19" i="7" s="1"/>
  <c r="J19" i="7" s="1"/>
  <c r="H23" i="6"/>
  <c r="C23" i="7" s="1"/>
  <c r="J23" i="7" s="1"/>
  <c r="H47" i="6"/>
  <c r="C47" i="7" s="1"/>
  <c r="J47" i="7" s="1"/>
  <c r="I53" i="6"/>
  <c r="D2" i="7"/>
  <c r="K2" i="7" s="1"/>
  <c r="H37" i="6"/>
  <c r="C37" i="7" s="1"/>
  <c r="J37" i="7" s="1"/>
  <c r="F3145" i="8" l="1"/>
  <c r="G3145" i="8"/>
  <c r="E3145" i="8"/>
  <c r="C2058" i="8"/>
  <c r="C2074" i="8"/>
  <c r="C2090" i="8"/>
  <c r="C2106" i="8"/>
  <c r="C2122" i="8"/>
  <c r="C2055" i="8"/>
  <c r="C2071" i="8"/>
  <c r="C2087" i="8"/>
  <c r="C2103" i="8"/>
  <c r="C2119" i="8"/>
  <c r="C2052" i="8"/>
  <c r="C2068" i="8"/>
  <c r="C2084" i="8"/>
  <c r="C2100" i="8"/>
  <c r="C2116" i="8"/>
  <c r="C2132" i="8"/>
  <c r="C2049" i="8"/>
  <c r="C2065" i="8"/>
  <c r="C2081" i="8"/>
  <c r="C2097" i="8"/>
  <c r="C2113" i="8"/>
  <c r="C2129" i="8"/>
  <c r="C2046" i="8"/>
  <c r="C2062" i="8"/>
  <c r="C2078" i="8"/>
  <c r="C2094" i="8"/>
  <c r="C2110" i="8"/>
  <c r="C2126" i="8"/>
  <c r="C2059" i="8"/>
  <c r="C2075" i="8"/>
  <c r="C2091" i="8"/>
  <c r="C2107" i="8"/>
  <c r="C2123" i="8"/>
  <c r="C2056" i="8"/>
  <c r="C2072" i="8"/>
  <c r="C2088" i="8"/>
  <c r="C2104" i="8"/>
  <c r="C2120" i="8"/>
  <c r="C2053" i="8"/>
  <c r="C2069" i="8"/>
  <c r="C2085" i="8"/>
  <c r="C2101" i="8"/>
  <c r="C2117" i="8"/>
  <c r="C2050" i="8"/>
  <c r="C2066" i="8"/>
  <c r="C2082" i="8"/>
  <c r="C2098" i="8"/>
  <c r="C2114" i="8"/>
  <c r="C2130" i="8"/>
  <c r="C2047" i="8"/>
  <c r="C2063" i="8"/>
  <c r="C2079" i="8"/>
  <c r="C2095" i="8"/>
  <c r="C2111" i="8"/>
  <c r="C2127" i="8"/>
  <c r="C2060" i="8"/>
  <c r="C2076" i="8"/>
  <c r="C2092" i="8"/>
  <c r="C2108" i="8"/>
  <c r="C2124" i="8"/>
  <c r="C2057" i="8"/>
  <c r="C2073" i="8"/>
  <c r="C2089" i="8"/>
  <c r="C2105" i="8"/>
  <c r="C2121" i="8"/>
  <c r="C2054" i="8"/>
  <c r="C2070" i="8"/>
  <c r="C2086" i="8"/>
  <c r="C2102" i="8"/>
  <c r="C2118" i="8"/>
  <c r="C2051" i="8"/>
  <c r="C2067" i="8"/>
  <c r="C2083" i="8"/>
  <c r="C2099" i="8"/>
  <c r="C2115" i="8"/>
  <c r="C2131" i="8"/>
  <c r="C2048" i="8"/>
  <c r="C2064" i="8"/>
  <c r="C2080" i="8"/>
  <c r="C2096" i="8"/>
  <c r="C2112" i="8"/>
  <c r="C2128" i="8"/>
  <c r="C2045" i="8"/>
  <c r="C2061" i="8"/>
  <c r="C2077" i="8"/>
  <c r="C2093" i="8"/>
  <c r="C2109" i="8"/>
  <c r="C2125" i="8"/>
  <c r="D53" i="7"/>
  <c r="D10" i="8"/>
  <c r="D26" i="8"/>
  <c r="D42" i="8"/>
  <c r="D58" i="8"/>
  <c r="D7" i="8"/>
  <c r="D23" i="8"/>
  <c r="D39" i="8"/>
  <c r="D55" i="8"/>
  <c r="D2" i="8"/>
  <c r="D4" i="8"/>
  <c r="D20" i="8"/>
  <c r="D36" i="8"/>
  <c r="D52" i="8"/>
  <c r="D68" i="8"/>
  <c r="D17" i="8"/>
  <c r="D33" i="8"/>
  <c r="D49" i="8"/>
  <c r="D65" i="8"/>
  <c r="D14" i="8"/>
  <c r="D30" i="8"/>
  <c r="D46" i="8"/>
  <c r="D62" i="8"/>
  <c r="D11" i="8"/>
  <c r="D27" i="8"/>
  <c r="D43" i="8"/>
  <c r="D59" i="8"/>
  <c r="D8" i="8"/>
  <c r="D24" i="8"/>
  <c r="D40" i="8"/>
  <c r="D56" i="8"/>
  <c r="D5" i="8"/>
  <c r="D21" i="8"/>
  <c r="D37" i="8"/>
  <c r="D53" i="8"/>
  <c r="D18" i="8"/>
  <c r="D34" i="8"/>
  <c r="D50" i="8"/>
  <c r="D66" i="8"/>
  <c r="D15" i="8"/>
  <c r="D31" i="8"/>
  <c r="D47" i="8"/>
  <c r="D63" i="8"/>
  <c r="D12" i="8"/>
  <c r="D28" i="8"/>
  <c r="D44" i="8"/>
  <c r="D60" i="8"/>
  <c r="D9" i="8"/>
  <c r="D25" i="8"/>
  <c r="D41" i="8"/>
  <c r="D57" i="8"/>
  <c r="D6" i="8"/>
  <c r="D22" i="8"/>
  <c r="D38" i="8"/>
  <c r="D54" i="8"/>
  <c r="D3" i="8"/>
  <c r="D19" i="8"/>
  <c r="D35" i="8"/>
  <c r="D51" i="8"/>
  <c r="D67" i="8"/>
  <c r="D16" i="8"/>
  <c r="D32" i="8"/>
  <c r="D48" i="8"/>
  <c r="D64" i="8"/>
  <c r="D13" i="8"/>
  <c r="D29" i="8"/>
  <c r="D45" i="8"/>
  <c r="D61" i="8"/>
  <c r="C2808" i="8"/>
  <c r="C2809" i="8"/>
  <c r="C2811" i="8"/>
  <c r="C2812" i="8"/>
  <c r="C2819" i="8"/>
  <c r="C2816" i="8"/>
  <c r="C2813" i="8"/>
  <c r="C2820" i="8"/>
  <c r="C2817" i="8"/>
  <c r="C2814" i="8"/>
  <c r="C2810" i="8"/>
  <c r="C2821" i="8"/>
  <c r="C2818" i="8"/>
  <c r="C2815" i="8"/>
  <c r="C1227" i="8"/>
  <c r="C1224" i="8"/>
  <c r="C1221" i="8"/>
  <c r="C1231" i="8"/>
  <c r="C1228" i="8"/>
  <c r="C1225" i="8"/>
  <c r="C1222" i="8"/>
  <c r="C1219" i="8"/>
  <c r="C1232" i="8"/>
  <c r="C1229" i="8"/>
  <c r="C1226" i="8"/>
  <c r="C1223" i="8"/>
  <c r="C1220" i="8"/>
  <c r="C1230" i="8"/>
  <c r="C1003" i="8"/>
  <c r="C1019" i="8"/>
  <c r="C1035" i="8"/>
  <c r="C1051" i="8"/>
  <c r="C1067" i="8"/>
  <c r="C1083" i="8"/>
  <c r="C1099" i="8"/>
  <c r="C1000" i="8"/>
  <c r="C1016" i="8"/>
  <c r="C1032" i="8"/>
  <c r="C1048" i="8"/>
  <c r="C1064" i="8"/>
  <c r="C1080" i="8"/>
  <c r="C1096" i="8"/>
  <c r="C1112" i="8"/>
  <c r="C997" i="8"/>
  <c r="C1013" i="8"/>
  <c r="C1029" i="8"/>
  <c r="C1045" i="8"/>
  <c r="C1061" i="8"/>
  <c r="C1077" i="8"/>
  <c r="C1093" i="8"/>
  <c r="C1109" i="8"/>
  <c r="C1010" i="8"/>
  <c r="C1026" i="8"/>
  <c r="C1042" i="8"/>
  <c r="C1058" i="8"/>
  <c r="C1074" i="8"/>
  <c r="C1090" i="8"/>
  <c r="C1106" i="8"/>
  <c r="C1007" i="8"/>
  <c r="C1023" i="8"/>
  <c r="C1039" i="8"/>
  <c r="C1055" i="8"/>
  <c r="C1071" i="8"/>
  <c r="C1087" i="8"/>
  <c r="C1103" i="8"/>
  <c r="C1004" i="8"/>
  <c r="C1020" i="8"/>
  <c r="C1036" i="8"/>
  <c r="C1052" i="8"/>
  <c r="C1068" i="8"/>
  <c r="C1084" i="8"/>
  <c r="C1100" i="8"/>
  <c r="C1001" i="8"/>
  <c r="C1017" i="8"/>
  <c r="C1033" i="8"/>
  <c r="C1049" i="8"/>
  <c r="C1065" i="8"/>
  <c r="C1081" i="8"/>
  <c r="C1097" i="8"/>
  <c r="C1113" i="8"/>
  <c r="C998" i="8"/>
  <c r="C1014" i="8"/>
  <c r="C1030" i="8"/>
  <c r="C1046" i="8"/>
  <c r="C1062" i="8"/>
  <c r="C1078" i="8"/>
  <c r="C1094" i="8"/>
  <c r="C1110" i="8"/>
  <c r="C995" i="8"/>
  <c r="C1011" i="8"/>
  <c r="C1027" i="8"/>
  <c r="C1043" i="8"/>
  <c r="C1059" i="8"/>
  <c r="C1075" i="8"/>
  <c r="C1091" i="8"/>
  <c r="C1107" i="8"/>
  <c r="C1008" i="8"/>
  <c r="C1024" i="8"/>
  <c r="C1040" i="8"/>
  <c r="C1056" i="8"/>
  <c r="C1072" i="8"/>
  <c r="C1088" i="8"/>
  <c r="C1104" i="8"/>
  <c r="C1005" i="8"/>
  <c r="C1021" i="8"/>
  <c r="C1037" i="8"/>
  <c r="C1053" i="8"/>
  <c r="C1069" i="8"/>
  <c r="C1085" i="8"/>
  <c r="C1101" i="8"/>
  <c r="C1002" i="8"/>
  <c r="C1018" i="8"/>
  <c r="C1034" i="8"/>
  <c r="C1050" i="8"/>
  <c r="C1066" i="8"/>
  <c r="C1082" i="8"/>
  <c r="C1098" i="8"/>
  <c r="C1114" i="8"/>
  <c r="C999" i="8"/>
  <c r="C1015" i="8"/>
  <c r="C1031" i="8"/>
  <c r="C1047" i="8"/>
  <c r="C1063" i="8"/>
  <c r="C1079" i="8"/>
  <c r="C1095" i="8"/>
  <c r="C1111" i="8"/>
  <c r="C996" i="8"/>
  <c r="C1012" i="8"/>
  <c r="C1028" i="8"/>
  <c r="C1044" i="8"/>
  <c r="C1060" i="8"/>
  <c r="C1076" i="8"/>
  <c r="C1092" i="8"/>
  <c r="C1108" i="8"/>
  <c r="C1009" i="8"/>
  <c r="C1025" i="8"/>
  <c r="C1041" i="8"/>
  <c r="C1057" i="8"/>
  <c r="C1073" i="8"/>
  <c r="C1089" i="8"/>
  <c r="C1105" i="8"/>
  <c r="C1006" i="8"/>
  <c r="C1022" i="8"/>
  <c r="C1038" i="8"/>
  <c r="C1054" i="8"/>
  <c r="C1070" i="8"/>
  <c r="C1086" i="8"/>
  <c r="C1102" i="8"/>
  <c r="C1753" i="8"/>
  <c r="C1750" i="8"/>
  <c r="C1763" i="8"/>
  <c r="C1760" i="8"/>
  <c r="C1757" i="8"/>
  <c r="C1754" i="8"/>
  <c r="C1751" i="8"/>
  <c r="C1764" i="8"/>
  <c r="C1761" i="8"/>
  <c r="C1758" i="8"/>
  <c r="C1755" i="8"/>
  <c r="C1752" i="8"/>
  <c r="C1749" i="8"/>
  <c r="C1765" i="8"/>
  <c r="C1762" i="8"/>
  <c r="C1759" i="8"/>
  <c r="C1756" i="8"/>
  <c r="C1179" i="8"/>
  <c r="C1192" i="8"/>
  <c r="C1189" i="8"/>
  <c r="C1186" i="8"/>
  <c r="C1183" i="8"/>
  <c r="C1180" i="8"/>
  <c r="C1193" i="8"/>
  <c r="C1190" i="8"/>
  <c r="C1187" i="8"/>
  <c r="C1184" i="8"/>
  <c r="C1181" i="8"/>
  <c r="C1194" i="8"/>
  <c r="C1191" i="8"/>
  <c r="C1188" i="8"/>
  <c r="C1185" i="8"/>
  <c r="C1182" i="8"/>
  <c r="C2828" i="8"/>
  <c r="C2844" i="8"/>
  <c r="C2860" i="8"/>
  <c r="C2876" i="8"/>
  <c r="C2892" i="8"/>
  <c r="C2908" i="8"/>
  <c r="C2924" i="8"/>
  <c r="C2940" i="8"/>
  <c r="C2825" i="8"/>
  <c r="C2841" i="8"/>
  <c r="C2857" i="8"/>
  <c r="C2873" i="8"/>
  <c r="C2889" i="8"/>
  <c r="C2905" i="8"/>
  <c r="C2921" i="8"/>
  <c r="C2937" i="8"/>
  <c r="C2953" i="8"/>
  <c r="C2822" i="8"/>
  <c r="C2838" i="8"/>
  <c r="C2854" i="8"/>
  <c r="C2870" i="8"/>
  <c r="C2886" i="8"/>
  <c r="C2902" i="8"/>
  <c r="C2918" i="8"/>
  <c r="C2934" i="8"/>
  <c r="C2950" i="8"/>
  <c r="C2835" i="8"/>
  <c r="C2851" i="8"/>
  <c r="C2867" i="8"/>
  <c r="C2883" i="8"/>
  <c r="C2899" i="8"/>
  <c r="C2915" i="8"/>
  <c r="C2931" i="8"/>
  <c r="C2947" i="8"/>
  <c r="C2832" i="8"/>
  <c r="C2848" i="8"/>
  <c r="C2864" i="8"/>
  <c r="C2880" i="8"/>
  <c r="C2896" i="8"/>
  <c r="C2912" i="8"/>
  <c r="C2928" i="8"/>
  <c r="C2944" i="8"/>
  <c r="C2829" i="8"/>
  <c r="C2845" i="8"/>
  <c r="C2861" i="8"/>
  <c r="C2877" i="8"/>
  <c r="C2893" i="8"/>
  <c r="C2909" i="8"/>
  <c r="C2925" i="8"/>
  <c r="C2941" i="8"/>
  <c r="C2826" i="8"/>
  <c r="C2842" i="8"/>
  <c r="C2858" i="8"/>
  <c r="C2874" i="8"/>
  <c r="C2890" i="8"/>
  <c r="C2906" i="8"/>
  <c r="C2922" i="8"/>
  <c r="C2938" i="8"/>
  <c r="C2954" i="8"/>
  <c r="C2823" i="8"/>
  <c r="C2839" i="8"/>
  <c r="C2855" i="8"/>
  <c r="C2871" i="8"/>
  <c r="C2887" i="8"/>
  <c r="C2903" i="8"/>
  <c r="C2919" i="8"/>
  <c r="C2935" i="8"/>
  <c r="C2951" i="8"/>
  <c r="C2836" i="8"/>
  <c r="C2852" i="8"/>
  <c r="C2868" i="8"/>
  <c r="C2884" i="8"/>
  <c r="C2900" i="8"/>
  <c r="C2916" i="8"/>
  <c r="C2932" i="8"/>
  <c r="C2948" i="8"/>
  <c r="C2833" i="8"/>
  <c r="C2849" i="8"/>
  <c r="C2865" i="8"/>
  <c r="C2881" i="8"/>
  <c r="C2897" i="8"/>
  <c r="C2913" i="8"/>
  <c r="C2929" i="8"/>
  <c r="C2945" i="8"/>
  <c r="C2830" i="8"/>
  <c r="C2846" i="8"/>
  <c r="C2862" i="8"/>
  <c r="C2878" i="8"/>
  <c r="C2894" i="8"/>
  <c r="C2910" i="8"/>
  <c r="C2926" i="8"/>
  <c r="C2942" i="8"/>
  <c r="C2827" i="8"/>
  <c r="C2843" i="8"/>
  <c r="C2859" i="8"/>
  <c r="C2875" i="8"/>
  <c r="C2891" i="8"/>
  <c r="C2907" i="8"/>
  <c r="C2923" i="8"/>
  <c r="C2939" i="8"/>
  <c r="C2955" i="8"/>
  <c r="C2824" i="8"/>
  <c r="C2840" i="8"/>
  <c r="C2856" i="8"/>
  <c r="C2872" i="8"/>
  <c r="C2888" i="8"/>
  <c r="C2904" i="8"/>
  <c r="C2920" i="8"/>
  <c r="C2936" i="8"/>
  <c r="C2952" i="8"/>
  <c r="C2837" i="8"/>
  <c r="C2853" i="8"/>
  <c r="C2869" i="8"/>
  <c r="C2885" i="8"/>
  <c r="C2901" i="8"/>
  <c r="C2917" i="8"/>
  <c r="C2933" i="8"/>
  <c r="C2949" i="8"/>
  <c r="C2834" i="8"/>
  <c r="C2850" i="8"/>
  <c r="C2866" i="8"/>
  <c r="C2882" i="8"/>
  <c r="C2898" i="8"/>
  <c r="C2914" i="8"/>
  <c r="C2930" i="8"/>
  <c r="C2946" i="8"/>
  <c r="C2831" i="8"/>
  <c r="C2847" i="8"/>
  <c r="C2863" i="8"/>
  <c r="C2879" i="8"/>
  <c r="C2895" i="8"/>
  <c r="C2911" i="8"/>
  <c r="C2927" i="8"/>
  <c r="C2943" i="8"/>
  <c r="C2138" i="8"/>
  <c r="C2154" i="8"/>
  <c r="C2170" i="8"/>
  <c r="C2186" i="8"/>
  <c r="C2202" i="8"/>
  <c r="C2135" i="8"/>
  <c r="C2151" i="8"/>
  <c r="C2167" i="8"/>
  <c r="C2183" i="8"/>
  <c r="C2199" i="8"/>
  <c r="C2148" i="8"/>
  <c r="C2164" i="8"/>
  <c r="C2180" i="8"/>
  <c r="C2196" i="8"/>
  <c r="C2145" i="8"/>
  <c r="C2161" i="8"/>
  <c r="C2177" i="8"/>
  <c r="C2193" i="8"/>
  <c r="C2209" i="8"/>
  <c r="C2142" i="8"/>
  <c r="C2158" i="8"/>
  <c r="C2174" i="8"/>
  <c r="C2190" i="8"/>
  <c r="C2206" i="8"/>
  <c r="C2139" i="8"/>
  <c r="C2155" i="8"/>
  <c r="C2171" i="8"/>
  <c r="C2187" i="8"/>
  <c r="C2203" i="8"/>
  <c r="C2136" i="8"/>
  <c r="C2152" i="8"/>
  <c r="C2168" i="8"/>
  <c r="C2184" i="8"/>
  <c r="C2200" i="8"/>
  <c r="C2133" i="8"/>
  <c r="C2149" i="8"/>
  <c r="C2165" i="8"/>
  <c r="C2181" i="8"/>
  <c r="C2197" i="8"/>
  <c r="C2146" i="8"/>
  <c r="C2162" i="8"/>
  <c r="C2178" i="8"/>
  <c r="C2194" i="8"/>
  <c r="C2143" i="8"/>
  <c r="C2159" i="8"/>
  <c r="C2175" i="8"/>
  <c r="C2191" i="8"/>
  <c r="C2207" i="8"/>
  <c r="C2140" i="8"/>
  <c r="C2156" i="8"/>
  <c r="C2172" i="8"/>
  <c r="C2188" i="8"/>
  <c r="C2204" i="8"/>
  <c r="C2137" i="8"/>
  <c r="C2153" i="8"/>
  <c r="C2169" i="8"/>
  <c r="C2185" i="8"/>
  <c r="C2201" i="8"/>
  <c r="C2134" i="8"/>
  <c r="C2150" i="8"/>
  <c r="C2166" i="8"/>
  <c r="C2182" i="8"/>
  <c r="C2198" i="8"/>
  <c r="C2147" i="8"/>
  <c r="C2163" i="8"/>
  <c r="C2179" i="8"/>
  <c r="C2195" i="8"/>
  <c r="C2144" i="8"/>
  <c r="C2160" i="8"/>
  <c r="C2176" i="8"/>
  <c r="C2192" i="8"/>
  <c r="C2208" i="8"/>
  <c r="C2141" i="8"/>
  <c r="C2157" i="8"/>
  <c r="C2173" i="8"/>
  <c r="C2189" i="8"/>
  <c r="C2205" i="8"/>
  <c r="C1115" i="8"/>
  <c r="C1131" i="8"/>
  <c r="C1147" i="8"/>
  <c r="C1163" i="8"/>
  <c r="C1128" i="8"/>
  <c r="C1144" i="8"/>
  <c r="C1160" i="8"/>
  <c r="C1176" i="8"/>
  <c r="C1125" i="8"/>
  <c r="C1141" i="8"/>
  <c r="C1157" i="8"/>
  <c r="C1173" i="8"/>
  <c r="C1122" i="8"/>
  <c r="C1138" i="8"/>
  <c r="C1154" i="8"/>
  <c r="C1170" i="8"/>
  <c r="C1119" i="8"/>
  <c r="C1135" i="8"/>
  <c r="C1151" i="8"/>
  <c r="C1167" i="8"/>
  <c r="C1116" i="8"/>
  <c r="C1132" i="8"/>
  <c r="C1148" i="8"/>
  <c r="C1164" i="8"/>
  <c r="C1129" i="8"/>
  <c r="C1145" i="8"/>
  <c r="C1161" i="8"/>
  <c r="C1177" i="8"/>
  <c r="C1126" i="8"/>
  <c r="C1142" i="8"/>
  <c r="C1158" i="8"/>
  <c r="C1174" i="8"/>
  <c r="C1123" i="8"/>
  <c r="C1139" i="8"/>
  <c r="C1155" i="8"/>
  <c r="C1171" i="8"/>
  <c r="C1120" i="8"/>
  <c r="C1136" i="8"/>
  <c r="C1152" i="8"/>
  <c r="C1168" i="8"/>
  <c r="C1117" i="8"/>
  <c r="C1133" i="8"/>
  <c r="C1149" i="8"/>
  <c r="C1165" i="8"/>
  <c r="C1130" i="8"/>
  <c r="C1146" i="8"/>
  <c r="C1162" i="8"/>
  <c r="C1178" i="8"/>
  <c r="C1127" i="8"/>
  <c r="C1143" i="8"/>
  <c r="C1159" i="8"/>
  <c r="C1175" i="8"/>
  <c r="C1124" i="8"/>
  <c r="C1140" i="8"/>
  <c r="C1156" i="8"/>
  <c r="C1172" i="8"/>
  <c r="C1121" i="8"/>
  <c r="C1137" i="8"/>
  <c r="C1153" i="8"/>
  <c r="C1169" i="8"/>
  <c r="C1118" i="8"/>
  <c r="C1134" i="8"/>
  <c r="C1150" i="8"/>
  <c r="C1166" i="8"/>
  <c r="C706" i="8"/>
  <c r="C722" i="8"/>
  <c r="C738" i="8"/>
  <c r="C754" i="8"/>
  <c r="C770" i="8"/>
  <c r="C786" i="8"/>
  <c r="C703" i="8"/>
  <c r="C719" i="8"/>
  <c r="C735" i="8"/>
  <c r="C751" i="8"/>
  <c r="C767" i="8"/>
  <c r="C783" i="8"/>
  <c r="C700" i="8"/>
  <c r="C716" i="8"/>
  <c r="C732" i="8"/>
  <c r="C748" i="8"/>
  <c r="C764" i="8"/>
  <c r="C780" i="8"/>
  <c r="C713" i="8"/>
  <c r="C729" i="8"/>
  <c r="C745" i="8"/>
  <c r="C761" i="8"/>
  <c r="C777" i="8"/>
  <c r="C710" i="8"/>
  <c r="C726" i="8"/>
  <c r="C742" i="8"/>
  <c r="C758" i="8"/>
  <c r="C774" i="8"/>
  <c r="C790" i="8"/>
  <c r="C707" i="8"/>
  <c r="C723" i="8"/>
  <c r="C739" i="8"/>
  <c r="C755" i="8"/>
  <c r="C771" i="8"/>
  <c r="C787" i="8"/>
  <c r="C704" i="8"/>
  <c r="C720" i="8"/>
  <c r="C736" i="8"/>
  <c r="C752" i="8"/>
  <c r="C768" i="8"/>
  <c r="C784" i="8"/>
  <c r="C701" i="8"/>
  <c r="C717" i="8"/>
  <c r="C733" i="8"/>
  <c r="C749" i="8"/>
  <c r="C765" i="8"/>
  <c r="C781" i="8"/>
  <c r="C714" i="8"/>
  <c r="C730" i="8"/>
  <c r="C746" i="8"/>
  <c r="C762" i="8"/>
  <c r="C778" i="8"/>
  <c r="C711" i="8"/>
  <c r="C727" i="8"/>
  <c r="C743" i="8"/>
  <c r="C759" i="8"/>
  <c r="C775" i="8"/>
  <c r="C708" i="8"/>
  <c r="C724" i="8"/>
  <c r="C740" i="8"/>
  <c r="C756" i="8"/>
  <c r="C772" i="8"/>
  <c r="C788" i="8"/>
  <c r="C705" i="8"/>
  <c r="C721" i="8"/>
  <c r="C737" i="8"/>
  <c r="C753" i="8"/>
  <c r="C769" i="8"/>
  <c r="C785" i="8"/>
  <c r="C702" i="8"/>
  <c r="C718" i="8"/>
  <c r="C734" i="8"/>
  <c r="C750" i="8"/>
  <c r="C766" i="8"/>
  <c r="C782" i="8"/>
  <c r="C699" i="8"/>
  <c r="C715" i="8"/>
  <c r="C731" i="8"/>
  <c r="C747" i="8"/>
  <c r="C763" i="8"/>
  <c r="C779" i="8"/>
  <c r="C712" i="8"/>
  <c r="C728" i="8"/>
  <c r="C744" i="8"/>
  <c r="C760" i="8"/>
  <c r="C776" i="8"/>
  <c r="C709" i="8"/>
  <c r="C725" i="8"/>
  <c r="C741" i="8"/>
  <c r="C757" i="8"/>
  <c r="C773" i="8"/>
  <c r="C789" i="8"/>
  <c r="C318" i="8"/>
  <c r="C319" i="8"/>
  <c r="C320" i="8"/>
  <c r="C1785" i="8"/>
  <c r="C1782" i="8"/>
  <c r="C1779" i="8"/>
  <c r="C1795" i="8"/>
  <c r="C1776" i="8"/>
  <c r="C1792" i="8"/>
  <c r="C1789" i="8"/>
  <c r="C1786" i="8"/>
  <c r="C1783" i="8"/>
  <c r="C1780" i="8"/>
  <c r="C1796" i="8"/>
  <c r="C1777" i="8"/>
  <c r="C1793" i="8"/>
  <c r="C1790" i="8"/>
  <c r="C1787" i="8"/>
  <c r="C1784" i="8"/>
  <c r="C1781" i="8"/>
  <c r="C1778" i="8"/>
  <c r="C1794" i="8"/>
  <c r="C1791" i="8"/>
  <c r="C1788" i="8"/>
  <c r="C2442" i="8"/>
  <c r="C2458" i="8"/>
  <c r="C2474" i="8"/>
  <c r="C2490" i="8"/>
  <c r="C2506" i="8"/>
  <c r="C2522" i="8"/>
  <c r="C2439" i="8"/>
  <c r="C2455" i="8"/>
  <c r="C2471" i="8"/>
  <c r="C2487" i="8"/>
  <c r="C2503" i="8"/>
  <c r="C2519" i="8"/>
  <c r="C2436" i="8"/>
  <c r="C2452" i="8"/>
  <c r="C2468" i="8"/>
  <c r="C2484" i="8"/>
  <c r="C2500" i="8"/>
  <c r="C2516" i="8"/>
  <c r="C2433" i="8"/>
  <c r="C2449" i="8"/>
  <c r="C2465" i="8"/>
  <c r="C2481" i="8"/>
  <c r="C2497" i="8"/>
  <c r="C2513" i="8"/>
  <c r="C2430" i="8"/>
  <c r="C2446" i="8"/>
  <c r="C2462" i="8"/>
  <c r="C2478" i="8"/>
  <c r="C2494" i="8"/>
  <c r="C2510" i="8"/>
  <c r="C2443" i="8"/>
  <c r="C2459" i="8"/>
  <c r="C2475" i="8"/>
  <c r="C2491" i="8"/>
  <c r="C2507" i="8"/>
  <c r="C2523" i="8"/>
  <c r="C2440" i="8"/>
  <c r="C2456" i="8"/>
  <c r="C2472" i="8"/>
  <c r="C2488" i="8"/>
  <c r="C2504" i="8"/>
  <c r="C2520" i="8"/>
  <c r="C2437" i="8"/>
  <c r="C2453" i="8"/>
  <c r="C2469" i="8"/>
  <c r="C2485" i="8"/>
  <c r="C2501" i="8"/>
  <c r="C2434" i="8"/>
  <c r="C2450" i="8"/>
  <c r="C2466" i="8"/>
  <c r="C2482" i="8"/>
  <c r="C2498" i="8"/>
  <c r="C2514" i="8"/>
  <c r="C2431" i="8"/>
  <c r="C2447" i="8"/>
  <c r="C2463" i="8"/>
  <c r="C2479" i="8"/>
  <c r="C2495" i="8"/>
  <c r="C2511" i="8"/>
  <c r="C2444" i="8"/>
  <c r="C2460" i="8"/>
  <c r="C2476" i="8"/>
  <c r="C2492" i="8"/>
  <c r="C2508" i="8"/>
  <c r="C2524" i="8"/>
  <c r="C2441" i="8"/>
  <c r="C2457" i="8"/>
  <c r="C2473" i="8"/>
  <c r="C2489" i="8"/>
  <c r="C2505" i="8"/>
  <c r="C2521" i="8"/>
  <c r="C2438" i="8"/>
  <c r="C2454" i="8"/>
  <c r="C2470" i="8"/>
  <c r="C2486" i="8"/>
  <c r="C2502" i="8"/>
  <c r="C2518" i="8"/>
  <c r="C2435" i="8"/>
  <c r="C2451" i="8"/>
  <c r="C2467" i="8"/>
  <c r="C2483" i="8"/>
  <c r="C2499" i="8"/>
  <c r="C2515" i="8"/>
  <c r="C2432" i="8"/>
  <c r="C2448" i="8"/>
  <c r="C2464" i="8"/>
  <c r="C2480" i="8"/>
  <c r="C2496" i="8"/>
  <c r="C2512" i="8"/>
  <c r="C2445" i="8"/>
  <c r="C2461" i="8"/>
  <c r="C2477" i="8"/>
  <c r="C2493" i="8"/>
  <c r="C2509" i="8"/>
  <c r="C2517" i="8"/>
  <c r="C71" i="8"/>
  <c r="C87" i="8"/>
  <c r="C84" i="8"/>
  <c r="C81" i="8"/>
  <c r="C97" i="8"/>
  <c r="C78" i="8"/>
  <c r="C94" i="8"/>
  <c r="C75" i="8"/>
  <c r="C91" i="8"/>
  <c r="C72" i="8"/>
  <c r="C88" i="8"/>
  <c r="C69" i="8"/>
  <c r="C85" i="8"/>
  <c r="C82" i="8"/>
  <c r="C79" i="8"/>
  <c r="C95" i="8"/>
  <c r="C76" i="8"/>
  <c r="C92" i="8"/>
  <c r="C73" i="8"/>
  <c r="C89" i="8"/>
  <c r="C70" i="8"/>
  <c r="C86" i="8"/>
  <c r="C83" i="8"/>
  <c r="C80" i="8"/>
  <c r="C96" i="8"/>
  <c r="C77" i="8"/>
  <c r="C93" i="8"/>
  <c r="C74" i="8"/>
  <c r="C90" i="8"/>
  <c r="C2792" i="8"/>
  <c r="C2789" i="8"/>
  <c r="C2786" i="8"/>
  <c r="C2802" i="8"/>
  <c r="C2783" i="8"/>
  <c r="C2799" i="8"/>
  <c r="C2780" i="8"/>
  <c r="C2796" i="8"/>
  <c r="C2793" i="8"/>
  <c r="C2790" i="8"/>
  <c r="C2806" i="8"/>
  <c r="C2787" i="8"/>
  <c r="C2803" i="8"/>
  <c r="C2784" i="8"/>
  <c r="C2800" i="8"/>
  <c r="C2794" i="8"/>
  <c r="C2791" i="8"/>
  <c r="C2807" i="8"/>
  <c r="C2788" i="8"/>
  <c r="C2804" i="8"/>
  <c r="C2785" i="8"/>
  <c r="C2801" i="8"/>
  <c r="C2782" i="8"/>
  <c r="C2798" i="8"/>
  <c r="C2779" i="8"/>
  <c r="C2795" i="8"/>
  <c r="C2805" i="8"/>
  <c r="C2781" i="8"/>
  <c r="C2797" i="8"/>
  <c r="C556" i="8"/>
  <c r="C572" i="8"/>
  <c r="C588" i="8"/>
  <c r="C553" i="8"/>
  <c r="C569" i="8"/>
  <c r="C585" i="8"/>
  <c r="C566" i="8"/>
  <c r="C582" i="8"/>
  <c r="C563" i="8"/>
  <c r="C579" i="8"/>
  <c r="C595" i="8"/>
  <c r="C560" i="8"/>
  <c r="C576" i="8"/>
  <c r="C592" i="8"/>
  <c r="C557" i="8"/>
  <c r="C573" i="8"/>
  <c r="C589" i="8"/>
  <c r="C554" i="8"/>
  <c r="C570" i="8"/>
  <c r="C586" i="8"/>
  <c r="C567" i="8"/>
  <c r="C583" i="8"/>
  <c r="C564" i="8"/>
  <c r="C580" i="8"/>
  <c r="C596" i="8"/>
  <c r="C561" i="8"/>
  <c r="C577" i="8"/>
  <c r="C593" i="8"/>
  <c r="C558" i="8"/>
  <c r="C574" i="8"/>
  <c r="C590" i="8"/>
  <c r="C555" i="8"/>
  <c r="C571" i="8"/>
  <c r="C587" i="8"/>
  <c r="C568" i="8"/>
  <c r="C584" i="8"/>
  <c r="C565" i="8"/>
  <c r="C581" i="8"/>
  <c r="C562" i="8"/>
  <c r="C578" i="8"/>
  <c r="C594" i="8"/>
  <c r="C559" i="8"/>
  <c r="C575" i="8"/>
  <c r="C591" i="8"/>
  <c r="C164" i="8"/>
  <c r="C180" i="8"/>
  <c r="C161" i="8"/>
  <c r="C177" i="8"/>
  <c r="C158" i="8"/>
  <c r="C174" i="8"/>
  <c r="C155" i="8"/>
  <c r="C171" i="8"/>
  <c r="C187" i="8"/>
  <c r="C152" i="8"/>
  <c r="C168" i="8"/>
  <c r="C184" i="8"/>
  <c r="C149" i="8"/>
  <c r="C165" i="8"/>
  <c r="C181" i="8"/>
  <c r="C162" i="8"/>
  <c r="C178" i="8"/>
  <c r="C159" i="8"/>
  <c r="C175" i="8"/>
  <c r="C156" i="8"/>
  <c r="C172" i="8"/>
  <c r="C153" i="8"/>
  <c r="C169" i="8"/>
  <c r="C185" i="8"/>
  <c r="C150" i="8"/>
  <c r="C166" i="8"/>
  <c r="C182" i="8"/>
  <c r="C163" i="8"/>
  <c r="C179" i="8"/>
  <c r="C160" i="8"/>
  <c r="C176" i="8"/>
  <c r="C157" i="8"/>
  <c r="C173" i="8"/>
  <c r="C154" i="8"/>
  <c r="C170" i="8"/>
  <c r="C186" i="8"/>
  <c r="C151" i="8"/>
  <c r="C167" i="8"/>
  <c r="C183" i="8"/>
  <c r="C119" i="8"/>
  <c r="C135" i="8"/>
  <c r="C116" i="8"/>
  <c r="C132" i="8"/>
  <c r="C148" i="8"/>
  <c r="C145" i="8"/>
  <c r="C113" i="8"/>
  <c r="C129" i="8"/>
  <c r="C140" i="8"/>
  <c r="C126" i="8"/>
  <c r="C142" i="8"/>
  <c r="C123" i="8"/>
  <c r="C139" i="8"/>
  <c r="C120" i="8"/>
  <c r="C136" i="8"/>
  <c r="C117" i="8"/>
  <c r="C133" i="8"/>
  <c r="C114" i="8"/>
  <c r="C130" i="8"/>
  <c r="C146" i="8"/>
  <c r="C127" i="8"/>
  <c r="C143" i="8"/>
  <c r="C124" i="8"/>
  <c r="C121" i="8"/>
  <c r="C137" i="8"/>
  <c r="C118" i="8"/>
  <c r="C134" i="8"/>
  <c r="C115" i="8"/>
  <c r="C131" i="8"/>
  <c r="C147" i="8"/>
  <c r="C128" i="8"/>
  <c r="C144" i="8"/>
  <c r="C125" i="8"/>
  <c r="C141" i="8"/>
  <c r="C122" i="8"/>
  <c r="C138" i="8"/>
  <c r="C1195" i="8"/>
  <c r="C1205" i="8"/>
  <c r="C1202" i="8"/>
  <c r="C1199" i="8"/>
  <c r="C1196" i="8"/>
  <c r="C1209" i="8"/>
  <c r="C1206" i="8"/>
  <c r="C1203" i="8"/>
  <c r="C1200" i="8"/>
  <c r="C1197" i="8"/>
  <c r="C1207" i="8"/>
  <c r="C1204" i="8"/>
  <c r="C1201" i="8"/>
  <c r="C1198" i="8"/>
  <c r="C1211" i="8"/>
  <c r="C1218" i="8"/>
  <c r="C1215" i="8"/>
  <c r="C1212" i="8"/>
  <c r="C1208" i="8"/>
  <c r="C1216" i="8"/>
  <c r="C1213" i="8"/>
  <c r="C1210" i="8"/>
  <c r="C1217" i="8"/>
  <c r="C1214" i="8"/>
  <c r="C1993" i="8"/>
  <c r="C2003" i="8"/>
  <c r="C2000" i="8"/>
  <c r="C1997" i="8"/>
  <c r="C1994" i="8"/>
  <c r="C2004" i="8"/>
  <c r="C2001" i="8"/>
  <c r="C1998" i="8"/>
  <c r="C1995" i="8"/>
  <c r="C1992" i="8"/>
  <c r="C2005" i="8"/>
  <c r="C2002" i="8"/>
  <c r="C1999" i="8"/>
  <c r="C2006" i="8"/>
  <c r="C2026" i="8"/>
  <c r="C2042" i="8"/>
  <c r="C2023" i="8"/>
  <c r="C2039" i="8"/>
  <c r="C2010" i="8"/>
  <c r="C2020" i="8"/>
  <c r="C2036" i="8"/>
  <c r="C1996" i="8"/>
  <c r="C2017" i="8"/>
  <c r="C2033" i="8"/>
  <c r="C2014" i="8"/>
  <c r="C2030" i="8"/>
  <c r="C2007" i="8"/>
  <c r="C2027" i="8"/>
  <c r="C2043" i="8"/>
  <c r="C2011" i="8"/>
  <c r="C2024" i="8"/>
  <c r="C2040" i="8"/>
  <c r="C2021" i="8"/>
  <c r="C2037" i="8"/>
  <c r="C2018" i="8"/>
  <c r="C2034" i="8"/>
  <c r="C2008" i="8"/>
  <c r="C2015" i="8"/>
  <c r="C2031" i="8"/>
  <c r="C2012" i="8"/>
  <c r="C2028" i="8"/>
  <c r="C2044" i="8"/>
  <c r="C2025" i="8"/>
  <c r="C2041" i="8"/>
  <c r="C2022" i="8"/>
  <c r="C2038" i="8"/>
  <c r="C2009" i="8"/>
  <c r="C2019" i="8"/>
  <c r="C2035" i="8"/>
  <c r="C2016" i="8"/>
  <c r="C2032" i="8"/>
  <c r="C2013" i="8"/>
  <c r="C2029" i="8"/>
  <c r="C260" i="8"/>
  <c r="C276" i="8"/>
  <c r="C292" i="8"/>
  <c r="C308" i="8"/>
  <c r="C257" i="8"/>
  <c r="C273" i="8"/>
  <c r="C289" i="8"/>
  <c r="C305" i="8"/>
  <c r="C254" i="8"/>
  <c r="C270" i="8"/>
  <c r="C286" i="8"/>
  <c r="C302" i="8"/>
  <c r="C251" i="8"/>
  <c r="C267" i="8"/>
  <c r="C283" i="8"/>
  <c r="C299" i="8"/>
  <c r="C248" i="8"/>
  <c r="C264" i="8"/>
  <c r="C280" i="8"/>
  <c r="C296" i="8"/>
  <c r="C261" i="8"/>
  <c r="C277" i="8"/>
  <c r="C293" i="8"/>
  <c r="C309" i="8"/>
  <c r="C258" i="8"/>
  <c r="C274" i="8"/>
  <c r="C290" i="8"/>
  <c r="C306" i="8"/>
  <c r="C255" i="8"/>
  <c r="C271" i="8"/>
  <c r="C287" i="8"/>
  <c r="C303" i="8"/>
  <c r="C252" i="8"/>
  <c r="C268" i="8"/>
  <c r="C284" i="8"/>
  <c r="C300" i="8"/>
  <c r="C249" i="8"/>
  <c r="C265" i="8"/>
  <c r="C281" i="8"/>
  <c r="C297" i="8"/>
  <c r="C246" i="8"/>
  <c r="C262" i="8"/>
  <c r="C278" i="8"/>
  <c r="C294" i="8"/>
  <c r="C259" i="8"/>
  <c r="C275" i="8"/>
  <c r="C291" i="8"/>
  <c r="C307" i="8"/>
  <c r="C256" i="8"/>
  <c r="C272" i="8"/>
  <c r="C288" i="8"/>
  <c r="C304" i="8"/>
  <c r="C253" i="8"/>
  <c r="C269" i="8"/>
  <c r="C285" i="8"/>
  <c r="C301" i="8"/>
  <c r="C250" i="8"/>
  <c r="C266" i="8"/>
  <c r="C282" i="8"/>
  <c r="C298" i="8"/>
  <c r="C247" i="8"/>
  <c r="C263" i="8"/>
  <c r="C279" i="8"/>
  <c r="C295" i="8"/>
  <c r="C1833" i="8"/>
  <c r="C1849" i="8"/>
  <c r="C1865" i="8"/>
  <c r="C1881" i="8"/>
  <c r="C1830" i="8"/>
  <c r="C1846" i="8"/>
  <c r="C1862" i="8"/>
  <c r="C1878" i="8"/>
  <c r="C1843" i="8"/>
  <c r="C1859" i="8"/>
  <c r="C1875" i="8"/>
  <c r="C1891" i="8"/>
  <c r="C1840" i="8"/>
  <c r="C1856" i="8"/>
  <c r="C1872" i="8"/>
  <c r="C1888" i="8"/>
  <c r="C1837" i="8"/>
  <c r="C1853" i="8"/>
  <c r="C1869" i="8"/>
  <c r="C1885" i="8"/>
  <c r="C1834" i="8"/>
  <c r="C1850" i="8"/>
  <c r="C1866" i="8"/>
  <c r="C1882" i="8"/>
  <c r="C1831" i="8"/>
  <c r="C1847" i="8"/>
  <c r="C1863" i="8"/>
  <c r="C1879" i="8"/>
  <c r="C1844" i="8"/>
  <c r="C1860" i="8"/>
  <c r="C1876" i="8"/>
  <c r="C1841" i="8"/>
  <c r="C1857" i="8"/>
  <c r="C1873" i="8"/>
  <c r="C1889" i="8"/>
  <c r="C1838" i="8"/>
  <c r="C1854" i="8"/>
  <c r="C1870" i="8"/>
  <c r="C1886" i="8"/>
  <c r="C1835" i="8"/>
  <c r="C1851" i="8"/>
  <c r="C1867" i="8"/>
  <c r="C1883" i="8"/>
  <c r="C1832" i="8"/>
  <c r="C1848" i="8"/>
  <c r="C1864" i="8"/>
  <c r="C1880" i="8"/>
  <c r="C1845" i="8"/>
  <c r="C1861" i="8"/>
  <c r="C1877" i="8"/>
  <c r="C1842" i="8"/>
  <c r="C1858" i="8"/>
  <c r="C1874" i="8"/>
  <c r="C1890" i="8"/>
  <c r="C1839" i="8"/>
  <c r="C1855" i="8"/>
  <c r="C1871" i="8"/>
  <c r="C1887" i="8"/>
  <c r="C1836" i="8"/>
  <c r="C1852" i="8"/>
  <c r="C1868" i="8"/>
  <c r="C1884" i="8"/>
  <c r="C404" i="8"/>
  <c r="C401" i="8"/>
  <c r="C395" i="8"/>
  <c r="C411" i="8"/>
  <c r="C392" i="8"/>
  <c r="C408" i="8"/>
  <c r="C389" i="8"/>
  <c r="C405" i="8"/>
  <c r="C402" i="8"/>
  <c r="C399" i="8"/>
  <c r="C415" i="8"/>
  <c r="C396" i="8"/>
  <c r="C412" i="8"/>
  <c r="C393" i="8"/>
  <c r="C390" i="8"/>
  <c r="C406" i="8"/>
  <c r="C403" i="8"/>
  <c r="C400" i="8"/>
  <c r="C416" i="8"/>
  <c r="C397" i="8"/>
  <c r="C394" i="8"/>
  <c r="C410" i="8"/>
  <c r="C391" i="8"/>
  <c r="C414" i="8"/>
  <c r="C428" i="8"/>
  <c r="C444" i="8"/>
  <c r="C460" i="8"/>
  <c r="C476" i="8"/>
  <c r="C492" i="8"/>
  <c r="C508" i="8"/>
  <c r="C524" i="8"/>
  <c r="C540" i="8"/>
  <c r="C425" i="8"/>
  <c r="C441" i="8"/>
  <c r="C457" i="8"/>
  <c r="C473" i="8"/>
  <c r="C489" i="8"/>
  <c r="C505" i="8"/>
  <c r="C521" i="8"/>
  <c r="C537" i="8"/>
  <c r="C422" i="8"/>
  <c r="C438" i="8"/>
  <c r="C454" i="8"/>
  <c r="C470" i="8"/>
  <c r="C486" i="8"/>
  <c r="C502" i="8"/>
  <c r="C518" i="8"/>
  <c r="C534" i="8"/>
  <c r="C419" i="8"/>
  <c r="C435" i="8"/>
  <c r="C451" i="8"/>
  <c r="C467" i="8"/>
  <c r="C483" i="8"/>
  <c r="C499" i="8"/>
  <c r="C515" i="8"/>
  <c r="C531" i="8"/>
  <c r="C547" i="8"/>
  <c r="C407" i="8"/>
  <c r="C432" i="8"/>
  <c r="C448" i="8"/>
  <c r="C464" i="8"/>
  <c r="C480" i="8"/>
  <c r="C496" i="8"/>
  <c r="C512" i="8"/>
  <c r="C528" i="8"/>
  <c r="C544" i="8"/>
  <c r="C429" i="8"/>
  <c r="C445" i="8"/>
  <c r="C461" i="8"/>
  <c r="C477" i="8"/>
  <c r="C493" i="8"/>
  <c r="C509" i="8"/>
  <c r="C525" i="8"/>
  <c r="C541" i="8"/>
  <c r="C409" i="8"/>
  <c r="C426" i="8"/>
  <c r="C442" i="8"/>
  <c r="C458" i="8"/>
  <c r="C474" i="8"/>
  <c r="C490" i="8"/>
  <c r="C506" i="8"/>
  <c r="C522" i="8"/>
  <c r="C538" i="8"/>
  <c r="C423" i="8"/>
  <c r="C439" i="8"/>
  <c r="C455" i="8"/>
  <c r="C471" i="8"/>
  <c r="C487" i="8"/>
  <c r="C503" i="8"/>
  <c r="C519" i="8"/>
  <c r="C535" i="8"/>
  <c r="C420" i="8"/>
  <c r="C436" i="8"/>
  <c r="C452" i="8"/>
  <c r="C468" i="8"/>
  <c r="C484" i="8"/>
  <c r="C500" i="8"/>
  <c r="C516" i="8"/>
  <c r="C532" i="8"/>
  <c r="C433" i="8"/>
  <c r="C449" i="8"/>
  <c r="C465" i="8"/>
  <c r="C481" i="8"/>
  <c r="C497" i="8"/>
  <c r="C513" i="8"/>
  <c r="C529" i="8"/>
  <c r="C545" i="8"/>
  <c r="C430" i="8"/>
  <c r="C446" i="8"/>
  <c r="C462" i="8"/>
  <c r="C478" i="8"/>
  <c r="C494" i="8"/>
  <c r="C510" i="8"/>
  <c r="C526" i="8"/>
  <c r="C542" i="8"/>
  <c r="C417" i="8"/>
  <c r="C427" i="8"/>
  <c r="C443" i="8"/>
  <c r="C459" i="8"/>
  <c r="C475" i="8"/>
  <c r="C491" i="8"/>
  <c r="C507" i="8"/>
  <c r="C523" i="8"/>
  <c r="C539" i="8"/>
  <c r="C413" i="8"/>
  <c r="C424" i="8"/>
  <c r="C440" i="8"/>
  <c r="C456" i="8"/>
  <c r="C472" i="8"/>
  <c r="C488" i="8"/>
  <c r="C504" i="8"/>
  <c r="C520" i="8"/>
  <c r="C536" i="8"/>
  <c r="C398" i="8"/>
  <c r="C421" i="8"/>
  <c r="C437" i="8"/>
  <c r="C453" i="8"/>
  <c r="C469" i="8"/>
  <c r="C485" i="8"/>
  <c r="C501" i="8"/>
  <c r="C517" i="8"/>
  <c r="C533" i="8"/>
  <c r="C434" i="8"/>
  <c r="C450" i="8"/>
  <c r="C466" i="8"/>
  <c r="C482" i="8"/>
  <c r="C498" i="8"/>
  <c r="C514" i="8"/>
  <c r="C530" i="8"/>
  <c r="C546" i="8"/>
  <c r="C418" i="8"/>
  <c r="C431" i="8"/>
  <c r="C447" i="8"/>
  <c r="C463" i="8"/>
  <c r="C479" i="8"/>
  <c r="C495" i="8"/>
  <c r="C511" i="8"/>
  <c r="C527" i="8"/>
  <c r="C543" i="8"/>
  <c r="C1488" i="8"/>
  <c r="C1504" i="8"/>
  <c r="C1520" i="8"/>
  <c r="C1536" i="8"/>
  <c r="C1552" i="8"/>
  <c r="C1568" i="8"/>
  <c r="C1584" i="8"/>
  <c r="C1485" i="8"/>
  <c r="C1501" i="8"/>
  <c r="C1517" i="8"/>
  <c r="C1533" i="8"/>
  <c r="C1549" i="8"/>
  <c r="C1565" i="8"/>
  <c r="C1581" i="8"/>
  <c r="C1597" i="8"/>
  <c r="C1498" i="8"/>
  <c r="C1514" i="8"/>
  <c r="C1530" i="8"/>
  <c r="C1546" i="8"/>
  <c r="C1562" i="8"/>
  <c r="C1578" i="8"/>
  <c r="C1594" i="8"/>
  <c r="C1495" i="8"/>
  <c r="C1511" i="8"/>
  <c r="C1527" i="8"/>
  <c r="C1543" i="8"/>
  <c r="C1559" i="8"/>
  <c r="C1575" i="8"/>
  <c r="C1591" i="8"/>
  <c r="C1492" i="8"/>
  <c r="C1508" i="8"/>
  <c r="C1524" i="8"/>
  <c r="C1540" i="8"/>
  <c r="C1556" i="8"/>
  <c r="C1572" i="8"/>
  <c r="C1588" i="8"/>
  <c r="C1489" i="8"/>
  <c r="C1505" i="8"/>
  <c r="C1521" i="8"/>
  <c r="C1537" i="8"/>
  <c r="C1553" i="8"/>
  <c r="C1569" i="8"/>
  <c r="C1585" i="8"/>
  <c r="C1486" i="8"/>
  <c r="C1502" i="8"/>
  <c r="C1518" i="8"/>
  <c r="C1534" i="8"/>
  <c r="C1550" i="8"/>
  <c r="C1566" i="8"/>
  <c r="C1582" i="8"/>
  <c r="C1598" i="8"/>
  <c r="C1499" i="8"/>
  <c r="C1515" i="8"/>
  <c r="C1531" i="8"/>
  <c r="C1547" i="8"/>
  <c r="C1563" i="8"/>
  <c r="C1579" i="8"/>
  <c r="C1595" i="8"/>
  <c r="C1496" i="8"/>
  <c r="C1512" i="8"/>
  <c r="C1528" i="8"/>
  <c r="C1544" i="8"/>
  <c r="C1560" i="8"/>
  <c r="C1576" i="8"/>
  <c r="C1592" i="8"/>
  <c r="C1493" i="8"/>
  <c r="C1509" i="8"/>
  <c r="C1525" i="8"/>
  <c r="C1541" i="8"/>
  <c r="C1557" i="8"/>
  <c r="C1573" i="8"/>
  <c r="C1589" i="8"/>
  <c r="C1490" i="8"/>
  <c r="C1506" i="8"/>
  <c r="C1522" i="8"/>
  <c r="C1538" i="8"/>
  <c r="C1554" i="8"/>
  <c r="C1570" i="8"/>
  <c r="C1586" i="8"/>
  <c r="C1487" i="8"/>
  <c r="C1503" i="8"/>
  <c r="C1519" i="8"/>
  <c r="C1535" i="8"/>
  <c r="C1551" i="8"/>
  <c r="C1567" i="8"/>
  <c r="C1583" i="8"/>
  <c r="C1599" i="8"/>
  <c r="C1500" i="8"/>
  <c r="C1516" i="8"/>
  <c r="C1532" i="8"/>
  <c r="C1548" i="8"/>
  <c r="C1564" i="8"/>
  <c r="C1580" i="8"/>
  <c r="C1596" i="8"/>
  <c r="C1497" i="8"/>
  <c r="C1513" i="8"/>
  <c r="C1529" i="8"/>
  <c r="C1545" i="8"/>
  <c r="C1561" i="8"/>
  <c r="C1577" i="8"/>
  <c r="C1593" i="8"/>
  <c r="C1494" i="8"/>
  <c r="C1510" i="8"/>
  <c r="C1526" i="8"/>
  <c r="C1542" i="8"/>
  <c r="C1558" i="8"/>
  <c r="C1574" i="8"/>
  <c r="C1590" i="8"/>
  <c r="C1491" i="8"/>
  <c r="C1507" i="8"/>
  <c r="C1523" i="8"/>
  <c r="C1539" i="8"/>
  <c r="C1555" i="8"/>
  <c r="C1571" i="8"/>
  <c r="C1587" i="8"/>
  <c r="C1664" i="8"/>
  <c r="C1661" i="8"/>
  <c r="C1677" i="8"/>
  <c r="C1693" i="8"/>
  <c r="C1709" i="8"/>
  <c r="C1725" i="8"/>
  <c r="C1741" i="8"/>
  <c r="C1658" i="8"/>
  <c r="C1674" i="8"/>
  <c r="C1690" i="8"/>
  <c r="C1706" i="8"/>
  <c r="C1722" i="8"/>
  <c r="C1738" i="8"/>
  <c r="C1671" i="8"/>
  <c r="C1687" i="8"/>
  <c r="C1703" i="8"/>
  <c r="C1668" i="8"/>
  <c r="C1684" i="8"/>
  <c r="C1700" i="8"/>
  <c r="C1716" i="8"/>
  <c r="C1732" i="8"/>
  <c r="C1665" i="8"/>
  <c r="C1681" i="8"/>
  <c r="C1697" i="8"/>
  <c r="C1713" i="8"/>
  <c r="C1729" i="8"/>
  <c r="C1745" i="8"/>
  <c r="C1662" i="8"/>
  <c r="C1678" i="8"/>
  <c r="C1694" i="8"/>
  <c r="C1710" i="8"/>
  <c r="C1726" i="8"/>
  <c r="C1659" i="8"/>
  <c r="C1675" i="8"/>
  <c r="C1691" i="8"/>
  <c r="C1707" i="8"/>
  <c r="C1723" i="8"/>
  <c r="C1739" i="8"/>
  <c r="C1656" i="8"/>
  <c r="C1672" i="8"/>
  <c r="C1688" i="8"/>
  <c r="C1704" i="8"/>
  <c r="C1720" i="8"/>
  <c r="C1736" i="8"/>
  <c r="C1669" i="8"/>
  <c r="C1685" i="8"/>
  <c r="C1701" i="8"/>
  <c r="C1717" i="8"/>
  <c r="C1733" i="8"/>
  <c r="C1666" i="8"/>
  <c r="C1682" i="8"/>
  <c r="C1698" i="8"/>
  <c r="C1714" i="8"/>
  <c r="C1663" i="8"/>
  <c r="C1679" i="8"/>
  <c r="C1695" i="8"/>
  <c r="C1711" i="8"/>
  <c r="C1727" i="8"/>
  <c r="C1660" i="8"/>
  <c r="C1676" i="8"/>
  <c r="C1692" i="8"/>
  <c r="C1708" i="8"/>
  <c r="C1724" i="8"/>
  <c r="C1657" i="8"/>
  <c r="C1673" i="8"/>
  <c r="C1689" i="8"/>
  <c r="C1705" i="8"/>
  <c r="C1721" i="8"/>
  <c r="C1670" i="8"/>
  <c r="C1686" i="8"/>
  <c r="C1702" i="8"/>
  <c r="C1718" i="8"/>
  <c r="C1734" i="8"/>
  <c r="C1667" i="8"/>
  <c r="C1683" i="8"/>
  <c r="C1699" i="8"/>
  <c r="C1715" i="8"/>
  <c r="C1731" i="8"/>
  <c r="C1735" i="8"/>
  <c r="C1719" i="8"/>
  <c r="C1743" i="8"/>
  <c r="C1747" i="8"/>
  <c r="C1680" i="8"/>
  <c r="C1737" i="8"/>
  <c r="C1744" i="8"/>
  <c r="C1728" i="8"/>
  <c r="C1748" i="8"/>
  <c r="C1730" i="8"/>
  <c r="C1696" i="8"/>
  <c r="C1740" i="8"/>
  <c r="C1746" i="8"/>
  <c r="C1712" i="8"/>
  <c r="C1742" i="8"/>
  <c r="C3052" i="8"/>
  <c r="C3068" i="8"/>
  <c r="C3065" i="8"/>
  <c r="C3062" i="8"/>
  <c r="C3059" i="8"/>
  <c r="C3075" i="8"/>
  <c r="C3056" i="8"/>
  <c r="C3053" i="8"/>
  <c r="C3069" i="8"/>
  <c r="C3050" i="8"/>
  <c r="C3066" i="8"/>
  <c r="C3063" i="8"/>
  <c r="C3079" i="8"/>
  <c r="C3060" i="8"/>
  <c r="C3076" i="8"/>
  <c r="C3057" i="8"/>
  <c r="C3073" i="8"/>
  <c r="C3054" i="8"/>
  <c r="C3051" i="8"/>
  <c r="C3067" i="8"/>
  <c r="C3064" i="8"/>
  <c r="C3080" i="8"/>
  <c r="C3061" i="8"/>
  <c r="C3077" i="8"/>
  <c r="C3058" i="8"/>
  <c r="C3074" i="8"/>
  <c r="C3055" i="8"/>
  <c r="C3071" i="8"/>
  <c r="C3085" i="8"/>
  <c r="C3101" i="8"/>
  <c r="C3117" i="8"/>
  <c r="C3078" i="8"/>
  <c r="C3098" i="8"/>
  <c r="C3114" i="8"/>
  <c r="C3082" i="8"/>
  <c r="C3095" i="8"/>
  <c r="C3111" i="8"/>
  <c r="C3092" i="8"/>
  <c r="C3108" i="8"/>
  <c r="C3089" i="8"/>
  <c r="C3105" i="8"/>
  <c r="C3121" i="8"/>
  <c r="C3070" i="8"/>
  <c r="C3086" i="8"/>
  <c r="C3102" i="8"/>
  <c r="C3118" i="8"/>
  <c r="C3072" i="8"/>
  <c r="C3083" i="8"/>
  <c r="C3099" i="8"/>
  <c r="C3115" i="8"/>
  <c r="C3096" i="8"/>
  <c r="C3112" i="8"/>
  <c r="C3093" i="8"/>
  <c r="C3109" i="8"/>
  <c r="C3090" i="8"/>
  <c r="C3106" i="8"/>
  <c r="C3087" i="8"/>
  <c r="C3103" i="8"/>
  <c r="C3119" i="8"/>
  <c r="C3084" i="8"/>
  <c r="C3100" i="8"/>
  <c r="C3116" i="8"/>
  <c r="C3097" i="8"/>
  <c r="C3113" i="8"/>
  <c r="C3081" i="8"/>
  <c r="C3094" i="8"/>
  <c r="C3110" i="8"/>
  <c r="C3091" i="8"/>
  <c r="C3107" i="8"/>
  <c r="C3088" i="8"/>
  <c r="C3104" i="8"/>
  <c r="C3120" i="8"/>
  <c r="C1243" i="8"/>
  <c r="C1259" i="8"/>
  <c r="C1275" i="8"/>
  <c r="C1291" i="8"/>
  <c r="C1307" i="8"/>
  <c r="C1240" i="8"/>
  <c r="C1256" i="8"/>
  <c r="C1272" i="8"/>
  <c r="C1288" i="8"/>
  <c r="C1304" i="8"/>
  <c r="C1237" i="8"/>
  <c r="C1253" i="8"/>
  <c r="C1269" i="8"/>
  <c r="C1285" i="8"/>
  <c r="C1301" i="8"/>
  <c r="C1234" i="8"/>
  <c r="C1250" i="8"/>
  <c r="C1266" i="8"/>
  <c r="C1282" i="8"/>
  <c r="C1298" i="8"/>
  <c r="C1314" i="8"/>
  <c r="C1247" i="8"/>
  <c r="C1263" i="8"/>
  <c r="C1279" i="8"/>
  <c r="C1295" i="8"/>
  <c r="C1311" i="8"/>
  <c r="C1244" i="8"/>
  <c r="C1260" i="8"/>
  <c r="C1276" i="8"/>
  <c r="C1292" i="8"/>
  <c r="C1308" i="8"/>
  <c r="C1241" i="8"/>
  <c r="C1257" i="8"/>
  <c r="C1273" i="8"/>
  <c r="C1289" i="8"/>
  <c r="C1305" i="8"/>
  <c r="C1238" i="8"/>
  <c r="C1254" i="8"/>
  <c r="C1270" i="8"/>
  <c r="C1286" i="8"/>
  <c r="C1302" i="8"/>
  <c r="C1235" i="8"/>
  <c r="C1251" i="8"/>
  <c r="C1267" i="8"/>
  <c r="C1283" i="8"/>
  <c r="C1299" i="8"/>
  <c r="C1315" i="8"/>
  <c r="C1248" i="8"/>
  <c r="C1264" i="8"/>
  <c r="C1280" i="8"/>
  <c r="C1296" i="8"/>
  <c r="C1312" i="8"/>
  <c r="C1245" i="8"/>
  <c r="C1261" i="8"/>
  <c r="C1277" i="8"/>
  <c r="C1293" i="8"/>
  <c r="C1309" i="8"/>
  <c r="C1242" i="8"/>
  <c r="C1258" i="8"/>
  <c r="C1274" i="8"/>
  <c r="C1290" i="8"/>
  <c r="C1306" i="8"/>
  <c r="C1239" i="8"/>
  <c r="C1255" i="8"/>
  <c r="C1271" i="8"/>
  <c r="C1287" i="8"/>
  <c r="C1303" i="8"/>
  <c r="C1236" i="8"/>
  <c r="C1252" i="8"/>
  <c r="C1268" i="8"/>
  <c r="C1284" i="8"/>
  <c r="C1300" i="8"/>
  <c r="C1233" i="8"/>
  <c r="C1249" i="8"/>
  <c r="C1265" i="8"/>
  <c r="C1281" i="8"/>
  <c r="C1297" i="8"/>
  <c r="C1313" i="8"/>
  <c r="C1246" i="8"/>
  <c r="C1262" i="8"/>
  <c r="C1278" i="8"/>
  <c r="C1294" i="8"/>
  <c r="C1310" i="8"/>
  <c r="C2538" i="8"/>
  <c r="C2535" i="8"/>
  <c r="C2532" i="8"/>
  <c r="C2529" i="8"/>
  <c r="C2526" i="8"/>
  <c r="C2536" i="8"/>
  <c r="C2530" i="8"/>
  <c r="C2527" i="8"/>
  <c r="C2543" i="8"/>
  <c r="C2537" i="8"/>
  <c r="C2534" i="8"/>
  <c r="C2531" i="8"/>
  <c r="C2528" i="8"/>
  <c r="C2544" i="8"/>
  <c r="C2525" i="8"/>
  <c r="C2541" i="8"/>
  <c r="C2539" i="8"/>
  <c r="C2552" i="8"/>
  <c r="C2568" i="8"/>
  <c r="C2584" i="8"/>
  <c r="C2600" i="8"/>
  <c r="C2616" i="8"/>
  <c r="C2632" i="8"/>
  <c r="C2648" i="8"/>
  <c r="C2664" i="8"/>
  <c r="C2680" i="8"/>
  <c r="C2696" i="8"/>
  <c r="C2712" i="8"/>
  <c r="C2728" i="8"/>
  <c r="C2744" i="8"/>
  <c r="C2760" i="8"/>
  <c r="C2776" i="8"/>
  <c r="C2549" i="8"/>
  <c r="C2565" i="8"/>
  <c r="C2581" i="8"/>
  <c r="C2597" i="8"/>
  <c r="C2613" i="8"/>
  <c r="C2629" i="8"/>
  <c r="C2645" i="8"/>
  <c r="C2661" i="8"/>
  <c r="C2677" i="8"/>
  <c r="C2693" i="8"/>
  <c r="C2709" i="8"/>
  <c r="C2725" i="8"/>
  <c r="C2741" i="8"/>
  <c r="C2757" i="8"/>
  <c r="C2773" i="8"/>
  <c r="C2562" i="8"/>
  <c r="C2578" i="8"/>
  <c r="C2594" i="8"/>
  <c r="C2610" i="8"/>
  <c r="C2626" i="8"/>
  <c r="C2642" i="8"/>
  <c r="C2658" i="8"/>
  <c r="C2674" i="8"/>
  <c r="C2690" i="8"/>
  <c r="C2706" i="8"/>
  <c r="C2722" i="8"/>
  <c r="C2738" i="8"/>
  <c r="C2754" i="8"/>
  <c r="C2770" i="8"/>
  <c r="C2540" i="8"/>
  <c r="C2546" i="8"/>
  <c r="C2559" i="8"/>
  <c r="C2575" i="8"/>
  <c r="C2591" i="8"/>
  <c r="C2607" i="8"/>
  <c r="C2623" i="8"/>
  <c r="C2639" i="8"/>
  <c r="C2655" i="8"/>
  <c r="C2671" i="8"/>
  <c r="C2687" i="8"/>
  <c r="C2703" i="8"/>
  <c r="C2719" i="8"/>
  <c r="C2735" i="8"/>
  <c r="C2751" i="8"/>
  <c r="C2767" i="8"/>
  <c r="C2556" i="8"/>
  <c r="C2572" i="8"/>
  <c r="C2588" i="8"/>
  <c r="C2604" i="8"/>
  <c r="C2620" i="8"/>
  <c r="C2636" i="8"/>
  <c r="C2652" i="8"/>
  <c r="C2668" i="8"/>
  <c r="C2684" i="8"/>
  <c r="C2700" i="8"/>
  <c r="C2716" i="8"/>
  <c r="C2732" i="8"/>
  <c r="C2748" i="8"/>
  <c r="C2764" i="8"/>
  <c r="C2542" i="8"/>
  <c r="C2553" i="8"/>
  <c r="C2569" i="8"/>
  <c r="C2585" i="8"/>
  <c r="C2601" i="8"/>
  <c r="C2617" i="8"/>
  <c r="C2633" i="8"/>
  <c r="C2649" i="8"/>
  <c r="C2665" i="8"/>
  <c r="C2681" i="8"/>
  <c r="C2697" i="8"/>
  <c r="C2713" i="8"/>
  <c r="C2729" i="8"/>
  <c r="C2745" i="8"/>
  <c r="C2761" i="8"/>
  <c r="C2777" i="8"/>
  <c r="C2550" i="8"/>
  <c r="C2566" i="8"/>
  <c r="C2582" i="8"/>
  <c r="C2598" i="8"/>
  <c r="C2614" i="8"/>
  <c r="C2630" i="8"/>
  <c r="C2646" i="8"/>
  <c r="C2662" i="8"/>
  <c r="C2678" i="8"/>
  <c r="C2694" i="8"/>
  <c r="C2710" i="8"/>
  <c r="C2726" i="8"/>
  <c r="C2742" i="8"/>
  <c r="C2758" i="8"/>
  <c r="C2774" i="8"/>
  <c r="C2547" i="8"/>
  <c r="C2563" i="8"/>
  <c r="C2579" i="8"/>
  <c r="C2595" i="8"/>
  <c r="C2611" i="8"/>
  <c r="C2627" i="8"/>
  <c r="C2643" i="8"/>
  <c r="C2659" i="8"/>
  <c r="C2675" i="8"/>
  <c r="C2691" i="8"/>
  <c r="C2707" i="8"/>
  <c r="C2723" i="8"/>
  <c r="C2739" i="8"/>
  <c r="C2755" i="8"/>
  <c r="C2771" i="8"/>
  <c r="C2560" i="8"/>
  <c r="C2576" i="8"/>
  <c r="C2592" i="8"/>
  <c r="C2608" i="8"/>
  <c r="C2624" i="8"/>
  <c r="C2640" i="8"/>
  <c r="C2656" i="8"/>
  <c r="C2672" i="8"/>
  <c r="C2688" i="8"/>
  <c r="C2704" i="8"/>
  <c r="C2720" i="8"/>
  <c r="C2736" i="8"/>
  <c r="C2752" i="8"/>
  <c r="C2768" i="8"/>
  <c r="C2557" i="8"/>
  <c r="C2573" i="8"/>
  <c r="C2589" i="8"/>
  <c r="C2605" i="8"/>
  <c r="C2621" i="8"/>
  <c r="C2637" i="8"/>
  <c r="C2653" i="8"/>
  <c r="C2669" i="8"/>
  <c r="C2685" i="8"/>
  <c r="C2701" i="8"/>
  <c r="C2717" i="8"/>
  <c r="C2733" i="8"/>
  <c r="C2554" i="8"/>
  <c r="C2570" i="8"/>
  <c r="C2586" i="8"/>
  <c r="C2602" i="8"/>
  <c r="C2618" i="8"/>
  <c r="C2634" i="8"/>
  <c r="C2650" i="8"/>
  <c r="C2666" i="8"/>
  <c r="C2682" i="8"/>
  <c r="C2698" i="8"/>
  <c r="C2714" i="8"/>
  <c r="C2730" i="8"/>
  <c r="C2746" i="8"/>
  <c r="C2762" i="8"/>
  <c r="C2778" i="8"/>
  <c r="C2533" i="8"/>
  <c r="C2551" i="8"/>
  <c r="C2567" i="8"/>
  <c r="C2583" i="8"/>
  <c r="C2599" i="8"/>
  <c r="C2615" i="8"/>
  <c r="C2631" i="8"/>
  <c r="C2647" i="8"/>
  <c r="C2663" i="8"/>
  <c r="C2679" i="8"/>
  <c r="C2695" i="8"/>
  <c r="C2711" i="8"/>
  <c r="C2727" i="8"/>
  <c r="C2743" i="8"/>
  <c r="C2759" i="8"/>
  <c r="C2775" i="8"/>
  <c r="C2548" i="8"/>
  <c r="C2564" i="8"/>
  <c r="C2580" i="8"/>
  <c r="C2596" i="8"/>
  <c r="C2612" i="8"/>
  <c r="C2628" i="8"/>
  <c r="C2644" i="8"/>
  <c r="C2660" i="8"/>
  <c r="C2676" i="8"/>
  <c r="C2692" i="8"/>
  <c r="C2708" i="8"/>
  <c r="C2724" i="8"/>
  <c r="C2740" i="8"/>
  <c r="C2756" i="8"/>
  <c r="C2772" i="8"/>
  <c r="C2561" i="8"/>
  <c r="C2577" i="8"/>
  <c r="C2593" i="8"/>
  <c r="C2609" i="8"/>
  <c r="C2625" i="8"/>
  <c r="C2641" i="8"/>
  <c r="C2657" i="8"/>
  <c r="C2673" i="8"/>
  <c r="C2689" i="8"/>
  <c r="C2705" i="8"/>
  <c r="C2721" i="8"/>
  <c r="C2737" i="8"/>
  <c r="C2753" i="8"/>
  <c r="C2769" i="8"/>
  <c r="C2545" i="8"/>
  <c r="C2558" i="8"/>
  <c r="C2574" i="8"/>
  <c r="C2590" i="8"/>
  <c r="C2606" i="8"/>
  <c r="C2622" i="8"/>
  <c r="C2638" i="8"/>
  <c r="C2654" i="8"/>
  <c r="C2670" i="8"/>
  <c r="C2686" i="8"/>
  <c r="C2702" i="8"/>
  <c r="C2718" i="8"/>
  <c r="C2734" i="8"/>
  <c r="C2750" i="8"/>
  <c r="C2766" i="8"/>
  <c r="C2555" i="8"/>
  <c r="C2571" i="8"/>
  <c r="C2587" i="8"/>
  <c r="C2603" i="8"/>
  <c r="C2619" i="8"/>
  <c r="C2635" i="8"/>
  <c r="C2651" i="8"/>
  <c r="C2667" i="8"/>
  <c r="C2683" i="8"/>
  <c r="C2699" i="8"/>
  <c r="C2715" i="8"/>
  <c r="C2731" i="8"/>
  <c r="C2747" i="8"/>
  <c r="C2763" i="8"/>
  <c r="C2749" i="8"/>
  <c r="C2765" i="8"/>
  <c r="C3004" i="8"/>
  <c r="C3020" i="8"/>
  <c r="C3036" i="8"/>
  <c r="C3001" i="8"/>
  <c r="C3017" i="8"/>
  <c r="C3033" i="8"/>
  <c r="C3049" i="8"/>
  <c r="C2998" i="8"/>
  <c r="C3014" i="8"/>
  <c r="C3030" i="8"/>
  <c r="C3046" i="8"/>
  <c r="C2995" i="8"/>
  <c r="C3011" i="8"/>
  <c r="C3027" i="8"/>
  <c r="C3043" i="8"/>
  <c r="C3008" i="8"/>
  <c r="C3024" i="8"/>
  <c r="C3040" i="8"/>
  <c r="C3005" i="8"/>
  <c r="C3021" i="8"/>
  <c r="C3037" i="8"/>
  <c r="C3002" i="8"/>
  <c r="C3018" i="8"/>
  <c r="C3034" i="8"/>
  <c r="C2999" i="8"/>
  <c r="C3015" i="8"/>
  <c r="C3031" i="8"/>
  <c r="C3047" i="8"/>
  <c r="C2996" i="8"/>
  <c r="C3012" i="8"/>
  <c r="C3028" i="8"/>
  <c r="C3044" i="8"/>
  <c r="C3009" i="8"/>
  <c r="C3025" i="8"/>
  <c r="C3041" i="8"/>
  <c r="C3006" i="8"/>
  <c r="C3022" i="8"/>
  <c r="C3038" i="8"/>
  <c r="C3003" i="8"/>
  <c r="C3019" i="8"/>
  <c r="C3035" i="8"/>
  <c r="C3000" i="8"/>
  <c r="C3016" i="8"/>
  <c r="C3032" i="8"/>
  <c r="C3048" i="8"/>
  <c r="C2997" i="8"/>
  <c r="C3013" i="8"/>
  <c r="C3029" i="8"/>
  <c r="C3045" i="8"/>
  <c r="C3010" i="8"/>
  <c r="C3026" i="8"/>
  <c r="C3042" i="8"/>
  <c r="C3007" i="8"/>
  <c r="C3023" i="8"/>
  <c r="C3039" i="8"/>
  <c r="C2250" i="8"/>
  <c r="C2266" i="8"/>
  <c r="C2247" i="8"/>
  <c r="C2263" i="8"/>
  <c r="C2260" i="8"/>
  <c r="C2257" i="8"/>
  <c r="C2254" i="8"/>
  <c r="C2251" i="8"/>
  <c r="C2267" i="8"/>
  <c r="C2248" i="8"/>
  <c r="C2264" i="8"/>
  <c r="C2261" i="8"/>
  <c r="C2258" i="8"/>
  <c r="C2252" i="8"/>
  <c r="C2268" i="8"/>
  <c r="C2249" i="8"/>
  <c r="C2265" i="8"/>
  <c r="C2246" i="8"/>
  <c r="C2262" i="8"/>
  <c r="C2259" i="8"/>
  <c r="C2275" i="8"/>
  <c r="C2256" i="8"/>
  <c r="C2272" i="8"/>
  <c r="C2253" i="8"/>
  <c r="C2269" i="8"/>
  <c r="C2255" i="8"/>
  <c r="C2282" i="8"/>
  <c r="C2298" i="8"/>
  <c r="C2279" i="8"/>
  <c r="C2295" i="8"/>
  <c r="C2311" i="8"/>
  <c r="C2276" i="8"/>
  <c r="C2292" i="8"/>
  <c r="C2308" i="8"/>
  <c r="C2289" i="8"/>
  <c r="C2305" i="8"/>
  <c r="C2286" i="8"/>
  <c r="C2302" i="8"/>
  <c r="C2283" i="8"/>
  <c r="C2299" i="8"/>
  <c r="C2270" i="8"/>
  <c r="C2280" i="8"/>
  <c r="C2296" i="8"/>
  <c r="C2312" i="8"/>
  <c r="C2277" i="8"/>
  <c r="C2293" i="8"/>
  <c r="C2309" i="8"/>
  <c r="C2271" i="8"/>
  <c r="C2290" i="8"/>
  <c r="C2306" i="8"/>
  <c r="C2287" i="8"/>
  <c r="C2303" i="8"/>
  <c r="C2273" i="8"/>
  <c r="C2284" i="8"/>
  <c r="C2300" i="8"/>
  <c r="C2281" i="8"/>
  <c r="C2297" i="8"/>
  <c r="C2278" i="8"/>
  <c r="C2294" i="8"/>
  <c r="C2310" i="8"/>
  <c r="C2274" i="8"/>
  <c r="C2291" i="8"/>
  <c r="C2307" i="8"/>
  <c r="C2288" i="8"/>
  <c r="C2304" i="8"/>
  <c r="C2285" i="8"/>
  <c r="C2301" i="8"/>
  <c r="C550" i="8"/>
  <c r="C551" i="8"/>
  <c r="C548" i="8"/>
  <c r="C552" i="8"/>
  <c r="C549" i="8"/>
  <c r="C53" i="7"/>
  <c r="H53" i="6"/>
  <c r="C3145" i="8" l="1"/>
  <c r="D3145" i="8"/>
  <c r="K9" i="1"/>
  <c r="L8" i="1"/>
  <c r="K8" i="1"/>
  <c r="J8" i="1"/>
  <c r="J13" i="1"/>
  <c r="J14" i="1"/>
  <c r="J15" i="1"/>
  <c r="J16" i="1"/>
  <c r="J17" i="1"/>
  <c r="J18" i="1"/>
  <c r="J19" i="1"/>
  <c r="J20" i="1"/>
  <c r="J21" i="1"/>
  <c r="J22" i="1"/>
  <c r="J23" i="1"/>
  <c r="J12" i="1"/>
  <c r="G13" i="1"/>
  <c r="G14" i="1"/>
  <c r="G15" i="1"/>
  <c r="G16" i="1"/>
  <c r="G17" i="1"/>
  <c r="G18" i="1"/>
  <c r="G19" i="1"/>
  <c r="G20" i="1"/>
  <c r="G21" i="1"/>
  <c r="G22" i="1"/>
  <c r="G23" i="1"/>
  <c r="G12" i="1"/>
  <c r="F24" i="1"/>
  <c r="I13" i="1"/>
  <c r="I14" i="1"/>
  <c r="I15" i="1"/>
  <c r="I16" i="1"/>
  <c r="I17" i="1"/>
  <c r="I18" i="1"/>
  <c r="I19" i="1"/>
  <c r="I20" i="1"/>
  <c r="I21" i="1"/>
  <c r="I22" i="1"/>
  <c r="I23" i="1"/>
  <c r="F13" i="1"/>
  <c r="F14" i="1"/>
  <c r="F15" i="1"/>
  <c r="F16" i="1"/>
  <c r="F17" i="1"/>
  <c r="F18" i="1"/>
  <c r="F19" i="1"/>
  <c r="F20" i="1"/>
  <c r="F21" i="1"/>
  <c r="F22" i="1"/>
  <c r="F23" i="1"/>
  <c r="I12" i="1"/>
  <c r="I24" i="1" s="1"/>
  <c r="F12" i="1"/>
  <c r="B5" i="1"/>
  <c r="D5" i="1" s="1"/>
  <c r="F5" i="1" s="1"/>
  <c r="H5" i="1" s="1"/>
  <c r="F4" i="1"/>
  <c r="H4" i="1" s="1"/>
  <c r="F3" i="1"/>
  <c r="H3" i="1" s="1"/>
  <c r="F2" i="1"/>
  <c r="H2" i="1" s="1"/>
  <c r="D7" i="1"/>
  <c r="F7" i="1" s="1"/>
  <c r="H7" i="1" s="1"/>
  <c r="D4" i="1"/>
  <c r="D3" i="1"/>
  <c r="D2" i="1"/>
  <c r="B3" i="1"/>
  <c r="B4" i="1" s="1"/>
  <c r="B6" i="1" l="1"/>
  <c r="D6" i="1" s="1"/>
  <c r="F6" i="1" s="1"/>
  <c r="F9" i="1" s="1"/>
  <c r="H6" i="1" l="1"/>
</calcChain>
</file>

<file path=xl/sharedStrings.xml><?xml version="1.0" encoding="utf-8"?>
<sst xmlns="http://schemas.openxmlformats.org/spreadsheetml/2006/main" count="453" uniqueCount="163">
  <si>
    <t>tons</t>
  </si>
  <si>
    <t>Tg</t>
  </si>
  <si>
    <t>Gg</t>
  </si>
  <si>
    <t>Usage</t>
  </si>
  <si>
    <t>Emis</t>
  </si>
  <si>
    <t>SOA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</si>
  <si>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</si>
  <si>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</si>
  <si>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</si>
  <si>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</si>
  <si>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</si>
  <si>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</si>
  <si>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</si>
  <si>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</si>
  <si>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</si>
  <si>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</si>
  <si>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</si>
  <si>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</si>
  <si>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barrels</t>
  </si>
  <si>
    <t>short ton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</si>
  <si>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</si>
  <si>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</si>
  <si>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</si>
  <si>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</si>
  <si>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</si>
  <si>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</si>
  <si>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</si>
  <si>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</si>
  <si>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</si>
  <si>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</si>
  <si>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</si>
  <si>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</si>
  <si>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</si>
  <si>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</si>
  <si>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</si>
  <si>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</si>
  <si>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</si>
  <si>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</si>
  <si>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</si>
  <si>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</si>
  <si>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</si>
  <si>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</si>
  <si>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</si>
  <si>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</si>
  <si>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</si>
  <si>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</si>
  <si>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</si>
  <si>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</si>
  <si>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</si>
  <si>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</si>
  <si>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</si>
  <si>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</si>
  <si>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</si>
  <si>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</si>
  <si>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</si>
  <si>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</si>
  <si>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</si>
  <si>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</si>
  <si>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</si>
  <si>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</si>
  <si>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</si>
  <si>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</si>
  <si>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</si>
  <si>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</si>
  <si>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</si>
  <si>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</si>
  <si>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</si>
  <si>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</si>
  <si>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</si>
  <si>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</si>
  <si>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</si>
  <si>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</si>
  <si>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PADD 1 - East Coast</t>
  </si>
  <si>
    <t>New England</t>
  </si>
  <si>
    <t>Central Atlantic</t>
  </si>
  <si>
    <t>Lower Atlantic</t>
  </si>
  <si>
    <t>PADD 2 - Midwest</t>
  </si>
  <si>
    <t>Midwest East</t>
  </si>
  <si>
    <t>Midwest North</t>
  </si>
  <si>
    <t>Midwest South</t>
  </si>
  <si>
    <t>PADD 3 - Gulf Coast</t>
  </si>
  <si>
    <t>Gulf Coast East</t>
  </si>
  <si>
    <t>Gulf Coast West</t>
  </si>
  <si>
    <t>PADD 4 - Rocky Mountain</t>
  </si>
  <si>
    <t>Rocky Mountain</t>
  </si>
  <si>
    <t>PADD 5 - West Coast</t>
  </si>
  <si>
    <t>West Coast (CA)</t>
  </si>
  <si>
    <t>Total U.S.</t>
  </si>
  <si>
    <t>Asphalt Cement</t>
  </si>
  <si>
    <t>Modified Asphalt Cement</t>
  </si>
  <si>
    <t>Cutback Asphalt</t>
  </si>
  <si>
    <t>Emulsified Asphalt</t>
  </si>
  <si>
    <t>Total Paving</t>
  </si>
  <si>
    <t>All Roofing</t>
  </si>
  <si>
    <t>Misc.</t>
  </si>
  <si>
    <t>Total Non-Paving</t>
  </si>
  <si>
    <t>Total</t>
  </si>
  <si>
    <t>Paving</t>
  </si>
  <si>
    <t>Non-Paving</t>
  </si>
  <si>
    <t>PADD</t>
  </si>
  <si>
    <t>West Coast (less CA)</t>
  </si>
  <si>
    <t>HMA/WMA Produced</t>
  </si>
  <si>
    <t>WMA @ Reduced Temps</t>
  </si>
  <si>
    <t>WMA @ HMA Temps</t>
  </si>
  <si>
    <t>PADD Region</t>
  </si>
  <si>
    <t>PADD 1</t>
  </si>
  <si>
    <t>PADD 2</t>
  </si>
  <si>
    <t>PADD 3</t>
  </si>
  <si>
    <t>PADD 4</t>
  </si>
  <si>
    <t>PADD 5</t>
  </si>
  <si>
    <t>Date</t>
  </si>
  <si>
    <t>U.S.</t>
  </si>
  <si>
    <t>HMA/WMA Produced (NAPA)</t>
  </si>
  <si>
    <t>WMA @ Reduced Temps (NAPA)</t>
  </si>
  <si>
    <t>HMA Cement</t>
  </si>
  <si>
    <t>WMA Cement</t>
  </si>
  <si>
    <t>Emission Factors [%]</t>
  </si>
  <si>
    <t>HMA Cement [short tons]</t>
  </si>
  <si>
    <t>WMA Cement [short tons]</t>
  </si>
  <si>
    <t>Cutback Asphalt [short tons]</t>
  </si>
  <si>
    <t>Emulsified Asphalt [short tons]</t>
  </si>
  <si>
    <t>All Roofing [short tons]</t>
  </si>
  <si>
    <t>United States</t>
  </si>
  <si>
    <t>Only used for seasonal cycle; can be used for activity in future</t>
  </si>
  <si>
    <t># fipstate</t>
  </si>
  <si>
    <t>fipscty</t>
  </si>
  <si>
    <t>fipstate</t>
  </si>
  <si>
    <t>Population County % of State</t>
  </si>
  <si>
    <t>Construction Expenditures (in Millions)</t>
  </si>
  <si>
    <t># Construction expenditures retreived from U.S. Census Bureau: https://www.census.gov/construction/c30/about_the_survey.html</t>
  </si>
  <si>
    <t>pVMT County % of State</t>
  </si>
  <si>
    <t>g/kg</t>
  </si>
  <si>
    <t>lb/ton</t>
  </si>
  <si>
    <t># 2018; All numbers reported as percentages; retreived from PavedVMT_byCounty_2018.xlsx spreadsheet</t>
  </si>
  <si>
    <t># 2018; All numbers reported in short tons and retreived from the 2018 Asphalt Usage Survey</t>
  </si>
  <si>
    <t># 2018; All numbers reported in million short tons of asphalt pavement (asphalt cement ~5% of total; residual is aggregate)</t>
  </si>
  <si>
    <t>%</t>
  </si>
  <si>
    <t>HMA</t>
  </si>
  <si>
    <t>Application</t>
  </si>
  <si>
    <t>WMA</t>
  </si>
  <si>
    <t>Cutback</t>
  </si>
  <si>
    <t>Emulsified</t>
  </si>
  <si>
    <t>Roofing</t>
  </si>
  <si>
    <t>In-use Low</t>
  </si>
  <si>
    <t>In-use High</t>
  </si>
  <si>
    <t>Solar Low</t>
  </si>
  <si>
    <t>Solar High</t>
  </si>
  <si>
    <t>*5% of roofing applied hot</t>
  </si>
  <si>
    <t>Final (no solar)</t>
  </si>
  <si>
    <t># 2018; All numbers reported in thousand barrels; https://www.eia.gov/dnav/pet/pet_cons_psup_a_eppa_vpp_mbbl_m.htm</t>
  </si>
  <si>
    <t># 2018; All numbers reported in short tons; 5.5 short tons per barrel; https://www.eia.gov/dnav/pet/pet_cons_psup_a_eppa_vpp_mbbl_m.htm</t>
  </si>
  <si>
    <t>USA</t>
  </si>
  <si>
    <t>Population</t>
  </si>
  <si>
    <t>HMA kg/person</t>
  </si>
  <si>
    <t>WMA kg/person</t>
  </si>
  <si>
    <t>Cutback kg/person</t>
  </si>
  <si>
    <t>Emulsified kg/person</t>
  </si>
  <si>
    <t>Roofing kg/person</t>
  </si>
  <si>
    <t>Total kg/person</t>
  </si>
  <si>
    <t>Heated</t>
  </si>
  <si>
    <t>Ambient</t>
  </si>
  <si>
    <t>% Heated</t>
  </si>
  <si>
    <t>% Ambient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</si>
</sst>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[$-409]mmm\-yy;@"/>
    <numFmt numFmtId="168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6" fontId="0" fillId="0" borderId="0" xfId="2" applyNumberFormat="1" applyFont="1"/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7" fontId="0" fillId="0" borderId="23" xfId="0" applyNumberFormat="1" applyBorder="1" applyAlignment="1">
      <alignment horizontal="center"/>
    </xf>
    <xf numFmtId="167" fontId="0" fillId="0" borderId="24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7" xfId="0" applyNumberFormat="1" applyFill="1" applyBorder="1" applyAlignment="1">
      <alignment horizontal="center"/>
    </xf>
    <xf numFmtId="1" fontId="0" fillId="0" borderId="18" xfId="0" applyNumberFormat="1" applyFill="1" applyBorder="1" applyAlignment="1">
      <alignment horizontal="center"/>
    </xf>
    <xf numFmtId="1" fontId="0" fillId="0" borderId="19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0" fillId="2" borderId="7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2" fontId="0" fillId="2" borderId="20" xfId="0" applyNumberForma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0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10" fontId="0" fillId="0" borderId="10" xfId="2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10" fontId="0" fillId="0" borderId="11" xfId="2" applyNumberFormat="1" applyFont="1" applyBorder="1" applyAlignment="1">
      <alignment horizontal="center"/>
    </xf>
    <xf numFmtId="11" fontId="0" fillId="0" borderId="7" xfId="0" applyNumberFormat="1" applyBorder="1"/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0" fontId="0" fillId="2" borderId="7" xfId="2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1" fontId="0" fillId="2" borderId="16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168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2" fontId="0" fillId="0" borderId="0" xfId="0" applyNumberFormat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8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EIA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Sheet1!$J$12:$J$23</c:f>
              <c:numCache>
                <c:formatCode>0.0%</c:formatCode>
                <c:ptCount val="12"/>
                <c:pt idx="0">
                  <c:v>4.7449043784599902E-2</c:v>
                </c:pt>
                <c:pt idx="1">
                  <c:v>4.4280007549068946E-2</c:v>
                </c:pt>
                <c:pt idx="2">
                  <c:v>5.6507926522395571E-2</c:v>
                </c:pt>
                <c:pt idx="3">
                  <c:v>7.5042463512833418E-2</c:v>
                </c:pt>
                <c:pt idx="4">
                  <c:v>9.0069828887770501E-2</c:v>
                </c:pt>
                <c:pt idx="5">
                  <c:v>9.7390853044791129E-2</c:v>
                </c:pt>
                <c:pt idx="6">
                  <c:v>0.12433945646703572</c:v>
                </c:pt>
                <c:pt idx="7">
                  <c:v>0.12349018621036738</c:v>
                </c:pt>
                <c:pt idx="8">
                  <c:v>0.1132832159033719</c:v>
                </c:pt>
                <c:pt idx="9">
                  <c:v>0.10678000754906894</c:v>
                </c:pt>
                <c:pt idx="10">
                  <c:v>7.305296930045295E-2</c:v>
                </c:pt>
                <c:pt idx="11">
                  <c:v>4.8314041268243582E-2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6-49BC-8223-18CF7960A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576783"/>
        <c:axId val="1539591343"/>
      </c:lineChart>
      <c:catAx>
        <c:axId val="153957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91343"/>
        <c:crosses val="autoZero"/>
        <c:auto val="1"/>
        <c:lblAlgn val="ctr"/>
        <c:lblOffset val="100"/>
        <c:noMultiLvlLbl val="0"/>
      </c:catAx>
      <c:valAx>
        <c:axId val="153959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7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390525</xdr:colOff>
      <xdr:row>11</xdr:row>
      <xdr:rowOff>61912</xdr:rowOff>
    </xdr:from>
    <xdr:to>
      <xdr:col>18</xdr:col>
      <xdr:colOff>338137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60B65-348B-46E0-8DE0-9D74A822C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1CCD-20F3-4C85-8E23-B9505417EA64}">
  <dimension ref="A1:L24"/>
  <sheetViews>
    <sheetView workbookViewId="0">
      <selection activeCell="H29" sqref="G29:H29"/>
    </sheetView>
  </sheetViews>
  <sheetFormatPr defaultRowHeight="15" x14ac:dyDescent="0.25"/>
  <cols>
    <col min="6" max="6" width="13.28515625" bestFit="1" customWidth="1"/>
    <col min="8" max="8" width="14.28515625" bestFit="1" customWidth="1"/>
    <col min="9" max="9" width="13.28515625" customWidth="1"/>
  </cols>
  <sheetData>
    <row r="1" spans="1:12" x14ac:dyDescent="0.25">
      <c r="B1" t="s">
        <v>3</v>
      </c>
      <c r="D1" t="s">
        <v>3</v>
      </c>
      <c r="F1" t="s">
        <v>4</v>
      </c>
      <c r="G1">
        <v>5.0000000000000001E-3</v>
      </c>
      <c r="H1" t="s">
        <v>5</v>
      </c>
      <c r="I1">
        <v>0.25</v>
      </c>
    </row>
    <row r="2" spans="1:12" x14ac:dyDescent="0.25">
      <c r="A2">
        <v>2016</v>
      </c>
      <c r="B2">
        <v>16300000</v>
      </c>
      <c r="C2" t="s">
        <v>0</v>
      </c>
      <c r="D2" s="1">
        <f t="shared" ref="D2:D7" si="0">B2*907.185/1000000000</f>
        <v>14.787115500000001</v>
      </c>
      <c r="E2" t="s">
        <v>1</v>
      </c>
      <c r="F2" s="1">
        <f t="shared" ref="F2:F7" si="1">D2*$G$1*1000</f>
        <v>73.935577500000008</v>
      </c>
      <c r="G2" t="s">
        <v>2</v>
      </c>
      <c r="H2" s="1">
        <f>F2*$I$1</f>
        <v>18.483894375000002</v>
      </c>
      <c r="I2" t="s">
        <v>2</v>
      </c>
    </row>
    <row r="3" spans="1:12" x14ac:dyDescent="0.25">
      <c r="A3">
        <v>2017</v>
      </c>
      <c r="B3">
        <f>($B$7-$B$2)/5+B2</f>
        <v>16880000</v>
      </c>
      <c r="C3" t="s">
        <v>0</v>
      </c>
      <c r="D3" s="1">
        <f t="shared" si="0"/>
        <v>15.3132828</v>
      </c>
      <c r="E3" t="s">
        <v>1</v>
      </c>
      <c r="F3" s="1">
        <f t="shared" si="1"/>
        <v>76.566413999999995</v>
      </c>
      <c r="G3" t="s">
        <v>2</v>
      </c>
      <c r="H3" s="1">
        <f t="shared" ref="H3:H7" si="2">F3*$I$1</f>
        <v>19.141603499999999</v>
      </c>
      <c r="I3" t="s">
        <v>2</v>
      </c>
    </row>
    <row r="4" spans="1:12" x14ac:dyDescent="0.25">
      <c r="A4">
        <v>2018</v>
      </c>
      <c r="B4">
        <f>($B$7-$B$2)/5+B3</f>
        <v>17460000</v>
      </c>
      <c r="C4" t="s">
        <v>0</v>
      </c>
      <c r="D4" s="1">
        <f t="shared" si="0"/>
        <v>15.839450100000001</v>
      </c>
      <c r="E4" t="s">
        <v>1</v>
      </c>
      <c r="F4" s="1">
        <f t="shared" si="1"/>
        <v>79.19725050000001</v>
      </c>
      <c r="G4" t="s">
        <v>2</v>
      </c>
      <c r="H4" s="1">
        <f t="shared" si="2"/>
        <v>19.799312625000002</v>
      </c>
      <c r="I4" t="s">
        <v>2</v>
      </c>
    </row>
    <row r="5" spans="1:12" x14ac:dyDescent="0.25">
      <c r="A5">
        <v>2019</v>
      </c>
      <c r="B5">
        <f>($B$7-$B$2)/5+B4</f>
        <v>18040000</v>
      </c>
      <c r="C5" t="s">
        <v>0</v>
      </c>
      <c r="D5" s="1">
        <f t="shared" si="0"/>
        <v>16.365617399999998</v>
      </c>
      <c r="E5" t="s">
        <v>1</v>
      </c>
      <c r="F5" s="1">
        <f t="shared" si="1"/>
        <v>81.828086999999996</v>
      </c>
      <c r="G5" t="s">
        <v>2</v>
      </c>
      <c r="H5" s="1">
        <f t="shared" si="2"/>
        <v>20.457021749999999</v>
      </c>
      <c r="I5" t="s">
        <v>2</v>
      </c>
    </row>
    <row r="6" spans="1:12" x14ac:dyDescent="0.25">
      <c r="A6">
        <v>2020</v>
      </c>
      <c r="B6">
        <f>($B$7-$B$2)/5+B5</f>
        <v>18620000</v>
      </c>
      <c r="C6" t="s">
        <v>0</v>
      </c>
      <c r="D6" s="1">
        <f t="shared" si="0"/>
        <v>16.891784699999999</v>
      </c>
      <c r="E6" t="s">
        <v>1</v>
      </c>
      <c r="F6" s="1">
        <f t="shared" si="1"/>
        <v>84.458923499999997</v>
      </c>
      <c r="G6" t="s">
        <v>2</v>
      </c>
      <c r="H6" s="1">
        <f t="shared" si="2"/>
        <v>21.114730874999999</v>
      </c>
      <c r="I6" t="s">
        <v>2</v>
      </c>
    </row>
    <row r="7" spans="1:12" x14ac:dyDescent="0.25">
      <c r="A7">
        <v>2021</v>
      </c>
      <c r="B7">
        <v>19200000</v>
      </c>
      <c r="C7" t="s">
        <v>0</v>
      </c>
      <c r="D7" s="1">
        <f t="shared" si="0"/>
        <v>17.417952</v>
      </c>
      <c r="E7" t="s">
        <v>1</v>
      </c>
      <c r="F7" s="1">
        <f t="shared" si="1"/>
        <v>87.089759999999998</v>
      </c>
      <c r="G7" t="s">
        <v>2</v>
      </c>
      <c r="H7" s="1">
        <f t="shared" si="2"/>
        <v>21.77244</v>
      </c>
      <c r="I7" t="s">
        <v>2</v>
      </c>
    </row>
    <row r="8" spans="1:12" x14ac:dyDescent="0.25">
      <c r="J8">
        <f>0.005*B6</f>
        <v>93100</v>
      </c>
      <c r="K8">
        <f>175350*0.4</f>
        <v>70140</v>
      </c>
      <c r="L8">
        <f>2254762*0.1</f>
        <v>225476.2</v>
      </c>
    </row>
    <row r="9" spans="1:12" x14ac:dyDescent="0.25">
      <c r="F9" s="1">
        <f>F6*1000000/907.185</f>
        <v>93100</v>
      </c>
      <c r="K9">
        <f>SUM(J8:L8)</f>
        <v>388716.2</v>
      </c>
    </row>
    <row r="11" spans="1:12" x14ac:dyDescent="0.25">
      <c r="E11" t="s">
        <v>18</v>
      </c>
      <c r="F11" t="s">
        <v>19</v>
      </c>
      <c r="H11" t="s">
        <v>18</v>
      </c>
      <c r="I11" t="s">
        <v>19</v>
      </c>
    </row>
    <row r="12" spans="1:12" x14ac:dyDescent="0.25">
      <c r="D12" t="s">
        <v>6</v>
      </c>
      <c r="E12">
        <v>400000</v>
      </c>
      <c r="F12">
        <f>E12/5.5</f>
        <v>72727.272727272721</v>
      </c>
      <c r="G12" s="3">
        <f>F12/$F$24</f>
        <v>1.1869436201780412E-2</v>
      </c>
      <c r="H12">
        <v>6034000</v>
      </c>
      <c r="I12">
        <f>H12/5.5</f>
        <v>1097090.9090909092</v>
      </c>
      <c r="J12" s="3">
        <f>I12/$I$24</f>
        <v>4.7449043784599902E-2</v>
      </c>
    </row>
    <row r="13" spans="1:12" x14ac:dyDescent="0.25">
      <c r="D13" t="s">
        <v>7</v>
      </c>
      <c r="E13">
        <v>700000</v>
      </c>
      <c r="F13">
        <f t="shared" ref="F13:F23" si="3">E13/5.5</f>
        <v>127272.72727272728</v>
      </c>
      <c r="G13" s="3">
        <f t="shared" ref="G13:G23" si="4">F13/$F$24</f>
        <v>2.0771513353115723E-2</v>
      </c>
      <c r="H13">
        <v>5631000</v>
      </c>
      <c r="I13">
        <f t="shared" ref="I13:I23" si="5">H13/5.5</f>
        <v>1023818.1818181818</v>
      </c>
      <c r="J13" s="3">
        <f t="shared" ref="J13:J23" si="6">I13/$I$24</f>
        <v>4.4280007549068946E-2</v>
      </c>
    </row>
    <row r="14" spans="1:12" x14ac:dyDescent="0.25">
      <c r="D14" t="s">
        <v>8</v>
      </c>
      <c r="E14">
        <v>2100000</v>
      </c>
      <c r="F14">
        <f t="shared" si="3"/>
        <v>381818.18181818182</v>
      </c>
      <c r="G14" s="3">
        <f t="shared" si="4"/>
        <v>6.2314540059347168E-2</v>
      </c>
      <c r="H14">
        <v>7186000</v>
      </c>
      <c r="I14">
        <f t="shared" si="5"/>
        <v>1306545.4545454546</v>
      </c>
      <c r="J14" s="3">
        <f t="shared" si="6"/>
        <v>5.6507926522395571E-2</v>
      </c>
    </row>
    <row r="15" spans="1:12" x14ac:dyDescent="0.25">
      <c r="D15" t="s">
        <v>9</v>
      </c>
      <c r="E15">
        <v>2500000</v>
      </c>
      <c r="F15">
        <f t="shared" si="3"/>
        <v>454545.45454545453</v>
      </c>
      <c r="G15" s="3">
        <f t="shared" si="4"/>
        <v>7.4183976261127577E-2</v>
      </c>
      <c r="H15">
        <v>9543000</v>
      </c>
      <c r="I15">
        <f t="shared" si="5"/>
        <v>1735090.9090909092</v>
      </c>
      <c r="J15" s="3">
        <f t="shared" si="6"/>
        <v>7.5042463512833418E-2</v>
      </c>
    </row>
    <row r="16" spans="1:12" x14ac:dyDescent="0.25">
      <c r="D16" t="s">
        <v>10</v>
      </c>
      <c r="E16">
        <v>4000000</v>
      </c>
      <c r="F16">
        <f t="shared" si="3"/>
        <v>727272.72727272729</v>
      </c>
      <c r="G16" s="3">
        <f t="shared" si="4"/>
        <v>0.11869436201780413</v>
      </c>
      <c r="H16">
        <v>11454000</v>
      </c>
      <c r="I16">
        <f t="shared" si="5"/>
        <v>2082545.4545454546</v>
      </c>
      <c r="J16" s="3">
        <f t="shared" si="6"/>
        <v>9.0069828887770501E-2</v>
      </c>
    </row>
    <row r="17" spans="4:10" x14ac:dyDescent="0.25">
      <c r="D17" t="s">
        <v>11</v>
      </c>
      <c r="E17">
        <v>4250000</v>
      </c>
      <c r="F17">
        <f t="shared" si="3"/>
        <v>772727.27272727271</v>
      </c>
      <c r="G17" s="3">
        <f t="shared" si="4"/>
        <v>0.12611275964391688</v>
      </c>
      <c r="H17">
        <v>12385000</v>
      </c>
      <c r="I17">
        <f t="shared" si="5"/>
        <v>2251818.1818181816</v>
      </c>
      <c r="J17" s="3">
        <f t="shared" si="6"/>
        <v>9.7390853044791129E-2</v>
      </c>
    </row>
    <row r="18" spans="4:10" x14ac:dyDescent="0.25">
      <c r="D18" t="s">
        <v>12</v>
      </c>
      <c r="E18">
        <v>5050000</v>
      </c>
      <c r="F18">
        <f t="shared" si="3"/>
        <v>918181.81818181823</v>
      </c>
      <c r="G18" s="3">
        <f t="shared" si="4"/>
        <v>0.14985163204747773</v>
      </c>
      <c r="H18">
        <v>15812000</v>
      </c>
      <c r="I18">
        <f t="shared" si="5"/>
        <v>2874909.0909090908</v>
      </c>
      <c r="J18" s="3">
        <f t="shared" si="6"/>
        <v>0.12433945646703572</v>
      </c>
    </row>
    <row r="19" spans="4:10" x14ac:dyDescent="0.25">
      <c r="D19" t="s">
        <v>13</v>
      </c>
      <c r="E19">
        <v>5100000</v>
      </c>
      <c r="F19">
        <f t="shared" si="3"/>
        <v>927272.72727272729</v>
      </c>
      <c r="G19" s="3">
        <f t="shared" si="4"/>
        <v>0.15133531157270028</v>
      </c>
      <c r="H19">
        <v>15704000</v>
      </c>
      <c r="I19">
        <f t="shared" si="5"/>
        <v>2855272.7272727271</v>
      </c>
      <c r="J19" s="3">
        <f t="shared" si="6"/>
        <v>0.12349018621036738</v>
      </c>
    </row>
    <row r="20" spans="4:10" x14ac:dyDescent="0.25">
      <c r="D20" t="s">
        <v>14</v>
      </c>
      <c r="E20">
        <v>4100000</v>
      </c>
      <c r="F20">
        <f t="shared" si="3"/>
        <v>745454.54545454541</v>
      </c>
      <c r="G20" s="3">
        <f t="shared" si="4"/>
        <v>0.12166172106824923</v>
      </c>
      <c r="H20">
        <v>14406000</v>
      </c>
      <c r="I20">
        <f t="shared" si="5"/>
        <v>2619272.7272727271</v>
      </c>
      <c r="J20" s="3">
        <f t="shared" si="6"/>
        <v>0.1132832159033719</v>
      </c>
    </row>
    <row r="21" spans="4:10" x14ac:dyDescent="0.25">
      <c r="D21" t="s">
        <v>15</v>
      </c>
      <c r="E21">
        <v>3000000</v>
      </c>
      <c r="F21">
        <f t="shared" si="3"/>
        <v>545454.54545454541</v>
      </c>
      <c r="G21" s="3">
        <f t="shared" si="4"/>
        <v>8.9020771513353095E-2</v>
      </c>
      <c r="H21">
        <v>13579000</v>
      </c>
      <c r="I21">
        <f t="shared" si="5"/>
        <v>2468909.0909090908</v>
      </c>
      <c r="J21" s="3">
        <f t="shared" si="6"/>
        <v>0.10678000754906894</v>
      </c>
    </row>
    <row r="22" spans="4:10" x14ac:dyDescent="0.25">
      <c r="D22" t="s">
        <v>16</v>
      </c>
      <c r="E22">
        <v>1800000</v>
      </c>
      <c r="F22">
        <f t="shared" si="3"/>
        <v>327272.72727272729</v>
      </c>
      <c r="G22" s="3">
        <f t="shared" si="4"/>
        <v>5.3412462908011861E-2</v>
      </c>
      <c r="H22">
        <v>9290000</v>
      </c>
      <c r="I22">
        <f t="shared" si="5"/>
        <v>1689090.9090909092</v>
      </c>
      <c r="J22" s="3">
        <f t="shared" si="6"/>
        <v>7.305296930045295E-2</v>
      </c>
    </row>
    <row r="23" spans="4:10" x14ac:dyDescent="0.25">
      <c r="D23" t="s">
        <v>17</v>
      </c>
      <c r="E23">
        <v>700000</v>
      </c>
      <c r="F23">
        <f t="shared" si="3"/>
        <v>127272.72727272728</v>
      </c>
      <c r="G23" s="3">
        <f t="shared" si="4"/>
        <v>2.0771513353115723E-2</v>
      </c>
      <c r="H23">
        <v>6144000</v>
      </c>
      <c r="I23">
        <f t="shared" si="5"/>
        <v>1117090.9090909092</v>
      </c>
      <c r="J23" s="3">
        <f t="shared" si="6"/>
        <v>4.8314041268243582E-2</v>
      </c>
    </row>
    <row r="24" spans="4:10" x14ac:dyDescent="0.25">
      <c r="F24" s="2">
        <f>SUM(F12:F23)</f>
        <v>6127272.7272727285</v>
      </c>
      <c r="I24" s="2">
        <f>SUM(I12:I23)</f>
        <v>23121454.545454547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D063-786C-4A3D-A75A-C9D2C8698CFD}">
  <sheetPr>
    <tabColor rgb="FF00B050"/>
  </sheetPr>
  <dimension ref="A1:R3257"/>
  <sheetViews>
    <sheetView workbookViewId="0">
      <selection activeCell="K5" sqref="K5:K23"/>
    </sheetView>
  </sheetViews>
  <sheetFormatPr defaultRowHeight="15" x14ac:dyDescent="0.25"/>
  <cols>
    <col min="1" max="1" width="24.140625" customWidth="1"/>
    <col min="2" max="17" width="12.85546875" customWidth="1"/>
  </cols>
  <sheetData>
    <row r="1" spans="1:18" ht="15.75" thickBot="1" x14ac:dyDescent="0.3">
      <c r="A1" t="s">
        <v>134</v>
      </c>
    </row>
    <row r="2" spans="1:18" ht="15.75" thickBot="1" x14ac:dyDescent="0.3">
      <c r="A2" s="118" t="s">
        <v>99</v>
      </c>
      <c r="B2" s="120" t="s">
        <v>97</v>
      </c>
      <c r="C2" s="120"/>
      <c r="D2" s="120"/>
      <c r="E2" s="120"/>
      <c r="F2" s="120"/>
      <c r="G2" s="120" t="s">
        <v>98</v>
      </c>
      <c r="H2" s="120"/>
      <c r="I2" s="120"/>
      <c r="J2" s="121" t="s">
        <v>96</v>
      </c>
    </row>
    <row r="3" spans="1:18" ht="45.75" thickBot="1" x14ac:dyDescent="0.3">
      <c r="A3" s="119"/>
      <c r="B3" s="4" t="s">
        <v>88</v>
      </c>
      <c r="C3" s="4" t="s">
        <v>89</v>
      </c>
      <c r="D3" s="4" t="s">
        <v>90</v>
      </c>
      <c r="E3" s="4" t="s">
        <v>91</v>
      </c>
      <c r="F3" s="4" t="s">
        <v>92</v>
      </c>
      <c r="G3" s="4" t="s">
        <v>93</v>
      </c>
      <c r="H3" s="4" t="s">
        <v>94</v>
      </c>
      <c r="I3" s="4" t="s">
        <v>95</v>
      </c>
      <c r="J3" s="122"/>
      <c r="L3" s="116" t="s">
        <v>116</v>
      </c>
      <c r="M3" s="44" t="s">
        <v>114</v>
      </c>
      <c r="N3" s="44" t="s">
        <v>115</v>
      </c>
      <c r="O3" s="44" t="s">
        <v>90</v>
      </c>
      <c r="P3" s="44" t="s">
        <v>91</v>
      </c>
      <c r="Q3" s="45" t="s">
        <v>93</v>
      </c>
    </row>
    <row r="4" spans="1:18" ht="15.75" thickBot="1" x14ac:dyDescent="0.3">
      <c r="A4" s="5" t="s">
        <v>72</v>
      </c>
      <c r="B4" s="6"/>
      <c r="C4" s="6"/>
      <c r="D4" s="6"/>
      <c r="E4" s="6"/>
      <c r="F4" s="6"/>
      <c r="G4" s="6"/>
      <c r="H4" s="6"/>
      <c r="I4" s="6"/>
      <c r="J4" s="7"/>
      <c r="L4" s="117"/>
      <c r="M4" s="67">
        <v>5.0249999999999991E-3</v>
      </c>
      <c r="N4" s="67">
        <v>3.1649999999999998E-3</v>
      </c>
      <c r="O4" s="67">
        <v>0.40798499999999999</v>
      </c>
      <c r="P4" s="67">
        <v>9.8759999999999987E-2</v>
      </c>
      <c r="Q4" s="85">
        <v>1.7951117168729932E-2</v>
      </c>
    </row>
    <row r="5" spans="1:18" x14ac:dyDescent="0.25">
      <c r="A5" s="8" t="s">
        <v>73</v>
      </c>
      <c r="B5" s="28">
        <v>777486</v>
      </c>
      <c r="C5" s="28">
        <v>4299</v>
      </c>
      <c r="D5" s="28"/>
      <c r="E5" s="28">
        <v>2734</v>
      </c>
      <c r="F5" s="28">
        <f>SUM(B5:E5)</f>
        <v>784519</v>
      </c>
      <c r="G5" s="28">
        <v>12270</v>
      </c>
      <c r="H5" s="28"/>
      <c r="I5" s="28">
        <f>SUM(G5:H5)</f>
        <v>12270</v>
      </c>
      <c r="J5" s="29">
        <f>SUM(F5,I5)</f>
        <v>796789</v>
      </c>
    </row>
    <row r="6" spans="1:18" x14ac:dyDescent="0.25">
      <c r="A6" s="8" t="s">
        <v>74</v>
      </c>
      <c r="B6" s="28">
        <v>1980145</v>
      </c>
      <c r="C6" s="28">
        <v>195159</v>
      </c>
      <c r="D6" s="28">
        <v>658</v>
      </c>
      <c r="E6" s="28">
        <v>169750</v>
      </c>
      <c r="F6" s="28">
        <f>SUM(B6:E6)</f>
        <v>2345712</v>
      </c>
      <c r="G6" s="28">
        <v>593736</v>
      </c>
      <c r="H6" s="28"/>
      <c r="I6" s="28">
        <f>SUM(G6:H6)</f>
        <v>593736</v>
      </c>
      <c r="J6" s="29">
        <f>SUM(F6,I6)</f>
        <v>2939448</v>
      </c>
      <c r="N6">
        <v>43</v>
      </c>
      <c r="O6" t="s">
        <v>131</v>
      </c>
    </row>
    <row r="7" spans="1:18" x14ac:dyDescent="0.25">
      <c r="A7" s="8" t="s">
        <v>75</v>
      </c>
      <c r="B7" s="28">
        <v>2452084</v>
      </c>
      <c r="C7" s="28">
        <v>418286</v>
      </c>
      <c r="D7" s="28">
        <v>1104</v>
      </c>
      <c r="E7" s="28">
        <v>212768</v>
      </c>
      <c r="F7" s="28">
        <f>SUM(B7:E7)</f>
        <v>3084242</v>
      </c>
      <c r="G7" s="28">
        <v>426755</v>
      </c>
      <c r="H7" s="28">
        <v>748</v>
      </c>
      <c r="I7" s="28">
        <f>SUM(G7:H7)</f>
        <v>427503</v>
      </c>
      <c r="J7" s="29">
        <f>SUM(F7,I7)</f>
        <v>3511745</v>
      </c>
      <c r="N7" s="112">
        <f>N6*0.00220462/0.00110231</f>
        <v>86</v>
      </c>
      <c r="O7" t="s">
        <v>132</v>
      </c>
    </row>
    <row r="8" spans="1:18" ht="15.75" thickBot="1" x14ac:dyDescent="0.3">
      <c r="A8" s="9" t="s">
        <v>105</v>
      </c>
      <c r="B8" s="30">
        <f>SUM(B5:B7)</f>
        <v>5209715</v>
      </c>
      <c r="C8" s="30">
        <f t="shared" ref="C8:I8" si="0">SUM(C5:C7)</f>
        <v>617744</v>
      </c>
      <c r="D8" s="30">
        <f t="shared" si="0"/>
        <v>1762</v>
      </c>
      <c r="E8" s="30">
        <f t="shared" si="0"/>
        <v>385252</v>
      </c>
      <c r="F8" s="30">
        <f t="shared" si="0"/>
        <v>6214473</v>
      </c>
      <c r="G8" s="30">
        <f t="shared" si="0"/>
        <v>1032761</v>
      </c>
      <c r="H8" s="30">
        <f t="shared" si="0"/>
        <v>748</v>
      </c>
      <c r="I8" s="30">
        <f t="shared" si="0"/>
        <v>1033509</v>
      </c>
      <c r="J8" s="31">
        <f>SUM(J5:J7)</f>
        <v>7247982</v>
      </c>
      <c r="N8">
        <f>N7/2000</f>
        <v>4.2999999999999997E-2</v>
      </c>
      <c r="O8" t="s">
        <v>136</v>
      </c>
    </row>
    <row r="9" spans="1:18" x14ac:dyDescent="0.25">
      <c r="A9" s="5" t="s">
        <v>76</v>
      </c>
      <c r="B9" s="6"/>
      <c r="C9" s="6"/>
      <c r="D9" s="6"/>
      <c r="E9" s="6"/>
      <c r="F9" s="6"/>
      <c r="G9" s="6"/>
      <c r="H9" s="6"/>
      <c r="I9" s="6"/>
      <c r="J9" s="7"/>
      <c r="M9" t="s">
        <v>137</v>
      </c>
      <c r="N9" t="s">
        <v>139</v>
      </c>
      <c r="O9" t="s">
        <v>140</v>
      </c>
      <c r="P9" t="s">
        <v>141</v>
      </c>
      <c r="Q9" t="s">
        <v>142</v>
      </c>
    </row>
    <row r="10" spans="1:18" x14ac:dyDescent="0.25">
      <c r="A10" s="8" t="s">
        <v>77</v>
      </c>
      <c r="B10" s="28">
        <v>3494678</v>
      </c>
      <c r="C10" s="28">
        <v>347114</v>
      </c>
      <c r="D10" s="28">
        <v>40149</v>
      </c>
      <c r="E10" s="28">
        <v>543803</v>
      </c>
      <c r="F10" s="28">
        <f>SUM(B10:E10)</f>
        <v>4425744</v>
      </c>
      <c r="G10" s="28">
        <v>621583</v>
      </c>
      <c r="H10" s="28">
        <v>3954</v>
      </c>
      <c r="I10" s="28">
        <f>SUM(G10:H10)</f>
        <v>625537</v>
      </c>
      <c r="J10" s="29">
        <f>SUM(F10,I10)</f>
        <v>5051281</v>
      </c>
      <c r="L10" t="s">
        <v>138</v>
      </c>
      <c r="M10">
        <v>8.0399999999999991</v>
      </c>
      <c r="N10">
        <v>4.32</v>
      </c>
      <c r="O10">
        <v>813.96</v>
      </c>
      <c r="P10">
        <v>195.51</v>
      </c>
      <c r="Q10" s="111">
        <v>0.4019024180052273</v>
      </c>
      <c r="R10" t="s">
        <v>147</v>
      </c>
    </row>
    <row r="11" spans="1:18" x14ac:dyDescent="0.25">
      <c r="A11" s="8" t="s">
        <v>78</v>
      </c>
      <c r="B11" s="28">
        <v>962782</v>
      </c>
      <c r="C11" s="28">
        <v>354865</v>
      </c>
      <c r="D11" s="28">
        <v>19294</v>
      </c>
      <c r="E11" s="28">
        <v>211898</v>
      </c>
      <c r="F11" s="28">
        <f>SUM(B11:E11)</f>
        <v>1548839</v>
      </c>
      <c r="G11" s="28">
        <v>151206</v>
      </c>
      <c r="H11" s="28"/>
      <c r="I11" s="28">
        <f>SUM(G11:H11)</f>
        <v>151206</v>
      </c>
      <c r="J11" s="29">
        <f>SUM(F11,I11)</f>
        <v>1700045</v>
      </c>
      <c r="L11" t="s">
        <v>143</v>
      </c>
      <c r="M11">
        <v>2.0099999999999998</v>
      </c>
      <c r="N11">
        <v>2.0099999999999998</v>
      </c>
      <c r="O11">
        <v>2.0099999999999998</v>
      </c>
      <c r="P11">
        <v>2.0099999999999998</v>
      </c>
      <c r="Q11" s="1">
        <v>35.500331919454638</v>
      </c>
    </row>
    <row r="12" spans="1:18" x14ac:dyDescent="0.25">
      <c r="A12" s="8" t="s">
        <v>79</v>
      </c>
      <c r="B12" s="28">
        <v>832278</v>
      </c>
      <c r="C12" s="28">
        <v>264622</v>
      </c>
      <c r="D12" s="28">
        <v>32962</v>
      </c>
      <c r="E12" s="28">
        <v>161758</v>
      </c>
      <c r="F12" s="28">
        <f>SUM(B12:E12)</f>
        <v>1291620</v>
      </c>
      <c r="G12" s="28">
        <v>240973</v>
      </c>
      <c r="H12" s="28">
        <v>10094</v>
      </c>
      <c r="I12" s="28">
        <f>SUM(G12:H12)</f>
        <v>251067</v>
      </c>
      <c r="J12" s="29">
        <f>SUM(F12,I12)</f>
        <v>1542687</v>
      </c>
      <c r="L12" t="s">
        <v>144</v>
      </c>
      <c r="M12">
        <f>M11*5</f>
        <v>10.049999999999999</v>
      </c>
      <c r="N12">
        <f>N11*5</f>
        <v>10.049999999999999</v>
      </c>
      <c r="O12">
        <f>O11*5</f>
        <v>10.049999999999999</v>
      </c>
      <c r="P12">
        <f>P11*5</f>
        <v>10.049999999999999</v>
      </c>
      <c r="Q12" s="112">
        <v>86</v>
      </c>
    </row>
    <row r="13" spans="1:18" ht="15.75" thickBot="1" x14ac:dyDescent="0.3">
      <c r="A13" s="9" t="s">
        <v>106</v>
      </c>
      <c r="B13" s="30">
        <f t="shared" ref="B13" si="1">SUM(B10:B12)</f>
        <v>5289738</v>
      </c>
      <c r="C13" s="30">
        <f t="shared" ref="C13:I13" si="2">SUM(C10:C12)</f>
        <v>966601</v>
      </c>
      <c r="D13" s="30">
        <f t="shared" si="2"/>
        <v>92405</v>
      </c>
      <c r="E13" s="30">
        <f t="shared" si="2"/>
        <v>917459</v>
      </c>
      <c r="F13" s="30">
        <f t="shared" si="2"/>
        <v>7266203</v>
      </c>
      <c r="G13" s="30">
        <f t="shared" si="2"/>
        <v>1013762</v>
      </c>
      <c r="H13" s="30">
        <f t="shared" si="2"/>
        <v>14048</v>
      </c>
      <c r="I13" s="30">
        <f t="shared" si="2"/>
        <v>1027810</v>
      </c>
      <c r="J13" s="31">
        <f>SUM(J10:J12)</f>
        <v>8294013</v>
      </c>
      <c r="L13" t="s">
        <v>145</v>
      </c>
      <c r="M13" s="112">
        <v>4.0136107597906809</v>
      </c>
      <c r="N13" s="112">
        <v>4.0136107597906809</v>
      </c>
      <c r="O13" s="112">
        <v>4.0136107597906809</v>
      </c>
      <c r="P13" s="112">
        <v>4.0136107597906809</v>
      </c>
      <c r="Q13" s="112">
        <v>4.1359999999999992</v>
      </c>
    </row>
    <row r="14" spans="1:18" x14ac:dyDescent="0.25">
      <c r="A14" s="5" t="s">
        <v>80</v>
      </c>
      <c r="B14" s="6"/>
      <c r="C14" s="6"/>
      <c r="D14" s="6"/>
      <c r="E14" s="6"/>
      <c r="F14" s="6"/>
      <c r="G14" s="6"/>
      <c r="H14" s="6"/>
      <c r="I14" s="6"/>
      <c r="J14" s="7"/>
      <c r="L14" t="s">
        <v>146</v>
      </c>
      <c r="M14">
        <v>11.040000000000001</v>
      </c>
      <c r="N14">
        <v>11.040000000000001</v>
      </c>
      <c r="O14">
        <v>11.040000000000001</v>
      </c>
      <c r="P14">
        <v>11.040000000000001</v>
      </c>
      <c r="Q14" s="1">
        <v>84</v>
      </c>
    </row>
    <row r="15" spans="1:18" x14ac:dyDescent="0.25">
      <c r="A15" s="8" t="s">
        <v>81</v>
      </c>
      <c r="B15" s="28">
        <v>653813</v>
      </c>
      <c r="C15" s="28">
        <v>222543</v>
      </c>
      <c r="D15" s="28">
        <v>2115</v>
      </c>
      <c r="E15" s="28">
        <v>157739</v>
      </c>
      <c r="F15" s="28">
        <f>SUM(B15:E15)</f>
        <v>1036210</v>
      </c>
      <c r="G15" s="28">
        <v>457847</v>
      </c>
      <c r="H15" s="28"/>
      <c r="I15" s="28">
        <f>SUM(G15:H15)</f>
        <v>457847</v>
      </c>
      <c r="J15" s="29">
        <f>SUM(F15,I15)</f>
        <v>1494057</v>
      </c>
      <c r="L15" t="s">
        <v>148</v>
      </c>
      <c r="M15" s="113">
        <f>SUM(M10,M11)/2000</f>
        <v>5.0249999999999991E-3</v>
      </c>
      <c r="N15" s="113">
        <f>SUM(N10,N11)/2000</f>
        <v>3.1649999999999998E-3</v>
      </c>
      <c r="O15" s="113">
        <f>SUM(O10,O11)/2000</f>
        <v>0.40798499999999999</v>
      </c>
      <c r="P15" s="113">
        <f>SUM(P10,P11)/2000</f>
        <v>9.8759999999999987E-2</v>
      </c>
      <c r="Q15" s="113">
        <f>SUM(Q10,Q11)/2000</f>
        <v>1.7951117168729932E-2</v>
      </c>
    </row>
    <row r="16" spans="1:18" x14ac:dyDescent="0.25">
      <c r="A16" s="8" t="s">
        <v>82</v>
      </c>
      <c r="B16" s="28">
        <v>973308</v>
      </c>
      <c r="C16" s="28">
        <v>345539</v>
      </c>
      <c r="D16" s="28">
        <v>28180</v>
      </c>
      <c r="E16" s="28">
        <v>213925</v>
      </c>
      <c r="F16" s="28">
        <f>SUM(B16:E16)</f>
        <v>1560952</v>
      </c>
      <c r="G16" s="28">
        <v>330109</v>
      </c>
      <c r="H16" s="28">
        <v>13075</v>
      </c>
      <c r="I16" s="28">
        <f>SUM(G16:H16)</f>
        <v>343184</v>
      </c>
      <c r="J16" s="29">
        <f>SUM(F16,I16)</f>
        <v>1904136</v>
      </c>
    </row>
    <row r="17" spans="1:18" ht="15.75" thickBot="1" x14ac:dyDescent="0.3">
      <c r="A17" s="8" t="s">
        <v>107</v>
      </c>
      <c r="B17" s="30">
        <f t="shared" ref="B17:J17" si="3">SUM(B15:B16)</f>
        <v>1627121</v>
      </c>
      <c r="C17" s="30">
        <f t="shared" si="3"/>
        <v>568082</v>
      </c>
      <c r="D17" s="30">
        <f t="shared" si="3"/>
        <v>30295</v>
      </c>
      <c r="E17" s="30">
        <f t="shared" si="3"/>
        <v>371664</v>
      </c>
      <c r="F17" s="30">
        <f t="shared" si="3"/>
        <v>2597162</v>
      </c>
      <c r="G17" s="30">
        <f t="shared" si="3"/>
        <v>787956</v>
      </c>
      <c r="H17" s="30">
        <f t="shared" si="3"/>
        <v>13075</v>
      </c>
      <c r="I17" s="30">
        <f t="shared" si="3"/>
        <v>801031</v>
      </c>
      <c r="J17" s="29">
        <f t="shared" si="3"/>
        <v>3398193</v>
      </c>
      <c r="M17" t="s">
        <v>137</v>
      </c>
      <c r="N17" t="s">
        <v>139</v>
      </c>
      <c r="O17" t="s">
        <v>140</v>
      </c>
      <c r="P17" t="s">
        <v>141</v>
      </c>
      <c r="Q17" t="s">
        <v>142</v>
      </c>
    </row>
    <row r="18" spans="1:18" x14ac:dyDescent="0.25">
      <c r="A18" s="5" t="s">
        <v>83</v>
      </c>
      <c r="B18" s="6"/>
      <c r="C18" s="6"/>
      <c r="D18" s="6"/>
      <c r="E18" s="6"/>
      <c r="F18" s="6"/>
      <c r="G18" s="6"/>
      <c r="H18" s="6"/>
      <c r="I18" s="6"/>
      <c r="J18" s="7"/>
      <c r="L18" t="s">
        <v>138</v>
      </c>
      <c r="M18" s="114">
        <f>M10/0.00220462*0.00110231</f>
        <v>4.0199999999999996</v>
      </c>
      <c r="N18" s="114">
        <f t="shared" ref="N18:Q18" si="4">N10/0.00220462*0.00110231</f>
        <v>2.16</v>
      </c>
      <c r="O18" s="114">
        <f t="shared" si="4"/>
        <v>406.98</v>
      </c>
      <c r="P18" s="114">
        <f t="shared" si="4"/>
        <v>97.754999999999995</v>
      </c>
      <c r="Q18" s="114">
        <f t="shared" si="4"/>
        <v>0.20095120900261365</v>
      </c>
      <c r="R18" t="s">
        <v>131</v>
      </c>
    </row>
    <row r="19" spans="1:18" x14ac:dyDescent="0.25">
      <c r="A19" s="8" t="s">
        <v>84</v>
      </c>
      <c r="B19" s="28">
        <v>261807</v>
      </c>
      <c r="C19" s="28">
        <v>259297</v>
      </c>
      <c r="D19" s="28">
        <v>3239</v>
      </c>
      <c r="E19" s="28">
        <v>212391</v>
      </c>
      <c r="F19" s="28">
        <f>SUM(B19:E19)</f>
        <v>736734</v>
      </c>
      <c r="G19" s="28">
        <v>8387</v>
      </c>
      <c r="H19" s="28"/>
      <c r="I19" s="28">
        <f>SUM(G19:H19)</f>
        <v>8387</v>
      </c>
      <c r="J19" s="29">
        <f>SUM(F19,I19)</f>
        <v>745121</v>
      </c>
      <c r="L19" t="s">
        <v>143</v>
      </c>
      <c r="M19" s="114">
        <f>M11/0.00220462*0.00110231</f>
        <v>1.0049999999999999</v>
      </c>
      <c r="N19" s="114">
        <f t="shared" ref="N19:Q19" si="5">N11/0.00220462*0.00110231</f>
        <v>1.0049999999999999</v>
      </c>
      <c r="O19" s="114">
        <f t="shared" si="5"/>
        <v>1.0049999999999999</v>
      </c>
      <c r="P19" s="114">
        <f t="shared" si="5"/>
        <v>1.0049999999999999</v>
      </c>
      <c r="Q19" s="114">
        <f t="shared" si="5"/>
        <v>17.750165959727319</v>
      </c>
      <c r="R19" s="114"/>
    </row>
    <row r="20" spans="1:18" ht="15.75" thickBot="1" x14ac:dyDescent="0.3">
      <c r="A20" s="8" t="s">
        <v>108</v>
      </c>
      <c r="B20" s="28">
        <f t="shared" ref="B20:J20" si="6">B19</f>
        <v>261807</v>
      </c>
      <c r="C20" s="28">
        <f t="shared" si="6"/>
        <v>259297</v>
      </c>
      <c r="D20" s="28">
        <f t="shared" si="6"/>
        <v>3239</v>
      </c>
      <c r="E20" s="28">
        <f t="shared" si="6"/>
        <v>212391</v>
      </c>
      <c r="F20" s="28">
        <f t="shared" si="6"/>
        <v>736734</v>
      </c>
      <c r="G20" s="28">
        <f t="shared" si="6"/>
        <v>8387</v>
      </c>
      <c r="H20" s="28">
        <f t="shared" si="6"/>
        <v>0</v>
      </c>
      <c r="I20" s="28">
        <f t="shared" si="6"/>
        <v>8387</v>
      </c>
      <c r="J20" s="29">
        <f t="shared" si="6"/>
        <v>745121</v>
      </c>
      <c r="L20" t="s">
        <v>144</v>
      </c>
      <c r="M20" s="114">
        <f t="shared" ref="M20:Q20" si="7">M12/0.00220462*0.00110231</f>
        <v>5.0249999999999995</v>
      </c>
      <c r="N20" s="114">
        <f t="shared" si="7"/>
        <v>5.0249999999999995</v>
      </c>
      <c r="O20" s="114">
        <f t="shared" si="7"/>
        <v>5.0249999999999995</v>
      </c>
      <c r="P20" s="114">
        <f t="shared" si="7"/>
        <v>5.0249999999999995</v>
      </c>
      <c r="Q20" s="114">
        <f t="shared" si="7"/>
        <v>43.000000000000007</v>
      </c>
    </row>
    <row r="21" spans="1:18" x14ac:dyDescent="0.25">
      <c r="A21" s="5" t="s">
        <v>85</v>
      </c>
      <c r="B21" s="6"/>
      <c r="C21" s="6"/>
      <c r="D21" s="6"/>
      <c r="E21" s="6"/>
      <c r="F21" s="6"/>
      <c r="G21" s="6"/>
      <c r="H21" s="6"/>
      <c r="I21" s="6"/>
      <c r="J21" s="7"/>
      <c r="L21" t="s">
        <v>145</v>
      </c>
      <c r="M21" s="114">
        <f t="shared" ref="M21:Q21" si="8">M13/0.00220462*0.00110231</f>
        <v>2.0068053798953405</v>
      </c>
      <c r="N21" s="114">
        <f t="shared" si="8"/>
        <v>2.0068053798953405</v>
      </c>
      <c r="O21" s="114">
        <f t="shared" si="8"/>
        <v>2.0068053798953405</v>
      </c>
      <c r="P21" s="114">
        <f t="shared" si="8"/>
        <v>2.0068053798953405</v>
      </c>
      <c r="Q21" s="114">
        <f t="shared" si="8"/>
        <v>2.0679999999999996</v>
      </c>
    </row>
    <row r="22" spans="1:18" x14ac:dyDescent="0.25">
      <c r="A22" s="8" t="s">
        <v>86</v>
      </c>
      <c r="B22" s="28">
        <v>1200734</v>
      </c>
      <c r="C22" s="28">
        <v>40579</v>
      </c>
      <c r="D22" s="28">
        <v>36631</v>
      </c>
      <c r="E22" s="28">
        <v>103133</v>
      </c>
      <c r="F22" s="28">
        <f>SUM(B22:E22)</f>
        <v>1381077</v>
      </c>
      <c r="G22" s="28">
        <v>190161</v>
      </c>
      <c r="H22" s="28"/>
      <c r="I22" s="28">
        <f>SUM(G22:H22)</f>
        <v>190161</v>
      </c>
      <c r="J22" s="29">
        <f>SUM(F22,I22)</f>
        <v>1571238</v>
      </c>
      <c r="L22" t="s">
        <v>146</v>
      </c>
      <c r="M22" s="114">
        <f t="shared" ref="M22:Q22" si="9">M14/0.00220462*0.00110231</f>
        <v>5.5200000000000005</v>
      </c>
      <c r="N22" s="114">
        <f t="shared" si="9"/>
        <v>5.5200000000000005</v>
      </c>
      <c r="O22" s="114">
        <f t="shared" si="9"/>
        <v>5.5200000000000005</v>
      </c>
      <c r="P22" s="114">
        <f t="shared" si="9"/>
        <v>5.5200000000000005</v>
      </c>
      <c r="Q22" s="114">
        <f t="shared" si="9"/>
        <v>42.000000000000007</v>
      </c>
    </row>
    <row r="23" spans="1:18" x14ac:dyDescent="0.25">
      <c r="A23" s="8" t="s">
        <v>100</v>
      </c>
      <c r="B23" s="28">
        <v>756977</v>
      </c>
      <c r="C23" s="28">
        <v>192192</v>
      </c>
      <c r="D23" s="28">
        <v>4426</v>
      </c>
      <c r="E23" s="28">
        <v>170929</v>
      </c>
      <c r="F23" s="28">
        <f>SUM(B23:E23)</f>
        <v>1124524</v>
      </c>
      <c r="G23" s="28">
        <v>174741</v>
      </c>
      <c r="H23" s="28"/>
      <c r="I23" s="28">
        <f>SUM(G23:H23)</f>
        <v>174741</v>
      </c>
      <c r="J23" s="29">
        <f>SUM(F23,I23)</f>
        <v>1299265</v>
      </c>
      <c r="L23" t="s">
        <v>148</v>
      </c>
      <c r="M23" s="114">
        <f>SUM(M18:M19)</f>
        <v>5.0249999999999995</v>
      </c>
      <c r="N23" s="114">
        <f t="shared" ref="N23:Q23" si="10">SUM(N18:N19)</f>
        <v>3.165</v>
      </c>
      <c r="O23" s="114">
        <f t="shared" si="10"/>
        <v>407.98500000000001</v>
      </c>
      <c r="P23" s="114">
        <f t="shared" si="10"/>
        <v>98.759999999999991</v>
      </c>
      <c r="Q23" s="114">
        <f t="shared" si="10"/>
        <v>17.951117168729933</v>
      </c>
    </row>
    <row r="24" spans="1:18" ht="15.75" thickBot="1" x14ac:dyDescent="0.3">
      <c r="A24" s="9" t="s">
        <v>109</v>
      </c>
      <c r="B24" s="30">
        <f t="shared" ref="B24:J24" si="11">SUM(B22:B23)</f>
        <v>1957711</v>
      </c>
      <c r="C24" s="30">
        <f t="shared" si="11"/>
        <v>232771</v>
      </c>
      <c r="D24" s="30">
        <f t="shared" si="11"/>
        <v>41057</v>
      </c>
      <c r="E24" s="30">
        <f t="shared" si="11"/>
        <v>274062</v>
      </c>
      <c r="F24" s="30">
        <f t="shared" si="11"/>
        <v>2505601</v>
      </c>
      <c r="G24" s="30">
        <f t="shared" si="11"/>
        <v>364902</v>
      </c>
      <c r="H24" s="30">
        <f t="shared" si="11"/>
        <v>0</v>
      </c>
      <c r="I24" s="30">
        <f t="shared" si="11"/>
        <v>364902</v>
      </c>
      <c r="J24" s="31">
        <f t="shared" si="11"/>
        <v>2870503</v>
      </c>
    </row>
    <row r="25" spans="1:18" ht="15.75" thickBot="1" x14ac:dyDescent="0.3">
      <c r="A25" s="10" t="s">
        <v>87</v>
      </c>
      <c r="B25" s="11">
        <f t="shared" ref="B25:J25" si="12">SUM(B8,B13,B17,B20,B24)</f>
        <v>14346092</v>
      </c>
      <c r="C25" s="11">
        <f t="shared" si="12"/>
        <v>2644495</v>
      </c>
      <c r="D25" s="11">
        <f t="shared" si="12"/>
        <v>168758</v>
      </c>
      <c r="E25" s="11">
        <f t="shared" si="12"/>
        <v>2160828</v>
      </c>
      <c r="F25" s="11">
        <f t="shared" si="12"/>
        <v>19320173</v>
      </c>
      <c r="G25" s="11">
        <f t="shared" si="12"/>
        <v>3207768</v>
      </c>
      <c r="H25" s="11">
        <f t="shared" si="12"/>
        <v>27871</v>
      </c>
      <c r="I25" s="11">
        <f t="shared" si="12"/>
        <v>3235639</v>
      </c>
      <c r="J25" s="12">
        <f t="shared" si="12"/>
        <v>22555812</v>
      </c>
      <c r="M25" s="112"/>
    </row>
    <row r="27" spans="1:18" ht="15.75" thickBot="1" x14ac:dyDescent="0.3">
      <c r="A27" t="s">
        <v>149</v>
      </c>
    </row>
    <row r="28" spans="1:18" ht="15.75" thickBot="1" x14ac:dyDescent="0.3">
      <c r="A28" s="14" t="s">
        <v>110</v>
      </c>
      <c r="B28" s="15" t="s">
        <v>111</v>
      </c>
      <c r="C28" s="15" t="s">
        <v>105</v>
      </c>
      <c r="D28" s="15" t="s">
        <v>106</v>
      </c>
      <c r="E28" s="15" t="s">
        <v>107</v>
      </c>
      <c r="F28" s="15" t="s">
        <v>108</v>
      </c>
      <c r="G28" s="16" t="s">
        <v>109</v>
      </c>
    </row>
    <row r="29" spans="1:18" x14ac:dyDescent="0.25">
      <c r="A29" s="17">
        <v>43101</v>
      </c>
      <c r="B29" s="58">
        <v>4895</v>
      </c>
      <c r="C29" s="59">
        <v>35</v>
      </c>
      <c r="D29" s="59">
        <v>2590</v>
      </c>
      <c r="E29" s="59">
        <v>1205</v>
      </c>
      <c r="F29" s="59">
        <v>436</v>
      </c>
      <c r="G29" s="60">
        <v>629</v>
      </c>
      <c r="I29" s="126" t="s">
        <v>123</v>
      </c>
      <c r="J29" s="126"/>
      <c r="K29" s="126"/>
    </row>
    <row r="30" spans="1:18" x14ac:dyDescent="0.25">
      <c r="A30" s="18">
        <v>43132</v>
      </c>
      <c r="B30" s="61">
        <v>5691</v>
      </c>
      <c r="C30" s="62">
        <v>1295</v>
      </c>
      <c r="D30" s="62">
        <v>2119</v>
      </c>
      <c r="E30" s="62">
        <v>879</v>
      </c>
      <c r="F30" s="62">
        <v>493</v>
      </c>
      <c r="G30" s="63">
        <v>905</v>
      </c>
      <c r="I30" s="126"/>
      <c r="J30" s="126"/>
      <c r="K30" s="126"/>
    </row>
    <row r="31" spans="1:18" x14ac:dyDescent="0.25">
      <c r="A31" s="18">
        <v>43133</v>
      </c>
      <c r="B31" s="61">
        <v>8625</v>
      </c>
      <c r="C31" s="62">
        <v>2994</v>
      </c>
      <c r="D31" s="62">
        <v>2805</v>
      </c>
      <c r="E31" s="62">
        <v>1346</v>
      </c>
      <c r="F31" s="62">
        <v>460</v>
      </c>
      <c r="G31" s="63">
        <v>1020</v>
      </c>
      <c r="I31" s="126"/>
      <c r="J31" s="126"/>
      <c r="K31" s="126"/>
    </row>
    <row r="32" spans="1:18" x14ac:dyDescent="0.25">
      <c r="A32" s="18">
        <v>43134</v>
      </c>
      <c r="B32" s="61">
        <v>6747</v>
      </c>
      <c r="C32" s="62">
        <v>604</v>
      </c>
      <c r="D32" s="62">
        <v>2646</v>
      </c>
      <c r="E32" s="62">
        <v>1457</v>
      </c>
      <c r="F32" s="62">
        <v>377</v>
      </c>
      <c r="G32" s="63">
        <v>1663</v>
      </c>
    </row>
    <row r="33" spans="1:11" x14ac:dyDescent="0.25">
      <c r="A33" s="18">
        <v>43135</v>
      </c>
      <c r="B33" s="61">
        <v>11939</v>
      </c>
      <c r="C33" s="62">
        <v>3645</v>
      </c>
      <c r="D33" s="62">
        <v>4178</v>
      </c>
      <c r="E33" s="62">
        <v>1605</v>
      </c>
      <c r="F33" s="62">
        <v>584</v>
      </c>
      <c r="G33" s="63">
        <v>1926</v>
      </c>
    </row>
    <row r="34" spans="1:11" x14ac:dyDescent="0.25">
      <c r="A34" s="18">
        <v>43136</v>
      </c>
      <c r="B34" s="61">
        <v>14291</v>
      </c>
      <c r="C34" s="62">
        <v>4294</v>
      </c>
      <c r="D34" s="62">
        <v>5258</v>
      </c>
      <c r="E34" s="62">
        <v>2040</v>
      </c>
      <c r="F34" s="62">
        <v>996</v>
      </c>
      <c r="G34" s="63">
        <v>1703</v>
      </c>
    </row>
    <row r="35" spans="1:11" x14ac:dyDescent="0.25">
      <c r="A35" s="18">
        <v>43137</v>
      </c>
      <c r="B35" s="61">
        <v>14245</v>
      </c>
      <c r="C35" s="62">
        <v>4132</v>
      </c>
      <c r="D35" s="62">
        <v>5835</v>
      </c>
      <c r="E35" s="62">
        <v>1256</v>
      </c>
      <c r="F35" s="62">
        <v>997</v>
      </c>
      <c r="G35" s="63">
        <v>2025</v>
      </c>
    </row>
    <row r="36" spans="1:11" x14ac:dyDescent="0.25">
      <c r="A36" s="18">
        <v>43138</v>
      </c>
      <c r="B36" s="61">
        <v>15706</v>
      </c>
      <c r="C36" s="62">
        <v>4256</v>
      </c>
      <c r="D36" s="62">
        <v>5969</v>
      </c>
      <c r="E36" s="62">
        <v>2221</v>
      </c>
      <c r="F36" s="62">
        <v>1206</v>
      </c>
      <c r="G36" s="63">
        <v>2053</v>
      </c>
    </row>
    <row r="37" spans="1:11" x14ac:dyDescent="0.25">
      <c r="A37" s="18">
        <v>43139</v>
      </c>
      <c r="B37" s="61">
        <v>11555</v>
      </c>
      <c r="C37" s="62">
        <v>3989</v>
      </c>
      <c r="D37" s="62">
        <v>4258</v>
      </c>
      <c r="E37" s="62">
        <v>970</v>
      </c>
      <c r="F37" s="62">
        <v>942</v>
      </c>
      <c r="G37" s="63">
        <v>1395</v>
      </c>
    </row>
    <row r="38" spans="1:11" x14ac:dyDescent="0.25">
      <c r="A38" s="18">
        <v>43140</v>
      </c>
      <c r="B38" s="61">
        <v>12716</v>
      </c>
      <c r="C38" s="62">
        <v>4870</v>
      </c>
      <c r="D38" s="62">
        <v>5019</v>
      </c>
      <c r="E38" s="62">
        <v>821</v>
      </c>
      <c r="F38" s="62">
        <v>528</v>
      </c>
      <c r="G38" s="63">
        <v>1478</v>
      </c>
    </row>
    <row r="39" spans="1:11" x14ac:dyDescent="0.25">
      <c r="A39" s="18">
        <v>43141</v>
      </c>
      <c r="B39" s="61">
        <v>7423</v>
      </c>
      <c r="C39" s="62">
        <v>2223</v>
      </c>
      <c r="D39" s="62">
        <v>3217</v>
      </c>
      <c r="E39" s="62">
        <v>562</v>
      </c>
      <c r="F39" s="62">
        <v>332</v>
      </c>
      <c r="G39" s="63">
        <v>1089</v>
      </c>
    </row>
    <row r="40" spans="1:11" ht="15.75" thickBot="1" x14ac:dyDescent="0.3">
      <c r="A40" s="19">
        <v>43435</v>
      </c>
      <c r="B40" s="64">
        <v>5630</v>
      </c>
      <c r="C40" s="65">
        <v>1659</v>
      </c>
      <c r="D40" s="65">
        <v>2311</v>
      </c>
      <c r="E40" s="65">
        <v>220</v>
      </c>
      <c r="F40" s="65">
        <v>471</v>
      </c>
      <c r="G40" s="66">
        <v>969</v>
      </c>
    </row>
    <row r="42" spans="1:11" ht="15.75" thickBot="1" x14ac:dyDescent="0.3">
      <c r="A42" t="s">
        <v>150</v>
      </c>
    </row>
    <row r="43" spans="1:11" ht="15.75" thickBot="1" x14ac:dyDescent="0.3">
      <c r="A43" s="42" t="s">
        <v>110</v>
      </c>
      <c r="B43" s="41" t="s">
        <v>111</v>
      </c>
      <c r="C43" s="15" t="s">
        <v>105</v>
      </c>
      <c r="D43" s="15" t="s">
        <v>106</v>
      </c>
      <c r="E43" s="15" t="s">
        <v>107</v>
      </c>
      <c r="F43" s="15" t="s">
        <v>108</v>
      </c>
      <c r="G43" s="16" t="s">
        <v>109</v>
      </c>
    </row>
    <row r="44" spans="1:11" ht="15" customHeight="1" x14ac:dyDescent="0.25">
      <c r="A44" s="17">
        <v>43101</v>
      </c>
      <c r="B44" s="32">
        <f>Input!B29*1000/5.5</f>
        <v>890000</v>
      </c>
      <c r="C44" s="33">
        <f>Input!C29*1000/5.5</f>
        <v>6363.636363636364</v>
      </c>
      <c r="D44" s="33">
        <f>Input!D29*1000/5.5</f>
        <v>470909.09090909088</v>
      </c>
      <c r="E44" s="33">
        <f>Input!E29*1000/5.5</f>
        <v>219090.90909090909</v>
      </c>
      <c r="F44" s="33">
        <f>Input!F29*1000/5.5</f>
        <v>79272.727272727279</v>
      </c>
      <c r="G44" s="34">
        <f>Input!G29*1000/5.5</f>
        <v>114363.63636363637</v>
      </c>
      <c r="I44" s="126" t="s">
        <v>123</v>
      </c>
      <c r="J44" s="126"/>
      <c r="K44" s="126"/>
    </row>
    <row r="45" spans="1:11" x14ac:dyDescent="0.25">
      <c r="A45" s="18">
        <v>43132</v>
      </c>
      <c r="B45" s="35">
        <f>Input!B30*1000/5.5</f>
        <v>1034727.2727272727</v>
      </c>
      <c r="C45" s="36">
        <f>Input!C30*1000/5.5</f>
        <v>235454.54545454544</v>
      </c>
      <c r="D45" s="36">
        <f>Input!D30*1000/5.5</f>
        <v>385272.72727272729</v>
      </c>
      <c r="E45" s="36">
        <f>Input!E30*1000/5.5</f>
        <v>159818.18181818182</v>
      </c>
      <c r="F45" s="36">
        <f>Input!F30*1000/5.5</f>
        <v>89636.363636363632</v>
      </c>
      <c r="G45" s="37">
        <f>Input!G30*1000/5.5</f>
        <v>164545.45454545456</v>
      </c>
      <c r="I45" s="126"/>
      <c r="J45" s="126"/>
      <c r="K45" s="126"/>
    </row>
    <row r="46" spans="1:11" x14ac:dyDescent="0.25">
      <c r="A46" s="18">
        <v>43133</v>
      </c>
      <c r="B46" s="35">
        <f>Input!B31*1000/5.5</f>
        <v>1568181.8181818181</v>
      </c>
      <c r="C46" s="36">
        <f>Input!C31*1000/5.5</f>
        <v>544363.63636363635</v>
      </c>
      <c r="D46" s="36">
        <f>Input!D31*1000/5.5</f>
        <v>510000</v>
      </c>
      <c r="E46" s="36">
        <f>Input!E31*1000/5.5</f>
        <v>244727.27272727274</v>
      </c>
      <c r="F46" s="36">
        <f>Input!F31*1000/5.5</f>
        <v>83636.363636363632</v>
      </c>
      <c r="G46" s="37">
        <f>Input!G31*1000/5.5</f>
        <v>185454.54545454544</v>
      </c>
      <c r="I46" s="126"/>
      <c r="J46" s="126"/>
      <c r="K46" s="126"/>
    </row>
    <row r="47" spans="1:11" x14ac:dyDescent="0.25">
      <c r="A47" s="18">
        <v>43134</v>
      </c>
      <c r="B47" s="35">
        <f>Input!B32*1000/5.5</f>
        <v>1226727.2727272727</v>
      </c>
      <c r="C47" s="36">
        <f>Input!C32*1000/5.5</f>
        <v>109818.18181818182</v>
      </c>
      <c r="D47" s="36">
        <f>Input!D32*1000/5.5</f>
        <v>481090.90909090912</v>
      </c>
      <c r="E47" s="36">
        <f>Input!E32*1000/5.5</f>
        <v>264909.09090909088</v>
      </c>
      <c r="F47" s="36">
        <f>Input!F32*1000/5.5</f>
        <v>68545.454545454544</v>
      </c>
      <c r="G47" s="37">
        <f>Input!G32*1000/5.5</f>
        <v>302363.63636363635</v>
      </c>
    </row>
    <row r="48" spans="1:11" x14ac:dyDescent="0.25">
      <c r="A48" s="18">
        <v>43135</v>
      </c>
      <c r="B48" s="35">
        <f>Input!B33*1000/5.5</f>
        <v>2170727.2727272729</v>
      </c>
      <c r="C48" s="36">
        <f>Input!C33*1000/5.5</f>
        <v>662727.27272727271</v>
      </c>
      <c r="D48" s="36">
        <f>Input!D33*1000/5.5</f>
        <v>759636.36363636365</v>
      </c>
      <c r="E48" s="36">
        <f>Input!E33*1000/5.5</f>
        <v>291818.18181818182</v>
      </c>
      <c r="F48" s="36">
        <f>Input!F33*1000/5.5</f>
        <v>106181.81818181818</v>
      </c>
      <c r="G48" s="37">
        <f>Input!G33*1000/5.5</f>
        <v>350181.81818181818</v>
      </c>
    </row>
    <row r="49" spans="1:9" x14ac:dyDescent="0.25">
      <c r="A49" s="18">
        <v>43136</v>
      </c>
      <c r="B49" s="35">
        <f>Input!B34*1000/5.5</f>
        <v>2598363.6363636362</v>
      </c>
      <c r="C49" s="36">
        <f>Input!C34*1000/5.5</f>
        <v>780727.27272727271</v>
      </c>
      <c r="D49" s="36">
        <f>Input!D34*1000/5.5</f>
        <v>956000</v>
      </c>
      <c r="E49" s="36">
        <f>Input!E34*1000/5.5</f>
        <v>370909.09090909088</v>
      </c>
      <c r="F49" s="36">
        <f>Input!F34*1000/5.5</f>
        <v>181090.90909090909</v>
      </c>
      <c r="G49" s="37">
        <f>Input!G34*1000/5.5</f>
        <v>309636.36363636365</v>
      </c>
      <c r="H49" t="s">
        <v>151</v>
      </c>
      <c r="I49">
        <f>J25/B56</f>
        <v>1.0384551367368977</v>
      </c>
    </row>
    <row r="50" spans="1:9" x14ac:dyDescent="0.25">
      <c r="A50" s="18">
        <v>43137</v>
      </c>
      <c r="B50" s="35">
        <f>Input!B35*1000/5.5</f>
        <v>2590000</v>
      </c>
      <c r="C50" s="36">
        <f>Input!C35*1000/5.5</f>
        <v>751272.72727272729</v>
      </c>
      <c r="D50" s="36">
        <f>Input!D35*1000/5.5</f>
        <v>1060909.0909090908</v>
      </c>
      <c r="E50" s="36">
        <f>Input!E35*1000/5.5</f>
        <v>228363.63636363635</v>
      </c>
      <c r="F50" s="36">
        <f>Input!F35*1000/5.5</f>
        <v>181272.72727272726</v>
      </c>
      <c r="G50" s="37">
        <f>Input!G35*1000/5.5</f>
        <v>368181.81818181818</v>
      </c>
    </row>
    <row r="51" spans="1:9" x14ac:dyDescent="0.25">
      <c r="A51" s="18">
        <v>43138</v>
      </c>
      <c r="B51" s="35">
        <f>Input!B36*1000/5.5</f>
        <v>2855636.3636363638</v>
      </c>
      <c r="C51" s="36">
        <f>Input!C36*1000/5.5</f>
        <v>773818.18181818177</v>
      </c>
      <c r="D51" s="36">
        <f>Input!D36*1000/5.5</f>
        <v>1085272.7272727273</v>
      </c>
      <c r="E51" s="36">
        <f>Input!E36*1000/5.5</f>
        <v>403818.18181818182</v>
      </c>
      <c r="F51" s="36">
        <f>Input!F36*1000/5.5</f>
        <v>219272.72727272726</v>
      </c>
      <c r="G51" s="37">
        <f>Input!G36*1000/5.5</f>
        <v>373272.72727272729</v>
      </c>
    </row>
    <row r="52" spans="1:9" x14ac:dyDescent="0.25">
      <c r="A52" s="18">
        <v>43139</v>
      </c>
      <c r="B52" s="35">
        <f>Input!B37*1000/5.5</f>
        <v>2100909.0909090908</v>
      </c>
      <c r="C52" s="36">
        <f>Input!C37*1000/5.5</f>
        <v>725272.72727272729</v>
      </c>
      <c r="D52" s="36">
        <f>Input!D37*1000/5.5</f>
        <v>774181.81818181823</v>
      </c>
      <c r="E52" s="36">
        <f>Input!E37*1000/5.5</f>
        <v>176363.63636363635</v>
      </c>
      <c r="F52" s="36">
        <f>Input!F37*1000/5.5</f>
        <v>171272.72727272726</v>
      </c>
      <c r="G52" s="37">
        <f>Input!G37*1000/5.5</f>
        <v>253636.36363636365</v>
      </c>
    </row>
    <row r="53" spans="1:9" x14ac:dyDescent="0.25">
      <c r="A53" s="18">
        <v>43140</v>
      </c>
      <c r="B53" s="35">
        <f>Input!B38*1000/5.5</f>
        <v>2312000</v>
      </c>
      <c r="C53" s="36">
        <f>Input!C38*1000/5.5</f>
        <v>885454.54545454541</v>
      </c>
      <c r="D53" s="36">
        <f>Input!D38*1000/5.5</f>
        <v>912545.45454545459</v>
      </c>
      <c r="E53" s="36">
        <f>Input!E38*1000/5.5</f>
        <v>149272.72727272726</v>
      </c>
      <c r="F53" s="36">
        <f>Input!F38*1000/5.5</f>
        <v>96000</v>
      </c>
      <c r="G53" s="37">
        <f>Input!G38*1000/5.5</f>
        <v>268727.27272727271</v>
      </c>
    </row>
    <row r="54" spans="1:9" x14ac:dyDescent="0.25">
      <c r="A54" s="18">
        <v>43141</v>
      </c>
      <c r="B54" s="35">
        <f>Input!B39*1000/5.5</f>
        <v>1349636.3636363635</v>
      </c>
      <c r="C54" s="36">
        <f>Input!C39*1000/5.5</f>
        <v>404181.81818181818</v>
      </c>
      <c r="D54" s="36">
        <f>Input!D39*1000/5.5</f>
        <v>584909.09090909094</v>
      </c>
      <c r="E54" s="36">
        <f>Input!E39*1000/5.5</f>
        <v>102181.81818181818</v>
      </c>
      <c r="F54" s="36">
        <f>Input!F39*1000/5.5</f>
        <v>60363.63636363636</v>
      </c>
      <c r="G54" s="37">
        <f>Input!G39*1000/5.5</f>
        <v>198000</v>
      </c>
    </row>
    <row r="55" spans="1:9" ht="15.75" thickBot="1" x14ac:dyDescent="0.3">
      <c r="A55" s="19">
        <v>43435</v>
      </c>
      <c r="B55" s="38">
        <f>Input!B40*1000/5.5</f>
        <v>1023636.3636363636</v>
      </c>
      <c r="C55" s="39">
        <f>Input!C40*1000/5.5</f>
        <v>301636.36363636365</v>
      </c>
      <c r="D55" s="39">
        <f>Input!D40*1000/5.5</f>
        <v>420181.81818181818</v>
      </c>
      <c r="E55" s="39">
        <f>Input!E40*1000/5.5</f>
        <v>40000</v>
      </c>
      <c r="F55" s="39">
        <f>Input!F40*1000/5.5</f>
        <v>85636.363636363632</v>
      </c>
      <c r="G55" s="40">
        <f>Input!G40*1000/5.5</f>
        <v>176181.81818181818</v>
      </c>
    </row>
    <row r="56" spans="1:9" ht="15.75" thickBot="1" x14ac:dyDescent="0.3">
      <c r="A56" s="20">
        <v>2018</v>
      </c>
      <c r="B56" s="21">
        <f t="shared" ref="B56:G56" si="13">SUM(B44:B55)</f>
        <v>21720545.454545453</v>
      </c>
      <c r="C56" s="22">
        <f t="shared" si="13"/>
        <v>6181090.9090909082</v>
      </c>
      <c r="D56" s="22">
        <f t="shared" si="13"/>
        <v>8400909.0909090899</v>
      </c>
      <c r="E56" s="22">
        <f t="shared" si="13"/>
        <v>2651272.7272727271</v>
      </c>
      <c r="F56" s="22">
        <f t="shared" si="13"/>
        <v>1422181.8181818181</v>
      </c>
      <c r="G56" s="23">
        <f t="shared" si="13"/>
        <v>3064545.4545454551</v>
      </c>
    </row>
    <row r="58" spans="1:9" ht="15.75" thickBot="1" x14ac:dyDescent="0.3">
      <c r="A58" t="s">
        <v>135</v>
      </c>
    </row>
    <row r="59" spans="1:9" ht="45.75" thickBot="1" x14ac:dyDescent="0.3">
      <c r="A59" s="49" t="s">
        <v>20</v>
      </c>
      <c r="B59" s="50" t="s">
        <v>101</v>
      </c>
      <c r="C59" s="50" t="s">
        <v>102</v>
      </c>
      <c r="D59" s="50" t="s">
        <v>103</v>
      </c>
      <c r="E59" s="51" t="s">
        <v>128</v>
      </c>
      <c r="F59" s="104" t="s">
        <v>129</v>
      </c>
    </row>
    <row r="60" spans="1:9" x14ac:dyDescent="0.25">
      <c r="A60" s="55" t="s">
        <v>21</v>
      </c>
      <c r="B60" s="52">
        <v>6.7</v>
      </c>
      <c r="C60" s="48">
        <v>1.5</v>
      </c>
      <c r="D60" s="108">
        <v>1.3</v>
      </c>
      <c r="E60" s="105">
        <v>7525</v>
      </c>
    </row>
    <row r="61" spans="1:9" x14ac:dyDescent="0.25">
      <c r="A61" s="56" t="s">
        <v>22</v>
      </c>
      <c r="B61" s="53">
        <v>2</v>
      </c>
      <c r="C61" s="46">
        <v>0</v>
      </c>
      <c r="D61" s="109">
        <v>0</v>
      </c>
      <c r="E61" s="106">
        <v>1704</v>
      </c>
    </row>
    <row r="62" spans="1:9" x14ac:dyDescent="0.25">
      <c r="A62" s="56" t="s">
        <v>23</v>
      </c>
      <c r="B62" s="53">
        <v>7.6</v>
      </c>
      <c r="C62" s="46">
        <v>0.3</v>
      </c>
      <c r="D62" s="109">
        <v>0.8</v>
      </c>
      <c r="E62" s="106">
        <v>9854</v>
      </c>
    </row>
    <row r="63" spans="1:9" x14ac:dyDescent="0.25">
      <c r="A63" s="56" t="s">
        <v>24</v>
      </c>
      <c r="B63" s="53">
        <v>5.4</v>
      </c>
      <c r="C63" s="46">
        <v>0.4</v>
      </c>
      <c r="D63" s="109">
        <v>1.6</v>
      </c>
      <c r="E63" s="106">
        <v>5748</v>
      </c>
    </row>
    <row r="64" spans="1:9" x14ac:dyDescent="0.25">
      <c r="A64" s="56" t="s">
        <v>25</v>
      </c>
      <c r="B64" s="53">
        <v>27.7</v>
      </c>
      <c r="C64" s="46">
        <v>4.5</v>
      </c>
      <c r="D64" s="109">
        <v>2</v>
      </c>
      <c r="E64" s="106">
        <v>67703</v>
      </c>
    </row>
    <row r="65" spans="1:5" x14ac:dyDescent="0.25">
      <c r="A65" s="56" t="s">
        <v>26</v>
      </c>
      <c r="B65" s="53">
        <v>7.8</v>
      </c>
      <c r="C65" s="46">
        <v>1</v>
      </c>
      <c r="D65" s="109">
        <v>0.2</v>
      </c>
      <c r="E65" s="106">
        <v>13362</v>
      </c>
    </row>
    <row r="66" spans="1:5" x14ac:dyDescent="0.25">
      <c r="A66" s="56" t="s">
        <v>27</v>
      </c>
      <c r="B66" s="53">
        <v>4.9000000000000004</v>
      </c>
      <c r="C66" s="46">
        <v>0</v>
      </c>
      <c r="D66" s="109">
        <v>3.4</v>
      </c>
      <c r="E66" s="106">
        <v>5020</v>
      </c>
    </row>
    <row r="67" spans="1:5" x14ac:dyDescent="0.25">
      <c r="A67" s="56" t="s">
        <v>28</v>
      </c>
      <c r="B67" s="53">
        <v>1.6</v>
      </c>
      <c r="C67" s="46">
        <v>0</v>
      </c>
      <c r="D67" s="109">
        <v>0</v>
      </c>
      <c r="E67" s="106">
        <v>2273</v>
      </c>
    </row>
    <row r="68" spans="1:5" x14ac:dyDescent="0.25">
      <c r="A68" s="56" t="s">
        <v>29</v>
      </c>
      <c r="B68" s="53">
        <v>1.5</v>
      </c>
      <c r="C68" s="46">
        <v>0</v>
      </c>
      <c r="D68" s="109">
        <v>0</v>
      </c>
      <c r="E68" s="106">
        <v>4428</v>
      </c>
    </row>
    <row r="69" spans="1:5" x14ac:dyDescent="0.25">
      <c r="A69" s="56" t="s">
        <v>30</v>
      </c>
      <c r="B69" s="53">
        <v>16</v>
      </c>
      <c r="C69" s="46">
        <v>2.1</v>
      </c>
      <c r="D69" s="109">
        <v>4</v>
      </c>
      <c r="E69" s="106">
        <v>33689</v>
      </c>
    </row>
    <row r="70" spans="1:5" x14ac:dyDescent="0.25">
      <c r="A70" s="56" t="s">
        <v>31</v>
      </c>
      <c r="B70" s="53">
        <v>14.2</v>
      </c>
      <c r="C70" s="46">
        <v>0</v>
      </c>
      <c r="D70" s="109">
        <v>1.5</v>
      </c>
      <c r="E70" s="106">
        <v>17358</v>
      </c>
    </row>
    <row r="71" spans="1:5" x14ac:dyDescent="0.25">
      <c r="A71" s="56" t="s">
        <v>32</v>
      </c>
      <c r="B71" s="53">
        <v>1.1000000000000001</v>
      </c>
      <c r="C71" s="46">
        <v>0</v>
      </c>
      <c r="D71" s="109">
        <v>0</v>
      </c>
      <c r="E71" s="106">
        <v>4426</v>
      </c>
    </row>
    <row r="72" spans="1:5" x14ac:dyDescent="0.25">
      <c r="A72" s="56" t="s">
        <v>33</v>
      </c>
      <c r="B72" s="53">
        <v>2.9</v>
      </c>
      <c r="C72" s="46">
        <v>1.5</v>
      </c>
      <c r="D72" s="109">
        <v>0.7</v>
      </c>
      <c r="E72" s="106">
        <v>2871</v>
      </c>
    </row>
    <row r="73" spans="1:5" x14ac:dyDescent="0.25">
      <c r="A73" s="56" t="s">
        <v>34</v>
      </c>
      <c r="B73" s="53">
        <v>12.5</v>
      </c>
      <c r="C73" s="46">
        <v>4.5999999999999996</v>
      </c>
      <c r="D73" s="109">
        <v>4.2</v>
      </c>
      <c r="E73" s="106">
        <v>18084</v>
      </c>
    </row>
    <row r="74" spans="1:5" x14ac:dyDescent="0.25">
      <c r="A74" s="56" t="s">
        <v>35</v>
      </c>
      <c r="B74" s="53">
        <v>12.5</v>
      </c>
      <c r="C74" s="46">
        <v>3.7</v>
      </c>
      <c r="D74" s="109">
        <v>5.5</v>
      </c>
      <c r="E74" s="106">
        <v>10755</v>
      </c>
    </row>
    <row r="75" spans="1:5" x14ac:dyDescent="0.25">
      <c r="A75" s="56" t="s">
        <v>36</v>
      </c>
      <c r="B75" s="53">
        <v>3.8</v>
      </c>
      <c r="C75" s="46">
        <v>1.1000000000000001</v>
      </c>
      <c r="D75" s="109">
        <v>0.9</v>
      </c>
      <c r="E75" s="106">
        <v>8357</v>
      </c>
    </row>
    <row r="76" spans="1:5" x14ac:dyDescent="0.25">
      <c r="A76" s="56" t="s">
        <v>37</v>
      </c>
      <c r="B76" s="53">
        <v>2.5</v>
      </c>
      <c r="C76" s="46">
        <v>0.7</v>
      </c>
      <c r="D76" s="109">
        <v>0.7</v>
      </c>
      <c r="E76" s="106">
        <v>5792</v>
      </c>
    </row>
    <row r="77" spans="1:5" x14ac:dyDescent="0.25">
      <c r="A77" s="56" t="s">
        <v>38</v>
      </c>
      <c r="B77" s="53">
        <v>5.8</v>
      </c>
      <c r="C77" s="46">
        <v>1.6</v>
      </c>
      <c r="D77" s="109">
        <v>1.3</v>
      </c>
      <c r="E77" s="106">
        <v>8648</v>
      </c>
    </row>
    <row r="78" spans="1:5" x14ac:dyDescent="0.25">
      <c r="A78" s="56" t="s">
        <v>39</v>
      </c>
      <c r="B78" s="53">
        <v>7.4</v>
      </c>
      <c r="C78" s="46">
        <v>5.9</v>
      </c>
      <c r="D78" s="109">
        <v>0</v>
      </c>
      <c r="E78" s="106">
        <v>17217</v>
      </c>
    </row>
    <row r="79" spans="1:5" x14ac:dyDescent="0.25">
      <c r="A79" s="56" t="s">
        <v>40</v>
      </c>
      <c r="B79" s="53">
        <v>1.7</v>
      </c>
      <c r="C79" s="46">
        <v>0</v>
      </c>
      <c r="D79" s="109">
        <v>0</v>
      </c>
      <c r="E79" s="106">
        <v>1310</v>
      </c>
    </row>
    <row r="80" spans="1:5" x14ac:dyDescent="0.25">
      <c r="A80" s="56" t="s">
        <v>41</v>
      </c>
      <c r="B80" s="53">
        <v>6.8</v>
      </c>
      <c r="C80" s="46">
        <v>3.2</v>
      </c>
      <c r="D80" s="109">
        <v>0.6</v>
      </c>
      <c r="E80" s="106">
        <v>9391</v>
      </c>
    </row>
    <row r="81" spans="1:5" x14ac:dyDescent="0.25">
      <c r="A81" s="56" t="s">
        <v>42</v>
      </c>
      <c r="B81" s="53">
        <v>6.5</v>
      </c>
      <c r="C81" s="46">
        <v>2.2000000000000002</v>
      </c>
      <c r="D81" s="109">
        <v>2.8</v>
      </c>
      <c r="E81" s="106">
        <v>17705</v>
      </c>
    </row>
    <row r="82" spans="1:5" x14ac:dyDescent="0.25">
      <c r="A82" s="56" t="s">
        <v>43</v>
      </c>
      <c r="B82" s="53">
        <v>14.3</v>
      </c>
      <c r="C82" s="46">
        <v>0.1</v>
      </c>
      <c r="D82" s="109">
        <v>2.4</v>
      </c>
      <c r="E82" s="106">
        <v>12660</v>
      </c>
    </row>
    <row r="83" spans="1:5" x14ac:dyDescent="0.25">
      <c r="A83" s="56" t="s">
        <v>44</v>
      </c>
      <c r="B83" s="53">
        <v>10</v>
      </c>
      <c r="C83" s="46">
        <v>5.4</v>
      </c>
      <c r="D83" s="109">
        <v>0.6</v>
      </c>
      <c r="E83" s="106">
        <v>11581</v>
      </c>
    </row>
    <row r="84" spans="1:5" x14ac:dyDescent="0.25">
      <c r="A84" s="56" t="s">
        <v>45</v>
      </c>
      <c r="B84" s="53">
        <v>5.5</v>
      </c>
      <c r="C84" s="46">
        <v>1.1000000000000001</v>
      </c>
      <c r="D84" s="109">
        <v>3.2</v>
      </c>
      <c r="E84" s="106">
        <v>3368</v>
      </c>
    </row>
    <row r="85" spans="1:5" x14ac:dyDescent="0.25">
      <c r="A85" s="56" t="s">
        <v>46</v>
      </c>
      <c r="B85" s="53">
        <v>6.5</v>
      </c>
      <c r="C85" s="46">
        <v>1</v>
      </c>
      <c r="D85" s="109">
        <v>0.2</v>
      </c>
      <c r="E85" s="106">
        <v>8764</v>
      </c>
    </row>
    <row r="86" spans="1:5" x14ac:dyDescent="0.25">
      <c r="A86" s="56" t="s">
        <v>47</v>
      </c>
      <c r="B86" s="53">
        <v>4.2</v>
      </c>
      <c r="C86" s="46">
        <v>0</v>
      </c>
      <c r="D86" s="109">
        <v>0</v>
      </c>
      <c r="E86" s="106">
        <v>2330</v>
      </c>
    </row>
    <row r="87" spans="1:5" x14ac:dyDescent="0.25">
      <c r="A87" s="56" t="s">
        <v>48</v>
      </c>
      <c r="B87" s="53">
        <v>3</v>
      </c>
      <c r="C87" s="46">
        <v>0.9</v>
      </c>
      <c r="D87" s="109">
        <v>1.2</v>
      </c>
      <c r="E87" s="106">
        <v>4656</v>
      </c>
    </row>
    <row r="88" spans="1:5" x14ac:dyDescent="0.25">
      <c r="A88" s="56" t="s">
        <v>49</v>
      </c>
      <c r="B88" s="53">
        <v>3.6</v>
      </c>
      <c r="C88" s="46">
        <v>0</v>
      </c>
      <c r="D88" s="109">
        <v>0</v>
      </c>
      <c r="E88" s="106">
        <v>7196</v>
      </c>
    </row>
    <row r="89" spans="1:5" x14ac:dyDescent="0.25">
      <c r="A89" s="56" t="s">
        <v>50</v>
      </c>
      <c r="B89" s="53">
        <v>1.7</v>
      </c>
      <c r="C89" s="46">
        <v>0.1</v>
      </c>
      <c r="D89" s="109">
        <v>0.9</v>
      </c>
      <c r="E89" s="106">
        <v>1600</v>
      </c>
    </row>
    <row r="90" spans="1:5" x14ac:dyDescent="0.25">
      <c r="A90" s="56" t="s">
        <v>51</v>
      </c>
      <c r="B90" s="53">
        <v>10.199999999999999</v>
      </c>
      <c r="C90" s="46">
        <v>0</v>
      </c>
      <c r="D90" s="109">
        <v>5.4</v>
      </c>
      <c r="E90" s="106">
        <v>12472</v>
      </c>
    </row>
    <row r="91" spans="1:5" x14ac:dyDescent="0.25">
      <c r="A91" s="56" t="s">
        <v>52</v>
      </c>
      <c r="B91" s="53">
        <v>3.8</v>
      </c>
      <c r="C91" s="46">
        <v>0.5</v>
      </c>
      <c r="D91" s="109">
        <v>0.1</v>
      </c>
      <c r="E91" s="106">
        <v>3579</v>
      </c>
    </row>
    <row r="92" spans="1:5" x14ac:dyDescent="0.25">
      <c r="A92" s="56" t="s">
        <v>53</v>
      </c>
      <c r="B92" s="53">
        <v>17</v>
      </c>
      <c r="C92" s="46">
        <v>2.9</v>
      </c>
      <c r="D92" s="109">
        <v>3.4</v>
      </c>
      <c r="E92" s="106">
        <v>52698</v>
      </c>
    </row>
    <row r="93" spans="1:5" x14ac:dyDescent="0.25">
      <c r="A93" s="56" t="s">
        <v>54</v>
      </c>
      <c r="B93" s="53">
        <v>20</v>
      </c>
      <c r="C93" s="46">
        <v>0.4</v>
      </c>
      <c r="D93" s="109">
        <v>2.1</v>
      </c>
      <c r="E93" s="106">
        <v>17836</v>
      </c>
    </row>
    <row r="94" spans="1:5" x14ac:dyDescent="0.25">
      <c r="A94" s="56" t="s">
        <v>55</v>
      </c>
      <c r="B94" s="53">
        <v>2.8</v>
      </c>
      <c r="C94" s="46">
        <v>0</v>
      </c>
      <c r="D94" s="109">
        <v>0</v>
      </c>
      <c r="E94" s="106">
        <v>2641</v>
      </c>
    </row>
    <row r="95" spans="1:5" x14ac:dyDescent="0.25">
      <c r="A95" s="56" t="s">
        <v>56</v>
      </c>
      <c r="B95" s="53">
        <v>16.899999999999999</v>
      </c>
      <c r="C95" s="46">
        <v>7</v>
      </c>
      <c r="D95" s="109">
        <v>3.2</v>
      </c>
      <c r="E95" s="106">
        <v>18730</v>
      </c>
    </row>
    <row r="96" spans="1:5" x14ac:dyDescent="0.25">
      <c r="A96" s="56" t="s">
        <v>57</v>
      </c>
      <c r="B96" s="53">
        <v>4.7</v>
      </c>
      <c r="C96" s="46">
        <v>2</v>
      </c>
      <c r="D96" s="109">
        <v>0.4</v>
      </c>
      <c r="E96" s="106">
        <v>7549</v>
      </c>
    </row>
    <row r="97" spans="1:5" x14ac:dyDescent="0.25">
      <c r="A97" s="56" t="s">
        <v>58</v>
      </c>
      <c r="B97" s="53">
        <v>5.2</v>
      </c>
      <c r="C97" s="46">
        <v>0.5</v>
      </c>
      <c r="D97" s="109">
        <v>0.8</v>
      </c>
      <c r="E97" s="106">
        <v>8978</v>
      </c>
    </row>
    <row r="98" spans="1:5" x14ac:dyDescent="0.25">
      <c r="A98" s="56" t="s">
        <v>59</v>
      </c>
      <c r="B98" s="53">
        <v>20</v>
      </c>
      <c r="C98" s="46">
        <v>8.6</v>
      </c>
      <c r="D98" s="109">
        <v>4.5999999999999996</v>
      </c>
      <c r="E98" s="106">
        <v>20779</v>
      </c>
    </row>
    <row r="99" spans="1:5" x14ac:dyDescent="0.25">
      <c r="A99" s="56" t="s">
        <v>60</v>
      </c>
      <c r="B99" s="53">
        <v>2.1</v>
      </c>
      <c r="C99" s="46">
        <v>0</v>
      </c>
      <c r="D99" s="109">
        <v>0</v>
      </c>
      <c r="E99" s="106">
        <v>1908</v>
      </c>
    </row>
    <row r="100" spans="1:5" x14ac:dyDescent="0.25">
      <c r="A100" s="56" t="s">
        <v>61</v>
      </c>
      <c r="B100" s="53">
        <v>7.5</v>
      </c>
      <c r="C100" s="46">
        <v>1</v>
      </c>
      <c r="D100" s="109">
        <v>0.6</v>
      </c>
      <c r="E100" s="106">
        <v>11695</v>
      </c>
    </row>
    <row r="101" spans="1:5" x14ac:dyDescent="0.25">
      <c r="A101" s="56" t="s">
        <v>62</v>
      </c>
      <c r="B101" s="53">
        <v>2.2000000000000002</v>
      </c>
      <c r="C101" s="46">
        <v>0</v>
      </c>
      <c r="D101" s="109">
        <v>0</v>
      </c>
      <c r="E101" s="106">
        <v>3224</v>
      </c>
    </row>
    <row r="102" spans="1:5" x14ac:dyDescent="0.25">
      <c r="A102" s="56" t="s">
        <v>63</v>
      </c>
      <c r="B102" s="53">
        <v>8.9</v>
      </c>
      <c r="C102" s="46">
        <v>1</v>
      </c>
      <c r="D102" s="109">
        <v>1.2</v>
      </c>
      <c r="E102" s="106">
        <v>10585</v>
      </c>
    </row>
    <row r="103" spans="1:5" x14ac:dyDescent="0.25">
      <c r="A103" s="56" t="s">
        <v>64</v>
      </c>
      <c r="B103" s="53">
        <v>17.2</v>
      </c>
      <c r="C103" s="46">
        <v>3.6</v>
      </c>
      <c r="D103" s="109">
        <v>6.1</v>
      </c>
      <c r="E103" s="106">
        <v>75092</v>
      </c>
    </row>
    <row r="104" spans="1:5" x14ac:dyDescent="0.25">
      <c r="A104" s="56" t="s">
        <v>65</v>
      </c>
      <c r="B104" s="53">
        <v>4</v>
      </c>
      <c r="C104" s="46">
        <v>1.6</v>
      </c>
      <c r="D104" s="109">
        <v>1.9</v>
      </c>
      <c r="E104" s="106">
        <v>5870</v>
      </c>
    </row>
    <row r="105" spans="1:5" x14ac:dyDescent="0.25">
      <c r="A105" s="56" t="s">
        <v>66</v>
      </c>
      <c r="B105" s="53">
        <v>1.9</v>
      </c>
      <c r="C105" s="46">
        <v>0</v>
      </c>
      <c r="D105" s="109">
        <v>0</v>
      </c>
      <c r="E105" s="106">
        <v>1062</v>
      </c>
    </row>
    <row r="106" spans="1:5" x14ac:dyDescent="0.25">
      <c r="A106" s="56" t="s">
        <v>67</v>
      </c>
      <c r="B106" s="53">
        <v>11</v>
      </c>
      <c r="C106" s="46">
        <v>3.6</v>
      </c>
      <c r="D106" s="109">
        <v>3</v>
      </c>
      <c r="E106" s="106">
        <v>14595</v>
      </c>
    </row>
    <row r="107" spans="1:5" x14ac:dyDescent="0.25">
      <c r="A107" s="56" t="s">
        <v>68</v>
      </c>
      <c r="B107" s="53">
        <v>5.9</v>
      </c>
      <c r="C107" s="46">
        <v>0.4</v>
      </c>
      <c r="D107" s="109">
        <v>1.1000000000000001</v>
      </c>
      <c r="E107" s="106">
        <v>18957</v>
      </c>
    </row>
    <row r="108" spans="1:5" x14ac:dyDescent="0.25">
      <c r="A108" s="56" t="s">
        <v>69</v>
      </c>
      <c r="B108" s="53">
        <v>3.5</v>
      </c>
      <c r="C108" s="46">
        <v>0</v>
      </c>
      <c r="D108" s="109">
        <v>0</v>
      </c>
      <c r="E108" s="106">
        <v>1632</v>
      </c>
    </row>
    <row r="109" spans="1:5" x14ac:dyDescent="0.25">
      <c r="A109" s="56" t="s">
        <v>70</v>
      </c>
      <c r="B109" s="53">
        <v>12.5</v>
      </c>
      <c r="C109" s="46">
        <v>2.4</v>
      </c>
      <c r="D109" s="109">
        <v>1</v>
      </c>
      <c r="E109" s="106">
        <v>10619</v>
      </c>
    </row>
    <row r="110" spans="1:5" ht="15.75" thickBot="1" x14ac:dyDescent="0.3">
      <c r="A110" s="57" t="s">
        <v>71</v>
      </c>
      <c r="B110" s="54">
        <v>2.5</v>
      </c>
      <c r="C110" s="47">
        <v>0</v>
      </c>
      <c r="D110" s="110">
        <v>0</v>
      </c>
      <c r="E110" s="107">
        <v>1227</v>
      </c>
    </row>
    <row r="112" spans="1:5" x14ac:dyDescent="0.25">
      <c r="A112" t="s">
        <v>133</v>
      </c>
    </row>
    <row r="113" spans="1:4" x14ac:dyDescent="0.25">
      <c r="A113" s="123" t="s">
        <v>124</v>
      </c>
      <c r="B113" s="123" t="s">
        <v>125</v>
      </c>
      <c r="C113" s="125" t="s">
        <v>130</v>
      </c>
      <c r="D113" s="125" t="s">
        <v>127</v>
      </c>
    </row>
    <row r="114" spans="1:4" x14ac:dyDescent="0.25">
      <c r="A114" s="123"/>
      <c r="B114" s="124"/>
      <c r="C114" s="125"/>
      <c r="D114" s="125"/>
    </row>
    <row r="115" spans="1:4" x14ac:dyDescent="0.25">
      <c r="A115" s="86">
        <v>1</v>
      </c>
      <c r="B115" s="86">
        <v>1</v>
      </c>
      <c r="C115" s="103">
        <v>1.1720966563059937E-2</v>
      </c>
      <c r="D115" s="103">
        <v>1.1353291943253997E-2</v>
      </c>
    </row>
    <row r="116" spans="1:4" x14ac:dyDescent="0.25">
      <c r="A116" s="86">
        <v>1</v>
      </c>
      <c r="B116" s="86">
        <v>3</v>
      </c>
      <c r="C116" s="103">
        <v>5.4630599505930487E-2</v>
      </c>
      <c r="D116" s="103">
        <v>4.459491249782651E-2</v>
      </c>
    </row>
    <row r="117" spans="1:4" x14ac:dyDescent="0.25">
      <c r="A117" s="86">
        <v>1</v>
      </c>
      <c r="B117" s="86">
        <v>5</v>
      </c>
      <c r="C117" s="103">
        <v>4.9220566976877463E-3</v>
      </c>
      <c r="D117" s="103">
        <v>5.0936390880544956E-3</v>
      </c>
    </row>
    <row r="118" spans="1:4" x14ac:dyDescent="0.25">
      <c r="A118" s="86">
        <v>1</v>
      </c>
      <c r="B118" s="86">
        <v>7</v>
      </c>
      <c r="C118" s="103">
        <v>3.7978718263846699E-3</v>
      </c>
      <c r="D118" s="103">
        <v>4.5822295410610728E-3</v>
      </c>
    </row>
    <row r="119" spans="1:4" x14ac:dyDescent="0.25">
      <c r="A119" s="86">
        <v>1</v>
      </c>
      <c r="B119" s="86">
        <v>9</v>
      </c>
      <c r="C119" s="103">
        <v>9.5872717065325075E-3</v>
      </c>
      <c r="D119" s="103">
        <v>1.1823788726487946E-2</v>
      </c>
    </row>
    <row r="120" spans="1:4" x14ac:dyDescent="0.25">
      <c r="A120" s="86">
        <v>1</v>
      </c>
      <c r="B120" s="86">
        <v>11</v>
      </c>
      <c r="C120" s="103">
        <v>1.8563189311841504E-3</v>
      </c>
      <c r="D120" s="103">
        <v>2.0865509517331671E-3</v>
      </c>
    </row>
    <row r="121" spans="1:4" x14ac:dyDescent="0.25">
      <c r="A121" s="86">
        <v>1</v>
      </c>
      <c r="B121" s="86">
        <v>13</v>
      </c>
      <c r="C121" s="103">
        <v>9.1639956572429002E-3</v>
      </c>
      <c r="D121" s="103">
        <v>4.0094508484284381E-3</v>
      </c>
    </row>
    <row r="122" spans="1:4" x14ac:dyDescent="0.25">
      <c r="A122" s="86">
        <v>1</v>
      </c>
      <c r="B122" s="86">
        <v>15</v>
      </c>
      <c r="C122" s="103">
        <v>2.1454934559874354E-2</v>
      </c>
      <c r="D122" s="103">
        <v>2.3320275342900102E-2</v>
      </c>
    </row>
    <row r="123" spans="1:4" x14ac:dyDescent="0.25">
      <c r="A123" s="86">
        <v>1</v>
      </c>
      <c r="B123" s="86">
        <v>17</v>
      </c>
      <c r="C123" s="103">
        <v>6.9653226816276071E-3</v>
      </c>
      <c r="D123" s="103">
        <v>6.8733443115916084E-3</v>
      </c>
    </row>
    <row r="124" spans="1:4" x14ac:dyDescent="0.25">
      <c r="A124" s="86">
        <v>1</v>
      </c>
      <c r="B124" s="86">
        <v>19</v>
      </c>
      <c r="C124" s="103">
        <v>4.057318499463611E-3</v>
      </c>
      <c r="D124" s="103">
        <v>5.3186592887316019E-3</v>
      </c>
    </row>
    <row r="125" spans="1:4" x14ac:dyDescent="0.25">
      <c r="A125" s="86">
        <v>1</v>
      </c>
      <c r="B125" s="86">
        <v>21</v>
      </c>
      <c r="C125" s="103">
        <v>1.2574023242654692E-2</v>
      </c>
      <c r="D125" s="103">
        <v>9.0417207908437235E-3</v>
      </c>
    </row>
    <row r="126" spans="1:4" x14ac:dyDescent="0.25">
      <c r="A126" s="86">
        <v>1</v>
      </c>
      <c r="B126" s="86">
        <v>23</v>
      </c>
      <c r="C126" s="103">
        <v>2.2893154738407935E-3</v>
      </c>
      <c r="D126" s="103">
        <v>2.6184168806063272E-3</v>
      </c>
    </row>
    <row r="127" spans="1:4" x14ac:dyDescent="0.25">
      <c r="A127" s="86">
        <v>1</v>
      </c>
      <c r="B127" s="86">
        <v>25</v>
      </c>
      <c r="C127" s="103">
        <v>4.1123743134381672E-3</v>
      </c>
      <c r="D127" s="103">
        <v>4.8890752692571267E-3</v>
      </c>
    </row>
    <row r="128" spans="1:4" x14ac:dyDescent="0.25">
      <c r="A128" s="86">
        <v>1</v>
      </c>
      <c r="B128" s="86">
        <v>27</v>
      </c>
      <c r="C128" s="103">
        <v>1.9721982203436158E-3</v>
      </c>
      <c r="D128" s="103">
        <v>2.7206987900050116E-3</v>
      </c>
    </row>
    <row r="129" spans="1:4" x14ac:dyDescent="0.25">
      <c r="A129" s="86">
        <v>1</v>
      </c>
      <c r="B129" s="86">
        <v>29</v>
      </c>
      <c r="C129" s="103">
        <v>6.348944803852387E-3</v>
      </c>
      <c r="D129" s="103">
        <v>3.0684572819605397E-3</v>
      </c>
    </row>
    <row r="130" spans="1:4" x14ac:dyDescent="0.25">
      <c r="A130" s="86">
        <v>1</v>
      </c>
      <c r="B130" s="86">
        <v>31</v>
      </c>
      <c r="C130" s="103">
        <v>8.5163152811651276E-3</v>
      </c>
      <c r="D130" s="103">
        <v>1.0637318577463204E-2</v>
      </c>
    </row>
    <row r="131" spans="1:4" x14ac:dyDescent="0.25">
      <c r="A131" s="86">
        <v>1</v>
      </c>
      <c r="B131" s="86">
        <v>33</v>
      </c>
      <c r="C131" s="103">
        <v>1.1000204230907966E-2</v>
      </c>
      <c r="D131" s="103">
        <v>1.1251010033855311E-2</v>
      </c>
    </row>
    <row r="132" spans="1:4" x14ac:dyDescent="0.25">
      <c r="A132" s="86">
        <v>1</v>
      </c>
      <c r="B132" s="86">
        <v>35</v>
      </c>
      <c r="C132" s="103">
        <v>5.8970804941843027E-3</v>
      </c>
      <c r="D132" s="103">
        <v>2.5161349712076427E-3</v>
      </c>
    </row>
    <row r="133" spans="1:4" x14ac:dyDescent="0.25">
      <c r="A133" s="86">
        <v>1</v>
      </c>
      <c r="B133" s="86">
        <v>37</v>
      </c>
      <c r="C133" s="103">
        <v>2.5538572478777245E-3</v>
      </c>
      <c r="D133" s="103">
        <v>2.1683764792521146E-3</v>
      </c>
    </row>
    <row r="134" spans="1:4" x14ac:dyDescent="0.25">
      <c r="A134" s="86">
        <v>1</v>
      </c>
      <c r="B134" s="86">
        <v>39</v>
      </c>
      <c r="C134" s="103">
        <v>6.8280166620076346E-3</v>
      </c>
      <c r="D134" s="103">
        <v>7.5688612955026645E-3</v>
      </c>
    </row>
    <row r="135" spans="1:4" x14ac:dyDescent="0.25">
      <c r="A135" s="86">
        <v>1</v>
      </c>
      <c r="B135" s="86">
        <v>41</v>
      </c>
      <c r="C135" s="103">
        <v>2.5327567419205859E-3</v>
      </c>
      <c r="D135" s="103">
        <v>2.8229806994036965E-3</v>
      </c>
    </row>
    <row r="136" spans="1:4" x14ac:dyDescent="0.25">
      <c r="A136" s="86">
        <v>1</v>
      </c>
      <c r="B136" s="86">
        <v>43</v>
      </c>
      <c r="C136" s="103">
        <v>1.8253280888292017E-2</v>
      </c>
      <c r="D136" s="103">
        <v>1.70606224877006E-2</v>
      </c>
    </row>
    <row r="137" spans="1:4" x14ac:dyDescent="0.25">
      <c r="A137" s="86">
        <v>1</v>
      </c>
      <c r="B137" s="86">
        <v>45</v>
      </c>
      <c r="C137" s="103">
        <v>9.7781032667513812E-3</v>
      </c>
      <c r="D137" s="103">
        <v>1.0044083502950833E-2</v>
      </c>
    </row>
    <row r="138" spans="1:4" x14ac:dyDescent="0.25">
      <c r="A138" s="86">
        <v>1</v>
      </c>
      <c r="B138" s="86">
        <v>47</v>
      </c>
      <c r="C138" s="103">
        <v>6.3523077282830846E-3</v>
      </c>
      <c r="D138" s="103">
        <v>7.8347942599392446E-3</v>
      </c>
    </row>
    <row r="139" spans="1:4" x14ac:dyDescent="0.25">
      <c r="A139" s="86">
        <v>1</v>
      </c>
      <c r="B139" s="86">
        <v>49</v>
      </c>
      <c r="C139" s="103">
        <v>1.329111774677868E-2</v>
      </c>
      <c r="D139" s="103">
        <v>1.4605856662132169E-2</v>
      </c>
    </row>
    <row r="140" spans="1:4" x14ac:dyDescent="0.25">
      <c r="A140" s="86">
        <v>1</v>
      </c>
      <c r="B140" s="86">
        <v>51</v>
      </c>
      <c r="C140" s="103">
        <v>1.5269463043158757E-2</v>
      </c>
      <c r="D140" s="103">
        <v>1.6569669322586914E-2</v>
      </c>
    </row>
    <row r="141" spans="1:4" x14ac:dyDescent="0.25">
      <c r="A141" s="86">
        <v>1</v>
      </c>
      <c r="B141" s="86">
        <v>53</v>
      </c>
      <c r="C141" s="103">
        <v>9.5427923254149429E-3</v>
      </c>
      <c r="D141" s="103">
        <v>7.4665793861039796E-3</v>
      </c>
    </row>
    <row r="142" spans="1:4" x14ac:dyDescent="0.25">
      <c r="A142" s="86">
        <v>1</v>
      </c>
      <c r="B142" s="86">
        <v>55</v>
      </c>
      <c r="C142" s="103">
        <v>1.9124265063975913E-2</v>
      </c>
      <c r="D142" s="103">
        <v>2.1070073336129039E-2</v>
      </c>
    </row>
    <row r="143" spans="1:4" x14ac:dyDescent="0.25">
      <c r="A143" s="86">
        <v>1</v>
      </c>
      <c r="B143" s="86">
        <v>57</v>
      </c>
      <c r="C143" s="103">
        <v>2.3927192599210436E-3</v>
      </c>
      <c r="D143" s="103">
        <v>3.3548466282768566E-3</v>
      </c>
    </row>
    <row r="144" spans="1:4" x14ac:dyDescent="0.25">
      <c r="A144" s="86">
        <v>1</v>
      </c>
      <c r="B144" s="86">
        <v>59</v>
      </c>
      <c r="C144" s="103">
        <v>5.0603807618638478E-3</v>
      </c>
      <c r="D144" s="103">
        <v>6.4028475283576594E-3</v>
      </c>
    </row>
    <row r="145" spans="1:4" x14ac:dyDescent="0.25">
      <c r="A145" s="86">
        <v>1</v>
      </c>
      <c r="B145" s="86">
        <v>61</v>
      </c>
      <c r="C145" s="103">
        <v>4.0742575949282381E-3</v>
      </c>
      <c r="D145" s="103">
        <v>5.380028434370813E-3</v>
      </c>
    </row>
    <row r="146" spans="1:4" x14ac:dyDescent="0.25">
      <c r="A146" s="86">
        <v>1</v>
      </c>
      <c r="B146" s="86">
        <v>63</v>
      </c>
      <c r="C146" s="103">
        <v>5.4133445456853776E-3</v>
      </c>
      <c r="D146" s="103">
        <v>1.6794689523264021E-3</v>
      </c>
    </row>
    <row r="147" spans="1:4" x14ac:dyDescent="0.25">
      <c r="A147" s="86">
        <v>1</v>
      </c>
      <c r="B147" s="86">
        <v>65</v>
      </c>
      <c r="C147" s="103">
        <v>2.6096532326148661E-3</v>
      </c>
      <c r="D147" s="103">
        <v>3.007088136321329E-3</v>
      </c>
    </row>
    <row r="148" spans="1:4" x14ac:dyDescent="0.25">
      <c r="A148" s="86">
        <v>1</v>
      </c>
      <c r="B148" s="86">
        <v>67</v>
      </c>
      <c r="C148" s="103">
        <v>3.4467482699852546E-3</v>
      </c>
      <c r="D148" s="103">
        <v>3.5184976833147522E-3</v>
      </c>
    </row>
    <row r="149" spans="1:4" x14ac:dyDescent="0.25">
      <c r="A149" s="86">
        <v>1</v>
      </c>
      <c r="B149" s="86">
        <v>69</v>
      </c>
      <c r="C149" s="103">
        <v>1.9849689918719018E-2</v>
      </c>
      <c r="D149" s="103">
        <v>2.1479200973723779E-2</v>
      </c>
    </row>
    <row r="150" spans="1:4" x14ac:dyDescent="0.25">
      <c r="A150" s="86">
        <v>1</v>
      </c>
      <c r="B150" s="86">
        <v>71</v>
      </c>
      <c r="C150" s="103">
        <v>9.996657397583264E-3</v>
      </c>
      <c r="D150" s="103">
        <v>1.0555493049944256E-2</v>
      </c>
    </row>
    <row r="151" spans="1:4" x14ac:dyDescent="0.25">
      <c r="A151" s="86">
        <v>1</v>
      </c>
      <c r="B151" s="86">
        <v>73</v>
      </c>
      <c r="C151" s="103">
        <v>0.14130188125853549</v>
      </c>
      <c r="D151" s="103">
        <v>0.13480755658746638</v>
      </c>
    </row>
    <row r="152" spans="1:4" x14ac:dyDescent="0.25">
      <c r="A152" s="86">
        <v>1</v>
      </c>
      <c r="B152" s="86">
        <v>75</v>
      </c>
      <c r="C152" s="103">
        <v>2.0073532829842132E-3</v>
      </c>
      <c r="D152" s="103">
        <v>2.8434370812834334E-3</v>
      </c>
    </row>
    <row r="153" spans="1:4" x14ac:dyDescent="0.25">
      <c r="A153" s="86">
        <v>1</v>
      </c>
      <c r="B153" s="86">
        <v>77</v>
      </c>
      <c r="C153" s="103">
        <v>1.3941230784327215E-2</v>
      </c>
      <c r="D153" s="103">
        <v>1.8942609620636399E-2</v>
      </c>
    </row>
    <row r="154" spans="1:4" x14ac:dyDescent="0.25">
      <c r="A154" s="86">
        <v>1</v>
      </c>
      <c r="B154" s="86">
        <v>79</v>
      </c>
      <c r="C154" s="103">
        <v>6.3388538792536831E-3</v>
      </c>
      <c r="D154" s="103">
        <v>6.7301496384334506E-3</v>
      </c>
    </row>
    <row r="155" spans="1:4" x14ac:dyDescent="0.25">
      <c r="A155" s="86">
        <v>1</v>
      </c>
      <c r="B155" s="86">
        <v>81</v>
      </c>
      <c r="C155" s="103">
        <v>2.8825469207651163E-2</v>
      </c>
      <c r="D155" s="103">
        <v>3.3548466282768565E-2</v>
      </c>
    </row>
    <row r="156" spans="1:4" x14ac:dyDescent="0.25">
      <c r="A156" s="86">
        <v>1</v>
      </c>
      <c r="B156" s="86">
        <v>83</v>
      </c>
      <c r="C156" s="103">
        <v>2.1640028830140167E-2</v>
      </c>
      <c r="D156" s="103">
        <v>1.9679039368306929E-2</v>
      </c>
    </row>
    <row r="157" spans="1:4" x14ac:dyDescent="0.25">
      <c r="A157" s="86">
        <v>1</v>
      </c>
      <c r="B157" s="86">
        <v>85</v>
      </c>
      <c r="C157" s="103">
        <v>5.7406676968049354E-3</v>
      </c>
      <c r="D157" s="103">
        <v>2.0395012734097718E-3</v>
      </c>
    </row>
    <row r="158" spans="1:4" x14ac:dyDescent="0.25">
      <c r="A158" s="86">
        <v>1</v>
      </c>
      <c r="B158" s="86">
        <v>87</v>
      </c>
      <c r="C158" s="103">
        <v>9.0516115110117045E-3</v>
      </c>
      <c r="D158" s="103">
        <v>3.7435178839918585E-3</v>
      </c>
    </row>
    <row r="159" spans="1:4" x14ac:dyDescent="0.25">
      <c r="A159" s="86">
        <v>1</v>
      </c>
      <c r="B159" s="86">
        <v>89</v>
      </c>
      <c r="C159" s="103">
        <v>6.991823208616621E-2</v>
      </c>
      <c r="D159" s="103">
        <v>7.5074921498634539E-2</v>
      </c>
    </row>
    <row r="160" spans="1:4" x14ac:dyDescent="0.25">
      <c r="A160" s="86">
        <v>1</v>
      </c>
      <c r="B160" s="86">
        <v>91</v>
      </c>
      <c r="C160" s="103">
        <v>3.701136781983565E-3</v>
      </c>
      <c r="D160" s="103">
        <v>3.9071689390297541E-3</v>
      </c>
    </row>
    <row r="161" spans="1:4" x14ac:dyDescent="0.25">
      <c r="A161" s="86">
        <v>1</v>
      </c>
      <c r="B161" s="86">
        <v>93</v>
      </c>
      <c r="C161" s="103">
        <v>7.5772813421918642E-3</v>
      </c>
      <c r="D161" s="103">
        <v>6.0960018001616056E-3</v>
      </c>
    </row>
    <row r="162" spans="1:4" x14ac:dyDescent="0.25">
      <c r="A162" s="86">
        <v>1</v>
      </c>
      <c r="B162" s="86">
        <v>95</v>
      </c>
      <c r="C162" s="103">
        <v>1.5638510736850041E-2</v>
      </c>
      <c r="D162" s="103">
        <v>1.9679039368306929E-2</v>
      </c>
    </row>
    <row r="163" spans="1:4" x14ac:dyDescent="0.25">
      <c r="A163" s="86">
        <v>1</v>
      </c>
      <c r="B163" s="86">
        <v>97</v>
      </c>
      <c r="C163" s="103">
        <v>7.7576855865377631E-2</v>
      </c>
      <c r="D163" s="103">
        <v>8.4689420982110894E-2</v>
      </c>
    </row>
    <row r="164" spans="1:4" x14ac:dyDescent="0.25">
      <c r="A164" s="86">
        <v>1</v>
      </c>
      <c r="B164" s="86">
        <v>99</v>
      </c>
      <c r="C164" s="103">
        <v>3.2713651171687071E-3</v>
      </c>
      <c r="D164" s="103">
        <v>4.3162965766244928E-3</v>
      </c>
    </row>
    <row r="165" spans="1:4" x14ac:dyDescent="0.25">
      <c r="A165" s="86">
        <v>1</v>
      </c>
      <c r="B165" s="86">
        <v>101</v>
      </c>
      <c r="C165" s="103">
        <v>4.7863822340190092E-2</v>
      </c>
      <c r="D165" s="103">
        <v>4.6435986867002836E-2</v>
      </c>
    </row>
    <row r="166" spans="1:4" x14ac:dyDescent="0.25">
      <c r="A166" s="86">
        <v>1</v>
      </c>
      <c r="B166" s="86">
        <v>103</v>
      </c>
      <c r="C166" s="103">
        <v>2.3121283657726168E-2</v>
      </c>
      <c r="D166" s="103">
        <v>2.4343094436886949E-2</v>
      </c>
    </row>
    <row r="167" spans="1:4" x14ac:dyDescent="0.25">
      <c r="A167" s="86">
        <v>1</v>
      </c>
      <c r="B167" s="86">
        <v>105</v>
      </c>
      <c r="C167" s="103">
        <v>1.3554229271454698E-3</v>
      </c>
      <c r="D167" s="103">
        <v>1.8553938364921395E-3</v>
      </c>
    </row>
    <row r="168" spans="1:4" x14ac:dyDescent="0.25">
      <c r="A168" s="86">
        <v>1</v>
      </c>
      <c r="B168" s="86">
        <v>107</v>
      </c>
      <c r="C168" s="103">
        <v>3.2073456429545628E-3</v>
      </c>
      <c r="D168" s="103">
        <v>4.0912763759473865E-3</v>
      </c>
    </row>
    <row r="169" spans="1:4" x14ac:dyDescent="0.25">
      <c r="A169" s="86">
        <v>1</v>
      </c>
      <c r="B169" s="86">
        <v>109</v>
      </c>
      <c r="C169" s="103">
        <v>6.7347735722913596E-3</v>
      </c>
      <c r="D169" s="103">
        <v>6.7915187840726608E-3</v>
      </c>
    </row>
    <row r="170" spans="1:4" x14ac:dyDescent="0.25">
      <c r="A170" s="86">
        <v>1</v>
      </c>
      <c r="B170" s="86">
        <v>111</v>
      </c>
      <c r="C170" s="103">
        <v>3.0166924790016418E-3</v>
      </c>
      <c r="D170" s="103">
        <v>4.6435986867002831E-3</v>
      </c>
    </row>
    <row r="171" spans="1:4" x14ac:dyDescent="0.25">
      <c r="A171" s="86">
        <v>1</v>
      </c>
      <c r="B171" s="86">
        <v>113</v>
      </c>
      <c r="C171" s="103">
        <v>1.1103390548916434E-2</v>
      </c>
      <c r="D171" s="103">
        <v>1.1823788726487946E-2</v>
      </c>
    </row>
    <row r="172" spans="1:4" x14ac:dyDescent="0.25">
      <c r="A172" s="86">
        <v>1</v>
      </c>
      <c r="B172" s="86">
        <v>115</v>
      </c>
      <c r="C172" s="103">
        <v>2.1330819169361508E-2</v>
      </c>
      <c r="D172" s="103">
        <v>1.8144810727326658E-2</v>
      </c>
    </row>
    <row r="173" spans="1:4" x14ac:dyDescent="0.25">
      <c r="A173" s="86">
        <v>1</v>
      </c>
      <c r="B173" s="86">
        <v>117</v>
      </c>
      <c r="C173" s="103">
        <v>3.9832896669360053E-2</v>
      </c>
      <c r="D173" s="103">
        <v>4.4185784860231773E-2</v>
      </c>
    </row>
    <row r="174" spans="1:4" x14ac:dyDescent="0.25">
      <c r="A174" s="86">
        <v>1</v>
      </c>
      <c r="B174" s="86">
        <v>119</v>
      </c>
      <c r="C174" s="103">
        <v>5.3893709104099333E-3</v>
      </c>
      <c r="D174" s="103">
        <v>2.5775041168468534E-3</v>
      </c>
    </row>
    <row r="175" spans="1:4" x14ac:dyDescent="0.25">
      <c r="A175" s="86">
        <v>1</v>
      </c>
      <c r="B175" s="86">
        <v>121</v>
      </c>
      <c r="C175" s="103">
        <v>1.7610249197796437E-2</v>
      </c>
      <c r="D175" s="103">
        <v>1.6385561885669281E-2</v>
      </c>
    </row>
    <row r="176" spans="1:4" x14ac:dyDescent="0.25">
      <c r="A176" s="86">
        <v>1</v>
      </c>
      <c r="B176" s="86">
        <v>123</v>
      </c>
      <c r="C176" s="103">
        <v>7.4870092079939981E-3</v>
      </c>
      <c r="D176" s="103">
        <v>8.2848346612934571E-3</v>
      </c>
    </row>
    <row r="177" spans="1:4" x14ac:dyDescent="0.25">
      <c r="A177" s="86">
        <v>1</v>
      </c>
      <c r="B177" s="86">
        <v>125</v>
      </c>
      <c r="C177" s="103">
        <v>4.5663514725380487E-2</v>
      </c>
      <c r="D177" s="103">
        <v>4.2549274309852815E-2</v>
      </c>
    </row>
    <row r="178" spans="1:4" x14ac:dyDescent="0.25">
      <c r="A178" s="86">
        <v>1</v>
      </c>
      <c r="B178" s="86">
        <v>127</v>
      </c>
      <c r="C178" s="103">
        <v>1.4068455733351991E-2</v>
      </c>
      <c r="D178" s="103">
        <v>1.3030715257392425E-2</v>
      </c>
    </row>
    <row r="179" spans="1:4" x14ac:dyDescent="0.25">
      <c r="A179" s="86">
        <v>1</v>
      </c>
      <c r="B179" s="86">
        <v>129</v>
      </c>
      <c r="C179" s="103">
        <v>3.3246191829306832E-3</v>
      </c>
      <c r="D179" s="103">
        <v>3.3548466282768566E-3</v>
      </c>
    </row>
    <row r="180" spans="1:4" x14ac:dyDescent="0.25">
      <c r="A180" s="86">
        <v>1</v>
      </c>
      <c r="B180" s="86">
        <v>131</v>
      </c>
      <c r="C180" s="103">
        <v>1.9341217317170047E-3</v>
      </c>
      <c r="D180" s="103">
        <v>2.1683764792521146E-3</v>
      </c>
    </row>
    <row r="181" spans="1:4" x14ac:dyDescent="0.25">
      <c r="A181" s="86">
        <v>1</v>
      </c>
      <c r="B181" s="86">
        <v>133</v>
      </c>
      <c r="C181" s="103">
        <v>3.189209537888627E-3</v>
      </c>
      <c r="D181" s="103">
        <v>4.8481625054976529E-3</v>
      </c>
    </row>
    <row r="182" spans="1:4" x14ac:dyDescent="0.25">
      <c r="A182" s="86">
        <v>2</v>
      </c>
      <c r="B182" s="86">
        <v>13</v>
      </c>
      <c r="C182" s="103">
        <v>9.506510805734618E-4</v>
      </c>
      <c r="D182" s="103">
        <v>4.6216625479497493E-3</v>
      </c>
    </row>
    <row r="183" spans="1:4" x14ac:dyDescent="0.25">
      <c r="A183" s="86">
        <v>2</v>
      </c>
      <c r="B183" s="86">
        <v>16</v>
      </c>
      <c r="C183" s="103">
        <v>1.6950973917427637E-3</v>
      </c>
      <c r="D183" s="103">
        <v>7.6665225795401722E-3</v>
      </c>
    </row>
    <row r="184" spans="1:4" x14ac:dyDescent="0.25">
      <c r="A184" s="86">
        <v>2</v>
      </c>
      <c r="B184" s="86">
        <v>20</v>
      </c>
      <c r="C184" s="103">
        <v>0.45009549989033659</v>
      </c>
      <c r="D184" s="103">
        <v>0.39555994160393437</v>
      </c>
    </row>
    <row r="185" spans="1:4" x14ac:dyDescent="0.25">
      <c r="A185" s="86">
        <v>2</v>
      </c>
      <c r="B185" s="86">
        <v>50</v>
      </c>
      <c r="C185" s="103">
        <v>5.8571092036406843E-3</v>
      </c>
      <c r="D185" s="103">
        <v>2.4739487756672184E-2</v>
      </c>
    </row>
    <row r="186" spans="1:4" x14ac:dyDescent="0.25">
      <c r="A186" s="86">
        <v>2</v>
      </c>
      <c r="B186" s="86">
        <v>60</v>
      </c>
      <c r="C186" s="103">
        <v>2.2829370382876867E-4</v>
      </c>
      <c r="D186" s="103">
        <v>1.1961950124105233E-3</v>
      </c>
    </row>
    <row r="187" spans="1:4" x14ac:dyDescent="0.25">
      <c r="A187" s="86">
        <v>2</v>
      </c>
      <c r="B187" s="86">
        <v>68</v>
      </c>
      <c r="C187" s="103">
        <v>1.2558426355561788E-2</v>
      </c>
      <c r="D187" s="103">
        <v>2.7594044036288205E-3</v>
      </c>
    </row>
    <row r="188" spans="1:4" x14ac:dyDescent="0.25">
      <c r="A188" s="86">
        <v>2</v>
      </c>
      <c r="B188" s="86">
        <v>70</v>
      </c>
      <c r="C188" s="103">
        <v>1.8037450546426357E-3</v>
      </c>
      <c r="D188" s="103">
        <v>6.7829694453733083E-3</v>
      </c>
    </row>
    <row r="189" spans="1:4" x14ac:dyDescent="0.25">
      <c r="A189" s="86">
        <v>2</v>
      </c>
      <c r="B189" s="86">
        <v>90</v>
      </c>
      <c r="C189" s="103">
        <v>0.14099334172751518</v>
      </c>
      <c r="D189" s="103">
        <v>0.13402821389054273</v>
      </c>
    </row>
    <row r="190" spans="1:4" x14ac:dyDescent="0.25">
      <c r="A190" s="86">
        <v>2</v>
      </c>
      <c r="B190" s="86">
        <v>100</v>
      </c>
      <c r="C190" s="103">
        <v>9.6170895557357375E-4</v>
      </c>
      <c r="D190" s="103">
        <v>3.3846881601161398E-3</v>
      </c>
    </row>
    <row r="191" spans="1:4" x14ac:dyDescent="0.25">
      <c r="A191" s="86">
        <v>2</v>
      </c>
      <c r="B191" s="86">
        <v>105</v>
      </c>
      <c r="C191" s="103">
        <v>8.3665295987693923E-4</v>
      </c>
      <c r="D191" s="103">
        <v>2.9361150304621935E-3</v>
      </c>
    </row>
    <row r="192" spans="1:4" x14ac:dyDescent="0.25">
      <c r="A192" s="86">
        <v>2</v>
      </c>
      <c r="B192" s="86">
        <v>110</v>
      </c>
      <c r="C192" s="103">
        <v>3.6630870988699077E-2</v>
      </c>
      <c r="D192" s="103">
        <v>4.3498000451291756E-2</v>
      </c>
    </row>
    <row r="193" spans="1:4" x14ac:dyDescent="0.25">
      <c r="A193" s="86">
        <v>2</v>
      </c>
      <c r="B193" s="86">
        <v>122</v>
      </c>
      <c r="C193" s="103">
        <v>8.3695137289098984E-2</v>
      </c>
      <c r="D193" s="103">
        <v>7.9655713326428026E-2</v>
      </c>
    </row>
    <row r="194" spans="1:4" x14ac:dyDescent="0.25">
      <c r="A194" s="86">
        <v>2</v>
      </c>
      <c r="B194" s="86">
        <v>130</v>
      </c>
      <c r="C194" s="103">
        <v>1.3367145819640498E-2</v>
      </c>
      <c r="D194" s="103">
        <v>1.8894443946029855E-2</v>
      </c>
    </row>
    <row r="195" spans="1:4" x14ac:dyDescent="0.25">
      <c r="A195" s="86">
        <v>2</v>
      </c>
      <c r="B195" s="86">
        <v>150</v>
      </c>
      <c r="C195" s="103">
        <v>1.0022168021920547E-2</v>
      </c>
      <c r="D195" s="103">
        <v>1.8078856437568135E-2</v>
      </c>
    </row>
    <row r="196" spans="1:4" x14ac:dyDescent="0.25">
      <c r="A196" s="86">
        <v>2</v>
      </c>
      <c r="B196" s="86">
        <v>164</v>
      </c>
      <c r="C196" s="103">
        <v>3.9924334859463723E-4</v>
      </c>
      <c r="D196" s="103">
        <v>2.1749000225645878E-3</v>
      </c>
    </row>
    <row r="197" spans="1:4" x14ac:dyDescent="0.25">
      <c r="A197" s="86">
        <v>2</v>
      </c>
      <c r="B197" s="86">
        <v>170</v>
      </c>
      <c r="C197" s="103">
        <v>0.19208519122962134</v>
      </c>
      <c r="D197" s="103">
        <v>0.14544643900900681</v>
      </c>
    </row>
    <row r="198" spans="1:4" x14ac:dyDescent="0.25">
      <c r="A198" s="86">
        <v>2</v>
      </c>
      <c r="B198" s="86">
        <v>180</v>
      </c>
      <c r="C198" s="103">
        <v>3.6962574656801651E-3</v>
      </c>
      <c r="D198" s="103">
        <v>1.372905639243896E-2</v>
      </c>
    </row>
    <row r="199" spans="1:4" x14ac:dyDescent="0.25">
      <c r="A199" s="86">
        <v>2</v>
      </c>
      <c r="B199" s="86">
        <v>185</v>
      </c>
      <c r="C199" s="103">
        <v>3.7710933990883796E-3</v>
      </c>
      <c r="D199" s="103">
        <v>1.3389228263913243E-2</v>
      </c>
    </row>
    <row r="200" spans="1:4" x14ac:dyDescent="0.25">
      <c r="A200" s="86">
        <v>2</v>
      </c>
      <c r="B200" s="86">
        <v>188</v>
      </c>
      <c r="C200" s="103">
        <v>2.2276336800767038E-3</v>
      </c>
      <c r="D200" s="103">
        <v>1.045311323345105E-2</v>
      </c>
    </row>
    <row r="201" spans="1:4" x14ac:dyDescent="0.25">
      <c r="A201" s="86">
        <v>2</v>
      </c>
      <c r="B201" s="86">
        <v>195</v>
      </c>
      <c r="C201" s="103">
        <v>1.3841475522257825E-3</v>
      </c>
      <c r="D201" s="103">
        <v>4.4041725456932905E-3</v>
      </c>
    </row>
    <row r="202" spans="1:4" x14ac:dyDescent="0.25">
      <c r="A202" s="86">
        <v>2</v>
      </c>
      <c r="B202" s="86">
        <v>198</v>
      </c>
      <c r="C202" s="103">
        <v>2.4872420791030234E-3</v>
      </c>
      <c r="D202" s="103">
        <v>8.6452275896942363E-3</v>
      </c>
    </row>
    <row r="203" spans="1:4" x14ac:dyDescent="0.25">
      <c r="A203" s="86">
        <v>2</v>
      </c>
      <c r="B203" s="86">
        <v>220</v>
      </c>
      <c r="C203" s="103">
        <v>6.7025367378210007E-3</v>
      </c>
      <c r="D203" s="103">
        <v>1.1622121995579516E-2</v>
      </c>
    </row>
    <row r="204" spans="1:4" x14ac:dyDescent="0.25">
      <c r="A204" s="86">
        <v>2</v>
      </c>
      <c r="B204" s="86">
        <v>230</v>
      </c>
      <c r="C204" s="103">
        <v>5.3018579620729125E-4</v>
      </c>
      <c r="D204" s="103">
        <v>1.5903956415003549E-3</v>
      </c>
    </row>
    <row r="205" spans="1:4" x14ac:dyDescent="0.25">
      <c r="A205" s="86">
        <v>2</v>
      </c>
      <c r="B205" s="86">
        <v>240</v>
      </c>
      <c r="C205" s="103">
        <v>1.4809517776014665E-2</v>
      </c>
      <c r="D205" s="103">
        <v>9.433628847873899E-3</v>
      </c>
    </row>
    <row r="206" spans="1:4" x14ac:dyDescent="0.25">
      <c r="A206" s="86">
        <v>2</v>
      </c>
      <c r="B206" s="86">
        <v>261</v>
      </c>
      <c r="C206" s="103">
        <v>0</v>
      </c>
      <c r="D206" s="103">
        <v>1.2451302629182264E-2</v>
      </c>
    </row>
    <row r="207" spans="1:4" x14ac:dyDescent="0.25">
      <c r="A207" s="86">
        <v>2</v>
      </c>
      <c r="B207" s="86">
        <v>158</v>
      </c>
      <c r="C207" s="103">
        <v>2.2634609777541829E-3</v>
      </c>
      <c r="D207" s="103">
        <v>1.1309480117335857E-2</v>
      </c>
    </row>
    <row r="208" spans="1:4" x14ac:dyDescent="0.25">
      <c r="A208" s="86">
        <v>2</v>
      </c>
      <c r="B208" s="86">
        <v>275</v>
      </c>
      <c r="C208" s="103">
        <v>7.7376577551935136E-4</v>
      </c>
      <c r="D208" s="103">
        <v>3.452653785821283E-3</v>
      </c>
    </row>
    <row r="209" spans="1:4" x14ac:dyDescent="0.25">
      <c r="A209" s="86">
        <v>2</v>
      </c>
      <c r="B209" s="86">
        <v>282</v>
      </c>
      <c r="C209" s="103">
        <v>2.8651324495031699E-4</v>
      </c>
      <c r="D209" s="103">
        <v>8.1015025840530891E-4</v>
      </c>
    </row>
    <row r="210" spans="1:4" x14ac:dyDescent="0.25">
      <c r="A210" s="86">
        <v>2</v>
      </c>
      <c r="B210" s="86">
        <v>290</v>
      </c>
      <c r="C210" s="103">
        <v>8.8873624946915596E-3</v>
      </c>
      <c r="D210" s="103">
        <v>7.2859150755913687E-3</v>
      </c>
    </row>
    <row r="211" spans="1:4" x14ac:dyDescent="0.25">
      <c r="A211" s="86">
        <v>4</v>
      </c>
      <c r="B211" s="86">
        <v>1</v>
      </c>
      <c r="C211" s="103">
        <v>1.0579682437391597E-2</v>
      </c>
      <c r="D211" s="103">
        <v>1.0014875652119257E-2</v>
      </c>
    </row>
    <row r="212" spans="1:4" x14ac:dyDescent="0.25">
      <c r="A212" s="86">
        <v>4</v>
      </c>
      <c r="B212" s="86">
        <v>3</v>
      </c>
      <c r="C212" s="103">
        <v>1.9241768807222219E-2</v>
      </c>
      <c r="D212" s="103">
        <v>1.7599363070669824E-2</v>
      </c>
    </row>
    <row r="213" spans="1:4" x14ac:dyDescent="0.25">
      <c r="A213" s="86">
        <v>4</v>
      </c>
      <c r="B213" s="86">
        <v>5</v>
      </c>
      <c r="C213" s="103">
        <v>3.2302456634717459E-2</v>
      </c>
      <c r="D213" s="103">
        <v>1.997388031036337E-2</v>
      </c>
    </row>
    <row r="214" spans="1:4" x14ac:dyDescent="0.25">
      <c r="A214" s="86">
        <v>4</v>
      </c>
      <c r="B214" s="86">
        <v>7</v>
      </c>
      <c r="C214" s="103">
        <v>6.7429924738665334E-3</v>
      </c>
      <c r="D214" s="103">
        <v>7.5146486762066389E-3</v>
      </c>
    </row>
    <row r="215" spans="1:4" x14ac:dyDescent="0.25">
      <c r="A215" s="86">
        <v>4</v>
      </c>
      <c r="B215" s="86">
        <v>9</v>
      </c>
      <c r="C215" s="103">
        <v>3.5385710755328056E-3</v>
      </c>
      <c r="D215" s="103">
        <v>5.3077444181385183E-3</v>
      </c>
    </row>
    <row r="216" spans="1:4" x14ac:dyDescent="0.25">
      <c r="A216" s="86">
        <v>4</v>
      </c>
      <c r="B216" s="86">
        <v>11</v>
      </c>
      <c r="C216" s="103">
        <v>7.1057572257749205E-4</v>
      </c>
      <c r="D216" s="103">
        <v>1.3199522303002367E-3</v>
      </c>
    </row>
    <row r="217" spans="1:4" x14ac:dyDescent="0.25">
      <c r="A217" s="86">
        <v>4</v>
      </c>
      <c r="B217" s="86">
        <v>12</v>
      </c>
      <c r="C217" s="103">
        <v>1.2829548610075597E-2</v>
      </c>
      <c r="D217" s="103">
        <v>2.9332271784449707E-3</v>
      </c>
    </row>
    <row r="218" spans="1:4" x14ac:dyDescent="0.25">
      <c r="A218" s="86">
        <v>4</v>
      </c>
      <c r="B218" s="86">
        <v>13</v>
      </c>
      <c r="C218" s="103">
        <v>0.61759469270368927</v>
      </c>
      <c r="D218" s="103">
        <v>0.61458093262656521</v>
      </c>
    </row>
    <row r="219" spans="1:4" x14ac:dyDescent="0.25">
      <c r="A219" s="86">
        <v>4</v>
      </c>
      <c r="B219" s="86">
        <v>15</v>
      </c>
      <c r="C219" s="103">
        <v>3.3675120923108412E-2</v>
      </c>
      <c r="D219" s="103">
        <v>2.919259429976185E-2</v>
      </c>
    </row>
    <row r="220" spans="1:4" x14ac:dyDescent="0.25">
      <c r="A220" s="86">
        <v>4</v>
      </c>
      <c r="B220" s="86">
        <v>17</v>
      </c>
      <c r="C220" s="103">
        <v>1.7557161687372855E-2</v>
      </c>
      <c r="D220" s="103">
        <v>1.5364523315664132E-2</v>
      </c>
    </row>
    <row r="221" spans="1:4" x14ac:dyDescent="0.25">
      <c r="A221" s="86">
        <v>4</v>
      </c>
      <c r="B221" s="86">
        <v>19</v>
      </c>
      <c r="C221" s="103">
        <v>0.12083892351735184</v>
      </c>
      <c r="D221" s="103">
        <v>0.14526458407536996</v>
      </c>
    </row>
    <row r="222" spans="1:4" x14ac:dyDescent="0.25">
      <c r="A222" s="86">
        <v>4</v>
      </c>
      <c r="B222" s="86">
        <v>21</v>
      </c>
      <c r="C222" s="103">
        <v>5.2349515349565993E-2</v>
      </c>
      <c r="D222" s="103">
        <v>6.2435835655471519E-2</v>
      </c>
    </row>
    <row r="223" spans="1:4" x14ac:dyDescent="0.25">
      <c r="A223" s="86">
        <v>4</v>
      </c>
      <c r="B223" s="86">
        <v>23</v>
      </c>
      <c r="C223" s="103">
        <v>6.8633608483024584E-3</v>
      </c>
      <c r="D223" s="103">
        <v>6.4810352895165067E-3</v>
      </c>
    </row>
    <row r="224" spans="1:4" x14ac:dyDescent="0.25">
      <c r="A224" s="86">
        <v>4</v>
      </c>
      <c r="B224" s="86">
        <v>25</v>
      </c>
      <c r="C224" s="103">
        <v>4.204015505072891E-2</v>
      </c>
      <c r="D224" s="103">
        <v>3.2405176447582534E-2</v>
      </c>
    </row>
    <row r="225" spans="1:4" x14ac:dyDescent="0.25">
      <c r="A225" s="86">
        <v>4</v>
      </c>
      <c r="B225" s="86">
        <v>27</v>
      </c>
      <c r="C225" s="103">
        <v>2.3135474158496556E-2</v>
      </c>
      <c r="D225" s="103">
        <v>2.9611626753825417E-2</v>
      </c>
    </row>
    <row r="226" spans="1:4" x14ac:dyDescent="0.25">
      <c r="A226" s="86">
        <v>5</v>
      </c>
      <c r="B226" s="86">
        <v>1</v>
      </c>
      <c r="C226" s="103">
        <v>4.4383243644114884E-3</v>
      </c>
      <c r="D226" s="103">
        <v>5.8789924004889194E-3</v>
      </c>
    </row>
    <row r="227" spans="1:4" x14ac:dyDescent="0.25">
      <c r="A227" s="86">
        <v>5</v>
      </c>
      <c r="B227" s="86">
        <v>3</v>
      </c>
      <c r="C227" s="103">
        <v>3.9975107376847242E-3</v>
      </c>
      <c r="D227" s="103">
        <v>6.6429292660891747E-3</v>
      </c>
    </row>
    <row r="228" spans="1:4" x14ac:dyDescent="0.25">
      <c r="A228" s="86">
        <v>5</v>
      </c>
      <c r="B228" s="86">
        <v>5</v>
      </c>
      <c r="C228" s="103">
        <v>9.2513428342630571E-3</v>
      </c>
      <c r="D228" s="103">
        <v>1.3817292873465484E-2</v>
      </c>
    </row>
    <row r="229" spans="1:4" x14ac:dyDescent="0.25">
      <c r="A229" s="86">
        <v>5</v>
      </c>
      <c r="B229" s="86">
        <v>7</v>
      </c>
      <c r="C229" s="103">
        <v>7.4469639276071836E-2</v>
      </c>
      <c r="D229" s="103">
        <v>9.034383801881278E-2</v>
      </c>
    </row>
    <row r="230" spans="1:4" x14ac:dyDescent="0.25">
      <c r="A230" s="86">
        <v>5</v>
      </c>
      <c r="B230" s="86">
        <v>9</v>
      </c>
      <c r="C230" s="103">
        <v>8.8355324337059879E-3</v>
      </c>
      <c r="D230" s="103">
        <v>1.2422277727586757E-2</v>
      </c>
    </row>
    <row r="231" spans="1:4" x14ac:dyDescent="0.25">
      <c r="A231" s="86">
        <v>5</v>
      </c>
      <c r="B231" s="86">
        <v>11</v>
      </c>
      <c r="C231" s="103">
        <v>2.4804644999782618E-3</v>
      </c>
      <c r="D231" s="103">
        <v>3.5871818036881543E-3</v>
      </c>
    </row>
    <row r="232" spans="1:4" x14ac:dyDescent="0.25">
      <c r="A232" s="86">
        <v>5</v>
      </c>
      <c r="B232" s="86">
        <v>13</v>
      </c>
      <c r="C232" s="103">
        <v>1.7701080305983147E-3</v>
      </c>
      <c r="D232" s="103">
        <v>1.7371260030823192E-3</v>
      </c>
    </row>
    <row r="233" spans="1:4" x14ac:dyDescent="0.25">
      <c r="A233" s="86">
        <v>5</v>
      </c>
      <c r="B233" s="86">
        <v>15</v>
      </c>
      <c r="C233" s="103">
        <v>4.8902014425270196E-3</v>
      </c>
      <c r="D233" s="103">
        <v>9.3333156188552899E-3</v>
      </c>
    </row>
    <row r="234" spans="1:4" x14ac:dyDescent="0.25">
      <c r="A234" s="86">
        <v>5</v>
      </c>
      <c r="B234" s="86">
        <v>17</v>
      </c>
      <c r="C234" s="103">
        <v>2.7171911926130929E-3</v>
      </c>
      <c r="D234" s="103">
        <v>3.454323218366371E-3</v>
      </c>
    </row>
    <row r="235" spans="1:4" x14ac:dyDescent="0.25">
      <c r="A235" s="86">
        <v>5</v>
      </c>
      <c r="B235" s="86">
        <v>19</v>
      </c>
      <c r="C235" s="103">
        <v>1.5676601020408531E-2</v>
      </c>
      <c r="D235" s="103">
        <v>7.40686613168943E-3</v>
      </c>
    </row>
    <row r="236" spans="1:4" x14ac:dyDescent="0.25">
      <c r="A236" s="86">
        <v>5</v>
      </c>
      <c r="B236" s="86">
        <v>21</v>
      </c>
      <c r="C236" s="103">
        <v>2.7579185494366176E-3</v>
      </c>
      <c r="D236" s="103">
        <v>4.9157676569059894E-3</v>
      </c>
    </row>
    <row r="237" spans="1:4" x14ac:dyDescent="0.25">
      <c r="A237" s="86">
        <v>5</v>
      </c>
      <c r="B237" s="86">
        <v>23</v>
      </c>
      <c r="C237" s="103">
        <v>5.2894052895697957E-3</v>
      </c>
      <c r="D237" s="103">
        <v>8.3036615826114681E-3</v>
      </c>
    </row>
    <row r="238" spans="1:4" x14ac:dyDescent="0.25">
      <c r="A238" s="86">
        <v>5</v>
      </c>
      <c r="B238" s="86">
        <v>25</v>
      </c>
      <c r="C238" s="103">
        <v>1.7973824197506229E-3</v>
      </c>
      <c r="D238" s="103">
        <v>2.6571717064356698E-3</v>
      </c>
    </row>
    <row r="239" spans="1:4" x14ac:dyDescent="0.25">
      <c r="A239" s="86">
        <v>5</v>
      </c>
      <c r="B239" s="86">
        <v>27</v>
      </c>
      <c r="C239" s="103">
        <v>5.409833741718135E-3</v>
      </c>
      <c r="D239" s="103">
        <v>7.838656533985227E-3</v>
      </c>
    </row>
    <row r="240" spans="1:4" x14ac:dyDescent="0.25">
      <c r="A240" s="86">
        <v>5</v>
      </c>
      <c r="B240" s="86">
        <v>29</v>
      </c>
      <c r="C240" s="103">
        <v>1.1296314917528482E-2</v>
      </c>
      <c r="D240" s="103">
        <v>6.908646436732742E-3</v>
      </c>
    </row>
    <row r="241" spans="1:4" x14ac:dyDescent="0.25">
      <c r="A241" s="86">
        <v>5</v>
      </c>
      <c r="B241" s="86">
        <v>31</v>
      </c>
      <c r="C241" s="103">
        <v>3.0207771531125065E-2</v>
      </c>
      <c r="D241" s="103">
        <v>3.6203964500186002E-2</v>
      </c>
    </row>
    <row r="242" spans="1:4" x14ac:dyDescent="0.25">
      <c r="A242" s="86">
        <v>5</v>
      </c>
      <c r="B242" s="86">
        <v>33</v>
      </c>
      <c r="C242" s="103">
        <v>2.6731339402118415E-2</v>
      </c>
      <c r="D242" s="103">
        <v>2.1058085773502683E-2</v>
      </c>
    </row>
    <row r="243" spans="1:4" x14ac:dyDescent="0.25">
      <c r="A243" s="86">
        <v>5</v>
      </c>
      <c r="B243" s="86">
        <v>35</v>
      </c>
      <c r="C243" s="103">
        <v>2.9625193532127354E-2</v>
      </c>
      <c r="D243" s="103">
        <v>1.6075888823935802E-2</v>
      </c>
    </row>
    <row r="244" spans="1:4" x14ac:dyDescent="0.25">
      <c r="A244" s="86">
        <v>5</v>
      </c>
      <c r="B244" s="86">
        <v>37</v>
      </c>
      <c r="C244" s="103">
        <v>3.8096730337771113E-3</v>
      </c>
      <c r="D244" s="103">
        <v>5.5136312908540151E-3</v>
      </c>
    </row>
    <row r="245" spans="1:4" x14ac:dyDescent="0.25">
      <c r="A245" s="86">
        <v>5</v>
      </c>
      <c r="B245" s="86">
        <v>39</v>
      </c>
      <c r="C245" s="103">
        <v>1.560304066395181E-3</v>
      </c>
      <c r="D245" s="103">
        <v>2.3748472126268799E-3</v>
      </c>
    </row>
    <row r="246" spans="1:4" x14ac:dyDescent="0.25">
      <c r="A246" s="86">
        <v>5</v>
      </c>
      <c r="B246" s="86">
        <v>41</v>
      </c>
      <c r="C246" s="103">
        <v>2.9986011378958623E-3</v>
      </c>
      <c r="D246" s="103">
        <v>3.8196843280012753E-3</v>
      </c>
    </row>
    <row r="247" spans="1:4" x14ac:dyDescent="0.25">
      <c r="A247" s="86">
        <v>5</v>
      </c>
      <c r="B247" s="86">
        <v>43</v>
      </c>
      <c r="C247" s="103">
        <v>5.5703744699314483E-3</v>
      </c>
      <c r="D247" s="103">
        <v>6.0782802784715949E-3</v>
      </c>
    </row>
    <row r="248" spans="1:4" x14ac:dyDescent="0.25">
      <c r="A248" s="86">
        <v>5</v>
      </c>
      <c r="B248" s="86">
        <v>45</v>
      </c>
      <c r="C248" s="103">
        <v>3.8585682585002466E-2</v>
      </c>
      <c r="D248" s="103">
        <v>4.1518307913057342E-2</v>
      </c>
    </row>
    <row r="249" spans="1:4" x14ac:dyDescent="0.25">
      <c r="A249" s="86">
        <v>5</v>
      </c>
      <c r="B249" s="86">
        <v>47</v>
      </c>
      <c r="C249" s="103">
        <v>9.1497017162592651E-3</v>
      </c>
      <c r="D249" s="103">
        <v>5.9122070468193653E-3</v>
      </c>
    </row>
    <row r="250" spans="1:4" x14ac:dyDescent="0.25">
      <c r="A250" s="86">
        <v>5</v>
      </c>
      <c r="B250" s="86">
        <v>49</v>
      </c>
      <c r="C250" s="103">
        <v>2.253193281822248E-3</v>
      </c>
      <c r="D250" s="103">
        <v>4.0854014986448422E-3</v>
      </c>
    </row>
    <row r="251" spans="1:4" x14ac:dyDescent="0.25">
      <c r="A251" s="86">
        <v>5</v>
      </c>
      <c r="B251" s="86">
        <v>51</v>
      </c>
      <c r="C251" s="103">
        <v>2.5933400026234399E-2</v>
      </c>
      <c r="D251" s="103">
        <v>3.2882499867141417E-2</v>
      </c>
    </row>
    <row r="252" spans="1:4" x14ac:dyDescent="0.25">
      <c r="A252" s="86">
        <v>5</v>
      </c>
      <c r="B252" s="86">
        <v>53</v>
      </c>
      <c r="C252" s="103">
        <v>4.0760340888167266E-3</v>
      </c>
      <c r="D252" s="103">
        <v>6.045065632141149E-3</v>
      </c>
    </row>
    <row r="253" spans="1:4" x14ac:dyDescent="0.25">
      <c r="A253" s="86">
        <v>5</v>
      </c>
      <c r="B253" s="86">
        <v>55</v>
      </c>
      <c r="C253" s="103">
        <v>1.168590498527659E-2</v>
      </c>
      <c r="D253" s="103">
        <v>1.5046234787691981E-2</v>
      </c>
    </row>
    <row r="254" spans="1:4" x14ac:dyDescent="0.25">
      <c r="A254" s="86">
        <v>5</v>
      </c>
      <c r="B254" s="86">
        <v>57</v>
      </c>
      <c r="C254" s="103">
        <v>1.3723431113075911E-2</v>
      </c>
      <c r="D254" s="103">
        <v>7.2075782537067545E-3</v>
      </c>
    </row>
    <row r="255" spans="1:4" x14ac:dyDescent="0.25">
      <c r="A255" s="86">
        <v>5</v>
      </c>
      <c r="B255" s="86">
        <v>59</v>
      </c>
      <c r="C255" s="103">
        <v>1.6274947285125053E-2</v>
      </c>
      <c r="D255" s="103">
        <v>1.119333581336026E-2</v>
      </c>
    </row>
    <row r="256" spans="1:4" x14ac:dyDescent="0.25">
      <c r="A256" s="86">
        <v>5</v>
      </c>
      <c r="B256" s="86">
        <v>61</v>
      </c>
      <c r="C256" s="103">
        <v>2.244482385001495E-3</v>
      </c>
      <c r="D256" s="103">
        <v>4.4175479619493014E-3</v>
      </c>
    </row>
    <row r="257" spans="1:4" x14ac:dyDescent="0.25">
      <c r="A257" s="86">
        <v>5</v>
      </c>
      <c r="B257" s="86">
        <v>63</v>
      </c>
      <c r="C257" s="103">
        <v>8.7912090752534106E-3</v>
      </c>
      <c r="D257" s="103">
        <v>1.2555136312908541E-2</v>
      </c>
    </row>
    <row r="258" spans="1:4" x14ac:dyDescent="0.25">
      <c r="A258" s="86">
        <v>5</v>
      </c>
      <c r="B258" s="86">
        <v>65</v>
      </c>
      <c r="C258" s="103">
        <v>1.7746292831254246E-3</v>
      </c>
      <c r="D258" s="103">
        <v>4.5171919009406392E-3</v>
      </c>
    </row>
    <row r="259" spans="1:4" x14ac:dyDescent="0.25">
      <c r="A259" s="86">
        <v>5</v>
      </c>
      <c r="B259" s="86">
        <v>67</v>
      </c>
      <c r="C259" s="103">
        <v>7.1174765116227461E-3</v>
      </c>
      <c r="D259" s="103">
        <v>5.5800605835149069E-3</v>
      </c>
    </row>
    <row r="260" spans="1:4" x14ac:dyDescent="0.25">
      <c r="A260" s="86">
        <v>5</v>
      </c>
      <c r="B260" s="86">
        <v>69</v>
      </c>
      <c r="C260" s="103">
        <v>2.3684604814204566E-2</v>
      </c>
      <c r="D260" s="103">
        <v>2.2619174151033639E-2</v>
      </c>
    </row>
    <row r="261" spans="1:4" x14ac:dyDescent="0.25">
      <c r="A261" s="86">
        <v>5</v>
      </c>
      <c r="B261" s="86">
        <v>71</v>
      </c>
      <c r="C261" s="103">
        <v>1.1873455103431315E-2</v>
      </c>
      <c r="D261" s="103">
        <v>8.8683105702290488E-3</v>
      </c>
    </row>
    <row r="262" spans="1:4" x14ac:dyDescent="0.25">
      <c r="A262" s="86">
        <v>5</v>
      </c>
      <c r="B262" s="86">
        <v>73</v>
      </c>
      <c r="C262" s="103">
        <v>1.5165620449408732E-3</v>
      </c>
      <c r="D262" s="103">
        <v>2.2187383748737844E-3</v>
      </c>
    </row>
    <row r="263" spans="1:4" x14ac:dyDescent="0.25">
      <c r="A263" s="86">
        <v>5</v>
      </c>
      <c r="B263" s="86">
        <v>75</v>
      </c>
      <c r="C263" s="103">
        <v>7.0181877481981176E-3</v>
      </c>
      <c r="D263" s="103">
        <v>5.4472019981931232E-3</v>
      </c>
    </row>
    <row r="264" spans="1:4" x14ac:dyDescent="0.25">
      <c r="A264" s="86">
        <v>5</v>
      </c>
      <c r="B264" s="86">
        <v>77</v>
      </c>
      <c r="C264" s="103">
        <v>1.6212627956174645E-3</v>
      </c>
      <c r="D264" s="103">
        <v>2.9826752404740393E-3</v>
      </c>
    </row>
    <row r="265" spans="1:4" x14ac:dyDescent="0.25">
      <c r="A265" s="86">
        <v>5</v>
      </c>
      <c r="B265" s="86">
        <v>79</v>
      </c>
      <c r="C265" s="103">
        <v>2.5628523742992886E-3</v>
      </c>
      <c r="D265" s="103">
        <v>4.3843333156188555E-3</v>
      </c>
    </row>
    <row r="266" spans="1:4" x14ac:dyDescent="0.25">
      <c r="A266" s="86">
        <v>5</v>
      </c>
      <c r="B266" s="86">
        <v>81</v>
      </c>
      <c r="C266" s="103">
        <v>2.7997020688836434E-3</v>
      </c>
      <c r="D266" s="103">
        <v>4.0854014986448422E-3</v>
      </c>
    </row>
    <row r="267" spans="1:4" x14ac:dyDescent="0.25">
      <c r="A267" s="86">
        <v>5</v>
      </c>
      <c r="B267" s="86">
        <v>83</v>
      </c>
      <c r="C267" s="103">
        <v>3.4202119316683681E-3</v>
      </c>
      <c r="D267" s="103">
        <v>7.2075782537067545E-3</v>
      </c>
    </row>
    <row r="268" spans="1:4" x14ac:dyDescent="0.25">
      <c r="A268" s="86">
        <v>5</v>
      </c>
      <c r="B268" s="86">
        <v>85</v>
      </c>
      <c r="C268" s="103">
        <v>2.4193869422989667E-2</v>
      </c>
      <c r="D268" s="103">
        <v>2.4379550406547271E-2</v>
      </c>
    </row>
    <row r="269" spans="1:4" x14ac:dyDescent="0.25">
      <c r="A269" s="86">
        <v>5</v>
      </c>
      <c r="B269" s="86">
        <v>87</v>
      </c>
      <c r="C269" s="103">
        <v>3.0313697011292639E-3</v>
      </c>
      <c r="D269" s="103">
        <v>5.4472019981931232E-3</v>
      </c>
    </row>
    <row r="270" spans="1:4" x14ac:dyDescent="0.25">
      <c r="A270" s="86">
        <v>5</v>
      </c>
      <c r="B270" s="86">
        <v>89</v>
      </c>
      <c r="C270" s="103">
        <v>2.795304417460869E-3</v>
      </c>
      <c r="D270" s="103">
        <v>5.546845937184461E-3</v>
      </c>
    </row>
    <row r="271" spans="1:4" x14ac:dyDescent="0.25">
      <c r="A271" s="86">
        <v>5</v>
      </c>
      <c r="B271" s="86">
        <v>91</v>
      </c>
      <c r="C271" s="103">
        <v>1.9663467618496473E-2</v>
      </c>
      <c r="D271" s="103">
        <v>1.4415156507413509E-2</v>
      </c>
    </row>
    <row r="272" spans="1:4" x14ac:dyDescent="0.25">
      <c r="A272" s="86">
        <v>5</v>
      </c>
      <c r="B272" s="86">
        <v>93</v>
      </c>
      <c r="C272" s="103">
        <v>1.6575463497043315E-2</v>
      </c>
      <c r="D272" s="103">
        <v>1.36844342881437E-2</v>
      </c>
    </row>
    <row r="273" spans="1:4" x14ac:dyDescent="0.25">
      <c r="A273" s="86">
        <v>5</v>
      </c>
      <c r="B273" s="86">
        <v>95</v>
      </c>
      <c r="C273" s="103">
        <v>7.238429711794005E-3</v>
      </c>
      <c r="D273" s="103">
        <v>2.2851676675346762E-3</v>
      </c>
    </row>
    <row r="274" spans="1:4" x14ac:dyDescent="0.25">
      <c r="A274" s="86">
        <v>5</v>
      </c>
      <c r="B274" s="86">
        <v>97</v>
      </c>
      <c r="C274" s="103">
        <v>1.834101497127983E-3</v>
      </c>
      <c r="D274" s="103">
        <v>2.9594249880427275E-3</v>
      </c>
    </row>
    <row r="275" spans="1:4" x14ac:dyDescent="0.25">
      <c r="A275" s="86">
        <v>5</v>
      </c>
      <c r="B275" s="86">
        <v>99</v>
      </c>
      <c r="C275" s="103">
        <v>7.3857746782911996E-3</v>
      </c>
      <c r="D275" s="103">
        <v>2.760137110060052E-3</v>
      </c>
    </row>
    <row r="276" spans="1:4" x14ac:dyDescent="0.25">
      <c r="A276" s="86">
        <v>5</v>
      </c>
      <c r="B276" s="86">
        <v>101</v>
      </c>
      <c r="C276" s="103">
        <v>1.150299350958071E-3</v>
      </c>
      <c r="D276" s="103">
        <v>2.5907424137747779E-3</v>
      </c>
    </row>
    <row r="277" spans="1:4" x14ac:dyDescent="0.25">
      <c r="A277" s="86">
        <v>5</v>
      </c>
      <c r="B277" s="86">
        <v>103</v>
      </c>
      <c r="C277" s="103">
        <v>5.3169882833671101E-3</v>
      </c>
      <c r="D277" s="103">
        <v>7.838656533985227E-3</v>
      </c>
    </row>
    <row r="278" spans="1:4" x14ac:dyDescent="0.25">
      <c r="A278" s="86">
        <v>5</v>
      </c>
      <c r="B278" s="86">
        <v>105</v>
      </c>
      <c r="C278" s="103">
        <v>1.564969780304048E-3</v>
      </c>
      <c r="D278" s="103">
        <v>3.454323218366371E-3</v>
      </c>
    </row>
    <row r="279" spans="1:4" x14ac:dyDescent="0.25">
      <c r="A279" s="86">
        <v>5</v>
      </c>
      <c r="B279" s="86">
        <v>107</v>
      </c>
      <c r="C279" s="103">
        <v>4.0295050525748751E-3</v>
      </c>
      <c r="D279" s="103">
        <v>6.011850985810703E-3</v>
      </c>
    </row>
    <row r="280" spans="1:4" x14ac:dyDescent="0.25">
      <c r="A280" s="86">
        <v>5</v>
      </c>
      <c r="B280" s="86">
        <v>109</v>
      </c>
      <c r="C280" s="103">
        <v>2.0174622868276994E-3</v>
      </c>
      <c r="D280" s="103">
        <v>3.5539671573577084E-3</v>
      </c>
    </row>
    <row r="281" spans="1:4" x14ac:dyDescent="0.25">
      <c r="A281" s="86">
        <v>5</v>
      </c>
      <c r="B281" s="86">
        <v>111</v>
      </c>
      <c r="C281" s="103">
        <v>8.5358467731346654E-3</v>
      </c>
      <c r="D281" s="103">
        <v>7.938300472976563E-3</v>
      </c>
    </row>
    <row r="282" spans="1:4" x14ac:dyDescent="0.25">
      <c r="A282" s="86">
        <v>5</v>
      </c>
      <c r="B282" s="86">
        <v>113</v>
      </c>
      <c r="C282" s="103">
        <v>3.571976368552819E-3</v>
      </c>
      <c r="D282" s="103">
        <v>6.6429292660891747E-3</v>
      </c>
    </row>
    <row r="283" spans="1:4" x14ac:dyDescent="0.25">
      <c r="A283" s="86">
        <v>5</v>
      </c>
      <c r="B283" s="86">
        <v>115</v>
      </c>
      <c r="C283" s="103">
        <v>2.1816421313184373E-2</v>
      </c>
      <c r="D283" s="103">
        <v>2.1124515066163575E-2</v>
      </c>
    </row>
    <row r="284" spans="1:4" x14ac:dyDescent="0.25">
      <c r="A284" s="86">
        <v>5</v>
      </c>
      <c r="B284" s="86">
        <v>117</v>
      </c>
      <c r="C284" s="103">
        <v>1.1721033975013529E-2</v>
      </c>
      <c r="D284" s="103">
        <v>2.6837434235000264E-3</v>
      </c>
    </row>
    <row r="285" spans="1:4" x14ac:dyDescent="0.25">
      <c r="A285" s="86">
        <v>5</v>
      </c>
      <c r="B285" s="86">
        <v>119</v>
      </c>
      <c r="C285" s="103">
        <v>0.17850331396320454</v>
      </c>
      <c r="D285" s="103">
        <v>0.13020141361534782</v>
      </c>
    </row>
    <row r="286" spans="1:4" x14ac:dyDescent="0.25">
      <c r="A286" s="86">
        <v>5</v>
      </c>
      <c r="B286" s="86">
        <v>121</v>
      </c>
      <c r="C286" s="103">
        <v>4.2628865502092146E-3</v>
      </c>
      <c r="D286" s="103">
        <v>5.9786363394802571E-3</v>
      </c>
    </row>
    <row r="287" spans="1:4" x14ac:dyDescent="0.25">
      <c r="A287" s="86">
        <v>5</v>
      </c>
      <c r="B287" s="86">
        <v>123</v>
      </c>
      <c r="C287" s="103">
        <v>2.3628253546213944E-2</v>
      </c>
      <c r="D287" s="103">
        <v>8.4697348142636977E-3</v>
      </c>
    </row>
    <row r="288" spans="1:4" x14ac:dyDescent="0.25">
      <c r="A288" s="86">
        <v>5</v>
      </c>
      <c r="B288" s="86">
        <v>125</v>
      </c>
      <c r="C288" s="103">
        <v>4.2547948032881727E-2</v>
      </c>
      <c r="D288" s="103">
        <v>4.0189722059839506E-2</v>
      </c>
    </row>
    <row r="289" spans="1:4" x14ac:dyDescent="0.25">
      <c r="A289" s="86">
        <v>5</v>
      </c>
      <c r="B289" s="86">
        <v>127</v>
      </c>
      <c r="C289" s="103">
        <v>2.1001004303137067E-3</v>
      </c>
      <c r="D289" s="103">
        <v>3.4211085720359251E-3</v>
      </c>
    </row>
    <row r="290" spans="1:4" x14ac:dyDescent="0.25">
      <c r="A290" s="86">
        <v>5</v>
      </c>
      <c r="B290" s="86">
        <v>129</v>
      </c>
      <c r="C290" s="103">
        <v>1.8735714267322696E-3</v>
      </c>
      <c r="D290" s="103">
        <v>2.6339214540043576E-3</v>
      </c>
    </row>
    <row r="291" spans="1:4" x14ac:dyDescent="0.25">
      <c r="A291" s="86">
        <v>5</v>
      </c>
      <c r="B291" s="86">
        <v>131</v>
      </c>
      <c r="C291" s="103">
        <v>3.6180526807244262E-2</v>
      </c>
      <c r="D291" s="103">
        <v>4.2514747302970717E-2</v>
      </c>
    </row>
    <row r="292" spans="1:4" x14ac:dyDescent="0.25">
      <c r="A292" s="86">
        <v>5</v>
      </c>
      <c r="B292" s="86">
        <v>133</v>
      </c>
      <c r="C292" s="103">
        <v>3.7700943323340781E-3</v>
      </c>
      <c r="D292" s="103">
        <v>5.6797045225062447E-3</v>
      </c>
    </row>
    <row r="293" spans="1:4" x14ac:dyDescent="0.25">
      <c r="A293" s="86">
        <v>5</v>
      </c>
      <c r="B293" s="86">
        <v>135</v>
      </c>
      <c r="C293" s="103">
        <v>2.8393206769293127E-3</v>
      </c>
      <c r="D293" s="103">
        <v>5.7461338151671357E-3</v>
      </c>
    </row>
    <row r="294" spans="1:4" x14ac:dyDescent="0.25">
      <c r="A294" s="86">
        <v>5</v>
      </c>
      <c r="B294" s="86">
        <v>137</v>
      </c>
      <c r="C294" s="103">
        <v>1.9961392330015469E-3</v>
      </c>
      <c r="D294" s="103">
        <v>4.1518307913057341E-3</v>
      </c>
    </row>
    <row r="295" spans="1:4" x14ac:dyDescent="0.25">
      <c r="A295" s="86">
        <v>5</v>
      </c>
      <c r="B295" s="86">
        <v>139</v>
      </c>
      <c r="C295" s="103">
        <v>9.9702086481433787E-3</v>
      </c>
      <c r="D295" s="103">
        <v>1.2986926715204336E-2</v>
      </c>
    </row>
    <row r="296" spans="1:4" x14ac:dyDescent="0.25">
      <c r="A296" s="86">
        <v>5</v>
      </c>
      <c r="B296" s="86">
        <v>141</v>
      </c>
      <c r="C296" s="103">
        <v>3.6829386506793392E-3</v>
      </c>
      <c r="D296" s="103">
        <v>5.5136312908540151E-3</v>
      </c>
    </row>
    <row r="297" spans="1:4" x14ac:dyDescent="0.25">
      <c r="A297" s="86">
        <v>5</v>
      </c>
      <c r="B297" s="86">
        <v>143</v>
      </c>
      <c r="C297" s="103">
        <v>6.5743119510485254E-2</v>
      </c>
      <c r="D297" s="103">
        <v>7.8718711803156718E-2</v>
      </c>
    </row>
    <row r="298" spans="1:4" x14ac:dyDescent="0.25">
      <c r="A298" s="86">
        <v>5</v>
      </c>
      <c r="B298" s="86">
        <v>145</v>
      </c>
      <c r="C298" s="103">
        <v>2.356188042019507E-2</v>
      </c>
      <c r="D298" s="103">
        <v>2.6040282723069564E-2</v>
      </c>
    </row>
    <row r="299" spans="1:4" x14ac:dyDescent="0.25">
      <c r="A299" s="86">
        <v>5</v>
      </c>
      <c r="B299" s="86">
        <v>147</v>
      </c>
      <c r="C299" s="103">
        <v>1.2475312941775168E-3</v>
      </c>
      <c r="D299" s="103">
        <v>2.1489876175798481E-3</v>
      </c>
    </row>
    <row r="300" spans="1:4" x14ac:dyDescent="0.25">
      <c r="A300" s="86">
        <v>5</v>
      </c>
      <c r="B300" s="86">
        <v>149</v>
      </c>
      <c r="C300" s="103">
        <v>3.9619236075090856E-3</v>
      </c>
      <c r="D300" s="103">
        <v>7.1411489610458626E-3</v>
      </c>
    </row>
    <row r="301" spans="1:4" x14ac:dyDescent="0.25">
      <c r="A301" s="86">
        <v>6</v>
      </c>
      <c r="B301" s="86">
        <v>1</v>
      </c>
      <c r="C301" s="103">
        <v>4.2266838240476612E-2</v>
      </c>
      <c r="D301" s="103">
        <v>4.2280311375505114E-2</v>
      </c>
    </row>
    <row r="302" spans="1:4" x14ac:dyDescent="0.25">
      <c r="A302" s="86">
        <v>6</v>
      </c>
      <c r="B302" s="86">
        <v>3</v>
      </c>
      <c r="C302" s="103">
        <v>3.4113058977471375E-4</v>
      </c>
      <c r="D302" s="103">
        <v>2.7596131376826693E-5</v>
      </c>
    </row>
    <row r="303" spans="1:4" x14ac:dyDescent="0.25">
      <c r="A303" s="86">
        <v>6</v>
      </c>
      <c r="B303" s="86">
        <v>5</v>
      </c>
      <c r="C303" s="103">
        <v>1.1548615444610863E-3</v>
      </c>
      <c r="D303" s="103">
        <v>9.9751153784125848E-4</v>
      </c>
    </row>
    <row r="304" spans="1:4" x14ac:dyDescent="0.25">
      <c r="A304" s="86">
        <v>6</v>
      </c>
      <c r="B304" s="86">
        <v>7</v>
      </c>
      <c r="C304" s="103">
        <v>5.1290192564010665E-3</v>
      </c>
      <c r="D304" s="103">
        <v>5.8230368960276507E-3</v>
      </c>
    </row>
    <row r="305" spans="1:4" x14ac:dyDescent="0.25">
      <c r="A305" s="86">
        <v>6</v>
      </c>
      <c r="B305" s="86">
        <v>9</v>
      </c>
      <c r="C305" s="103">
        <v>1.2068532743536023E-3</v>
      </c>
      <c r="D305" s="103">
        <v>1.1570121136889723E-3</v>
      </c>
    </row>
    <row r="306" spans="1:4" x14ac:dyDescent="0.25">
      <c r="A306" s="86">
        <v>6</v>
      </c>
      <c r="B306" s="86">
        <v>11</v>
      </c>
      <c r="C306" s="103">
        <v>1.9154255483980834E-3</v>
      </c>
      <c r="D306" s="103">
        <v>5.4179560684779009E-4</v>
      </c>
    </row>
    <row r="307" spans="1:4" x14ac:dyDescent="0.25">
      <c r="A307" s="86">
        <v>6</v>
      </c>
      <c r="B307" s="86">
        <v>13</v>
      </c>
      <c r="C307" s="103">
        <v>2.6237473705174895E-2</v>
      </c>
      <c r="D307" s="103">
        <v>2.9115184480138254E-2</v>
      </c>
    </row>
    <row r="308" spans="1:4" x14ac:dyDescent="0.25">
      <c r="A308" s="86">
        <v>6</v>
      </c>
      <c r="B308" s="86">
        <v>15</v>
      </c>
      <c r="C308" s="103">
        <v>7.7924995028262286E-4</v>
      </c>
      <c r="D308" s="103">
        <v>7.0129618269550403E-4</v>
      </c>
    </row>
    <row r="309" spans="1:4" x14ac:dyDescent="0.25">
      <c r="A309" s="86">
        <v>6</v>
      </c>
      <c r="B309" s="86">
        <v>17</v>
      </c>
      <c r="C309" s="103">
        <v>4.6953480705444585E-3</v>
      </c>
      <c r="D309" s="103">
        <v>4.8356523788751363E-3</v>
      </c>
    </row>
    <row r="310" spans="1:4" x14ac:dyDescent="0.25">
      <c r="A310" s="86">
        <v>6</v>
      </c>
      <c r="B310" s="86">
        <v>19</v>
      </c>
      <c r="C310" s="103">
        <v>2.4949625628099874E-2</v>
      </c>
      <c r="D310" s="103">
        <v>2.5115011308084478E-2</v>
      </c>
    </row>
    <row r="311" spans="1:4" x14ac:dyDescent="0.25">
      <c r="A311" s="86">
        <v>6</v>
      </c>
      <c r="B311" s="86">
        <v>21</v>
      </c>
      <c r="C311" s="103">
        <v>1.5228949697220591E-3</v>
      </c>
      <c r="D311" s="103">
        <v>7.0889144821206188E-4</v>
      </c>
    </row>
    <row r="312" spans="1:4" x14ac:dyDescent="0.25">
      <c r="A312" s="86">
        <v>6</v>
      </c>
      <c r="B312" s="86">
        <v>23</v>
      </c>
      <c r="C312" s="103">
        <v>3.9545549756438347E-3</v>
      </c>
      <c r="D312" s="103">
        <v>3.4431870341728719E-3</v>
      </c>
    </row>
    <row r="313" spans="1:4" x14ac:dyDescent="0.25">
      <c r="A313" s="86">
        <v>6</v>
      </c>
      <c r="B313" s="86">
        <v>25</v>
      </c>
      <c r="C313" s="103">
        <v>6.6817886032588102E-3</v>
      </c>
      <c r="D313" s="103">
        <v>4.6077944133784019E-3</v>
      </c>
    </row>
    <row r="314" spans="1:4" x14ac:dyDescent="0.25">
      <c r="A314" s="86">
        <v>6</v>
      </c>
      <c r="B314" s="86">
        <v>27</v>
      </c>
      <c r="C314" s="103">
        <v>1.7046196103476701E-3</v>
      </c>
      <c r="D314" s="103">
        <v>4.5318417582128237E-4</v>
      </c>
    </row>
    <row r="315" spans="1:4" x14ac:dyDescent="0.25">
      <c r="A315" s="86">
        <v>6</v>
      </c>
      <c r="B315" s="86">
        <v>29</v>
      </c>
      <c r="C315" s="103">
        <v>2.737822957674051E-2</v>
      </c>
      <c r="D315" s="103">
        <v>2.2633891239342261E-2</v>
      </c>
    </row>
    <row r="316" spans="1:4" x14ac:dyDescent="0.25">
      <c r="A316" s="86">
        <v>6</v>
      </c>
      <c r="B316" s="86">
        <v>31</v>
      </c>
      <c r="C316" s="103">
        <v>4.8173835665332324E-3</v>
      </c>
      <c r="D316" s="103">
        <v>3.8229503100007619E-3</v>
      </c>
    </row>
    <row r="317" spans="1:4" x14ac:dyDescent="0.25">
      <c r="A317" s="86">
        <v>6</v>
      </c>
      <c r="B317" s="86">
        <v>33</v>
      </c>
      <c r="C317" s="103">
        <v>2.0807345510291076E-3</v>
      </c>
      <c r="D317" s="103">
        <v>1.6279185757155563E-3</v>
      </c>
    </row>
    <row r="318" spans="1:4" x14ac:dyDescent="0.25">
      <c r="A318" s="86">
        <v>6</v>
      </c>
      <c r="B318" s="86">
        <v>35</v>
      </c>
      <c r="C318" s="103">
        <v>1.1048776343619169E-3</v>
      </c>
      <c r="D318" s="103">
        <v>7.7471708268889617E-4</v>
      </c>
    </row>
    <row r="319" spans="1:4" x14ac:dyDescent="0.25">
      <c r="A319" s="86">
        <v>6</v>
      </c>
      <c r="B319" s="86">
        <v>37</v>
      </c>
      <c r="C319" s="103">
        <v>0.2332622537432627</v>
      </c>
      <c r="D319" s="103">
        <v>0.25570727239077945</v>
      </c>
    </row>
    <row r="320" spans="1:4" x14ac:dyDescent="0.25">
      <c r="A320" s="86">
        <v>6</v>
      </c>
      <c r="B320" s="86">
        <v>39</v>
      </c>
      <c r="C320" s="103">
        <v>4.9763458787011649E-3</v>
      </c>
      <c r="D320" s="103">
        <v>3.974855620331918E-3</v>
      </c>
    </row>
    <row r="321" spans="1:4" x14ac:dyDescent="0.25">
      <c r="A321" s="86">
        <v>6</v>
      </c>
      <c r="B321" s="86">
        <v>41</v>
      </c>
      <c r="C321" s="103">
        <v>7.8394131917499093E-3</v>
      </c>
      <c r="D321" s="103">
        <v>6.5825634476834316E-3</v>
      </c>
    </row>
    <row r="322" spans="1:4" x14ac:dyDescent="0.25">
      <c r="A322" s="86">
        <v>6</v>
      </c>
      <c r="B322" s="86">
        <v>43</v>
      </c>
      <c r="C322" s="103">
        <v>4.8953457964098768E-4</v>
      </c>
      <c r="D322" s="103">
        <v>4.4052539996035269E-4</v>
      </c>
    </row>
    <row r="323" spans="1:4" x14ac:dyDescent="0.25">
      <c r="A323" s="86">
        <v>6</v>
      </c>
      <c r="B323" s="86">
        <v>45</v>
      </c>
      <c r="C323" s="103">
        <v>2.9956997970399272E-3</v>
      </c>
      <c r="D323" s="103">
        <v>2.2127540204905072E-3</v>
      </c>
    </row>
    <row r="324" spans="1:4" x14ac:dyDescent="0.25">
      <c r="A324" s="86">
        <v>6</v>
      </c>
      <c r="B324" s="86">
        <v>47</v>
      </c>
      <c r="C324" s="103">
        <v>9.098655125200493E-3</v>
      </c>
      <c r="D324" s="103">
        <v>6.9370091717894621E-3</v>
      </c>
    </row>
    <row r="325" spans="1:4" x14ac:dyDescent="0.25">
      <c r="A325" s="86">
        <v>6</v>
      </c>
      <c r="B325" s="86">
        <v>49</v>
      </c>
      <c r="C325" s="103">
        <v>3.2956241348863308E-4</v>
      </c>
      <c r="D325" s="103">
        <v>2.2279445515236229E-4</v>
      </c>
    </row>
    <row r="326" spans="1:4" x14ac:dyDescent="0.25">
      <c r="A326" s="86">
        <v>6</v>
      </c>
      <c r="B326" s="86">
        <v>51</v>
      </c>
      <c r="C326" s="103">
        <v>9.610240307987932E-4</v>
      </c>
      <c r="D326" s="103">
        <v>3.6457274479477465E-4</v>
      </c>
    </row>
    <row r="327" spans="1:4" x14ac:dyDescent="0.25">
      <c r="A327" s="86">
        <v>6</v>
      </c>
      <c r="B327" s="86">
        <v>53</v>
      </c>
      <c r="C327" s="103">
        <v>1.0895424387548302E-2</v>
      </c>
      <c r="D327" s="103">
        <v>1.0987817447286958E-2</v>
      </c>
    </row>
    <row r="328" spans="1:4" x14ac:dyDescent="0.25">
      <c r="A328" s="86">
        <v>6</v>
      </c>
      <c r="B328" s="86">
        <v>55</v>
      </c>
      <c r="C328" s="103">
        <v>3.3890977914740948E-3</v>
      </c>
      <c r="D328" s="103">
        <v>3.5191396893384497E-3</v>
      </c>
    </row>
    <row r="329" spans="1:4" x14ac:dyDescent="0.25">
      <c r="A329" s="86">
        <v>6</v>
      </c>
      <c r="B329" s="86">
        <v>57</v>
      </c>
      <c r="C329" s="103">
        <v>3.3030178815205754E-3</v>
      </c>
      <c r="D329" s="103">
        <v>2.5190963963250055E-3</v>
      </c>
    </row>
    <row r="330" spans="1:4" x14ac:dyDescent="0.25">
      <c r="A330" s="86">
        <v>6</v>
      </c>
      <c r="B330" s="86">
        <v>59</v>
      </c>
      <c r="C330" s="103">
        <v>8.3589393882060867E-2</v>
      </c>
      <c r="D330" s="103">
        <v>8.0509814475512739E-2</v>
      </c>
    </row>
    <row r="331" spans="1:4" x14ac:dyDescent="0.25">
      <c r="A331" s="86">
        <v>6</v>
      </c>
      <c r="B331" s="86">
        <v>61</v>
      </c>
      <c r="C331" s="103">
        <v>1.0434136657173822E-2</v>
      </c>
      <c r="D331" s="103">
        <v>9.9244802749688665E-3</v>
      </c>
    </row>
    <row r="332" spans="1:4" x14ac:dyDescent="0.25">
      <c r="A332" s="86">
        <v>6</v>
      </c>
      <c r="B332" s="86">
        <v>63</v>
      </c>
      <c r="C332" s="103">
        <v>6.9099493028325549E-4</v>
      </c>
      <c r="D332" s="103">
        <v>4.7343821719876989E-4</v>
      </c>
    </row>
    <row r="333" spans="1:4" x14ac:dyDescent="0.25">
      <c r="A333" s="86">
        <v>6</v>
      </c>
      <c r="B333" s="86">
        <v>65</v>
      </c>
      <c r="C333" s="103">
        <v>6.3900715111758682E-2</v>
      </c>
      <c r="D333" s="103">
        <v>6.2028001718555409E-2</v>
      </c>
    </row>
    <row r="334" spans="1:4" x14ac:dyDescent="0.25">
      <c r="A334" s="86">
        <v>6</v>
      </c>
      <c r="B334" s="86">
        <v>67</v>
      </c>
      <c r="C334" s="103">
        <v>3.6362880313563863E-2</v>
      </c>
      <c r="D334" s="103">
        <v>3.8989029651663398E-2</v>
      </c>
    </row>
    <row r="335" spans="1:4" x14ac:dyDescent="0.25">
      <c r="A335" s="86">
        <v>6</v>
      </c>
      <c r="B335" s="86">
        <v>69</v>
      </c>
      <c r="C335" s="103">
        <v>1.9629631142050285E-3</v>
      </c>
      <c r="D335" s="103">
        <v>1.5570294308943501E-3</v>
      </c>
    </row>
    <row r="336" spans="1:4" x14ac:dyDescent="0.25">
      <c r="A336" s="86">
        <v>6</v>
      </c>
      <c r="B336" s="86">
        <v>71</v>
      </c>
      <c r="C336" s="103">
        <v>6.7863391387677857E-2</v>
      </c>
      <c r="D336" s="103">
        <v>5.4939087236434793E-2</v>
      </c>
    </row>
    <row r="337" spans="1:4" x14ac:dyDescent="0.25">
      <c r="A337" s="86">
        <v>6</v>
      </c>
      <c r="B337" s="86">
        <v>73</v>
      </c>
      <c r="C337" s="103">
        <v>8.5461301645195067E-2</v>
      </c>
      <c r="D337" s="103">
        <v>8.4307447233791646E-2</v>
      </c>
    </row>
    <row r="338" spans="1:4" x14ac:dyDescent="0.25">
      <c r="A338" s="86">
        <v>6</v>
      </c>
      <c r="B338" s="86">
        <v>75</v>
      </c>
      <c r="C338" s="103">
        <v>8.0699677633944023E-3</v>
      </c>
      <c r="D338" s="103">
        <v>2.230476306695809E-2</v>
      </c>
    </row>
    <row r="339" spans="1:4" x14ac:dyDescent="0.25">
      <c r="A339" s="86">
        <v>6</v>
      </c>
      <c r="B339" s="86">
        <v>77</v>
      </c>
      <c r="C339" s="103">
        <v>2.1318399204172472E-2</v>
      </c>
      <c r="D339" s="103">
        <v>1.9038798894838234E-2</v>
      </c>
    </row>
    <row r="340" spans="1:4" x14ac:dyDescent="0.25">
      <c r="A340" s="86">
        <v>6</v>
      </c>
      <c r="B340" s="86">
        <v>79</v>
      </c>
      <c r="C340" s="103">
        <v>9.176781414328412E-3</v>
      </c>
      <c r="D340" s="103">
        <v>7.1648671372861964E-3</v>
      </c>
    </row>
    <row r="341" spans="1:4" x14ac:dyDescent="0.25">
      <c r="A341" s="86">
        <v>6</v>
      </c>
      <c r="B341" s="86">
        <v>81</v>
      </c>
      <c r="C341" s="103">
        <v>1.9305536031880084E-2</v>
      </c>
      <c r="D341" s="103">
        <v>1.946919727410984E-2</v>
      </c>
    </row>
    <row r="342" spans="1:4" x14ac:dyDescent="0.25">
      <c r="A342" s="86">
        <v>6</v>
      </c>
      <c r="B342" s="86">
        <v>83</v>
      </c>
      <c r="C342" s="103">
        <v>1.0516795970371813E-2</v>
      </c>
      <c r="D342" s="103">
        <v>1.1291628067949271E-2</v>
      </c>
    </row>
    <row r="343" spans="1:4" x14ac:dyDescent="0.25">
      <c r="A343" s="86">
        <v>6</v>
      </c>
      <c r="B343" s="86">
        <v>85</v>
      </c>
      <c r="C343" s="103">
        <v>4.2786551803642638E-2</v>
      </c>
      <c r="D343" s="103">
        <v>4.8862874823188546E-2</v>
      </c>
    </row>
    <row r="344" spans="1:4" x14ac:dyDescent="0.25">
      <c r="A344" s="86">
        <v>6</v>
      </c>
      <c r="B344" s="86">
        <v>87</v>
      </c>
      <c r="C344" s="103">
        <v>5.7573988401636422E-3</v>
      </c>
      <c r="D344" s="103">
        <v>6.9370091717894621E-3</v>
      </c>
    </row>
    <row r="345" spans="1:4" x14ac:dyDescent="0.25">
      <c r="A345" s="86">
        <v>6</v>
      </c>
      <c r="B345" s="86">
        <v>89</v>
      </c>
      <c r="C345" s="103">
        <v>5.7391246704852142E-3</v>
      </c>
      <c r="D345" s="103">
        <v>4.5571593099346828E-3</v>
      </c>
    </row>
    <row r="346" spans="1:4" x14ac:dyDescent="0.25">
      <c r="A346" s="86">
        <v>6</v>
      </c>
      <c r="B346" s="86">
        <v>91</v>
      </c>
      <c r="C346" s="103">
        <v>2.7272013317525761E-4</v>
      </c>
      <c r="D346" s="103">
        <v>7.595265516557806E-5</v>
      </c>
    </row>
    <row r="347" spans="1:4" x14ac:dyDescent="0.25">
      <c r="A347" s="86">
        <v>6</v>
      </c>
      <c r="B347" s="86">
        <v>93</v>
      </c>
      <c r="C347" s="103">
        <v>2.5604429459355721E-3</v>
      </c>
      <c r="D347" s="103">
        <v>1.1038452550730677E-3</v>
      </c>
    </row>
    <row r="348" spans="1:4" x14ac:dyDescent="0.25">
      <c r="A348" s="86">
        <v>6</v>
      </c>
      <c r="B348" s="86">
        <v>95</v>
      </c>
      <c r="C348" s="103">
        <v>1.5153514825057557E-2</v>
      </c>
      <c r="D348" s="103">
        <v>1.1291628067949271E-2</v>
      </c>
    </row>
    <row r="349" spans="1:4" x14ac:dyDescent="0.25">
      <c r="A349" s="86">
        <v>6</v>
      </c>
      <c r="B349" s="86">
        <v>97</v>
      </c>
      <c r="C349" s="103">
        <v>1.2365316264643768E-2</v>
      </c>
      <c r="D349" s="103">
        <v>1.2633458309207816E-2</v>
      </c>
    </row>
    <row r="350" spans="1:4" x14ac:dyDescent="0.25">
      <c r="A350" s="86">
        <v>6</v>
      </c>
      <c r="B350" s="86">
        <v>99</v>
      </c>
      <c r="C350" s="103">
        <v>1.410955098080916E-2</v>
      </c>
      <c r="D350" s="103">
        <v>1.3874018343578924E-2</v>
      </c>
    </row>
    <row r="351" spans="1:4" x14ac:dyDescent="0.25">
      <c r="A351" s="86">
        <v>6</v>
      </c>
      <c r="B351" s="86">
        <v>101</v>
      </c>
      <c r="C351" s="103">
        <v>2.7267078622968672E-3</v>
      </c>
      <c r="D351" s="103">
        <v>2.4380802308150555E-3</v>
      </c>
    </row>
    <row r="352" spans="1:4" x14ac:dyDescent="0.25">
      <c r="A352" s="86">
        <v>6</v>
      </c>
      <c r="B352" s="86">
        <v>103</v>
      </c>
      <c r="C352" s="103">
        <v>2.8558140804826539E-3</v>
      </c>
      <c r="D352" s="103">
        <v>1.6203233101989986E-3</v>
      </c>
    </row>
    <row r="353" spans="1:4" x14ac:dyDescent="0.25">
      <c r="A353" s="86">
        <v>6</v>
      </c>
      <c r="B353" s="86">
        <v>105</v>
      </c>
      <c r="C353" s="103">
        <v>4.8015250286258742E-4</v>
      </c>
      <c r="D353" s="103">
        <v>3.1900115169542783E-4</v>
      </c>
    </row>
    <row r="354" spans="1:4" x14ac:dyDescent="0.25">
      <c r="A354" s="86">
        <v>6</v>
      </c>
      <c r="B354" s="86">
        <v>107</v>
      </c>
      <c r="C354" s="103">
        <v>1.1410758555403154E-2</v>
      </c>
      <c r="D354" s="103">
        <v>1.1772661550664599E-2</v>
      </c>
    </row>
    <row r="355" spans="1:4" x14ac:dyDescent="0.25">
      <c r="A355" s="86">
        <v>6</v>
      </c>
      <c r="B355" s="86">
        <v>109</v>
      </c>
      <c r="C355" s="103">
        <v>1.5989708868042697E-3</v>
      </c>
      <c r="D355" s="103">
        <v>1.3772748136691487E-3</v>
      </c>
    </row>
    <row r="356" spans="1:4" x14ac:dyDescent="0.25">
      <c r="A356" s="86">
        <v>6</v>
      </c>
      <c r="B356" s="86">
        <v>111</v>
      </c>
      <c r="C356" s="103">
        <v>1.9482349081649714E-2</v>
      </c>
      <c r="D356" s="103">
        <v>2.1469283860136731E-2</v>
      </c>
    </row>
    <row r="357" spans="1:4" x14ac:dyDescent="0.25">
      <c r="A357" s="86">
        <v>6</v>
      </c>
      <c r="B357" s="86">
        <v>113</v>
      </c>
      <c r="C357" s="103">
        <v>6.4932147801289013E-3</v>
      </c>
      <c r="D357" s="103">
        <v>5.5698613788090576E-3</v>
      </c>
    </row>
    <row r="358" spans="1:4" x14ac:dyDescent="0.25">
      <c r="A358" s="86">
        <v>6</v>
      </c>
      <c r="B358" s="86">
        <v>115</v>
      </c>
      <c r="C358" s="103">
        <v>2.0932162443641112E-3</v>
      </c>
      <c r="D358" s="103">
        <v>1.9646420136162856E-3</v>
      </c>
    </row>
    <row r="359" spans="1:4" x14ac:dyDescent="0.25">
      <c r="A359" s="86">
        <v>8</v>
      </c>
      <c r="B359" s="86">
        <v>1</v>
      </c>
      <c r="C359" s="103">
        <v>0.10334165712582906</v>
      </c>
      <c r="D359" s="103">
        <v>8.9792254811792968E-2</v>
      </c>
    </row>
    <row r="360" spans="1:4" x14ac:dyDescent="0.25">
      <c r="A360" s="86">
        <v>8</v>
      </c>
      <c r="B360" s="86">
        <v>3</v>
      </c>
      <c r="C360" s="103">
        <v>2.2014909415230583E-3</v>
      </c>
      <c r="D360" s="103">
        <v>2.8466429118415779E-3</v>
      </c>
    </row>
    <row r="361" spans="1:4" x14ac:dyDescent="0.25">
      <c r="A361" s="86">
        <v>8</v>
      </c>
      <c r="B361" s="86">
        <v>5</v>
      </c>
      <c r="C361" s="103">
        <v>9.5726472984439731E-2</v>
      </c>
      <c r="D361" s="103">
        <v>0.11456859126671042</v>
      </c>
    </row>
    <row r="362" spans="1:4" x14ac:dyDescent="0.25">
      <c r="A362" s="86">
        <v>8</v>
      </c>
      <c r="B362" s="86">
        <v>7</v>
      </c>
      <c r="C362" s="103">
        <v>1.1357774625703333E-3</v>
      </c>
      <c r="D362" s="103">
        <v>2.4073461661870132E-3</v>
      </c>
    </row>
    <row r="363" spans="1:4" x14ac:dyDescent="0.25">
      <c r="A363" s="86">
        <v>8</v>
      </c>
      <c r="B363" s="86">
        <v>9</v>
      </c>
      <c r="C363" s="103">
        <v>5.287992702014549E-4</v>
      </c>
      <c r="D363" s="103">
        <v>6.290729397773363E-4</v>
      </c>
    </row>
    <row r="364" spans="1:4" x14ac:dyDescent="0.25">
      <c r="A364" s="86">
        <v>8</v>
      </c>
      <c r="B364" s="86">
        <v>11</v>
      </c>
      <c r="C364" s="103">
        <v>4.3049269627494572E-4</v>
      </c>
      <c r="D364" s="103">
        <v>1.0209256369012078E-3</v>
      </c>
    </row>
    <row r="365" spans="1:4" x14ac:dyDescent="0.25">
      <c r="A365" s="86">
        <v>8</v>
      </c>
      <c r="B365" s="86">
        <v>13</v>
      </c>
      <c r="C365" s="103">
        <v>4.3443413105151367E-2</v>
      </c>
      <c r="D365" s="103">
        <v>5.7108576935093379E-2</v>
      </c>
    </row>
    <row r="366" spans="1:4" x14ac:dyDescent="0.25">
      <c r="A366" s="86">
        <v>8</v>
      </c>
      <c r="B366" s="86">
        <v>14</v>
      </c>
      <c r="C366" s="103">
        <v>1.5393479034300847E-2</v>
      </c>
      <c r="D366" s="103">
        <v>1.2177305789544526E-2</v>
      </c>
    </row>
    <row r="367" spans="1:4" x14ac:dyDescent="0.25">
      <c r="A367" s="86">
        <v>8</v>
      </c>
      <c r="B367" s="86">
        <v>15</v>
      </c>
      <c r="C367" s="103">
        <v>2.3619894361990071E-3</v>
      </c>
      <c r="D367" s="103">
        <v>3.5143739652365156E-3</v>
      </c>
    </row>
    <row r="368" spans="1:4" x14ac:dyDescent="0.25">
      <c r="A368" s="86">
        <v>8</v>
      </c>
      <c r="B368" s="86">
        <v>17</v>
      </c>
      <c r="C368" s="103">
        <v>5.4011991830445162E-4</v>
      </c>
      <c r="D368" s="103">
        <v>3.2683677876699593E-4</v>
      </c>
    </row>
    <row r="369" spans="1:4" x14ac:dyDescent="0.25">
      <c r="A369" s="86">
        <v>8</v>
      </c>
      <c r="B369" s="86">
        <v>19</v>
      </c>
      <c r="C369" s="103">
        <v>1.1595068616749001E-2</v>
      </c>
      <c r="D369" s="103">
        <v>1.6868995033135275E-3</v>
      </c>
    </row>
    <row r="370" spans="1:4" x14ac:dyDescent="0.25">
      <c r="A370" s="86">
        <v>8</v>
      </c>
      <c r="B370" s="86">
        <v>21</v>
      </c>
      <c r="C370" s="103">
        <v>5.2013360095149938E-4</v>
      </c>
      <c r="D370" s="103">
        <v>1.4373789517817348E-3</v>
      </c>
    </row>
    <row r="371" spans="1:4" x14ac:dyDescent="0.25">
      <c r="A371" s="86">
        <v>8</v>
      </c>
      <c r="B371" s="86">
        <v>23</v>
      </c>
      <c r="C371" s="103">
        <v>5.1887279016582023E-4</v>
      </c>
      <c r="D371" s="103">
        <v>6.6948824037755628E-4</v>
      </c>
    </row>
    <row r="372" spans="1:4" x14ac:dyDescent="0.25">
      <c r="A372" s="86">
        <v>8</v>
      </c>
      <c r="B372" s="86">
        <v>25</v>
      </c>
      <c r="C372" s="103">
        <v>2.8307596400387817E-4</v>
      </c>
      <c r="D372" s="103">
        <v>1.0472834416404815E-3</v>
      </c>
    </row>
    <row r="373" spans="1:4" x14ac:dyDescent="0.25">
      <c r="A373" s="86">
        <v>8</v>
      </c>
      <c r="B373" s="86">
        <v>27</v>
      </c>
      <c r="C373" s="103">
        <v>3.1383461913629223E-4</v>
      </c>
      <c r="D373" s="103">
        <v>8.6629318243080112E-4</v>
      </c>
    </row>
    <row r="374" spans="1:4" x14ac:dyDescent="0.25">
      <c r="A374" s="86">
        <v>8</v>
      </c>
      <c r="B374" s="86">
        <v>29</v>
      </c>
      <c r="C374" s="103">
        <v>2.9666037807787207E-3</v>
      </c>
      <c r="D374" s="103">
        <v>5.4297077762904163E-3</v>
      </c>
    </row>
    <row r="375" spans="1:4" x14ac:dyDescent="0.25">
      <c r="A375" s="86">
        <v>8</v>
      </c>
      <c r="B375" s="86">
        <v>31</v>
      </c>
      <c r="C375" s="103">
        <v>0.12645454511347159</v>
      </c>
      <c r="D375" s="103">
        <v>0.12581458795546727</v>
      </c>
    </row>
    <row r="376" spans="1:4" x14ac:dyDescent="0.25">
      <c r="A376" s="86">
        <v>8</v>
      </c>
      <c r="B376" s="86">
        <v>33</v>
      </c>
      <c r="C376" s="103">
        <v>3.2090806459749712E-4</v>
      </c>
      <c r="D376" s="103">
        <v>3.6198051841936112E-4</v>
      </c>
    </row>
    <row r="377" spans="1:4" x14ac:dyDescent="0.25">
      <c r="A377" s="86">
        <v>8</v>
      </c>
      <c r="B377" s="86">
        <v>35</v>
      </c>
      <c r="C377" s="103">
        <v>6.5735394984934858E-2</v>
      </c>
      <c r="D377" s="103">
        <v>6.0271513503806246E-2</v>
      </c>
    </row>
    <row r="378" spans="1:4" x14ac:dyDescent="0.25">
      <c r="A378" s="86">
        <v>8</v>
      </c>
      <c r="B378" s="86">
        <v>37</v>
      </c>
      <c r="C378" s="103">
        <v>1.8534204964512961E-2</v>
      </c>
      <c r="D378" s="103">
        <v>9.6469565345742355E-3</v>
      </c>
    </row>
    <row r="379" spans="1:4" x14ac:dyDescent="0.25">
      <c r="A379" s="86">
        <v>8</v>
      </c>
      <c r="B379" s="86">
        <v>39</v>
      </c>
      <c r="C379" s="103">
        <v>4.164385047012999E-3</v>
      </c>
      <c r="D379" s="103">
        <v>4.621401764286018E-3</v>
      </c>
    </row>
    <row r="380" spans="1:4" x14ac:dyDescent="0.25">
      <c r="A380" s="86">
        <v>8</v>
      </c>
      <c r="B380" s="86">
        <v>41</v>
      </c>
      <c r="C380" s="103">
        <v>0.11225687375717144</v>
      </c>
      <c r="D380" s="103">
        <v>0.12511171316241995</v>
      </c>
    </row>
    <row r="381" spans="1:4" x14ac:dyDescent="0.25">
      <c r="A381" s="86">
        <v>8</v>
      </c>
      <c r="B381" s="86">
        <v>43</v>
      </c>
      <c r="C381" s="103">
        <v>5.0084842560852768E-3</v>
      </c>
      <c r="D381" s="103">
        <v>8.4344975165676368E-3</v>
      </c>
    </row>
    <row r="382" spans="1:4" x14ac:dyDescent="0.25">
      <c r="A382" s="86">
        <v>8</v>
      </c>
      <c r="B382" s="86">
        <v>45</v>
      </c>
      <c r="C382" s="103">
        <v>1.8729373049721498E-2</v>
      </c>
      <c r="D382" s="103">
        <v>1.0490406286231E-2</v>
      </c>
    </row>
    <row r="383" spans="1:4" x14ac:dyDescent="0.25">
      <c r="A383" s="86">
        <v>8</v>
      </c>
      <c r="B383" s="86">
        <v>47</v>
      </c>
      <c r="C383" s="103">
        <v>3.8862761238258166E-4</v>
      </c>
      <c r="D383" s="103">
        <v>1.0736412463797555E-3</v>
      </c>
    </row>
    <row r="384" spans="1:4" x14ac:dyDescent="0.25">
      <c r="A384" s="86">
        <v>8</v>
      </c>
      <c r="B384" s="86">
        <v>49</v>
      </c>
      <c r="C384" s="103">
        <v>1.9593119273932985E-3</v>
      </c>
      <c r="D384" s="103">
        <v>2.7236398230582994E-3</v>
      </c>
    </row>
    <row r="385" spans="1:4" x14ac:dyDescent="0.25">
      <c r="A385" s="86">
        <v>8</v>
      </c>
      <c r="B385" s="86">
        <v>51</v>
      </c>
      <c r="C385" s="103">
        <v>1.9848995475105834E-3</v>
      </c>
      <c r="D385" s="103">
        <v>3.0223616101034034E-3</v>
      </c>
    </row>
    <row r="386" spans="1:4" x14ac:dyDescent="0.25">
      <c r="A386" s="86">
        <v>8</v>
      </c>
      <c r="B386" s="86">
        <v>53</v>
      </c>
      <c r="C386" s="103">
        <v>8.1003879479090815E-5</v>
      </c>
      <c r="D386" s="103">
        <v>1.4198070819555522E-4</v>
      </c>
    </row>
    <row r="387" spans="1:4" x14ac:dyDescent="0.25">
      <c r="A387" s="86">
        <v>8</v>
      </c>
      <c r="B387" s="86">
        <v>55</v>
      </c>
      <c r="C387" s="103">
        <v>4.0268726131650967E-3</v>
      </c>
      <c r="D387" s="103">
        <v>1.2107018310239797E-3</v>
      </c>
    </row>
    <row r="388" spans="1:4" x14ac:dyDescent="0.25">
      <c r="A388" s="86">
        <v>8</v>
      </c>
      <c r="B388" s="86">
        <v>57</v>
      </c>
      <c r="C388" s="103">
        <v>3.3712537526097471E-4</v>
      </c>
      <c r="D388" s="103">
        <v>2.4600617756655608E-4</v>
      </c>
    </row>
    <row r="389" spans="1:4" x14ac:dyDescent="0.25">
      <c r="A389" s="86">
        <v>8</v>
      </c>
      <c r="B389" s="86">
        <v>59</v>
      </c>
      <c r="C389" s="103">
        <v>9.7951400474439204E-2</v>
      </c>
      <c r="D389" s="103">
        <v>0.10174112629359712</v>
      </c>
    </row>
    <row r="390" spans="1:4" x14ac:dyDescent="0.25">
      <c r="A390" s="86">
        <v>8</v>
      </c>
      <c r="B390" s="86">
        <v>61</v>
      </c>
      <c r="C390" s="103">
        <v>4.1891125197544371E-4</v>
      </c>
      <c r="D390" s="103">
        <v>2.4249180360131958E-4</v>
      </c>
    </row>
    <row r="391" spans="1:4" x14ac:dyDescent="0.25">
      <c r="A391" s="86">
        <v>8</v>
      </c>
      <c r="B391" s="86">
        <v>63</v>
      </c>
      <c r="C391" s="103">
        <v>5.4083710566941584E-3</v>
      </c>
      <c r="D391" s="103">
        <v>1.2581458795546726E-3</v>
      </c>
    </row>
    <row r="392" spans="1:4" x14ac:dyDescent="0.25">
      <c r="A392" s="86">
        <v>8</v>
      </c>
      <c r="B392" s="86">
        <v>65</v>
      </c>
      <c r="C392" s="103">
        <v>1.0007433399678546E-3</v>
      </c>
      <c r="D392" s="103">
        <v>1.3793917813553324E-3</v>
      </c>
    </row>
    <row r="393" spans="1:4" x14ac:dyDescent="0.25">
      <c r="A393" s="86">
        <v>8</v>
      </c>
      <c r="B393" s="86">
        <v>67</v>
      </c>
      <c r="C393" s="103">
        <v>7.3663911126772156E-3</v>
      </c>
      <c r="D393" s="103">
        <v>9.8929627121407907E-3</v>
      </c>
    </row>
    <row r="394" spans="1:4" x14ac:dyDescent="0.25">
      <c r="A394" s="86">
        <v>8</v>
      </c>
      <c r="B394" s="86">
        <v>69</v>
      </c>
      <c r="C394" s="103">
        <v>5.893485039991922E-2</v>
      </c>
      <c r="D394" s="103">
        <v>6.1677263089900847E-2</v>
      </c>
    </row>
    <row r="395" spans="1:4" x14ac:dyDescent="0.25">
      <c r="A395" s="86">
        <v>8</v>
      </c>
      <c r="B395" s="86">
        <v>71</v>
      </c>
      <c r="C395" s="103">
        <v>5.422207787965652E-3</v>
      </c>
      <c r="D395" s="103">
        <v>2.5479211247964738E-3</v>
      </c>
    </row>
    <row r="396" spans="1:4" x14ac:dyDescent="0.25">
      <c r="A396" s="86">
        <v>8</v>
      </c>
      <c r="B396" s="86">
        <v>73</v>
      </c>
      <c r="C396" s="103">
        <v>3.5578296323830233E-3</v>
      </c>
      <c r="D396" s="103">
        <v>9.8578189724884253E-4</v>
      </c>
    </row>
    <row r="397" spans="1:4" x14ac:dyDescent="0.25">
      <c r="A397" s="86">
        <v>8</v>
      </c>
      <c r="B397" s="86">
        <v>75</v>
      </c>
      <c r="C397" s="103">
        <v>5.5314816037204386E-3</v>
      </c>
      <c r="D397" s="103">
        <v>3.9185269712387148E-3</v>
      </c>
    </row>
    <row r="398" spans="1:4" x14ac:dyDescent="0.25">
      <c r="A398" s="86">
        <v>8</v>
      </c>
      <c r="B398" s="86">
        <v>77</v>
      </c>
      <c r="C398" s="103">
        <v>2.5843167733078147E-2</v>
      </c>
      <c r="D398" s="103">
        <v>2.6884960834059345E-2</v>
      </c>
    </row>
    <row r="399" spans="1:4" x14ac:dyDescent="0.25">
      <c r="A399" s="86">
        <v>8</v>
      </c>
      <c r="B399" s="86">
        <v>79</v>
      </c>
      <c r="C399" s="103">
        <v>3.004966500931703E-4</v>
      </c>
      <c r="D399" s="103">
        <v>1.356548350581295E-4</v>
      </c>
    </row>
    <row r="400" spans="1:4" x14ac:dyDescent="0.25">
      <c r="A400" s="86">
        <v>8</v>
      </c>
      <c r="B400" s="86">
        <v>81</v>
      </c>
      <c r="C400" s="103">
        <v>1.4950088025158532E-3</v>
      </c>
      <c r="D400" s="103">
        <v>2.3194868170561002E-3</v>
      </c>
    </row>
    <row r="401" spans="1:4" x14ac:dyDescent="0.25">
      <c r="A401" s="86">
        <v>8</v>
      </c>
      <c r="B401" s="86">
        <v>83</v>
      </c>
      <c r="C401" s="103">
        <v>3.734584372470256E-3</v>
      </c>
      <c r="D401" s="103">
        <v>4.6038298944598354E-3</v>
      </c>
    </row>
    <row r="402" spans="1:4" x14ac:dyDescent="0.25">
      <c r="A402" s="86">
        <v>8</v>
      </c>
      <c r="B402" s="86">
        <v>85</v>
      </c>
      <c r="C402" s="103">
        <v>5.0787397349072528E-3</v>
      </c>
      <c r="D402" s="103">
        <v>7.4153290666490483E-3</v>
      </c>
    </row>
    <row r="403" spans="1:4" x14ac:dyDescent="0.25">
      <c r="A403" s="86">
        <v>8</v>
      </c>
      <c r="B403" s="86">
        <v>87</v>
      </c>
      <c r="C403" s="103">
        <v>7.478519039103469E-3</v>
      </c>
      <c r="D403" s="103">
        <v>5.0606985099405826E-3</v>
      </c>
    </row>
    <row r="404" spans="1:4" x14ac:dyDescent="0.25">
      <c r="A404" s="86">
        <v>8</v>
      </c>
      <c r="B404" s="86">
        <v>89</v>
      </c>
      <c r="C404" s="103">
        <v>1.9209091281108671E-3</v>
      </c>
      <c r="D404" s="103">
        <v>3.215652178191412E-3</v>
      </c>
    </row>
    <row r="405" spans="1:4" x14ac:dyDescent="0.25">
      <c r="A405" s="86">
        <v>8</v>
      </c>
      <c r="B405" s="86">
        <v>91</v>
      </c>
      <c r="C405" s="103">
        <v>7.0812843044169751E-4</v>
      </c>
      <c r="D405" s="103">
        <v>8.4696412562200029E-4</v>
      </c>
    </row>
    <row r="406" spans="1:4" x14ac:dyDescent="0.25">
      <c r="A406" s="86">
        <v>8</v>
      </c>
      <c r="B406" s="86">
        <v>93</v>
      </c>
      <c r="C406" s="103">
        <v>1.9863806650582262E-3</v>
      </c>
      <c r="D406" s="103">
        <v>3.250795917843777E-3</v>
      </c>
    </row>
    <row r="407" spans="1:4" x14ac:dyDescent="0.25">
      <c r="A407" s="86">
        <v>8</v>
      </c>
      <c r="B407" s="86">
        <v>95</v>
      </c>
      <c r="C407" s="103">
        <v>3.0791566832689591E-4</v>
      </c>
      <c r="D407" s="103">
        <v>7.5383321554323254E-4</v>
      </c>
    </row>
    <row r="408" spans="1:4" x14ac:dyDescent="0.25">
      <c r="A408" s="86">
        <v>8</v>
      </c>
      <c r="B408" s="86">
        <v>97</v>
      </c>
      <c r="C408" s="103">
        <v>3.2433099293794993E-3</v>
      </c>
      <c r="D408" s="103">
        <v>3.162936568712864E-3</v>
      </c>
    </row>
    <row r="409" spans="1:4" x14ac:dyDescent="0.25">
      <c r="A409" s="86">
        <v>8</v>
      </c>
      <c r="B409" s="86">
        <v>99</v>
      </c>
      <c r="C409" s="103">
        <v>1.4607781805002975E-3</v>
      </c>
      <c r="D409" s="103">
        <v>2.1261962489680921E-3</v>
      </c>
    </row>
    <row r="410" spans="1:4" x14ac:dyDescent="0.25">
      <c r="A410" s="86">
        <v>8</v>
      </c>
      <c r="B410" s="86">
        <v>101</v>
      </c>
      <c r="C410" s="103">
        <v>3.0748689065113244E-2</v>
      </c>
      <c r="D410" s="103">
        <v>2.9345022609724904E-2</v>
      </c>
    </row>
    <row r="411" spans="1:4" x14ac:dyDescent="0.25">
      <c r="A411" s="86">
        <v>8</v>
      </c>
      <c r="B411" s="86">
        <v>103</v>
      </c>
      <c r="C411" s="103">
        <v>7.7997956645347189E-4</v>
      </c>
      <c r="D411" s="103">
        <v>1.1122993599973572E-3</v>
      </c>
    </row>
    <row r="412" spans="1:4" x14ac:dyDescent="0.25">
      <c r="A412" s="86">
        <v>8</v>
      </c>
      <c r="B412" s="86">
        <v>105</v>
      </c>
      <c r="C412" s="103">
        <v>9.025057953897088E-4</v>
      </c>
      <c r="D412" s="103">
        <v>1.9856212903586311E-3</v>
      </c>
    </row>
    <row r="413" spans="1:4" x14ac:dyDescent="0.25">
      <c r="A413" s="86">
        <v>8</v>
      </c>
      <c r="B413" s="86">
        <v>107</v>
      </c>
      <c r="C413" s="103">
        <v>3.5509373305483995E-3</v>
      </c>
      <c r="D413" s="103">
        <v>4.480826805676557E-3</v>
      </c>
    </row>
    <row r="414" spans="1:4" x14ac:dyDescent="0.25">
      <c r="A414" s="86">
        <v>8</v>
      </c>
      <c r="B414" s="86">
        <v>109</v>
      </c>
      <c r="C414" s="103">
        <v>7.0437743935446997E-4</v>
      </c>
      <c r="D414" s="103">
        <v>1.2019158961108884E-3</v>
      </c>
    </row>
    <row r="415" spans="1:4" x14ac:dyDescent="0.25">
      <c r="A415" s="86">
        <v>8</v>
      </c>
      <c r="B415" s="86">
        <v>111</v>
      </c>
      <c r="C415" s="103">
        <v>1.5287825010678997E-4</v>
      </c>
      <c r="D415" s="103">
        <v>1.3424908547203491E-4</v>
      </c>
    </row>
    <row r="416" spans="1:4" x14ac:dyDescent="0.25">
      <c r="A416" s="86">
        <v>8</v>
      </c>
      <c r="B416" s="86">
        <v>113</v>
      </c>
      <c r="C416" s="103">
        <v>7.2075965298893892E-4</v>
      </c>
      <c r="D416" s="103">
        <v>1.4373789517817348E-3</v>
      </c>
    </row>
    <row r="417" spans="1:4" x14ac:dyDescent="0.25">
      <c r="A417" s="86">
        <v>8</v>
      </c>
      <c r="B417" s="86">
        <v>115</v>
      </c>
      <c r="C417" s="103">
        <v>2.0892858155358075E-3</v>
      </c>
      <c r="D417" s="103">
        <v>4.0063863203696279E-4</v>
      </c>
    </row>
    <row r="418" spans="1:4" x14ac:dyDescent="0.25">
      <c r="A418" s="86">
        <v>8</v>
      </c>
      <c r="B418" s="86">
        <v>117</v>
      </c>
      <c r="C418" s="103">
        <v>1.1549370495955414E-2</v>
      </c>
      <c r="D418" s="103">
        <v>5.4121359064642337E-3</v>
      </c>
    </row>
    <row r="419" spans="1:4" x14ac:dyDescent="0.25">
      <c r="A419" s="86">
        <v>8</v>
      </c>
      <c r="B419" s="86">
        <v>119</v>
      </c>
      <c r="C419" s="103">
        <v>2.7215025772325927E-3</v>
      </c>
      <c r="D419" s="103">
        <v>4.4105393263718269E-3</v>
      </c>
    </row>
    <row r="420" spans="1:4" x14ac:dyDescent="0.25">
      <c r="A420" s="86">
        <v>8</v>
      </c>
      <c r="B420" s="86">
        <v>121</v>
      </c>
      <c r="C420" s="103">
        <v>1.769915239507097E-3</v>
      </c>
      <c r="D420" s="103">
        <v>8.5926443450032807E-4</v>
      </c>
    </row>
    <row r="421" spans="1:4" x14ac:dyDescent="0.25">
      <c r="A421" s="86">
        <v>8</v>
      </c>
      <c r="B421" s="86">
        <v>123</v>
      </c>
      <c r="C421" s="103">
        <v>6.3059384448151512E-2</v>
      </c>
      <c r="D421" s="103">
        <v>5.535138995247512E-2</v>
      </c>
    </row>
    <row r="422" spans="1:4" x14ac:dyDescent="0.25">
      <c r="A422" s="86">
        <v>8</v>
      </c>
      <c r="B422" s="86">
        <v>125</v>
      </c>
      <c r="C422" s="103">
        <v>8.1699779065512598E-4</v>
      </c>
      <c r="D422" s="103">
        <v>1.7484010477051665E-3</v>
      </c>
    </row>
    <row r="423" spans="1:4" x14ac:dyDescent="0.25">
      <c r="A423" s="86">
        <v>9</v>
      </c>
      <c r="B423" s="86">
        <v>1</v>
      </c>
      <c r="C423" s="103">
        <v>0.23090286995801854</v>
      </c>
      <c r="D423" s="103">
        <v>0.2642777155655095</v>
      </c>
    </row>
    <row r="424" spans="1:4" x14ac:dyDescent="0.25">
      <c r="A424" s="86">
        <v>9</v>
      </c>
      <c r="B424" s="86">
        <v>3</v>
      </c>
      <c r="C424" s="103">
        <v>0.26932382145893646</v>
      </c>
      <c r="D424" s="103">
        <v>0.25</v>
      </c>
    </row>
    <row r="425" spans="1:4" x14ac:dyDescent="0.25">
      <c r="A425" s="86">
        <v>9</v>
      </c>
      <c r="B425" s="86">
        <v>5</v>
      </c>
      <c r="C425" s="103">
        <v>3.997572834088596E-2</v>
      </c>
      <c r="D425" s="103">
        <v>5.0671892497200451E-2</v>
      </c>
    </row>
    <row r="426" spans="1:4" x14ac:dyDescent="0.25">
      <c r="A426" s="86">
        <v>9</v>
      </c>
      <c r="B426" s="86">
        <v>7</v>
      </c>
      <c r="C426" s="103">
        <v>6.0214938117374689E-2</v>
      </c>
      <c r="D426" s="103">
        <v>4.5632698768197089E-2</v>
      </c>
    </row>
    <row r="427" spans="1:4" x14ac:dyDescent="0.25">
      <c r="A427" s="86">
        <v>9</v>
      </c>
      <c r="B427" s="86">
        <v>9</v>
      </c>
      <c r="C427" s="103">
        <v>0.24656450768334606</v>
      </c>
      <c r="D427" s="103">
        <v>0.23992161254199329</v>
      </c>
    </row>
    <row r="428" spans="1:4" x14ac:dyDescent="0.25">
      <c r="A428" s="86">
        <v>9</v>
      </c>
      <c r="B428" s="86">
        <v>11</v>
      </c>
      <c r="C428" s="103">
        <v>8.1726819315882257E-2</v>
      </c>
      <c r="D428" s="103">
        <v>7.4468085106382975E-2</v>
      </c>
    </row>
    <row r="429" spans="1:4" x14ac:dyDescent="0.25">
      <c r="A429" s="86">
        <v>9</v>
      </c>
      <c r="B429" s="86">
        <v>13</v>
      </c>
      <c r="C429" s="103">
        <v>4.1065345664607025E-2</v>
      </c>
      <c r="D429" s="103">
        <v>4.227323628219485E-2</v>
      </c>
    </row>
    <row r="430" spans="1:4" x14ac:dyDescent="0.25">
      <c r="A430" s="86">
        <v>9</v>
      </c>
      <c r="B430" s="86">
        <v>15</v>
      </c>
      <c r="C430" s="103">
        <v>3.0225969460949003E-2</v>
      </c>
      <c r="D430" s="103">
        <v>3.2754759238521836E-2</v>
      </c>
    </row>
    <row r="431" spans="1:4" x14ac:dyDescent="0.25">
      <c r="A431" s="86">
        <v>10</v>
      </c>
      <c r="B431" s="86">
        <v>1</v>
      </c>
      <c r="C431" s="103">
        <v>0.1770735675770386</v>
      </c>
      <c r="D431" s="103">
        <v>0.18530020703933747</v>
      </c>
    </row>
    <row r="432" spans="1:4" x14ac:dyDescent="0.25">
      <c r="A432" s="86">
        <v>10</v>
      </c>
      <c r="B432" s="86">
        <v>3</v>
      </c>
      <c r="C432" s="103">
        <v>0.5896771873621045</v>
      </c>
      <c r="D432" s="103">
        <v>0.57763975155279501</v>
      </c>
    </row>
    <row r="433" spans="1:4" x14ac:dyDescent="0.25">
      <c r="A433" s="86">
        <v>10</v>
      </c>
      <c r="B433" s="86">
        <v>5</v>
      </c>
      <c r="C433" s="103">
        <v>0.23324924506085698</v>
      </c>
      <c r="D433" s="103">
        <v>0.23706004140786749</v>
      </c>
    </row>
    <row r="434" spans="1:4" x14ac:dyDescent="0.25">
      <c r="A434" s="86">
        <v>11</v>
      </c>
      <c r="B434" s="86">
        <v>1</v>
      </c>
      <c r="C434" s="103">
        <v>1</v>
      </c>
      <c r="D434" s="103">
        <v>1</v>
      </c>
    </row>
    <row r="435" spans="1:4" x14ac:dyDescent="0.25">
      <c r="A435" s="86">
        <v>12</v>
      </c>
      <c r="B435" s="86">
        <v>1</v>
      </c>
      <c r="C435" s="103">
        <v>1.3744028200875951E-2</v>
      </c>
      <c r="D435" s="103">
        <v>1.2666858788539742E-2</v>
      </c>
    </row>
    <row r="436" spans="1:4" x14ac:dyDescent="0.25">
      <c r="A436" s="86">
        <v>12</v>
      </c>
      <c r="B436" s="86">
        <v>3</v>
      </c>
      <c r="C436" s="103">
        <v>2.1001202416446991E-3</v>
      </c>
      <c r="D436" s="103">
        <v>1.3373189204257572E-3</v>
      </c>
    </row>
    <row r="437" spans="1:4" x14ac:dyDescent="0.25">
      <c r="A437" s="86">
        <v>12</v>
      </c>
      <c r="B437" s="86">
        <v>5</v>
      </c>
      <c r="C437" s="103">
        <v>8.2865547611883032E-3</v>
      </c>
      <c r="D437" s="103">
        <v>8.7584971549010855E-3</v>
      </c>
    </row>
    <row r="438" spans="1:4" x14ac:dyDescent="0.25">
      <c r="A438" s="86">
        <v>12</v>
      </c>
      <c r="B438" s="86">
        <v>7</v>
      </c>
      <c r="C438" s="103">
        <v>1.2129299675262947E-3</v>
      </c>
      <c r="D438" s="103">
        <v>1.309065703797044E-3</v>
      </c>
    </row>
    <row r="439" spans="1:4" x14ac:dyDescent="0.25">
      <c r="A439" s="86">
        <v>12</v>
      </c>
      <c r="B439" s="86">
        <v>9</v>
      </c>
      <c r="C439" s="103">
        <v>3.1070946399945815E-2</v>
      </c>
      <c r="D439" s="103">
        <v>2.8017773156807237E-2</v>
      </c>
    </row>
    <row r="440" spans="1:4" x14ac:dyDescent="0.25">
      <c r="A440" s="86">
        <v>12</v>
      </c>
      <c r="B440" s="86">
        <v>11</v>
      </c>
      <c r="C440" s="103">
        <v>8.2818453309280712E-2</v>
      </c>
      <c r="D440" s="103">
        <v>9.1822954043317834E-2</v>
      </c>
    </row>
    <row r="441" spans="1:4" x14ac:dyDescent="0.25">
      <c r="A441" s="86">
        <v>12</v>
      </c>
      <c r="B441" s="86">
        <v>13</v>
      </c>
      <c r="C441" s="103">
        <v>5.3487523774692445E-4</v>
      </c>
      <c r="D441" s="103">
        <v>6.8278606852723511E-4</v>
      </c>
    </row>
    <row r="442" spans="1:4" x14ac:dyDescent="0.25">
      <c r="A442" s="86">
        <v>12</v>
      </c>
      <c r="B442" s="86">
        <v>15</v>
      </c>
      <c r="C442" s="103">
        <v>9.4461692162548083E-3</v>
      </c>
      <c r="D442" s="103">
        <v>8.7114084605198969E-3</v>
      </c>
    </row>
    <row r="443" spans="1:4" x14ac:dyDescent="0.25">
      <c r="A443" s="86">
        <v>12</v>
      </c>
      <c r="B443" s="86">
        <v>17</v>
      </c>
      <c r="C443" s="103">
        <v>6.0730760965960048E-3</v>
      </c>
      <c r="D443" s="103">
        <v>6.9691267684159177E-3</v>
      </c>
    </row>
    <row r="444" spans="1:4" x14ac:dyDescent="0.25">
      <c r="A444" s="86">
        <v>12</v>
      </c>
      <c r="B444" s="86">
        <v>19</v>
      </c>
      <c r="C444" s="103">
        <v>7.4323471368121351E-3</v>
      </c>
      <c r="D444" s="103">
        <v>1.0171157986336745E-2</v>
      </c>
    </row>
    <row r="445" spans="1:4" x14ac:dyDescent="0.25">
      <c r="A445" s="86">
        <v>12</v>
      </c>
      <c r="B445" s="86">
        <v>21</v>
      </c>
      <c r="C445" s="103">
        <v>1.7595017959093573E-2</v>
      </c>
      <c r="D445" s="103">
        <v>1.7799526476089303E-2</v>
      </c>
    </row>
    <row r="446" spans="1:4" x14ac:dyDescent="0.25">
      <c r="A446" s="86">
        <v>12</v>
      </c>
      <c r="B446" s="86">
        <v>23</v>
      </c>
      <c r="C446" s="103">
        <v>5.8346228545904542E-3</v>
      </c>
      <c r="D446" s="103">
        <v>3.3291706927500364E-3</v>
      </c>
    </row>
    <row r="447" spans="1:4" x14ac:dyDescent="0.25">
      <c r="A447" s="86">
        <v>12</v>
      </c>
      <c r="B447" s="86">
        <v>27</v>
      </c>
      <c r="C447" s="103">
        <v>1.4626109953903021E-3</v>
      </c>
      <c r="D447" s="103">
        <v>1.7611171698564548E-3</v>
      </c>
    </row>
    <row r="448" spans="1:4" x14ac:dyDescent="0.25">
      <c r="A448" s="86">
        <v>12</v>
      </c>
      <c r="B448" s="86">
        <v>29</v>
      </c>
      <c r="C448" s="103">
        <v>5.892381482377932E-4</v>
      </c>
      <c r="D448" s="103">
        <v>7.8638119616585012E-4</v>
      </c>
    </row>
    <row r="449" spans="1:4" x14ac:dyDescent="0.25">
      <c r="A449" s="86">
        <v>12</v>
      </c>
      <c r="B449" s="86">
        <v>31</v>
      </c>
      <c r="C449" s="103">
        <v>5.3390798787123564E-2</v>
      </c>
      <c r="D449" s="103">
        <v>4.4687170967748012E-2</v>
      </c>
    </row>
    <row r="450" spans="1:4" x14ac:dyDescent="0.25">
      <c r="A450" s="86">
        <v>12</v>
      </c>
      <c r="B450" s="86">
        <v>33</v>
      </c>
      <c r="C450" s="103">
        <v>1.5461409605926391E-2</v>
      </c>
      <c r="D450" s="103">
        <v>1.483293873007442E-2</v>
      </c>
    </row>
    <row r="451" spans="1:4" x14ac:dyDescent="0.25">
      <c r="A451" s="86">
        <v>12</v>
      </c>
      <c r="B451" s="86">
        <v>35</v>
      </c>
      <c r="C451" s="103">
        <v>5.7677314264169771E-3</v>
      </c>
      <c r="D451" s="103">
        <v>5.2739337706931271E-3</v>
      </c>
    </row>
    <row r="452" spans="1:4" x14ac:dyDescent="0.25">
      <c r="A452" s="86">
        <v>12</v>
      </c>
      <c r="B452" s="86">
        <v>37</v>
      </c>
      <c r="C452" s="103">
        <v>5.1946352802523374E-4</v>
      </c>
      <c r="D452" s="103">
        <v>5.5093772425990697E-4</v>
      </c>
    </row>
    <row r="453" spans="1:4" x14ac:dyDescent="0.25">
      <c r="A453" s="86">
        <v>12</v>
      </c>
      <c r="B453" s="86">
        <v>39</v>
      </c>
      <c r="C453" s="103">
        <v>3.0950206336203827E-3</v>
      </c>
      <c r="D453" s="103">
        <v>2.1613710720965584E-3</v>
      </c>
    </row>
    <row r="454" spans="1:4" x14ac:dyDescent="0.25">
      <c r="A454" s="86">
        <v>12</v>
      </c>
      <c r="B454" s="86">
        <v>41</v>
      </c>
      <c r="C454" s="103">
        <v>5.995903282019166E-4</v>
      </c>
      <c r="D454" s="103">
        <v>8.61723107175752E-4</v>
      </c>
    </row>
    <row r="455" spans="1:4" x14ac:dyDescent="0.25">
      <c r="A455" s="86">
        <v>12</v>
      </c>
      <c r="B455" s="86">
        <v>43</v>
      </c>
      <c r="C455" s="103">
        <v>6.6762875755606288E-4</v>
      </c>
      <c r="D455" s="103">
        <v>6.4511511302228427E-4</v>
      </c>
    </row>
    <row r="456" spans="1:4" x14ac:dyDescent="0.25">
      <c r="A456" s="86">
        <v>12</v>
      </c>
      <c r="B456" s="86">
        <v>45</v>
      </c>
      <c r="C456" s="103">
        <v>5.7754449882736541E-4</v>
      </c>
      <c r="D456" s="103">
        <v>7.5812797953713699E-4</v>
      </c>
    </row>
    <row r="457" spans="1:4" x14ac:dyDescent="0.25">
      <c r="A457" s="86">
        <v>12</v>
      </c>
      <c r="B457" s="86">
        <v>47</v>
      </c>
      <c r="C457" s="103">
        <v>2.3731017135545564E-3</v>
      </c>
      <c r="D457" s="103">
        <v>6.733683296509974E-4</v>
      </c>
    </row>
    <row r="458" spans="1:4" x14ac:dyDescent="0.25">
      <c r="A458" s="86">
        <v>12</v>
      </c>
      <c r="B458" s="86">
        <v>49</v>
      </c>
      <c r="C458" s="103">
        <v>1.1913194561011184E-3</v>
      </c>
      <c r="D458" s="103">
        <v>1.2808124871683307E-3</v>
      </c>
    </row>
    <row r="459" spans="1:4" x14ac:dyDescent="0.25">
      <c r="A459" s="86">
        <v>12</v>
      </c>
      <c r="B459" s="86">
        <v>51</v>
      </c>
      <c r="C459" s="103">
        <v>1.5909839058991227E-3</v>
      </c>
      <c r="D459" s="103">
        <v>1.9447630779430905E-3</v>
      </c>
    </row>
    <row r="460" spans="1:4" x14ac:dyDescent="0.25">
      <c r="A460" s="86">
        <v>12</v>
      </c>
      <c r="B460" s="86">
        <v>53</v>
      </c>
      <c r="C460" s="103">
        <v>8.3629683831388506E-3</v>
      </c>
      <c r="D460" s="103">
        <v>8.9939406268070288E-3</v>
      </c>
    </row>
    <row r="461" spans="1:4" x14ac:dyDescent="0.25">
      <c r="A461" s="86">
        <v>12</v>
      </c>
      <c r="B461" s="86">
        <v>55</v>
      </c>
      <c r="C461" s="103">
        <v>3.9530777919042732E-3</v>
      </c>
      <c r="D461" s="103">
        <v>4.9443129100248066E-3</v>
      </c>
    </row>
    <row r="462" spans="1:4" x14ac:dyDescent="0.25">
      <c r="A462" s="86">
        <v>12</v>
      </c>
      <c r="B462" s="86">
        <v>57</v>
      </c>
      <c r="C462" s="103">
        <v>6.7359627403933003E-2</v>
      </c>
      <c r="D462" s="103">
        <v>6.8278606852723522E-2</v>
      </c>
    </row>
    <row r="463" spans="1:4" x14ac:dyDescent="0.25">
      <c r="A463" s="86">
        <v>12</v>
      </c>
      <c r="B463" s="86">
        <v>59</v>
      </c>
      <c r="C463" s="103">
        <v>1.0680354552407799E-3</v>
      </c>
      <c r="D463" s="103">
        <v>9.1352067099505945E-4</v>
      </c>
    </row>
    <row r="464" spans="1:4" x14ac:dyDescent="0.25">
      <c r="A464" s="86">
        <v>12</v>
      </c>
      <c r="B464" s="86">
        <v>61</v>
      </c>
      <c r="C464" s="103">
        <v>8.1473317386271237E-3</v>
      </c>
      <c r="D464" s="103">
        <v>7.3929250178466155E-3</v>
      </c>
    </row>
    <row r="465" spans="1:4" x14ac:dyDescent="0.25">
      <c r="A465" s="86">
        <v>12</v>
      </c>
      <c r="B465" s="86">
        <v>63</v>
      </c>
      <c r="C465" s="103">
        <v>3.1389217478088099E-3</v>
      </c>
      <c r="D465" s="103">
        <v>2.264966199735173E-3</v>
      </c>
    </row>
    <row r="466" spans="1:4" x14ac:dyDescent="0.25">
      <c r="A466" s="86">
        <v>12</v>
      </c>
      <c r="B466" s="86">
        <v>65</v>
      </c>
      <c r="C466" s="103">
        <v>1.3548468968303507E-3</v>
      </c>
      <c r="D466" s="103">
        <v>6.733683296509974E-4</v>
      </c>
    </row>
    <row r="467" spans="1:4" x14ac:dyDescent="0.25">
      <c r="A467" s="86">
        <v>12</v>
      </c>
      <c r="B467" s="86">
        <v>67</v>
      </c>
      <c r="C467" s="103">
        <v>2.7983764292207735E-4</v>
      </c>
      <c r="D467" s="103">
        <v>4.0920075417252919E-4</v>
      </c>
    </row>
    <row r="468" spans="1:4" x14ac:dyDescent="0.25">
      <c r="A468" s="86">
        <v>12</v>
      </c>
      <c r="B468" s="86">
        <v>69</v>
      </c>
      <c r="C468" s="103">
        <v>1.7013866316466293E-2</v>
      </c>
      <c r="D468" s="103">
        <v>1.6810663894084341E-2</v>
      </c>
    </row>
    <row r="469" spans="1:4" x14ac:dyDescent="0.25">
      <c r="A469" s="86">
        <v>12</v>
      </c>
      <c r="B469" s="86">
        <v>71</v>
      </c>
      <c r="C469" s="103">
        <v>3.4416303189733238E-2</v>
      </c>
      <c r="D469" s="103">
        <v>3.5504875563416229E-2</v>
      </c>
    </row>
    <row r="470" spans="1:4" x14ac:dyDescent="0.25">
      <c r="A470" s="86">
        <v>12</v>
      </c>
      <c r="B470" s="86">
        <v>73</v>
      </c>
      <c r="C470" s="103">
        <v>1.2071249221346093E-2</v>
      </c>
      <c r="D470" s="103">
        <v>1.3749898759307081E-2</v>
      </c>
    </row>
    <row r="471" spans="1:4" x14ac:dyDescent="0.25">
      <c r="A471" s="86">
        <v>12</v>
      </c>
      <c r="B471" s="86">
        <v>75</v>
      </c>
      <c r="C471" s="103">
        <v>1.5910599472668675E-3</v>
      </c>
      <c r="D471" s="103">
        <v>1.9212187307524962E-3</v>
      </c>
    </row>
    <row r="472" spans="1:4" x14ac:dyDescent="0.25">
      <c r="A472" s="86">
        <v>12</v>
      </c>
      <c r="B472" s="86">
        <v>77</v>
      </c>
      <c r="C472" s="103">
        <v>2.8296992888160872E-4</v>
      </c>
      <c r="D472" s="103">
        <v>3.9695769363342015E-4</v>
      </c>
    </row>
    <row r="473" spans="1:4" x14ac:dyDescent="0.25">
      <c r="A473" s="86">
        <v>12</v>
      </c>
      <c r="B473" s="86">
        <v>79</v>
      </c>
      <c r="C473" s="103">
        <v>1.8485456341216381E-3</v>
      </c>
      <c r="D473" s="103">
        <v>8.7114084605198971E-4</v>
      </c>
    </row>
    <row r="474" spans="1:4" x14ac:dyDescent="0.25">
      <c r="A474" s="86">
        <v>12</v>
      </c>
      <c r="B474" s="86">
        <v>81</v>
      </c>
      <c r="C474" s="103">
        <v>1.757518157244204E-2</v>
      </c>
      <c r="D474" s="103">
        <v>1.8552945586188321E-2</v>
      </c>
    </row>
    <row r="475" spans="1:4" x14ac:dyDescent="0.25">
      <c r="A475" s="86">
        <v>12</v>
      </c>
      <c r="B475" s="86">
        <v>83</v>
      </c>
      <c r="C475" s="103">
        <v>1.942046364296349E-2</v>
      </c>
      <c r="D475" s="103">
        <v>1.6904841282846719E-2</v>
      </c>
    </row>
    <row r="476" spans="1:4" x14ac:dyDescent="0.25">
      <c r="A476" s="86">
        <v>12</v>
      </c>
      <c r="B476" s="86">
        <v>85</v>
      </c>
      <c r="C476" s="103">
        <v>1.1203570639272527E-2</v>
      </c>
      <c r="D476" s="103">
        <v>7.5812797953713701E-3</v>
      </c>
    </row>
    <row r="477" spans="1:4" x14ac:dyDescent="0.25">
      <c r="A477" s="86">
        <v>12</v>
      </c>
      <c r="B477" s="86">
        <v>86</v>
      </c>
      <c r="C477" s="103">
        <v>9.8657590548607954E-2</v>
      </c>
      <c r="D477" s="103">
        <v>0.12761036177302118</v>
      </c>
    </row>
    <row r="478" spans="1:4" x14ac:dyDescent="0.25">
      <c r="A478" s="86">
        <v>12</v>
      </c>
      <c r="B478" s="86">
        <v>87</v>
      </c>
      <c r="C478" s="103">
        <v>4.5875126882996284E-3</v>
      </c>
      <c r="D478" s="103">
        <v>3.5222343397129097E-3</v>
      </c>
    </row>
    <row r="479" spans="1:4" x14ac:dyDescent="0.25">
      <c r="A479" s="86">
        <v>12</v>
      </c>
      <c r="B479" s="86">
        <v>89</v>
      </c>
      <c r="C479" s="103">
        <v>4.9650848169421266E-3</v>
      </c>
      <c r="D479" s="103">
        <v>4.0449188473441035E-3</v>
      </c>
    </row>
    <row r="480" spans="1:4" x14ac:dyDescent="0.25">
      <c r="A480" s="86">
        <v>12</v>
      </c>
      <c r="B480" s="86">
        <v>91</v>
      </c>
      <c r="C480" s="103">
        <v>1.013667042870392E-2</v>
      </c>
      <c r="D480" s="103">
        <v>9.7473597369060472E-3</v>
      </c>
    </row>
    <row r="481" spans="1:4" x14ac:dyDescent="0.25">
      <c r="A481" s="86">
        <v>12</v>
      </c>
      <c r="B481" s="86">
        <v>93</v>
      </c>
      <c r="C481" s="103">
        <v>2.0742402760249076E-3</v>
      </c>
      <c r="D481" s="103">
        <v>1.9635985556955659E-3</v>
      </c>
    </row>
    <row r="482" spans="1:4" x14ac:dyDescent="0.25">
      <c r="A482" s="86">
        <v>12</v>
      </c>
      <c r="B482" s="86">
        <v>95</v>
      </c>
      <c r="C482" s="103">
        <v>7.6974070611756498E-2</v>
      </c>
      <c r="D482" s="103">
        <v>6.498239824604031E-2</v>
      </c>
    </row>
    <row r="483" spans="1:4" x14ac:dyDescent="0.25">
      <c r="A483" s="86">
        <v>12</v>
      </c>
      <c r="B483" s="86">
        <v>97</v>
      </c>
      <c r="C483" s="103">
        <v>1.9739212012843635E-2</v>
      </c>
      <c r="D483" s="103">
        <v>1.7328639532277416E-2</v>
      </c>
    </row>
    <row r="484" spans="1:4" x14ac:dyDescent="0.25">
      <c r="A484" s="86">
        <v>12</v>
      </c>
      <c r="B484" s="86">
        <v>99</v>
      </c>
      <c r="C484" s="103">
        <v>7.2213855457326309E-2</v>
      </c>
      <c r="D484" s="103">
        <v>6.9691267684159175E-2</v>
      </c>
    </row>
    <row r="485" spans="1:4" x14ac:dyDescent="0.25">
      <c r="A485" s="86">
        <v>12</v>
      </c>
      <c r="B485" s="86">
        <v>101</v>
      </c>
      <c r="C485" s="103">
        <v>2.4933829314737373E-2</v>
      </c>
      <c r="D485" s="103">
        <v>2.5380806271460672E-2</v>
      </c>
    </row>
    <row r="486" spans="1:4" x14ac:dyDescent="0.25">
      <c r="A486" s="86">
        <v>12</v>
      </c>
      <c r="B486" s="86">
        <v>103</v>
      </c>
      <c r="C486" s="103">
        <v>3.8992146820769305E-2</v>
      </c>
      <c r="D486" s="103">
        <v>4.581729963289654E-2</v>
      </c>
    </row>
    <row r="487" spans="1:4" x14ac:dyDescent="0.25">
      <c r="A487" s="86">
        <v>12</v>
      </c>
      <c r="B487" s="86">
        <v>105</v>
      </c>
      <c r="C487" s="103">
        <v>3.2946208527844599E-2</v>
      </c>
      <c r="D487" s="103">
        <v>3.3291706927500365E-2</v>
      </c>
    </row>
    <row r="488" spans="1:4" x14ac:dyDescent="0.25">
      <c r="A488" s="86">
        <v>12</v>
      </c>
      <c r="B488" s="86">
        <v>107</v>
      </c>
      <c r="C488" s="103">
        <v>2.8240319218980144E-3</v>
      </c>
      <c r="D488" s="103">
        <v>3.4845633842079588E-3</v>
      </c>
    </row>
    <row r="489" spans="1:4" x14ac:dyDescent="0.25">
      <c r="A489" s="86">
        <v>12</v>
      </c>
      <c r="B489" s="86">
        <v>109</v>
      </c>
      <c r="C489" s="103">
        <v>1.3779876404876899E-2</v>
      </c>
      <c r="D489" s="103">
        <v>1.1960528372821912E-2</v>
      </c>
    </row>
    <row r="490" spans="1:4" x14ac:dyDescent="0.25">
      <c r="A490" s="86">
        <v>12</v>
      </c>
      <c r="B490" s="86">
        <v>111</v>
      </c>
      <c r="C490" s="103">
        <v>1.628366852928622E-2</v>
      </c>
      <c r="D490" s="103">
        <v>1.5068382201980363E-2</v>
      </c>
    </row>
    <row r="491" spans="1:4" x14ac:dyDescent="0.25">
      <c r="A491" s="86">
        <v>12</v>
      </c>
      <c r="B491" s="86">
        <v>113</v>
      </c>
      <c r="C491" s="103">
        <v>8.8689898809883681E-3</v>
      </c>
      <c r="D491" s="103">
        <v>8.428876294232765E-3</v>
      </c>
    </row>
    <row r="492" spans="1:4" x14ac:dyDescent="0.25">
      <c r="A492" s="86">
        <v>12</v>
      </c>
      <c r="B492" s="86">
        <v>115</v>
      </c>
      <c r="C492" s="103">
        <v>2.1045433026689802E-2</v>
      </c>
      <c r="D492" s="103">
        <v>2.0059783806386358E-2</v>
      </c>
    </row>
    <row r="493" spans="1:4" x14ac:dyDescent="0.25">
      <c r="A493" s="86">
        <v>12</v>
      </c>
      <c r="B493" s="86">
        <v>117</v>
      </c>
      <c r="C493" s="103">
        <v>2.0327487772460868E-2</v>
      </c>
      <c r="D493" s="103">
        <v>2.2037508970396278E-2</v>
      </c>
    </row>
    <row r="494" spans="1:4" x14ac:dyDescent="0.25">
      <c r="A494" s="86">
        <v>12</v>
      </c>
      <c r="B494" s="86">
        <v>119</v>
      </c>
      <c r="C494" s="103">
        <v>7.9871625319337808E-3</v>
      </c>
      <c r="D494" s="103">
        <v>6.0744415751733333E-3</v>
      </c>
    </row>
    <row r="495" spans="1:4" x14ac:dyDescent="0.25">
      <c r="A495" s="86">
        <v>12</v>
      </c>
      <c r="B495" s="86">
        <v>121</v>
      </c>
      <c r="C495" s="103">
        <v>2.9355750185902744E-3</v>
      </c>
      <c r="D495" s="103">
        <v>2.0813202916485376E-3</v>
      </c>
    </row>
    <row r="496" spans="1:4" x14ac:dyDescent="0.25">
      <c r="A496" s="86">
        <v>12</v>
      </c>
      <c r="B496" s="86">
        <v>123</v>
      </c>
      <c r="C496" s="103">
        <v>9.6090799916870697E-4</v>
      </c>
      <c r="D496" s="103">
        <v>1.0124069291955556E-3</v>
      </c>
    </row>
    <row r="497" spans="1:4" x14ac:dyDescent="0.25">
      <c r="A497" s="86">
        <v>12</v>
      </c>
      <c r="B497" s="86">
        <v>125</v>
      </c>
      <c r="C497" s="103">
        <v>5.3313509258327157E-4</v>
      </c>
      <c r="D497" s="103">
        <v>7.2045702403218605E-4</v>
      </c>
    </row>
    <row r="498" spans="1:4" x14ac:dyDescent="0.25">
      <c r="A498" s="86">
        <v>12</v>
      </c>
      <c r="B498" s="86">
        <v>127</v>
      </c>
      <c r="C498" s="103">
        <v>2.8258209533018695E-2</v>
      </c>
      <c r="D498" s="103">
        <v>2.5710427132128993E-2</v>
      </c>
    </row>
    <row r="499" spans="1:4" x14ac:dyDescent="0.25">
      <c r="A499" s="86">
        <v>12</v>
      </c>
      <c r="B499" s="86">
        <v>129</v>
      </c>
      <c r="C499" s="103">
        <v>1.0989653562955221E-3</v>
      </c>
      <c r="D499" s="103">
        <v>1.5256736979505116E-3</v>
      </c>
    </row>
    <row r="500" spans="1:4" x14ac:dyDescent="0.25">
      <c r="A500" s="86">
        <v>12</v>
      </c>
      <c r="B500" s="86">
        <v>131</v>
      </c>
      <c r="C500" s="103">
        <v>4.8831289884077277E-3</v>
      </c>
      <c r="D500" s="103">
        <v>3.3291706927500364E-3</v>
      </c>
    </row>
    <row r="501" spans="1:4" x14ac:dyDescent="0.25">
      <c r="A501" s="86">
        <v>12</v>
      </c>
      <c r="B501" s="86">
        <v>133</v>
      </c>
      <c r="C501" s="103">
        <v>1.4695661206103375E-3</v>
      </c>
      <c r="D501" s="103">
        <v>1.167799620653478E-3</v>
      </c>
    </row>
    <row r="502" spans="1:4" x14ac:dyDescent="0.25">
      <c r="A502" s="86">
        <v>13</v>
      </c>
      <c r="B502" s="86">
        <v>1</v>
      </c>
      <c r="C502" s="103">
        <v>1.7897567689312509E-3</v>
      </c>
      <c r="D502" s="103">
        <v>1.760235053225702E-3</v>
      </c>
    </row>
    <row r="503" spans="1:4" x14ac:dyDescent="0.25">
      <c r="A503" s="86">
        <v>13</v>
      </c>
      <c r="B503" s="86">
        <v>3</v>
      </c>
      <c r="C503" s="103">
        <v>8.3257992883435498E-4</v>
      </c>
      <c r="D503" s="103">
        <v>7.8592116430509728E-4</v>
      </c>
    </row>
    <row r="504" spans="1:4" x14ac:dyDescent="0.25">
      <c r="A504" s="86">
        <v>13</v>
      </c>
      <c r="B504" s="86">
        <v>5</v>
      </c>
      <c r="C504" s="103">
        <v>8.028194246173637E-4</v>
      </c>
      <c r="D504" s="103">
        <v>1.0561410319354213E-3</v>
      </c>
    </row>
    <row r="505" spans="1:4" x14ac:dyDescent="0.25">
      <c r="A505" s="86">
        <v>13</v>
      </c>
      <c r="B505" s="86">
        <v>7</v>
      </c>
      <c r="C505" s="103">
        <v>4.2490889049994683E-4</v>
      </c>
      <c r="D505" s="103">
        <v>2.9400682780904969E-4</v>
      </c>
    </row>
    <row r="506" spans="1:4" x14ac:dyDescent="0.25">
      <c r="A506" s="86">
        <v>13</v>
      </c>
      <c r="B506" s="86">
        <v>9</v>
      </c>
      <c r="C506" s="103">
        <v>2.5323202368818338E-3</v>
      </c>
      <c r="D506" s="103">
        <v>4.2721380480991366E-3</v>
      </c>
    </row>
    <row r="507" spans="1:4" x14ac:dyDescent="0.25">
      <c r="A507" s="86">
        <v>13</v>
      </c>
      <c r="B507" s="86">
        <v>11</v>
      </c>
      <c r="C507" s="103">
        <v>2.2408608955170393E-3</v>
      </c>
      <c r="D507" s="103">
        <v>1.8078089735831535E-3</v>
      </c>
    </row>
    <row r="508" spans="1:4" x14ac:dyDescent="0.25">
      <c r="A508" s="86">
        <v>13</v>
      </c>
      <c r="B508" s="86">
        <v>13</v>
      </c>
      <c r="C508" s="103">
        <v>5.762063884016776E-3</v>
      </c>
      <c r="D508" s="103">
        <v>7.6879455297641473E-3</v>
      </c>
    </row>
    <row r="509" spans="1:4" x14ac:dyDescent="0.25">
      <c r="A509" s="86">
        <v>13</v>
      </c>
      <c r="B509" s="86">
        <v>15</v>
      </c>
      <c r="C509" s="103">
        <v>1.5686928360054506E-2</v>
      </c>
      <c r="D509" s="103">
        <v>1.0085671115779699E-2</v>
      </c>
    </row>
    <row r="510" spans="1:4" x14ac:dyDescent="0.25">
      <c r="A510" s="86">
        <v>13</v>
      </c>
      <c r="B510" s="86">
        <v>17</v>
      </c>
      <c r="C510" s="103">
        <v>1.2423247487582628E-3</v>
      </c>
      <c r="D510" s="103">
        <v>1.5984837240103672E-3</v>
      </c>
    </row>
    <row r="511" spans="1:4" x14ac:dyDescent="0.25">
      <c r="A511" s="86">
        <v>13</v>
      </c>
      <c r="B511" s="86">
        <v>19</v>
      </c>
      <c r="C511" s="103">
        <v>1.2415852106768116E-3</v>
      </c>
      <c r="D511" s="103">
        <v>1.8363533257976243E-3</v>
      </c>
    </row>
    <row r="512" spans="1:4" x14ac:dyDescent="0.25">
      <c r="A512" s="86">
        <v>13</v>
      </c>
      <c r="B512" s="86">
        <v>21</v>
      </c>
      <c r="C512" s="103">
        <v>1.7614253243021929E-2</v>
      </c>
      <c r="D512" s="103">
        <v>1.455761962938013E-2</v>
      </c>
    </row>
    <row r="513" spans="1:4" x14ac:dyDescent="0.25">
      <c r="A513" s="86">
        <v>13</v>
      </c>
      <c r="B513" s="86">
        <v>23</v>
      </c>
      <c r="C513" s="103">
        <v>9.7965395235818519E-4</v>
      </c>
      <c r="D513" s="103">
        <v>1.2178923611507562E-3</v>
      </c>
    </row>
    <row r="514" spans="1:4" x14ac:dyDescent="0.25">
      <c r="A514" s="86">
        <v>13</v>
      </c>
      <c r="B514" s="86">
        <v>25</v>
      </c>
      <c r="C514" s="103">
        <v>1.2233582948821091E-3</v>
      </c>
      <c r="D514" s="103">
        <v>1.8078089735831535E-3</v>
      </c>
    </row>
    <row r="515" spans="1:4" x14ac:dyDescent="0.25">
      <c r="A515" s="86">
        <v>13</v>
      </c>
      <c r="B515" s="86">
        <v>27</v>
      </c>
      <c r="C515" s="103">
        <v>1.2401795477231853E-3</v>
      </c>
      <c r="D515" s="103">
        <v>1.4747915310809937E-3</v>
      </c>
    </row>
    <row r="516" spans="1:4" x14ac:dyDescent="0.25">
      <c r="A516" s="86">
        <v>13</v>
      </c>
      <c r="B516" s="86">
        <v>29</v>
      </c>
      <c r="C516" s="103">
        <v>6.1956415873028461E-3</v>
      </c>
      <c r="D516" s="103">
        <v>3.6251327312377974E-3</v>
      </c>
    </row>
    <row r="517" spans="1:4" x14ac:dyDescent="0.25">
      <c r="A517" s="86">
        <v>13</v>
      </c>
      <c r="B517" s="86">
        <v>31</v>
      </c>
      <c r="C517" s="103">
        <v>6.9984518295087882E-3</v>
      </c>
      <c r="D517" s="103">
        <v>7.3454133031904973E-3</v>
      </c>
    </row>
    <row r="518" spans="1:4" x14ac:dyDescent="0.25">
      <c r="A518" s="86">
        <v>13</v>
      </c>
      <c r="B518" s="86">
        <v>33</v>
      </c>
      <c r="C518" s="103">
        <v>2.2179246540874756E-3</v>
      </c>
      <c r="D518" s="103">
        <v>2.1313116320138231E-3</v>
      </c>
    </row>
    <row r="519" spans="1:4" x14ac:dyDescent="0.25">
      <c r="A519" s="86">
        <v>13</v>
      </c>
      <c r="B519" s="86">
        <v>35</v>
      </c>
      <c r="C519" s="103">
        <v>2.8608451673653732E-3</v>
      </c>
      <c r="D519" s="103">
        <v>2.3025777453006481E-3</v>
      </c>
    </row>
    <row r="520" spans="1:4" x14ac:dyDescent="0.25">
      <c r="A520" s="86">
        <v>13</v>
      </c>
      <c r="B520" s="86">
        <v>37</v>
      </c>
      <c r="C520" s="103">
        <v>4.3980906016122891E-4</v>
      </c>
      <c r="D520" s="103">
        <v>6.0418878853963286E-4</v>
      </c>
    </row>
    <row r="521" spans="1:4" x14ac:dyDescent="0.25">
      <c r="A521" s="86">
        <v>13</v>
      </c>
      <c r="B521" s="86">
        <v>39</v>
      </c>
      <c r="C521" s="103">
        <v>7.7666301078848652E-3</v>
      </c>
      <c r="D521" s="103">
        <v>5.1094390463902808E-3</v>
      </c>
    </row>
    <row r="522" spans="1:4" x14ac:dyDescent="0.25">
      <c r="A522" s="86">
        <v>13</v>
      </c>
      <c r="B522" s="86">
        <v>43</v>
      </c>
      <c r="C522" s="103">
        <v>1.9552818531459581E-3</v>
      </c>
      <c r="D522" s="103">
        <v>1.0275966797209505E-3</v>
      </c>
    </row>
    <row r="523" spans="1:4" x14ac:dyDescent="0.25">
      <c r="A523" s="86">
        <v>13</v>
      </c>
      <c r="B523" s="86">
        <v>45</v>
      </c>
      <c r="C523" s="103">
        <v>9.04632328580573E-3</v>
      </c>
      <c r="D523" s="103">
        <v>1.1227445204358533E-2</v>
      </c>
    </row>
    <row r="524" spans="1:4" x14ac:dyDescent="0.25">
      <c r="A524" s="86">
        <v>13</v>
      </c>
      <c r="B524" s="86">
        <v>47</v>
      </c>
      <c r="C524" s="103">
        <v>7.3640368863639163E-3</v>
      </c>
      <c r="D524" s="103">
        <v>6.4129644641844497E-3</v>
      </c>
    </row>
    <row r="525" spans="1:4" x14ac:dyDescent="0.25">
      <c r="A525" s="86">
        <v>13</v>
      </c>
      <c r="B525" s="86">
        <v>49</v>
      </c>
      <c r="C525" s="103">
        <v>1.024634356618473E-3</v>
      </c>
      <c r="D525" s="103">
        <v>1.2274071452222464E-3</v>
      </c>
    </row>
    <row r="526" spans="1:4" x14ac:dyDescent="0.25">
      <c r="A526" s="86">
        <v>13</v>
      </c>
      <c r="B526" s="86">
        <v>51</v>
      </c>
      <c r="C526" s="103">
        <v>2.7724625504560618E-2</v>
      </c>
      <c r="D526" s="103">
        <v>2.7497725966606913E-2</v>
      </c>
    </row>
    <row r="527" spans="1:4" x14ac:dyDescent="0.25">
      <c r="A527" s="86">
        <v>13</v>
      </c>
      <c r="B527" s="86">
        <v>53</v>
      </c>
      <c r="C527" s="103">
        <v>7.3717483843470084E-4</v>
      </c>
      <c r="D527" s="103">
        <v>1.0085671115779699E-3</v>
      </c>
    </row>
    <row r="528" spans="1:4" x14ac:dyDescent="0.25">
      <c r="A528" s="86">
        <v>13</v>
      </c>
      <c r="B528" s="86">
        <v>55</v>
      </c>
      <c r="C528" s="103">
        <v>1.735203553846302E-3</v>
      </c>
      <c r="D528" s="103">
        <v>2.3596664497295898E-3</v>
      </c>
    </row>
    <row r="529" spans="1:4" x14ac:dyDescent="0.25">
      <c r="A529" s="86">
        <v>13</v>
      </c>
      <c r="B529" s="86">
        <v>57</v>
      </c>
      <c r="C529" s="103">
        <v>1.7815593662319655E-2</v>
      </c>
      <c r="D529" s="103">
        <v>2.4167551541585314E-2</v>
      </c>
    </row>
    <row r="530" spans="1:4" x14ac:dyDescent="0.25">
      <c r="A530" s="86">
        <v>13</v>
      </c>
      <c r="B530" s="86">
        <v>59</v>
      </c>
      <c r="C530" s="103">
        <v>9.6505431023271807E-3</v>
      </c>
      <c r="D530" s="103">
        <v>1.2083775770792657E-2</v>
      </c>
    </row>
    <row r="531" spans="1:4" x14ac:dyDescent="0.25">
      <c r="A531" s="86">
        <v>13</v>
      </c>
      <c r="B531" s="86">
        <v>61</v>
      </c>
      <c r="C531" s="103">
        <v>2.6878920164566774E-4</v>
      </c>
      <c r="D531" s="103">
        <v>2.7402578125892009E-4</v>
      </c>
    </row>
    <row r="532" spans="1:4" x14ac:dyDescent="0.25">
      <c r="A532" s="86">
        <v>13</v>
      </c>
      <c r="B532" s="86">
        <v>63</v>
      </c>
      <c r="C532" s="103">
        <v>2.886374688436728E-2</v>
      </c>
      <c r="D532" s="103">
        <v>2.7497725966606913E-2</v>
      </c>
    </row>
    <row r="533" spans="1:4" x14ac:dyDescent="0.25">
      <c r="A533" s="86">
        <v>13</v>
      </c>
      <c r="B533" s="86">
        <v>65</v>
      </c>
      <c r="C533" s="103">
        <v>8.648571708672712E-4</v>
      </c>
      <c r="D533" s="103">
        <v>6.279757487183586E-4</v>
      </c>
    </row>
    <row r="534" spans="1:4" x14ac:dyDescent="0.25">
      <c r="A534" s="86">
        <v>13</v>
      </c>
      <c r="B534" s="86">
        <v>67</v>
      </c>
      <c r="C534" s="103">
        <v>6.1707733837408116E-2</v>
      </c>
      <c r="D534" s="103">
        <v>7.193176758046653E-2</v>
      </c>
    </row>
    <row r="535" spans="1:4" x14ac:dyDescent="0.25">
      <c r="A535" s="86">
        <v>13</v>
      </c>
      <c r="B535" s="86">
        <v>69</v>
      </c>
      <c r="C535" s="103">
        <v>3.2572566722003119E-3</v>
      </c>
      <c r="D535" s="103">
        <v>4.1008719348123116E-3</v>
      </c>
    </row>
    <row r="536" spans="1:4" x14ac:dyDescent="0.25">
      <c r="A536" s="86">
        <v>13</v>
      </c>
      <c r="B536" s="86">
        <v>71</v>
      </c>
      <c r="C536" s="103">
        <v>3.4033150617754919E-3</v>
      </c>
      <c r="D536" s="103">
        <v>4.3292267525280783E-3</v>
      </c>
    </row>
    <row r="537" spans="1:4" x14ac:dyDescent="0.25">
      <c r="A537" s="86">
        <v>13</v>
      </c>
      <c r="B537" s="86">
        <v>73</v>
      </c>
      <c r="C537" s="103">
        <v>1.0216267046633967E-2</v>
      </c>
      <c r="D537" s="103">
        <v>1.4652767470095033E-2</v>
      </c>
    </row>
    <row r="538" spans="1:4" x14ac:dyDescent="0.25">
      <c r="A538" s="86">
        <v>13</v>
      </c>
      <c r="B538" s="86">
        <v>75</v>
      </c>
      <c r="C538" s="103">
        <v>4.4449728476763173E-3</v>
      </c>
      <c r="D538" s="103">
        <v>1.6365428602963285E-3</v>
      </c>
    </row>
    <row r="539" spans="1:4" x14ac:dyDescent="0.25">
      <c r="A539" s="86">
        <v>13</v>
      </c>
      <c r="B539" s="86">
        <v>77</v>
      </c>
      <c r="C539" s="103">
        <v>1.4053175725787268E-2</v>
      </c>
      <c r="D539" s="103">
        <v>1.3891584744375811E-2</v>
      </c>
    </row>
    <row r="540" spans="1:4" x14ac:dyDescent="0.25">
      <c r="A540" s="86">
        <v>13</v>
      </c>
      <c r="B540" s="86">
        <v>79</v>
      </c>
      <c r="C540" s="103">
        <v>7.5548572655922519E-4</v>
      </c>
      <c r="D540" s="103">
        <v>1.1703184407933047E-3</v>
      </c>
    </row>
    <row r="541" spans="1:4" x14ac:dyDescent="0.25">
      <c r="A541" s="86">
        <v>13</v>
      </c>
      <c r="B541" s="86">
        <v>81</v>
      </c>
      <c r="C541" s="103">
        <v>4.1660918903639937E-3</v>
      </c>
      <c r="D541" s="103">
        <v>2.1503412001568035E-3</v>
      </c>
    </row>
    <row r="542" spans="1:4" x14ac:dyDescent="0.25">
      <c r="A542" s="86">
        <v>13</v>
      </c>
      <c r="B542" s="86">
        <v>83</v>
      </c>
      <c r="C542" s="103">
        <v>2.7714451976477588E-3</v>
      </c>
      <c r="D542" s="103">
        <v>1.5413950195814255E-3</v>
      </c>
    </row>
    <row r="543" spans="1:4" x14ac:dyDescent="0.25">
      <c r="A543" s="86">
        <v>13</v>
      </c>
      <c r="B543" s="86">
        <v>85</v>
      </c>
      <c r="C543" s="103">
        <v>2.2071123789370647E-3</v>
      </c>
      <c r="D543" s="103">
        <v>2.3882108019440606E-3</v>
      </c>
    </row>
    <row r="544" spans="1:4" x14ac:dyDescent="0.25">
      <c r="A544" s="86">
        <v>13</v>
      </c>
      <c r="B544" s="86">
        <v>87</v>
      </c>
      <c r="C544" s="103">
        <v>2.8425947784548899E-3</v>
      </c>
      <c r="D544" s="103">
        <v>2.5309325630164148E-3</v>
      </c>
    </row>
    <row r="545" spans="1:4" x14ac:dyDescent="0.25">
      <c r="A545" s="86">
        <v>13</v>
      </c>
      <c r="B545" s="86">
        <v>89</v>
      </c>
      <c r="C545" s="103">
        <v>7.6060325094979939E-2</v>
      </c>
      <c r="D545" s="103">
        <v>7.1836619739751625E-2</v>
      </c>
    </row>
    <row r="546" spans="1:4" x14ac:dyDescent="0.25">
      <c r="A546" s="86">
        <v>13</v>
      </c>
      <c r="B546" s="86">
        <v>91</v>
      </c>
      <c r="C546" s="103">
        <v>1.6476319220907652E-3</v>
      </c>
      <c r="D546" s="103">
        <v>1.9790750868699785E-3</v>
      </c>
    </row>
    <row r="547" spans="1:4" x14ac:dyDescent="0.25">
      <c r="A547" s="86">
        <v>13</v>
      </c>
      <c r="B547" s="86">
        <v>93</v>
      </c>
      <c r="C547" s="103">
        <v>3.8202579345578695E-3</v>
      </c>
      <c r="D547" s="103">
        <v>1.3035254177941687E-3</v>
      </c>
    </row>
    <row r="548" spans="1:4" x14ac:dyDescent="0.25">
      <c r="A548" s="86">
        <v>13</v>
      </c>
      <c r="B548" s="86">
        <v>95</v>
      </c>
      <c r="C548" s="103">
        <v>7.7385719385455439E-3</v>
      </c>
      <c r="D548" s="103">
        <v>8.4871873917693307E-3</v>
      </c>
    </row>
    <row r="549" spans="1:4" x14ac:dyDescent="0.25">
      <c r="A549" s="86">
        <v>13</v>
      </c>
      <c r="B549" s="86">
        <v>97</v>
      </c>
      <c r="C549" s="103">
        <v>1.2794864402039745E-2</v>
      </c>
      <c r="D549" s="103">
        <v>1.3796436903660909E-2</v>
      </c>
    </row>
    <row r="550" spans="1:4" x14ac:dyDescent="0.25">
      <c r="A550" s="86">
        <v>13</v>
      </c>
      <c r="B550" s="86">
        <v>99</v>
      </c>
      <c r="C550" s="103">
        <v>1.182668109296523E-3</v>
      </c>
      <c r="D550" s="103">
        <v>9.8002275936349905E-4</v>
      </c>
    </row>
    <row r="551" spans="1:4" x14ac:dyDescent="0.25">
      <c r="A551" s="86">
        <v>13</v>
      </c>
      <c r="B551" s="86">
        <v>101</v>
      </c>
      <c r="C551" s="103">
        <v>2.655843484385608E-4</v>
      </c>
      <c r="D551" s="103">
        <v>3.8059136285961128E-4</v>
      </c>
    </row>
    <row r="552" spans="1:4" x14ac:dyDescent="0.25">
      <c r="A552" s="86">
        <v>13</v>
      </c>
      <c r="B552" s="86">
        <v>103</v>
      </c>
      <c r="C552" s="103">
        <v>3.5022034755478266E-3</v>
      </c>
      <c r="D552" s="103">
        <v>5.9181956924669555E-3</v>
      </c>
    </row>
    <row r="553" spans="1:4" x14ac:dyDescent="0.25">
      <c r="A553" s="86">
        <v>13</v>
      </c>
      <c r="B553" s="86">
        <v>105</v>
      </c>
      <c r="C553" s="103">
        <v>1.7946159897636032E-3</v>
      </c>
      <c r="D553" s="103">
        <v>1.8173237576546437E-3</v>
      </c>
    </row>
    <row r="554" spans="1:4" x14ac:dyDescent="0.25">
      <c r="A554" s="86">
        <v>13</v>
      </c>
      <c r="B554" s="86">
        <v>107</v>
      </c>
      <c r="C554" s="103">
        <v>3.0425600083257617E-3</v>
      </c>
      <c r="D554" s="103">
        <v>2.1503412001568035E-3</v>
      </c>
    </row>
    <row r="555" spans="1:4" x14ac:dyDescent="0.25">
      <c r="A555" s="86">
        <v>13</v>
      </c>
      <c r="B555" s="86">
        <v>109</v>
      </c>
      <c r="C555" s="103">
        <v>7.29753965250556E-4</v>
      </c>
      <c r="D555" s="103">
        <v>1.0180818956494601E-3</v>
      </c>
    </row>
    <row r="556" spans="1:4" x14ac:dyDescent="0.25">
      <c r="A556" s="86">
        <v>13</v>
      </c>
      <c r="B556" s="86">
        <v>111</v>
      </c>
      <c r="C556" s="103">
        <v>1.8019924630015725E-3</v>
      </c>
      <c r="D556" s="103">
        <v>2.4738438585874731E-3</v>
      </c>
    </row>
    <row r="557" spans="1:4" x14ac:dyDescent="0.25">
      <c r="A557" s="86">
        <v>13</v>
      </c>
      <c r="B557" s="86">
        <v>113</v>
      </c>
      <c r="C557" s="103">
        <v>9.3502779122591664E-3</v>
      </c>
      <c r="D557" s="103">
        <v>1.0751706000784018E-2</v>
      </c>
    </row>
    <row r="558" spans="1:4" x14ac:dyDescent="0.25">
      <c r="A558" s="86">
        <v>13</v>
      </c>
      <c r="B558" s="86">
        <v>115</v>
      </c>
      <c r="C558" s="103">
        <v>8.6882012063534911E-3</v>
      </c>
      <c r="D558" s="103">
        <v>9.3244883900604758E-3</v>
      </c>
    </row>
    <row r="559" spans="1:4" x14ac:dyDescent="0.25">
      <c r="A559" s="86">
        <v>13</v>
      </c>
      <c r="B559" s="86">
        <v>117</v>
      </c>
      <c r="C559" s="103">
        <v>1.6106563469836792E-2</v>
      </c>
      <c r="D559" s="103">
        <v>2.2550038249431966E-2</v>
      </c>
    </row>
    <row r="560" spans="1:4" x14ac:dyDescent="0.25">
      <c r="A560" s="86">
        <v>13</v>
      </c>
      <c r="B560" s="86">
        <v>119</v>
      </c>
      <c r="C560" s="103">
        <v>4.4352037979407807E-3</v>
      </c>
      <c r="D560" s="103">
        <v>2.1884003364427648E-3</v>
      </c>
    </row>
    <row r="561" spans="1:4" x14ac:dyDescent="0.25">
      <c r="A561" s="86">
        <v>13</v>
      </c>
      <c r="B561" s="86">
        <v>121</v>
      </c>
      <c r="C561" s="103">
        <v>0.12362853467662323</v>
      </c>
      <c r="D561" s="103">
        <v>9.9905232750647957E-2</v>
      </c>
    </row>
    <row r="562" spans="1:4" x14ac:dyDescent="0.25">
      <c r="A562" s="86">
        <v>13</v>
      </c>
      <c r="B562" s="86">
        <v>123</v>
      </c>
      <c r="C562" s="103">
        <v>2.1279764929983376E-3</v>
      </c>
      <c r="D562" s="103">
        <v>2.9305534940190069E-3</v>
      </c>
    </row>
    <row r="563" spans="1:4" x14ac:dyDescent="0.25">
      <c r="A563" s="86">
        <v>13</v>
      </c>
      <c r="B563" s="86">
        <v>125</v>
      </c>
      <c r="C563" s="103">
        <v>1.8755385049932987E-4</v>
      </c>
      <c r="D563" s="103">
        <v>2.835405653304104E-4</v>
      </c>
    </row>
    <row r="564" spans="1:4" x14ac:dyDescent="0.25">
      <c r="A564" s="86">
        <v>13</v>
      </c>
      <c r="B564" s="86">
        <v>127</v>
      </c>
      <c r="C564" s="103">
        <v>9.6220570582840267E-3</v>
      </c>
      <c r="D564" s="103">
        <v>8.0875664607667399E-3</v>
      </c>
    </row>
    <row r="565" spans="1:4" x14ac:dyDescent="0.25">
      <c r="A565" s="86">
        <v>13</v>
      </c>
      <c r="B565" s="86">
        <v>129</v>
      </c>
      <c r="C565" s="103">
        <v>7.2710333603882718E-3</v>
      </c>
      <c r="D565" s="103">
        <v>5.4805156251784021E-3</v>
      </c>
    </row>
    <row r="566" spans="1:4" x14ac:dyDescent="0.25">
      <c r="A566" s="86">
        <v>13</v>
      </c>
      <c r="B566" s="86">
        <v>131</v>
      </c>
      <c r="C566" s="103">
        <v>2.0129399252458722E-3</v>
      </c>
      <c r="D566" s="103">
        <v>2.3596664497295898E-3</v>
      </c>
    </row>
    <row r="567" spans="1:4" x14ac:dyDescent="0.25">
      <c r="A567" s="86">
        <v>13</v>
      </c>
      <c r="B567" s="86">
        <v>133</v>
      </c>
      <c r="C567" s="103">
        <v>2.7587991591845034E-3</v>
      </c>
      <c r="D567" s="103">
        <v>1.6841167806537799E-3</v>
      </c>
    </row>
    <row r="568" spans="1:4" x14ac:dyDescent="0.25">
      <c r="A568" s="86">
        <v>13</v>
      </c>
      <c r="B568" s="86">
        <v>135</v>
      </c>
      <c r="C568" s="103">
        <v>7.4287418369859054E-2</v>
      </c>
      <c r="D568" s="103">
        <v>8.8202048342714917E-2</v>
      </c>
    </row>
    <row r="569" spans="1:4" x14ac:dyDescent="0.25">
      <c r="A569" s="86">
        <v>13</v>
      </c>
      <c r="B569" s="86">
        <v>137</v>
      </c>
      <c r="C569" s="103">
        <v>3.450407223181635E-3</v>
      </c>
      <c r="D569" s="103">
        <v>4.3197119684565879E-3</v>
      </c>
    </row>
    <row r="570" spans="1:4" x14ac:dyDescent="0.25">
      <c r="A570" s="86">
        <v>13</v>
      </c>
      <c r="B570" s="86">
        <v>139</v>
      </c>
      <c r="C570" s="103">
        <v>1.6915424952372228E-2</v>
      </c>
      <c r="D570" s="103">
        <v>1.921986382441037E-2</v>
      </c>
    </row>
    <row r="571" spans="1:4" x14ac:dyDescent="0.25">
      <c r="A571" s="86">
        <v>13</v>
      </c>
      <c r="B571" s="86">
        <v>141</v>
      </c>
      <c r="C571" s="103">
        <v>6.0268708124621611E-4</v>
      </c>
      <c r="D571" s="103">
        <v>7.9638742678373657E-4</v>
      </c>
    </row>
    <row r="572" spans="1:4" x14ac:dyDescent="0.25">
      <c r="A572" s="86">
        <v>13</v>
      </c>
      <c r="B572" s="86">
        <v>143</v>
      </c>
      <c r="C572" s="103">
        <v>2.830701935125815E-3</v>
      </c>
      <c r="D572" s="103">
        <v>2.8163760851611232E-3</v>
      </c>
    </row>
    <row r="573" spans="1:4" x14ac:dyDescent="0.25">
      <c r="A573" s="86">
        <v>13</v>
      </c>
      <c r="B573" s="86">
        <v>145</v>
      </c>
      <c r="C573" s="103">
        <v>3.7355954784940608E-3</v>
      </c>
      <c r="D573" s="103">
        <v>3.2921152887356374E-3</v>
      </c>
    </row>
    <row r="574" spans="1:4" x14ac:dyDescent="0.25">
      <c r="A574" s="86">
        <v>13</v>
      </c>
      <c r="B574" s="86">
        <v>147</v>
      </c>
      <c r="C574" s="103">
        <v>1.9482602548049994E-3</v>
      </c>
      <c r="D574" s="103">
        <v>2.4833586426589636E-3</v>
      </c>
    </row>
    <row r="575" spans="1:4" x14ac:dyDescent="0.25">
      <c r="A575" s="86">
        <v>13</v>
      </c>
      <c r="B575" s="86">
        <v>149</v>
      </c>
      <c r="C575" s="103">
        <v>8.3299718687910587E-4</v>
      </c>
      <c r="D575" s="103">
        <v>1.1322593045073434E-3</v>
      </c>
    </row>
    <row r="576" spans="1:4" x14ac:dyDescent="0.25">
      <c r="A576" s="86">
        <v>13</v>
      </c>
      <c r="B576" s="86">
        <v>151</v>
      </c>
      <c r="C576" s="103">
        <v>2.414041306019471E-2</v>
      </c>
      <c r="D576" s="103">
        <v>2.1884003364427647E-2</v>
      </c>
    </row>
    <row r="577" spans="1:4" x14ac:dyDescent="0.25">
      <c r="A577" s="86">
        <v>13</v>
      </c>
      <c r="B577" s="86">
        <v>153</v>
      </c>
      <c r="C577" s="103">
        <v>1.2936143601039628E-2</v>
      </c>
      <c r="D577" s="103">
        <v>1.484306315152484E-2</v>
      </c>
    </row>
    <row r="578" spans="1:4" x14ac:dyDescent="0.25">
      <c r="A578" s="86">
        <v>13</v>
      </c>
      <c r="B578" s="86">
        <v>155</v>
      </c>
      <c r="C578" s="103">
        <v>7.8693847803341292E-4</v>
      </c>
      <c r="D578" s="103">
        <v>8.9438970272008643E-4</v>
      </c>
    </row>
    <row r="579" spans="1:4" x14ac:dyDescent="0.25">
      <c r="A579" s="86">
        <v>13</v>
      </c>
      <c r="B579" s="86">
        <v>157</v>
      </c>
      <c r="C579" s="103">
        <v>9.3619694984780656E-3</v>
      </c>
      <c r="D579" s="103">
        <v>6.6888932022576677E-3</v>
      </c>
    </row>
    <row r="580" spans="1:4" x14ac:dyDescent="0.25">
      <c r="A580" s="86">
        <v>13</v>
      </c>
      <c r="B580" s="86">
        <v>159</v>
      </c>
      <c r="C580" s="103">
        <v>9.7410001076089607E-4</v>
      </c>
      <c r="D580" s="103">
        <v>1.3320697700086395E-3</v>
      </c>
    </row>
    <row r="581" spans="1:4" x14ac:dyDescent="0.25">
      <c r="A581" s="86">
        <v>13</v>
      </c>
      <c r="B581" s="86">
        <v>161</v>
      </c>
      <c r="C581" s="103">
        <v>9.3290299753412333E-4</v>
      </c>
      <c r="D581" s="103">
        <v>1.4272176107235422E-3</v>
      </c>
    </row>
    <row r="582" spans="1:4" x14ac:dyDescent="0.25">
      <c r="A582" s="86">
        <v>13</v>
      </c>
      <c r="B582" s="86">
        <v>163</v>
      </c>
      <c r="C582" s="103">
        <v>1.6388775180212261E-3</v>
      </c>
      <c r="D582" s="103">
        <v>1.4652767470095035E-3</v>
      </c>
    </row>
    <row r="583" spans="1:4" x14ac:dyDescent="0.25">
      <c r="A583" s="86">
        <v>13</v>
      </c>
      <c r="B583" s="86">
        <v>165</v>
      </c>
      <c r="C583" s="103">
        <v>8.0832186639699026E-4</v>
      </c>
      <c r="D583" s="103">
        <v>8.3444656306969772E-4</v>
      </c>
    </row>
    <row r="584" spans="1:4" x14ac:dyDescent="0.25">
      <c r="A584" s="86">
        <v>13</v>
      </c>
      <c r="B584" s="86">
        <v>167</v>
      </c>
      <c r="C584" s="103">
        <v>5.6688619363523454E-4</v>
      </c>
      <c r="D584" s="103">
        <v>9.2388553334170635E-4</v>
      </c>
    </row>
    <row r="585" spans="1:4" x14ac:dyDescent="0.25">
      <c r="A585" s="86">
        <v>13</v>
      </c>
      <c r="B585" s="86">
        <v>169</v>
      </c>
      <c r="C585" s="103">
        <v>1.7326171318289968E-3</v>
      </c>
      <c r="D585" s="103">
        <v>2.7307430285177106E-3</v>
      </c>
    </row>
    <row r="586" spans="1:4" x14ac:dyDescent="0.25">
      <c r="A586" s="86">
        <v>13</v>
      </c>
      <c r="B586" s="86">
        <v>171</v>
      </c>
      <c r="C586" s="103">
        <v>2.0328635610167389E-3</v>
      </c>
      <c r="D586" s="103">
        <v>1.8078089735831535E-3</v>
      </c>
    </row>
    <row r="587" spans="1:4" x14ac:dyDescent="0.25">
      <c r="A587" s="86">
        <v>13</v>
      </c>
      <c r="B587" s="86">
        <v>173</v>
      </c>
      <c r="C587" s="103">
        <v>6.4624772814363314E-4</v>
      </c>
      <c r="D587" s="103">
        <v>9.8953754343498925E-4</v>
      </c>
    </row>
    <row r="588" spans="1:4" x14ac:dyDescent="0.25">
      <c r="A588" s="86">
        <v>13</v>
      </c>
      <c r="B588" s="86">
        <v>175</v>
      </c>
      <c r="C588" s="103">
        <v>6.0057904835720431E-3</v>
      </c>
      <c r="D588" s="103">
        <v>4.5004928658149033E-3</v>
      </c>
    </row>
    <row r="589" spans="1:4" x14ac:dyDescent="0.25">
      <c r="A589" s="86">
        <v>13</v>
      </c>
      <c r="B589" s="86">
        <v>177</v>
      </c>
      <c r="C589" s="103">
        <v>2.4004135853879088E-3</v>
      </c>
      <c r="D589" s="103">
        <v>2.835405653304104E-3</v>
      </c>
    </row>
    <row r="590" spans="1:4" x14ac:dyDescent="0.25">
      <c r="A590" s="86">
        <v>13</v>
      </c>
      <c r="B590" s="86">
        <v>179</v>
      </c>
      <c r="C590" s="103">
        <v>6.6064778655388146E-3</v>
      </c>
      <c r="D590" s="103">
        <v>5.7659591473231105E-3</v>
      </c>
    </row>
    <row r="591" spans="1:4" x14ac:dyDescent="0.25">
      <c r="A591" s="86">
        <v>13</v>
      </c>
      <c r="B591" s="86">
        <v>181</v>
      </c>
      <c r="C591" s="103">
        <v>5.5928865382268828E-4</v>
      </c>
      <c r="D591" s="103">
        <v>7.5452237686917929E-4</v>
      </c>
    </row>
    <row r="592" spans="1:4" x14ac:dyDescent="0.25">
      <c r="A592" s="86">
        <v>13</v>
      </c>
      <c r="B592" s="86">
        <v>183</v>
      </c>
      <c r="C592" s="103">
        <v>1.084182864681918E-3</v>
      </c>
      <c r="D592" s="103">
        <v>1.8173237576546437E-3</v>
      </c>
    </row>
    <row r="593" spans="1:4" x14ac:dyDescent="0.25">
      <c r="A593" s="86">
        <v>13</v>
      </c>
      <c r="B593" s="86">
        <v>185</v>
      </c>
      <c r="C593" s="103">
        <v>1.2795290370781991E-2</v>
      </c>
      <c r="D593" s="103">
        <v>1.1037149522928726E-2</v>
      </c>
    </row>
    <row r="594" spans="1:4" x14ac:dyDescent="0.25">
      <c r="A594" s="86">
        <v>13</v>
      </c>
      <c r="B594" s="86">
        <v>187</v>
      </c>
      <c r="C594" s="103">
        <v>1.9561198850564922E-3</v>
      </c>
      <c r="D594" s="103">
        <v>3.1303639595203028E-3</v>
      </c>
    </row>
    <row r="595" spans="1:4" x14ac:dyDescent="0.25">
      <c r="A595" s="86">
        <v>13</v>
      </c>
      <c r="B595" s="86">
        <v>189</v>
      </c>
      <c r="C595" s="103">
        <v>2.9680762586589463E-3</v>
      </c>
      <c r="D595" s="103">
        <v>2.0456785753704106E-3</v>
      </c>
    </row>
    <row r="596" spans="1:4" x14ac:dyDescent="0.25">
      <c r="A596" s="86">
        <v>13</v>
      </c>
      <c r="B596" s="86">
        <v>191</v>
      </c>
      <c r="C596" s="103">
        <v>4.3544689043493708E-3</v>
      </c>
      <c r="D596" s="103">
        <v>1.3606141222231103E-3</v>
      </c>
    </row>
    <row r="597" spans="1:4" x14ac:dyDescent="0.25">
      <c r="A597" s="86">
        <v>13</v>
      </c>
      <c r="B597" s="86">
        <v>193</v>
      </c>
      <c r="C597" s="103">
        <v>1.0441946762781962E-3</v>
      </c>
      <c r="D597" s="103">
        <v>1.2559514974367172E-3</v>
      </c>
    </row>
    <row r="598" spans="1:4" x14ac:dyDescent="0.25">
      <c r="A598" s="86">
        <v>13</v>
      </c>
      <c r="B598" s="86">
        <v>195</v>
      </c>
      <c r="C598" s="103">
        <v>2.0567603185322656E-3</v>
      </c>
      <c r="D598" s="103">
        <v>2.8163760851611232E-3</v>
      </c>
    </row>
    <row r="599" spans="1:4" x14ac:dyDescent="0.25">
      <c r="A599" s="86">
        <v>13</v>
      </c>
      <c r="B599" s="86">
        <v>197</v>
      </c>
      <c r="C599" s="103">
        <v>5.4450256160805594E-4</v>
      </c>
      <c r="D599" s="103">
        <v>7.9638742678373657E-4</v>
      </c>
    </row>
    <row r="600" spans="1:4" x14ac:dyDescent="0.25">
      <c r="A600" s="86">
        <v>13</v>
      </c>
      <c r="B600" s="86">
        <v>199</v>
      </c>
      <c r="C600" s="103">
        <v>2.1771172706459797E-3</v>
      </c>
      <c r="D600" s="103">
        <v>2.0076194390844493E-3</v>
      </c>
    </row>
    <row r="601" spans="1:4" x14ac:dyDescent="0.25">
      <c r="A601" s="86">
        <v>13</v>
      </c>
      <c r="B601" s="86">
        <v>201</v>
      </c>
      <c r="C601" s="103">
        <v>5.9026227969797402E-4</v>
      </c>
      <c r="D601" s="103">
        <v>5.4043973526064803E-4</v>
      </c>
    </row>
    <row r="602" spans="1:4" x14ac:dyDescent="0.25">
      <c r="A602" s="86">
        <v>13</v>
      </c>
      <c r="B602" s="86">
        <v>205</v>
      </c>
      <c r="C602" s="103">
        <v>2.1688422142948803E-3</v>
      </c>
      <c r="D602" s="103">
        <v>2.1027672797993523E-3</v>
      </c>
    </row>
    <row r="603" spans="1:4" x14ac:dyDescent="0.25">
      <c r="A603" s="86">
        <v>13</v>
      </c>
      <c r="B603" s="86">
        <v>207</v>
      </c>
      <c r="C603" s="103">
        <v>8.0833382736095107E-3</v>
      </c>
      <c r="D603" s="103">
        <v>2.6165656196598273E-3</v>
      </c>
    </row>
    <row r="604" spans="1:4" x14ac:dyDescent="0.25">
      <c r="A604" s="86">
        <v>13</v>
      </c>
      <c r="B604" s="86">
        <v>209</v>
      </c>
      <c r="C604" s="103">
        <v>7.0442280027346838E-4</v>
      </c>
      <c r="D604" s="103">
        <v>8.7250569935565887E-4</v>
      </c>
    </row>
    <row r="605" spans="1:4" x14ac:dyDescent="0.25">
      <c r="A605" s="86">
        <v>13</v>
      </c>
      <c r="B605" s="86">
        <v>211</v>
      </c>
      <c r="C605" s="103">
        <v>4.0599547316417578E-3</v>
      </c>
      <c r="D605" s="103">
        <v>1.7887794054401729E-3</v>
      </c>
    </row>
    <row r="606" spans="1:4" x14ac:dyDescent="0.25">
      <c r="A606" s="86">
        <v>13</v>
      </c>
      <c r="B606" s="86">
        <v>213</v>
      </c>
      <c r="C606" s="103">
        <v>2.163513892838022E-3</v>
      </c>
      <c r="D606" s="103">
        <v>3.7963988445246224E-3</v>
      </c>
    </row>
    <row r="607" spans="1:4" x14ac:dyDescent="0.25">
      <c r="A607" s="86">
        <v>13</v>
      </c>
      <c r="B607" s="86">
        <v>215</v>
      </c>
      <c r="C607" s="103">
        <v>1.5025818064762284E-2</v>
      </c>
      <c r="D607" s="103">
        <v>1.8458681098691147E-2</v>
      </c>
    </row>
    <row r="608" spans="1:4" x14ac:dyDescent="0.25">
      <c r="A608" s="86">
        <v>13</v>
      </c>
      <c r="B608" s="86">
        <v>217</v>
      </c>
      <c r="C608" s="103">
        <v>9.3765407764442778E-3</v>
      </c>
      <c r="D608" s="103">
        <v>1.0371114637924407E-2</v>
      </c>
    </row>
    <row r="609" spans="1:4" x14ac:dyDescent="0.25">
      <c r="A609" s="86">
        <v>13</v>
      </c>
      <c r="B609" s="86">
        <v>219</v>
      </c>
      <c r="C609" s="103">
        <v>4.1208113441974998E-3</v>
      </c>
      <c r="D609" s="103">
        <v>3.7583397082386612E-3</v>
      </c>
    </row>
    <row r="610" spans="1:4" x14ac:dyDescent="0.25">
      <c r="A610" s="86">
        <v>13</v>
      </c>
      <c r="B610" s="86">
        <v>221</v>
      </c>
      <c r="C610" s="103">
        <v>8.7669603073089585E-4</v>
      </c>
      <c r="D610" s="103">
        <v>1.4367323947950326E-3</v>
      </c>
    </row>
    <row r="611" spans="1:4" x14ac:dyDescent="0.25">
      <c r="A611" s="86">
        <v>13</v>
      </c>
      <c r="B611" s="86">
        <v>223</v>
      </c>
      <c r="C611" s="103">
        <v>1.0019385971005644E-2</v>
      </c>
      <c r="D611" s="103">
        <v>1.5604245877244061E-2</v>
      </c>
    </row>
    <row r="612" spans="1:4" x14ac:dyDescent="0.25">
      <c r="A612" s="86">
        <v>13</v>
      </c>
      <c r="B612" s="86">
        <v>225</v>
      </c>
      <c r="C612" s="103">
        <v>4.7901641641217253E-3</v>
      </c>
      <c r="D612" s="103">
        <v>2.6070508355883373E-3</v>
      </c>
    </row>
    <row r="613" spans="1:4" x14ac:dyDescent="0.25">
      <c r="A613" s="86">
        <v>13</v>
      </c>
      <c r="B613" s="86">
        <v>227</v>
      </c>
      <c r="C613" s="103">
        <v>2.7507797765865634E-3</v>
      </c>
      <c r="D613" s="103">
        <v>3.0447309028768903E-3</v>
      </c>
    </row>
    <row r="614" spans="1:4" x14ac:dyDescent="0.25">
      <c r="A614" s="86">
        <v>13</v>
      </c>
      <c r="B614" s="86">
        <v>229</v>
      </c>
      <c r="C614" s="103">
        <v>1.1997489981613089E-3</v>
      </c>
      <c r="D614" s="103">
        <v>1.8458681098691145E-3</v>
      </c>
    </row>
    <row r="615" spans="1:4" x14ac:dyDescent="0.25">
      <c r="A615" s="86">
        <v>13</v>
      </c>
      <c r="B615" s="86">
        <v>231</v>
      </c>
      <c r="C615" s="103">
        <v>1.1961830615054088E-3</v>
      </c>
      <c r="D615" s="103">
        <v>1.7697498372971924E-3</v>
      </c>
    </row>
    <row r="616" spans="1:4" x14ac:dyDescent="0.25">
      <c r="A616" s="86">
        <v>13</v>
      </c>
      <c r="B616" s="86">
        <v>233</v>
      </c>
      <c r="C616" s="103">
        <v>3.3073063661037128E-3</v>
      </c>
      <c r="D616" s="103">
        <v>4.0247536622403891E-3</v>
      </c>
    </row>
    <row r="617" spans="1:4" x14ac:dyDescent="0.25">
      <c r="A617" s="86">
        <v>13</v>
      </c>
      <c r="B617" s="86">
        <v>235</v>
      </c>
      <c r="C617" s="103">
        <v>8.6582403888983076E-4</v>
      </c>
      <c r="D617" s="103">
        <v>1.0561410319354213E-3</v>
      </c>
    </row>
    <row r="618" spans="1:4" x14ac:dyDescent="0.25">
      <c r="A618" s="86">
        <v>13</v>
      </c>
      <c r="B618" s="86">
        <v>237</v>
      </c>
      <c r="C618" s="103">
        <v>1.8503065143478249E-3</v>
      </c>
      <c r="D618" s="103">
        <v>2.0742229275848814E-3</v>
      </c>
    </row>
    <row r="619" spans="1:4" x14ac:dyDescent="0.25">
      <c r="A619" s="86">
        <v>13</v>
      </c>
      <c r="B619" s="86">
        <v>239</v>
      </c>
      <c r="C619" s="103">
        <v>2.7023087892715745E-4</v>
      </c>
      <c r="D619" s="103">
        <v>2.1503412001568035E-4</v>
      </c>
    </row>
    <row r="620" spans="1:4" x14ac:dyDescent="0.25">
      <c r="A620" s="86">
        <v>13</v>
      </c>
      <c r="B620" s="86">
        <v>241</v>
      </c>
      <c r="C620" s="103">
        <v>1.3105600861808028E-3</v>
      </c>
      <c r="D620" s="103">
        <v>1.6079985080818576E-3</v>
      </c>
    </row>
    <row r="621" spans="1:4" x14ac:dyDescent="0.25">
      <c r="A621" s="86">
        <v>13</v>
      </c>
      <c r="B621" s="86">
        <v>243</v>
      </c>
      <c r="C621" s="103">
        <v>8.9222328926107835E-4</v>
      </c>
      <c r="D621" s="103">
        <v>6.479567952684882E-4</v>
      </c>
    </row>
    <row r="622" spans="1:4" x14ac:dyDescent="0.25">
      <c r="A622" s="86">
        <v>13</v>
      </c>
      <c r="B622" s="86">
        <v>245</v>
      </c>
      <c r="C622" s="103">
        <v>1.8515643646727992E-2</v>
      </c>
      <c r="D622" s="103">
        <v>1.921986382441037E-2</v>
      </c>
    </row>
    <row r="623" spans="1:4" x14ac:dyDescent="0.25">
      <c r="A623" s="86">
        <v>13</v>
      </c>
      <c r="B623" s="86">
        <v>247</v>
      </c>
      <c r="C623" s="103">
        <v>9.8963654516978517E-3</v>
      </c>
      <c r="D623" s="103">
        <v>8.6108795846987045E-3</v>
      </c>
    </row>
    <row r="624" spans="1:4" x14ac:dyDescent="0.25">
      <c r="A624" s="86">
        <v>13</v>
      </c>
      <c r="B624" s="86">
        <v>249</v>
      </c>
      <c r="C624" s="103">
        <v>4.4939672867769513E-4</v>
      </c>
      <c r="D624" s="103">
        <v>4.9762320693894177E-4</v>
      </c>
    </row>
    <row r="625" spans="1:4" x14ac:dyDescent="0.25">
      <c r="A625" s="86">
        <v>13</v>
      </c>
      <c r="B625" s="86">
        <v>251</v>
      </c>
      <c r="C625" s="103">
        <v>1.0894429899604104E-3</v>
      </c>
      <c r="D625" s="103">
        <v>1.3320697700086395E-3</v>
      </c>
    </row>
    <row r="626" spans="1:4" x14ac:dyDescent="0.25">
      <c r="A626" s="86">
        <v>13</v>
      </c>
      <c r="B626" s="86">
        <v>253</v>
      </c>
      <c r="C626" s="103">
        <v>6.3338891275573051E-4</v>
      </c>
      <c r="D626" s="103">
        <v>7.8687264271224625E-4</v>
      </c>
    </row>
    <row r="627" spans="1:4" x14ac:dyDescent="0.25">
      <c r="A627" s="86">
        <v>13</v>
      </c>
      <c r="B627" s="86">
        <v>255</v>
      </c>
      <c r="C627" s="103">
        <v>6.2388169115787963E-3</v>
      </c>
      <c r="D627" s="103">
        <v>6.289272271255076E-3</v>
      </c>
    </row>
    <row r="628" spans="1:4" x14ac:dyDescent="0.25">
      <c r="A628" s="86">
        <v>13</v>
      </c>
      <c r="B628" s="86">
        <v>257</v>
      </c>
      <c r="C628" s="103">
        <v>2.2345801806566488E-3</v>
      </c>
      <c r="D628" s="103">
        <v>2.4738438585874731E-3</v>
      </c>
    </row>
    <row r="629" spans="1:4" x14ac:dyDescent="0.25">
      <c r="A629" s="86">
        <v>13</v>
      </c>
      <c r="B629" s="86">
        <v>259</v>
      </c>
      <c r="C629" s="103">
        <v>8.861046220713355E-4</v>
      </c>
      <c r="D629" s="103">
        <v>6.1275209420397409E-4</v>
      </c>
    </row>
    <row r="630" spans="1:4" x14ac:dyDescent="0.25">
      <c r="A630" s="86">
        <v>13</v>
      </c>
      <c r="B630" s="86">
        <v>261</v>
      </c>
      <c r="C630" s="103">
        <v>2.7327745136053344E-3</v>
      </c>
      <c r="D630" s="103">
        <v>2.835405653304104E-3</v>
      </c>
    </row>
    <row r="631" spans="1:4" x14ac:dyDescent="0.25">
      <c r="A631" s="86">
        <v>13</v>
      </c>
      <c r="B631" s="86">
        <v>263</v>
      </c>
      <c r="C631" s="103">
        <v>8.2899122547240502E-4</v>
      </c>
      <c r="D631" s="103">
        <v>5.9847991809673868E-4</v>
      </c>
    </row>
    <row r="632" spans="1:4" x14ac:dyDescent="0.25">
      <c r="A632" s="86">
        <v>13</v>
      </c>
      <c r="B632" s="86">
        <v>265</v>
      </c>
      <c r="C632" s="103">
        <v>1.0890100064667402E-3</v>
      </c>
      <c r="D632" s="103">
        <v>1.5318802355099352E-4</v>
      </c>
    </row>
    <row r="633" spans="1:4" x14ac:dyDescent="0.25">
      <c r="A633" s="86">
        <v>13</v>
      </c>
      <c r="B633" s="86">
        <v>267</v>
      </c>
      <c r="C633" s="103">
        <v>1.5297682074281716E-3</v>
      </c>
      <c r="D633" s="103">
        <v>2.4262699382300219E-3</v>
      </c>
    </row>
    <row r="634" spans="1:4" x14ac:dyDescent="0.25">
      <c r="A634" s="86">
        <v>13</v>
      </c>
      <c r="B634" s="86">
        <v>269</v>
      </c>
      <c r="C634" s="103">
        <v>1.0105401777224753E-3</v>
      </c>
      <c r="D634" s="103">
        <v>7.6308568253352063E-4</v>
      </c>
    </row>
    <row r="635" spans="1:4" x14ac:dyDescent="0.25">
      <c r="A635" s="86">
        <v>13</v>
      </c>
      <c r="B635" s="86">
        <v>271</v>
      </c>
      <c r="C635" s="103">
        <v>1.2391395508873164E-3</v>
      </c>
      <c r="D635" s="103">
        <v>1.5223654514384451E-3</v>
      </c>
    </row>
    <row r="636" spans="1:4" x14ac:dyDescent="0.25">
      <c r="A636" s="86">
        <v>13</v>
      </c>
      <c r="B636" s="86">
        <v>273</v>
      </c>
      <c r="C636" s="103">
        <v>1.0815866979034167E-3</v>
      </c>
      <c r="D636" s="103">
        <v>8.1731995174101515E-4</v>
      </c>
    </row>
    <row r="637" spans="1:4" x14ac:dyDescent="0.25">
      <c r="A637" s="86">
        <v>13</v>
      </c>
      <c r="B637" s="86">
        <v>275</v>
      </c>
      <c r="C637" s="103">
        <v>3.8358441294473913E-3</v>
      </c>
      <c r="D637" s="103">
        <v>4.215049343670195E-3</v>
      </c>
    </row>
    <row r="638" spans="1:4" x14ac:dyDescent="0.25">
      <c r="A638" s="86">
        <v>13</v>
      </c>
      <c r="B638" s="86">
        <v>277</v>
      </c>
      <c r="C638" s="103">
        <v>6.0045326430877661E-3</v>
      </c>
      <c r="D638" s="103">
        <v>3.8534875489535641E-3</v>
      </c>
    </row>
    <row r="639" spans="1:4" x14ac:dyDescent="0.25">
      <c r="A639" s="86">
        <v>13</v>
      </c>
      <c r="B639" s="86">
        <v>279</v>
      </c>
      <c r="C639" s="103">
        <v>2.1260242881952478E-3</v>
      </c>
      <c r="D639" s="103">
        <v>2.5594769152308856E-3</v>
      </c>
    </row>
    <row r="640" spans="1:4" x14ac:dyDescent="0.25">
      <c r="A640" s="86">
        <v>13</v>
      </c>
      <c r="B640" s="86">
        <v>281</v>
      </c>
      <c r="C640" s="103">
        <v>9.4510886456370411E-4</v>
      </c>
      <c r="D640" s="103">
        <v>1.1322593045073434E-3</v>
      </c>
    </row>
    <row r="641" spans="1:4" x14ac:dyDescent="0.25">
      <c r="A641" s="86">
        <v>13</v>
      </c>
      <c r="B641" s="86">
        <v>283</v>
      </c>
      <c r="C641" s="103">
        <v>1.652676096975011E-3</v>
      </c>
      <c r="D641" s="103">
        <v>6.479567952684882E-4</v>
      </c>
    </row>
    <row r="642" spans="1:4" x14ac:dyDescent="0.25">
      <c r="A642" s="86">
        <v>13</v>
      </c>
      <c r="B642" s="86">
        <v>285</v>
      </c>
      <c r="C642" s="103">
        <v>8.9216631499123046E-3</v>
      </c>
      <c r="D642" s="103">
        <v>6.6698636341146877E-3</v>
      </c>
    </row>
    <row r="643" spans="1:4" x14ac:dyDescent="0.25">
      <c r="A643" s="86">
        <v>13</v>
      </c>
      <c r="B643" s="86">
        <v>287</v>
      </c>
      <c r="C643" s="103">
        <v>2.9521128223883438E-3</v>
      </c>
      <c r="D643" s="103">
        <v>7.5261942005488123E-4</v>
      </c>
    </row>
    <row r="644" spans="1:4" x14ac:dyDescent="0.25">
      <c r="A644" s="86">
        <v>13</v>
      </c>
      <c r="B644" s="86">
        <v>289</v>
      </c>
      <c r="C644" s="103">
        <v>2.6772641575049821E-3</v>
      </c>
      <c r="D644" s="103">
        <v>7.7735785864075605E-4</v>
      </c>
    </row>
    <row r="645" spans="1:4" x14ac:dyDescent="0.25">
      <c r="A645" s="86">
        <v>13</v>
      </c>
      <c r="B645" s="86">
        <v>291</v>
      </c>
      <c r="C645" s="103">
        <v>1.574571418401351E-3</v>
      </c>
      <c r="D645" s="103">
        <v>2.2740333930861773E-3</v>
      </c>
    </row>
    <row r="646" spans="1:4" x14ac:dyDescent="0.25">
      <c r="A646" s="86">
        <v>13</v>
      </c>
      <c r="B646" s="86">
        <v>293</v>
      </c>
      <c r="C646" s="103">
        <v>1.8300383082087133E-3</v>
      </c>
      <c r="D646" s="103">
        <v>2.492873426730454E-3</v>
      </c>
    </row>
    <row r="647" spans="1:4" x14ac:dyDescent="0.25">
      <c r="A647" s="86">
        <v>13</v>
      </c>
      <c r="B647" s="86">
        <v>295</v>
      </c>
      <c r="C647" s="103">
        <v>4.3952192030146863E-3</v>
      </c>
      <c r="D647" s="103">
        <v>6.6032601456142556E-3</v>
      </c>
    </row>
    <row r="648" spans="1:4" x14ac:dyDescent="0.25">
      <c r="A648" s="86">
        <v>13</v>
      </c>
      <c r="B648" s="86">
        <v>297</v>
      </c>
      <c r="C648" s="103">
        <v>6.8625998433765063E-3</v>
      </c>
      <c r="D648" s="103">
        <v>8.8677787546289424E-3</v>
      </c>
    </row>
    <row r="649" spans="1:4" x14ac:dyDescent="0.25">
      <c r="A649" s="86">
        <v>13</v>
      </c>
      <c r="B649" s="86">
        <v>299</v>
      </c>
      <c r="C649" s="103">
        <v>3.3733632217667845E-3</v>
      </c>
      <c r="D649" s="103">
        <v>3.3872631294505403E-3</v>
      </c>
    </row>
    <row r="650" spans="1:4" x14ac:dyDescent="0.25">
      <c r="A650" s="86">
        <v>13</v>
      </c>
      <c r="B650" s="86">
        <v>301</v>
      </c>
      <c r="C650" s="103">
        <v>1.7233285139030641E-3</v>
      </c>
      <c r="D650" s="103">
        <v>4.9952616375323984E-4</v>
      </c>
    </row>
    <row r="651" spans="1:4" x14ac:dyDescent="0.25">
      <c r="A651" s="86">
        <v>13</v>
      </c>
      <c r="B651" s="86">
        <v>303</v>
      </c>
      <c r="C651" s="103">
        <v>1.8605673339411471E-3</v>
      </c>
      <c r="D651" s="103">
        <v>1.9410159505840175E-3</v>
      </c>
    </row>
    <row r="652" spans="1:4" x14ac:dyDescent="0.25">
      <c r="A652" s="86">
        <v>13</v>
      </c>
      <c r="B652" s="86">
        <v>305</v>
      </c>
      <c r="C652" s="103">
        <v>2.4628290180602895E-3</v>
      </c>
      <c r="D652" s="103">
        <v>2.835405653304104E-3</v>
      </c>
    </row>
    <row r="653" spans="1:4" x14ac:dyDescent="0.25">
      <c r="A653" s="86">
        <v>13</v>
      </c>
      <c r="B653" s="86">
        <v>307</v>
      </c>
      <c r="C653" s="103">
        <v>3.7273729860035656E-4</v>
      </c>
      <c r="D653" s="103">
        <v>2.4833586426589634E-4</v>
      </c>
    </row>
    <row r="654" spans="1:4" x14ac:dyDescent="0.25">
      <c r="A654" s="86">
        <v>13</v>
      </c>
      <c r="B654" s="86">
        <v>309</v>
      </c>
      <c r="C654" s="103">
        <v>6.7226382738867383E-4</v>
      </c>
      <c r="D654" s="103">
        <v>7.5166794164773225E-4</v>
      </c>
    </row>
    <row r="655" spans="1:4" x14ac:dyDescent="0.25">
      <c r="A655" s="86">
        <v>13</v>
      </c>
      <c r="B655" s="86">
        <v>311</v>
      </c>
      <c r="C655" s="103">
        <v>1.804374070329908E-3</v>
      </c>
      <c r="D655" s="103">
        <v>2.8544352214470844E-3</v>
      </c>
    </row>
    <row r="656" spans="1:4" x14ac:dyDescent="0.25">
      <c r="A656" s="86">
        <v>13</v>
      </c>
      <c r="B656" s="86">
        <v>313</v>
      </c>
      <c r="C656" s="103">
        <v>1.0939924341428743E-2</v>
      </c>
      <c r="D656" s="103">
        <v>9.8953754343498925E-3</v>
      </c>
    </row>
    <row r="657" spans="1:4" x14ac:dyDescent="0.25">
      <c r="A657" s="86">
        <v>13</v>
      </c>
      <c r="B657" s="86">
        <v>315</v>
      </c>
      <c r="C657" s="103">
        <v>5.9541399256977717E-4</v>
      </c>
      <c r="D657" s="103">
        <v>8.4015543351259191E-4</v>
      </c>
    </row>
    <row r="658" spans="1:4" x14ac:dyDescent="0.25">
      <c r="A658" s="86">
        <v>13</v>
      </c>
      <c r="B658" s="86">
        <v>317</v>
      </c>
      <c r="C658" s="103">
        <v>9.22355549671933E-4</v>
      </c>
      <c r="D658" s="103">
        <v>9.3815770944894177E-4</v>
      </c>
    </row>
    <row r="659" spans="1:4" x14ac:dyDescent="0.25">
      <c r="A659" s="86">
        <v>13</v>
      </c>
      <c r="B659" s="86">
        <v>319</v>
      </c>
      <c r="C659" s="103">
        <v>1.2038372062223314E-3</v>
      </c>
      <c r="D659" s="103">
        <v>8.6013648006272141E-4</v>
      </c>
    </row>
    <row r="660" spans="1:4" x14ac:dyDescent="0.25">
      <c r="A660" s="86">
        <v>13</v>
      </c>
      <c r="B660" s="86">
        <v>321</v>
      </c>
      <c r="C660" s="103">
        <v>1.9591016796017837E-3</v>
      </c>
      <c r="D660" s="103">
        <v>1.9315011665125273E-3</v>
      </c>
    </row>
    <row r="661" spans="1:4" x14ac:dyDescent="0.25">
      <c r="A661" s="86">
        <v>15</v>
      </c>
      <c r="B661" s="86">
        <v>1</v>
      </c>
      <c r="C661" s="103">
        <v>0.17355997524959288</v>
      </c>
      <c r="D661" s="103">
        <v>0.14212480809632966</v>
      </c>
    </row>
    <row r="662" spans="1:4" x14ac:dyDescent="0.25">
      <c r="A662" s="86">
        <v>15</v>
      </c>
      <c r="B662" s="86">
        <v>3</v>
      </c>
      <c r="C662" s="103">
        <v>0.63885881671358369</v>
      </c>
      <c r="D662" s="103">
        <v>0.68951639571486667</v>
      </c>
    </row>
    <row r="663" spans="1:4" x14ac:dyDescent="0.25">
      <c r="A663" s="86">
        <v>15</v>
      </c>
      <c r="B663" s="86">
        <v>5</v>
      </c>
      <c r="C663" s="103">
        <v>1.5658053714214417E-5</v>
      </c>
      <c r="D663" s="103">
        <v>6.0508581664774015E-5</v>
      </c>
    </row>
    <row r="664" spans="1:4" x14ac:dyDescent="0.25">
      <c r="A664" s="86">
        <v>15</v>
      </c>
      <c r="B664" s="86">
        <v>7</v>
      </c>
      <c r="C664" s="103">
        <v>6.15373793254817E-2</v>
      </c>
      <c r="D664" s="103">
        <v>5.0799065072054464E-2</v>
      </c>
    </row>
    <row r="665" spans="1:4" x14ac:dyDescent="0.25">
      <c r="A665" s="86">
        <v>15</v>
      </c>
      <c r="B665" s="86">
        <v>9</v>
      </c>
      <c r="C665" s="103">
        <v>0.12602817065762739</v>
      </c>
      <c r="D665" s="103">
        <v>0.11749922253508442</v>
      </c>
    </row>
    <row r="666" spans="1:4" x14ac:dyDescent="0.25">
      <c r="A666" s="86">
        <v>16</v>
      </c>
      <c r="B666" s="86">
        <v>1</v>
      </c>
      <c r="C666" s="103">
        <v>0.24286427018807899</v>
      </c>
      <c r="D666" s="103">
        <v>0.26798759600269928</v>
      </c>
    </row>
    <row r="667" spans="1:4" x14ac:dyDescent="0.25">
      <c r="A667" s="86">
        <v>16</v>
      </c>
      <c r="B667" s="86">
        <v>3</v>
      </c>
      <c r="C667" s="103">
        <v>2.4086453498113761E-3</v>
      </c>
      <c r="D667" s="103">
        <v>2.417030983137352E-3</v>
      </c>
    </row>
    <row r="668" spans="1:4" x14ac:dyDescent="0.25">
      <c r="A668" s="86">
        <v>16</v>
      </c>
      <c r="B668" s="86">
        <v>5</v>
      </c>
      <c r="C668" s="103">
        <v>5.1897529846539434E-2</v>
      </c>
      <c r="D668" s="103">
        <v>4.954056412246062E-2</v>
      </c>
    </row>
    <row r="669" spans="1:4" x14ac:dyDescent="0.25">
      <c r="A669" s="86">
        <v>16</v>
      </c>
      <c r="B669" s="86">
        <v>7</v>
      </c>
      <c r="C669" s="103">
        <v>2.692914181319271E-3</v>
      </c>
      <c r="D669" s="103">
        <v>3.4512688269857225E-3</v>
      </c>
    </row>
    <row r="670" spans="1:4" x14ac:dyDescent="0.25">
      <c r="A670" s="86">
        <v>16</v>
      </c>
      <c r="B670" s="86">
        <v>9</v>
      </c>
      <c r="C670" s="103">
        <v>3.7254877762321311E-3</v>
      </c>
      <c r="D670" s="103">
        <v>5.2683275802662844E-3</v>
      </c>
    </row>
    <row r="671" spans="1:4" x14ac:dyDescent="0.25">
      <c r="A671" s="86">
        <v>16</v>
      </c>
      <c r="B671" s="86">
        <v>11</v>
      </c>
      <c r="C671" s="103">
        <v>3.5180971787967488E-2</v>
      </c>
      <c r="D671" s="103">
        <v>2.6341637901331424E-2</v>
      </c>
    </row>
    <row r="672" spans="1:4" x14ac:dyDescent="0.25">
      <c r="A672" s="86">
        <v>16</v>
      </c>
      <c r="B672" s="86">
        <v>13</v>
      </c>
      <c r="C672" s="103">
        <v>1.085986049272975E-2</v>
      </c>
      <c r="D672" s="103">
        <v>1.3027968419747429E-2</v>
      </c>
    </row>
    <row r="673" spans="1:4" x14ac:dyDescent="0.25">
      <c r="A673" s="86">
        <v>16</v>
      </c>
      <c r="B673" s="86">
        <v>15</v>
      </c>
      <c r="C673" s="103">
        <v>4.643282093752114E-3</v>
      </c>
      <c r="D673" s="103">
        <v>4.3769402673361976E-3</v>
      </c>
    </row>
    <row r="674" spans="1:4" x14ac:dyDescent="0.25">
      <c r="A674" s="86">
        <v>16</v>
      </c>
      <c r="B674" s="86">
        <v>17</v>
      </c>
      <c r="C674" s="103">
        <v>2.0033402830065414E-2</v>
      </c>
      <c r="D674" s="103">
        <v>2.554167492818904E-2</v>
      </c>
    </row>
    <row r="675" spans="1:4" x14ac:dyDescent="0.25">
      <c r="A675" s="86">
        <v>16</v>
      </c>
      <c r="B675" s="86">
        <v>19</v>
      </c>
      <c r="C675" s="103">
        <v>6.4052363212315361E-2</v>
      </c>
      <c r="D675" s="103">
        <v>6.6282646346083413E-2</v>
      </c>
    </row>
    <row r="676" spans="1:4" x14ac:dyDescent="0.25">
      <c r="A676" s="86">
        <v>16</v>
      </c>
      <c r="B676" s="86">
        <v>21</v>
      </c>
      <c r="C676" s="103">
        <v>4.0276574520210382E-3</v>
      </c>
      <c r="D676" s="103">
        <v>6.8568254840775944E-3</v>
      </c>
    </row>
    <row r="677" spans="1:4" x14ac:dyDescent="0.25">
      <c r="A677" s="86">
        <v>16</v>
      </c>
      <c r="B677" s="86">
        <v>23</v>
      </c>
      <c r="C677" s="103">
        <v>2.1232357531938257E-3</v>
      </c>
      <c r="D677" s="103">
        <v>1.479931500313414E-3</v>
      </c>
    </row>
    <row r="678" spans="1:4" x14ac:dyDescent="0.25">
      <c r="A678" s="86">
        <v>16</v>
      </c>
      <c r="B678" s="86">
        <v>25</v>
      </c>
      <c r="C678" s="103">
        <v>7.915405625208105E-4</v>
      </c>
      <c r="D678" s="103">
        <v>6.3997037851390882E-4</v>
      </c>
    </row>
    <row r="679" spans="1:4" x14ac:dyDescent="0.25">
      <c r="A679" s="86">
        <v>16</v>
      </c>
      <c r="B679" s="86">
        <v>27</v>
      </c>
      <c r="C679" s="103">
        <v>0.11597392526934126</v>
      </c>
      <c r="D679" s="103">
        <v>0.12742267357910864</v>
      </c>
    </row>
    <row r="680" spans="1:4" x14ac:dyDescent="0.25">
      <c r="A680" s="86">
        <v>16</v>
      </c>
      <c r="B680" s="86">
        <v>29</v>
      </c>
      <c r="C680" s="103">
        <v>2.5381842947681758E-3</v>
      </c>
      <c r="D680" s="103">
        <v>4.0226709506588553E-3</v>
      </c>
    </row>
    <row r="681" spans="1:4" x14ac:dyDescent="0.25">
      <c r="A681" s="86">
        <v>16</v>
      </c>
      <c r="B681" s="86">
        <v>31</v>
      </c>
      <c r="C681" s="103">
        <v>2.5136938354759247E-2</v>
      </c>
      <c r="D681" s="103">
        <v>1.3599370543420562E-2</v>
      </c>
    </row>
    <row r="682" spans="1:4" x14ac:dyDescent="0.25">
      <c r="A682" s="86">
        <v>16</v>
      </c>
      <c r="B682" s="86">
        <v>33</v>
      </c>
      <c r="C682" s="103">
        <v>3.9076473225365541E-3</v>
      </c>
      <c r="D682" s="103">
        <v>4.8626320724583607E-4</v>
      </c>
    </row>
    <row r="683" spans="1:4" x14ac:dyDescent="0.25">
      <c r="A683" s="86">
        <v>16</v>
      </c>
      <c r="B683" s="86">
        <v>35</v>
      </c>
      <c r="C683" s="103">
        <v>2.3159284752010054E-3</v>
      </c>
      <c r="D683" s="103">
        <v>5.0054826033766441E-3</v>
      </c>
    </row>
    <row r="684" spans="1:4" x14ac:dyDescent="0.25">
      <c r="A684" s="86">
        <v>16</v>
      </c>
      <c r="B684" s="86">
        <v>37</v>
      </c>
      <c r="C684" s="103">
        <v>2.2369491189673067E-3</v>
      </c>
      <c r="D684" s="103">
        <v>2.4284590256108147E-3</v>
      </c>
    </row>
    <row r="685" spans="1:4" x14ac:dyDescent="0.25">
      <c r="A685" s="86">
        <v>16</v>
      </c>
      <c r="B685" s="86">
        <v>39</v>
      </c>
      <c r="C685" s="103">
        <v>4.0317067274298103E-2</v>
      </c>
      <c r="D685" s="103">
        <v>1.5656418188643838E-2</v>
      </c>
    </row>
    <row r="686" spans="1:4" x14ac:dyDescent="0.25">
      <c r="A686" s="86">
        <v>16</v>
      </c>
      <c r="B686" s="86">
        <v>41</v>
      </c>
      <c r="C686" s="103">
        <v>4.1534349902449122E-3</v>
      </c>
      <c r="D686" s="103">
        <v>7.8282090943219192E-3</v>
      </c>
    </row>
    <row r="687" spans="1:4" x14ac:dyDescent="0.25">
      <c r="A687" s="86">
        <v>16</v>
      </c>
      <c r="B687" s="86">
        <v>43</v>
      </c>
      <c r="C687" s="103">
        <v>8.8050474479456856E-3</v>
      </c>
      <c r="D687" s="103">
        <v>7.5425080324853537E-3</v>
      </c>
    </row>
    <row r="688" spans="1:4" x14ac:dyDescent="0.25">
      <c r="A688" s="86">
        <v>16</v>
      </c>
      <c r="B688" s="86">
        <v>45</v>
      </c>
      <c r="C688" s="103">
        <v>6.0240770330629622E-3</v>
      </c>
      <c r="D688" s="103">
        <v>1.0056677376647139E-2</v>
      </c>
    </row>
    <row r="689" spans="1:4" x14ac:dyDescent="0.25">
      <c r="A689" s="86">
        <v>16</v>
      </c>
      <c r="B689" s="86">
        <v>47</v>
      </c>
      <c r="C689" s="103">
        <v>1.7613702327320679E-2</v>
      </c>
      <c r="D689" s="103">
        <v>8.6281720674643066E-3</v>
      </c>
    </row>
    <row r="690" spans="1:4" x14ac:dyDescent="0.25">
      <c r="A690" s="86">
        <v>16</v>
      </c>
      <c r="B690" s="86">
        <v>49</v>
      </c>
      <c r="C690" s="103">
        <v>6.5253882392615871E-3</v>
      </c>
      <c r="D690" s="103">
        <v>9.4281350406066923E-3</v>
      </c>
    </row>
    <row r="691" spans="1:4" x14ac:dyDescent="0.25">
      <c r="A691" s="86">
        <v>16</v>
      </c>
      <c r="B691" s="86">
        <v>51</v>
      </c>
      <c r="C691" s="103">
        <v>1.3971351999249409E-2</v>
      </c>
      <c r="D691" s="103">
        <v>1.6799222435990104E-2</v>
      </c>
    </row>
    <row r="692" spans="1:4" x14ac:dyDescent="0.25">
      <c r="A692" s="86">
        <v>16</v>
      </c>
      <c r="B692" s="86">
        <v>53</v>
      </c>
      <c r="C692" s="103">
        <v>3.0251643809171395E-2</v>
      </c>
      <c r="D692" s="103">
        <v>1.3770791180522501E-2</v>
      </c>
    </row>
    <row r="693" spans="1:4" x14ac:dyDescent="0.25">
      <c r="A693" s="86">
        <v>16</v>
      </c>
      <c r="B693" s="86">
        <v>55</v>
      </c>
      <c r="C693" s="103">
        <v>9.5040601708299005E-2</v>
      </c>
      <c r="D693" s="103">
        <v>9.1995741911374385E-2</v>
      </c>
    </row>
    <row r="694" spans="1:4" x14ac:dyDescent="0.25">
      <c r="A694" s="86">
        <v>16</v>
      </c>
      <c r="B694" s="86">
        <v>57</v>
      </c>
      <c r="C694" s="103">
        <v>1.1608800577465314E-2</v>
      </c>
      <c r="D694" s="103">
        <v>2.2741804522190687E-2</v>
      </c>
    </row>
    <row r="695" spans="1:4" x14ac:dyDescent="0.25">
      <c r="A695" s="86">
        <v>16</v>
      </c>
      <c r="B695" s="86">
        <v>59</v>
      </c>
      <c r="C695" s="103">
        <v>2.8084858605980645E-3</v>
      </c>
      <c r="D695" s="103">
        <v>4.531218840727943E-3</v>
      </c>
    </row>
    <row r="696" spans="1:4" x14ac:dyDescent="0.25">
      <c r="A696" s="86">
        <v>16</v>
      </c>
      <c r="B696" s="86">
        <v>61</v>
      </c>
      <c r="C696" s="103">
        <v>1.7030055540577756E-3</v>
      </c>
      <c r="D696" s="103">
        <v>2.1884701336680988E-3</v>
      </c>
    </row>
    <row r="697" spans="1:4" x14ac:dyDescent="0.25">
      <c r="A697" s="86">
        <v>16</v>
      </c>
      <c r="B697" s="86">
        <v>63</v>
      </c>
      <c r="C697" s="103">
        <v>2.6764158901649644E-3</v>
      </c>
      <c r="D697" s="103">
        <v>3.0855714678349176E-3</v>
      </c>
    </row>
    <row r="698" spans="1:4" x14ac:dyDescent="0.25">
      <c r="A698" s="86">
        <v>16</v>
      </c>
      <c r="B698" s="86">
        <v>65</v>
      </c>
      <c r="C698" s="103">
        <v>1.6392456343145623E-2</v>
      </c>
      <c r="D698" s="103">
        <v>2.2456103460354121E-2</v>
      </c>
    </row>
    <row r="699" spans="1:4" x14ac:dyDescent="0.25">
      <c r="A699" s="86">
        <v>16</v>
      </c>
      <c r="B699" s="86">
        <v>67</v>
      </c>
      <c r="C699" s="103">
        <v>1.5445370553161027E-2</v>
      </c>
      <c r="D699" s="103">
        <v>1.1828023960033849E-2</v>
      </c>
    </row>
    <row r="700" spans="1:4" x14ac:dyDescent="0.25">
      <c r="A700" s="86">
        <v>16</v>
      </c>
      <c r="B700" s="86">
        <v>69</v>
      </c>
      <c r="C700" s="103">
        <v>2.1419907538188319E-2</v>
      </c>
      <c r="D700" s="103">
        <v>2.3027505584027254E-2</v>
      </c>
    </row>
    <row r="701" spans="1:4" x14ac:dyDescent="0.25">
      <c r="A701" s="86">
        <v>16</v>
      </c>
      <c r="B701" s="86">
        <v>71</v>
      </c>
      <c r="C701" s="103">
        <v>1.1989593419978562E-2</v>
      </c>
      <c r="D701" s="103">
        <v>2.5484534715821726E-3</v>
      </c>
    </row>
    <row r="702" spans="1:4" x14ac:dyDescent="0.25">
      <c r="A702" s="86">
        <v>16</v>
      </c>
      <c r="B702" s="86">
        <v>73</v>
      </c>
      <c r="C702" s="103">
        <v>4.0767832929425648E-3</v>
      </c>
      <c r="D702" s="103">
        <v>6.6854048469756544E-3</v>
      </c>
    </row>
    <row r="703" spans="1:4" x14ac:dyDescent="0.25">
      <c r="A703" s="86">
        <v>16</v>
      </c>
      <c r="B703" s="86">
        <v>75</v>
      </c>
      <c r="C703" s="103">
        <v>2.0580956118938201E-2</v>
      </c>
      <c r="D703" s="103">
        <v>1.3427949906318622E-2</v>
      </c>
    </row>
    <row r="704" spans="1:4" x14ac:dyDescent="0.25">
      <c r="A704" s="86">
        <v>16</v>
      </c>
      <c r="B704" s="86">
        <v>77</v>
      </c>
      <c r="C704" s="103">
        <v>1.2504189732764397E-2</v>
      </c>
      <c r="D704" s="103">
        <v>4.3997963522831229E-3</v>
      </c>
    </row>
    <row r="705" spans="1:4" x14ac:dyDescent="0.25">
      <c r="A705" s="86">
        <v>16</v>
      </c>
      <c r="B705" s="86">
        <v>79</v>
      </c>
      <c r="C705" s="103">
        <v>1.3742246467287063E-2</v>
      </c>
      <c r="D705" s="103">
        <v>7.3139471830161E-3</v>
      </c>
    </row>
    <row r="706" spans="1:4" x14ac:dyDescent="0.25">
      <c r="A706" s="86">
        <v>16</v>
      </c>
      <c r="B706" s="86">
        <v>81</v>
      </c>
      <c r="C706" s="103">
        <v>4.0634095118210218E-3</v>
      </c>
      <c r="D706" s="103">
        <v>6.6854048469756544E-3</v>
      </c>
    </row>
    <row r="707" spans="1:4" x14ac:dyDescent="0.25">
      <c r="A707" s="86">
        <v>16</v>
      </c>
      <c r="B707" s="86">
        <v>83</v>
      </c>
      <c r="C707" s="103">
        <v>3.1494229357926451E-2</v>
      </c>
      <c r="D707" s="103">
        <v>4.9140582635889427E-2</v>
      </c>
    </row>
    <row r="708" spans="1:4" x14ac:dyDescent="0.25">
      <c r="A708" s="86">
        <v>16</v>
      </c>
      <c r="B708" s="86">
        <v>85</v>
      </c>
      <c r="C708" s="103">
        <v>5.5140587427806647E-3</v>
      </c>
      <c r="D708" s="103">
        <v>6.2854233604044615E-3</v>
      </c>
    </row>
    <row r="709" spans="1:4" x14ac:dyDescent="0.25">
      <c r="A709" s="86">
        <v>16</v>
      </c>
      <c r="B709" s="86">
        <v>87</v>
      </c>
      <c r="C709" s="103">
        <v>3.8670418478058467E-3</v>
      </c>
      <c r="D709" s="103">
        <v>5.7711614490986414E-3</v>
      </c>
    </row>
    <row r="710" spans="1:4" x14ac:dyDescent="0.25">
      <c r="A710" s="86">
        <v>17</v>
      </c>
      <c r="B710" s="86">
        <v>1</v>
      </c>
      <c r="C710" s="103">
        <v>4.5963569819393894E-3</v>
      </c>
      <c r="D710" s="103">
        <v>5.1564624780889648E-3</v>
      </c>
    </row>
    <row r="711" spans="1:4" x14ac:dyDescent="0.25">
      <c r="A711" s="86">
        <v>17</v>
      </c>
      <c r="B711" s="86">
        <v>3</v>
      </c>
      <c r="C711" s="103">
        <v>8.4567389008583503E-4</v>
      </c>
      <c r="D711" s="103">
        <v>4.7477185011672785E-4</v>
      </c>
    </row>
    <row r="712" spans="1:4" x14ac:dyDescent="0.25">
      <c r="A712" s="86">
        <v>17</v>
      </c>
      <c r="B712" s="86">
        <v>5</v>
      </c>
      <c r="C712" s="103">
        <v>2.5234852992991373E-3</v>
      </c>
      <c r="D712" s="103">
        <v>1.3048365417115367E-3</v>
      </c>
    </row>
    <row r="713" spans="1:4" x14ac:dyDescent="0.25">
      <c r="A713" s="86">
        <v>17</v>
      </c>
      <c r="B713" s="86">
        <v>7</v>
      </c>
      <c r="C713" s="103">
        <v>5.38607751624427E-3</v>
      </c>
      <c r="D713" s="103">
        <v>4.2053466856365792E-3</v>
      </c>
    </row>
    <row r="714" spans="1:4" x14ac:dyDescent="0.25">
      <c r="A714" s="86">
        <v>17</v>
      </c>
      <c r="B714" s="86">
        <v>9</v>
      </c>
      <c r="C714" s="103">
        <v>4.3520989155935091E-4</v>
      </c>
      <c r="D714" s="103">
        <v>5.1564624780889648E-4</v>
      </c>
    </row>
    <row r="715" spans="1:4" x14ac:dyDescent="0.25">
      <c r="A715" s="86">
        <v>17</v>
      </c>
      <c r="B715" s="86">
        <v>11</v>
      </c>
      <c r="C715" s="103">
        <v>4.9245038975907754E-3</v>
      </c>
      <c r="D715" s="103">
        <v>2.5939521612337781E-3</v>
      </c>
    </row>
    <row r="716" spans="1:4" x14ac:dyDescent="0.25">
      <c r="A716" s="86">
        <v>17</v>
      </c>
      <c r="B716" s="86">
        <v>13</v>
      </c>
      <c r="C716" s="103">
        <v>2.5888090078680297E-4</v>
      </c>
      <c r="D716" s="103">
        <v>3.7966027087148934E-4</v>
      </c>
    </row>
    <row r="717" spans="1:4" x14ac:dyDescent="0.25">
      <c r="A717" s="86">
        <v>17</v>
      </c>
      <c r="B717" s="86">
        <v>15</v>
      </c>
      <c r="C717" s="103">
        <v>1.0382152530763989E-3</v>
      </c>
      <c r="D717" s="103">
        <v>1.1240459365346371E-3</v>
      </c>
    </row>
    <row r="718" spans="1:4" x14ac:dyDescent="0.25">
      <c r="A718" s="86">
        <v>17</v>
      </c>
      <c r="B718" s="86">
        <v>17</v>
      </c>
      <c r="C718" s="103">
        <v>8.1976985474752062E-4</v>
      </c>
      <c r="D718" s="103">
        <v>9.668367146416809E-4</v>
      </c>
    </row>
    <row r="719" spans="1:4" x14ac:dyDescent="0.25">
      <c r="A719" s="86">
        <v>17</v>
      </c>
      <c r="B719" s="86">
        <v>19</v>
      </c>
      <c r="C719" s="103">
        <v>1.777196275142311E-2</v>
      </c>
      <c r="D719" s="103">
        <v>1.6506968298760406E-2</v>
      </c>
    </row>
    <row r="720" spans="1:4" x14ac:dyDescent="0.25">
      <c r="A720" s="86">
        <v>17</v>
      </c>
      <c r="B720" s="86">
        <v>21</v>
      </c>
      <c r="C720" s="103">
        <v>2.507469819706554E-3</v>
      </c>
      <c r="D720" s="103">
        <v>2.5703707779498345E-3</v>
      </c>
    </row>
    <row r="721" spans="1:4" x14ac:dyDescent="0.25">
      <c r="A721" s="86">
        <v>17</v>
      </c>
      <c r="B721" s="86">
        <v>23</v>
      </c>
      <c r="C721" s="103">
        <v>3.3148214316818113E-3</v>
      </c>
      <c r="D721" s="103">
        <v>1.2262319307650587E-3</v>
      </c>
    </row>
    <row r="722" spans="1:4" x14ac:dyDescent="0.25">
      <c r="A722" s="86">
        <v>17</v>
      </c>
      <c r="B722" s="86">
        <v>25</v>
      </c>
      <c r="C722" s="103">
        <v>1.017540593418394E-3</v>
      </c>
      <c r="D722" s="103">
        <v>1.0454413255881589E-3</v>
      </c>
    </row>
    <row r="723" spans="1:4" x14ac:dyDescent="0.25">
      <c r="A723" s="86">
        <v>17</v>
      </c>
      <c r="B723" s="86">
        <v>27</v>
      </c>
      <c r="C723" s="103">
        <v>3.3829207667106574E-3</v>
      </c>
      <c r="D723" s="103">
        <v>2.9633938326822252E-3</v>
      </c>
    </row>
    <row r="724" spans="1:4" x14ac:dyDescent="0.25">
      <c r="A724" s="86">
        <v>17</v>
      </c>
      <c r="B724" s="86">
        <v>29</v>
      </c>
      <c r="C724" s="103">
        <v>4.6895479109576111E-3</v>
      </c>
      <c r="D724" s="103">
        <v>3.9931142360810886E-3</v>
      </c>
    </row>
    <row r="725" spans="1:4" x14ac:dyDescent="0.25">
      <c r="A725" s="86">
        <v>17</v>
      </c>
      <c r="B725" s="86">
        <v>31</v>
      </c>
      <c r="C725" s="103">
        <v>0.32354062285015606</v>
      </c>
      <c r="D725" s="103">
        <v>0.40638583859329186</v>
      </c>
    </row>
    <row r="726" spans="1:4" x14ac:dyDescent="0.25">
      <c r="A726" s="86">
        <v>17</v>
      </c>
      <c r="B726" s="86">
        <v>33</v>
      </c>
      <c r="C726" s="103">
        <v>1.1683304286248413E-3</v>
      </c>
      <c r="D726" s="103">
        <v>1.4777666857937887E-3</v>
      </c>
    </row>
    <row r="727" spans="1:4" x14ac:dyDescent="0.25">
      <c r="A727" s="86">
        <v>17</v>
      </c>
      <c r="B727" s="86">
        <v>35</v>
      </c>
      <c r="C727" s="103">
        <v>3.0527720798475527E-3</v>
      </c>
      <c r="D727" s="103">
        <v>8.4892979822196368E-4</v>
      </c>
    </row>
    <row r="728" spans="1:4" x14ac:dyDescent="0.25">
      <c r="A728" s="86">
        <v>17</v>
      </c>
      <c r="B728" s="86">
        <v>37</v>
      </c>
      <c r="C728" s="103">
        <v>7.1600572826829396E-3</v>
      </c>
      <c r="D728" s="103">
        <v>8.1748795384337242E-3</v>
      </c>
    </row>
    <row r="729" spans="1:4" x14ac:dyDescent="0.25">
      <c r="A729" s="86">
        <v>17</v>
      </c>
      <c r="B729" s="86">
        <v>39</v>
      </c>
      <c r="C729" s="103">
        <v>1.7586485446923511E-3</v>
      </c>
      <c r="D729" s="103">
        <v>1.2419528529543542E-3</v>
      </c>
    </row>
    <row r="730" spans="1:4" x14ac:dyDescent="0.25">
      <c r="A730" s="86">
        <v>17</v>
      </c>
      <c r="B730" s="86">
        <v>41</v>
      </c>
      <c r="C730" s="103">
        <v>2.4537343047446704E-3</v>
      </c>
      <c r="D730" s="103">
        <v>1.5327899134563233E-3</v>
      </c>
    </row>
    <row r="731" spans="1:4" x14ac:dyDescent="0.25">
      <c r="A731" s="86">
        <v>17</v>
      </c>
      <c r="B731" s="86">
        <v>43</v>
      </c>
      <c r="C731" s="103">
        <v>7.5773333823025951E-2</v>
      </c>
      <c r="D731" s="103">
        <v>7.2866474347385218E-2</v>
      </c>
    </row>
    <row r="732" spans="1:4" x14ac:dyDescent="0.25">
      <c r="A732" s="86">
        <v>17</v>
      </c>
      <c r="B732" s="86">
        <v>45</v>
      </c>
      <c r="C732" s="103">
        <v>1.2485429165382379E-3</v>
      </c>
      <c r="D732" s="103">
        <v>1.3677202304687192E-3</v>
      </c>
    </row>
    <row r="733" spans="1:4" x14ac:dyDescent="0.25">
      <c r="A733" s="86">
        <v>17</v>
      </c>
      <c r="B733" s="86">
        <v>47</v>
      </c>
      <c r="C733" s="103">
        <v>5.0846921100012557E-4</v>
      </c>
      <c r="D733" s="103">
        <v>5.0228346394799522E-4</v>
      </c>
    </row>
    <row r="734" spans="1:4" x14ac:dyDescent="0.25">
      <c r="A734" s="86">
        <v>17</v>
      </c>
      <c r="B734" s="86">
        <v>49</v>
      </c>
      <c r="C734" s="103">
        <v>6.8191531499745949E-3</v>
      </c>
      <c r="D734" s="103">
        <v>2.6882776943695516E-3</v>
      </c>
    </row>
    <row r="735" spans="1:4" x14ac:dyDescent="0.25">
      <c r="A735" s="86">
        <v>17</v>
      </c>
      <c r="B735" s="86">
        <v>51</v>
      </c>
      <c r="C735" s="103">
        <v>4.0680610761140929E-3</v>
      </c>
      <c r="D735" s="103">
        <v>1.6821386742546319E-3</v>
      </c>
    </row>
    <row r="736" spans="1:4" x14ac:dyDescent="0.25">
      <c r="A736" s="86">
        <v>17</v>
      </c>
      <c r="B736" s="86">
        <v>53</v>
      </c>
      <c r="C736" s="103">
        <v>1.255907236771556E-3</v>
      </c>
      <c r="D736" s="103">
        <v>1.0375808644935113E-3</v>
      </c>
    </row>
    <row r="737" spans="1:4" x14ac:dyDescent="0.25">
      <c r="A737" s="86">
        <v>17</v>
      </c>
      <c r="B737" s="86">
        <v>55</v>
      </c>
      <c r="C737" s="103">
        <v>4.5582549237276624E-3</v>
      </c>
      <c r="D737" s="103">
        <v>3.0419984436287034E-3</v>
      </c>
    </row>
    <row r="738" spans="1:4" x14ac:dyDescent="0.25">
      <c r="A738" s="86">
        <v>17</v>
      </c>
      <c r="B738" s="86">
        <v>57</v>
      </c>
      <c r="C738" s="103">
        <v>2.317065248919717E-3</v>
      </c>
      <c r="D738" s="103">
        <v>2.7354404609374384E-3</v>
      </c>
    </row>
    <row r="739" spans="1:4" x14ac:dyDescent="0.25">
      <c r="A739" s="86">
        <v>17</v>
      </c>
      <c r="B739" s="86">
        <v>59</v>
      </c>
      <c r="C739" s="103">
        <v>4.0568322762232312E-4</v>
      </c>
      <c r="D739" s="103">
        <v>3.9695328527971453E-4</v>
      </c>
    </row>
    <row r="740" spans="1:4" x14ac:dyDescent="0.25">
      <c r="A740" s="86">
        <v>17</v>
      </c>
      <c r="B740" s="86">
        <v>61</v>
      </c>
      <c r="C740" s="103">
        <v>8.6999111416933086E-4</v>
      </c>
      <c r="D740" s="103">
        <v>1.0297204033988634E-3</v>
      </c>
    </row>
    <row r="741" spans="1:4" x14ac:dyDescent="0.25">
      <c r="A741" s="86">
        <v>17</v>
      </c>
      <c r="B741" s="86">
        <v>63</v>
      </c>
      <c r="C741" s="103">
        <v>7.0394666641321697E-3</v>
      </c>
      <c r="D741" s="103">
        <v>4.0088351582703843E-3</v>
      </c>
    </row>
    <row r="742" spans="1:4" x14ac:dyDescent="0.25">
      <c r="A742" s="86">
        <v>17</v>
      </c>
      <c r="B742" s="86">
        <v>65</v>
      </c>
      <c r="C742" s="103">
        <v>5.5950599877008342E-4</v>
      </c>
      <c r="D742" s="103">
        <v>6.4062757921379667E-4</v>
      </c>
    </row>
    <row r="743" spans="1:4" x14ac:dyDescent="0.25">
      <c r="A743" s="86">
        <v>17</v>
      </c>
      <c r="B743" s="86">
        <v>67</v>
      </c>
      <c r="C743" s="103">
        <v>1.3228445882347462E-3</v>
      </c>
      <c r="D743" s="103">
        <v>1.3991620748473104E-3</v>
      </c>
    </row>
    <row r="744" spans="1:4" x14ac:dyDescent="0.25">
      <c r="A744" s="86">
        <v>17</v>
      </c>
      <c r="B744" s="86">
        <v>69</v>
      </c>
      <c r="C744" s="103">
        <v>2.101147109887083E-4</v>
      </c>
      <c r="D744" s="103">
        <v>3.0577193658179989E-4</v>
      </c>
    </row>
    <row r="745" spans="1:4" x14ac:dyDescent="0.25">
      <c r="A745" s="86">
        <v>17</v>
      </c>
      <c r="B745" s="86">
        <v>71</v>
      </c>
      <c r="C745" s="103">
        <v>8.0923927369313229E-4</v>
      </c>
      <c r="D745" s="103">
        <v>5.2665089334140338E-4</v>
      </c>
    </row>
    <row r="746" spans="1:4" x14ac:dyDescent="0.25">
      <c r="A746" s="86">
        <v>17</v>
      </c>
      <c r="B746" s="86">
        <v>73</v>
      </c>
      <c r="C746" s="103">
        <v>6.6748991376410294E-3</v>
      </c>
      <c r="D746" s="103">
        <v>3.8594863974720757E-3</v>
      </c>
    </row>
    <row r="747" spans="1:4" x14ac:dyDescent="0.25">
      <c r="A747" s="86">
        <v>17</v>
      </c>
      <c r="B747" s="86">
        <v>75</v>
      </c>
      <c r="C747" s="103">
        <v>4.1682966242228827E-3</v>
      </c>
      <c r="D747" s="103">
        <v>2.1616268010281482E-3</v>
      </c>
    </row>
    <row r="748" spans="1:4" x14ac:dyDescent="0.25">
      <c r="A748" s="86">
        <v>17</v>
      </c>
      <c r="B748" s="86">
        <v>77</v>
      </c>
      <c r="C748" s="103">
        <v>3.804877537628296E-3</v>
      </c>
      <c r="D748" s="103">
        <v>4.5040442072331963E-3</v>
      </c>
    </row>
    <row r="749" spans="1:4" x14ac:dyDescent="0.25">
      <c r="A749" s="86">
        <v>17</v>
      </c>
      <c r="B749" s="86">
        <v>79</v>
      </c>
      <c r="C749" s="103">
        <v>8.3990598434388716E-4</v>
      </c>
      <c r="D749" s="103">
        <v>7.5617635730511952E-4</v>
      </c>
    </row>
    <row r="750" spans="1:4" x14ac:dyDescent="0.25">
      <c r="A750" s="86">
        <v>17</v>
      </c>
      <c r="B750" s="86">
        <v>81</v>
      </c>
      <c r="C750" s="103">
        <v>6.7487284587729986E-3</v>
      </c>
      <c r="D750" s="103">
        <v>2.9633938326822252E-3</v>
      </c>
    </row>
    <row r="751" spans="1:4" x14ac:dyDescent="0.25">
      <c r="A751" s="86">
        <v>17</v>
      </c>
      <c r="B751" s="86">
        <v>83</v>
      </c>
      <c r="C751" s="103">
        <v>1.5710905575633393E-3</v>
      </c>
      <c r="D751" s="103">
        <v>1.7135805186332231E-3</v>
      </c>
    </row>
    <row r="752" spans="1:4" x14ac:dyDescent="0.25">
      <c r="A752" s="86">
        <v>17</v>
      </c>
      <c r="B752" s="86">
        <v>85</v>
      </c>
      <c r="C752" s="103">
        <v>1.6448527425640918E-3</v>
      </c>
      <c r="D752" s="103">
        <v>1.674278213159984E-3</v>
      </c>
    </row>
    <row r="753" spans="1:4" x14ac:dyDescent="0.25">
      <c r="A753" s="86">
        <v>17</v>
      </c>
      <c r="B753" s="86">
        <v>87</v>
      </c>
      <c r="C753" s="103">
        <v>2.5714592440035152E-3</v>
      </c>
      <c r="D753" s="103">
        <v>9.7469717573632866E-4</v>
      </c>
    </row>
    <row r="754" spans="1:4" x14ac:dyDescent="0.25">
      <c r="A754" s="86">
        <v>17</v>
      </c>
      <c r="B754" s="86">
        <v>89</v>
      </c>
      <c r="C754" s="103">
        <v>3.6996691806825882E-2</v>
      </c>
      <c r="D754" s="103">
        <v>4.1896257634472842E-2</v>
      </c>
    </row>
    <row r="755" spans="1:4" x14ac:dyDescent="0.25">
      <c r="A755" s="86">
        <v>17</v>
      </c>
      <c r="B755" s="86">
        <v>91</v>
      </c>
      <c r="C755" s="103">
        <v>8.4365576272697855E-3</v>
      </c>
      <c r="D755" s="103">
        <v>8.6465072041125926E-3</v>
      </c>
    </row>
    <row r="756" spans="1:4" x14ac:dyDescent="0.25">
      <c r="A756" s="86">
        <v>17</v>
      </c>
      <c r="B756" s="86">
        <v>93</v>
      </c>
      <c r="C756" s="103">
        <v>7.7853584012833963E-3</v>
      </c>
      <c r="D756" s="103">
        <v>1.00613902011492E-2</v>
      </c>
    </row>
    <row r="757" spans="1:4" x14ac:dyDescent="0.25">
      <c r="A757" s="86">
        <v>17</v>
      </c>
      <c r="B757" s="86">
        <v>95</v>
      </c>
      <c r="C757" s="103">
        <v>4.9349449446558736E-3</v>
      </c>
      <c r="D757" s="103">
        <v>3.9302305473239057E-3</v>
      </c>
    </row>
    <row r="758" spans="1:4" x14ac:dyDescent="0.25">
      <c r="A758" s="86">
        <v>17</v>
      </c>
      <c r="B758" s="86">
        <v>97</v>
      </c>
      <c r="C758" s="103">
        <v>5.5769152167152988E-2</v>
      </c>
      <c r="D758" s="103">
        <v>5.5023227662534681E-2</v>
      </c>
    </row>
    <row r="759" spans="1:4" x14ac:dyDescent="0.25">
      <c r="A759" s="86">
        <v>17</v>
      </c>
      <c r="B759" s="86">
        <v>99</v>
      </c>
      <c r="C759" s="103">
        <v>1.2398064115175881E-2</v>
      </c>
      <c r="D759" s="103">
        <v>8.5679025931661157E-3</v>
      </c>
    </row>
    <row r="760" spans="1:4" x14ac:dyDescent="0.25">
      <c r="A760" s="86">
        <v>17</v>
      </c>
      <c r="B760" s="86">
        <v>101</v>
      </c>
      <c r="C760" s="103">
        <v>1.1851425814049361E-3</v>
      </c>
      <c r="D760" s="103">
        <v>1.2419528529543542E-3</v>
      </c>
    </row>
    <row r="761" spans="1:4" x14ac:dyDescent="0.25">
      <c r="A761" s="86">
        <v>17</v>
      </c>
      <c r="B761" s="86">
        <v>103</v>
      </c>
      <c r="C761" s="103">
        <v>5.2468582668000916E-3</v>
      </c>
      <c r="D761" s="103">
        <v>2.6961381554641995E-3</v>
      </c>
    </row>
    <row r="762" spans="1:4" x14ac:dyDescent="0.25">
      <c r="A762" s="86">
        <v>17</v>
      </c>
      <c r="B762" s="86">
        <v>105</v>
      </c>
      <c r="C762" s="103">
        <v>4.6231959208766129E-3</v>
      </c>
      <c r="D762" s="103">
        <v>2.8061846107892688E-3</v>
      </c>
    </row>
    <row r="763" spans="1:4" x14ac:dyDescent="0.25">
      <c r="A763" s="86">
        <v>17</v>
      </c>
      <c r="B763" s="86">
        <v>107</v>
      </c>
      <c r="C763" s="103">
        <v>5.0233057543664691E-3</v>
      </c>
      <c r="D763" s="103">
        <v>2.2716732563532178E-3</v>
      </c>
    </row>
    <row r="764" spans="1:4" x14ac:dyDescent="0.25">
      <c r="A764" s="86">
        <v>17</v>
      </c>
      <c r="B764" s="86">
        <v>109</v>
      </c>
      <c r="C764" s="103">
        <v>1.8844355012142362E-3</v>
      </c>
      <c r="D764" s="103">
        <v>2.3581383283943435E-3</v>
      </c>
    </row>
    <row r="765" spans="1:4" x14ac:dyDescent="0.25">
      <c r="A765" s="86">
        <v>17</v>
      </c>
      <c r="B765" s="86">
        <v>111</v>
      </c>
      <c r="C765" s="103">
        <v>2.0530373274417726E-2</v>
      </c>
      <c r="D765" s="103">
        <v>2.4210220171515261E-2</v>
      </c>
    </row>
    <row r="766" spans="1:4" x14ac:dyDescent="0.25">
      <c r="A766" s="86">
        <v>17</v>
      </c>
      <c r="B766" s="86">
        <v>113</v>
      </c>
      <c r="C766" s="103">
        <v>1.7516626123567594E-2</v>
      </c>
      <c r="D766" s="103">
        <v>1.3519993082794236E-2</v>
      </c>
    </row>
    <row r="767" spans="1:4" x14ac:dyDescent="0.25">
      <c r="A767" s="86">
        <v>17</v>
      </c>
      <c r="B767" s="86">
        <v>115</v>
      </c>
      <c r="C767" s="103">
        <v>8.8870080344449921E-3</v>
      </c>
      <c r="D767" s="103">
        <v>8.2534841493802028E-3</v>
      </c>
    </row>
    <row r="768" spans="1:4" x14ac:dyDescent="0.25">
      <c r="A768" s="86">
        <v>17</v>
      </c>
      <c r="B768" s="86">
        <v>117</v>
      </c>
      <c r="C768" s="103">
        <v>3.5008995037724006E-3</v>
      </c>
      <c r="D768" s="103">
        <v>3.560788875875459E-3</v>
      </c>
    </row>
    <row r="769" spans="1:4" x14ac:dyDescent="0.25">
      <c r="A769" s="86">
        <v>17</v>
      </c>
      <c r="B769" s="86">
        <v>119</v>
      </c>
      <c r="C769" s="103">
        <v>2.8597723212005224E-2</v>
      </c>
      <c r="D769" s="103">
        <v>2.0751617289870225E-2</v>
      </c>
    </row>
    <row r="770" spans="1:4" x14ac:dyDescent="0.25">
      <c r="A770" s="86">
        <v>17</v>
      </c>
      <c r="B770" s="86">
        <v>121</v>
      </c>
      <c r="C770" s="103">
        <v>4.3174897323661667E-3</v>
      </c>
      <c r="D770" s="103">
        <v>2.9398124493982816E-3</v>
      </c>
    </row>
    <row r="771" spans="1:4" x14ac:dyDescent="0.25">
      <c r="A771" s="86">
        <v>17</v>
      </c>
      <c r="B771" s="86">
        <v>123</v>
      </c>
      <c r="C771" s="103">
        <v>1.5912572705171124E-3</v>
      </c>
      <c r="D771" s="103">
        <v>9.0395302588449841E-4</v>
      </c>
    </row>
    <row r="772" spans="1:4" x14ac:dyDescent="0.25">
      <c r="A772" s="86">
        <v>17</v>
      </c>
      <c r="B772" s="86">
        <v>125</v>
      </c>
      <c r="C772" s="103">
        <v>7.6156816933573045E-4</v>
      </c>
      <c r="D772" s="103">
        <v>1.0611622477774546E-3</v>
      </c>
    </row>
    <row r="773" spans="1:4" x14ac:dyDescent="0.25">
      <c r="A773" s="86">
        <v>17</v>
      </c>
      <c r="B773" s="86">
        <v>127</v>
      </c>
      <c r="C773" s="103">
        <v>2.0344020531188967E-3</v>
      </c>
      <c r="D773" s="103">
        <v>1.1004645532506937E-3</v>
      </c>
    </row>
    <row r="774" spans="1:4" x14ac:dyDescent="0.25">
      <c r="A774" s="86">
        <v>17</v>
      </c>
      <c r="B774" s="86">
        <v>129</v>
      </c>
      <c r="C774" s="103">
        <v>6.4254980011695367E-4</v>
      </c>
      <c r="D774" s="103">
        <v>9.668367146416809E-4</v>
      </c>
    </row>
    <row r="775" spans="1:4" x14ac:dyDescent="0.25">
      <c r="A775" s="86">
        <v>17</v>
      </c>
      <c r="B775" s="86">
        <v>131</v>
      </c>
      <c r="C775" s="103">
        <v>9.2974986780694252E-4</v>
      </c>
      <c r="D775" s="103">
        <v>1.2262319307650587E-3</v>
      </c>
    </row>
    <row r="776" spans="1:4" x14ac:dyDescent="0.25">
      <c r="A776" s="86">
        <v>17</v>
      </c>
      <c r="B776" s="86">
        <v>133</v>
      </c>
      <c r="C776" s="103">
        <v>3.4500795682970886E-3</v>
      </c>
      <c r="D776" s="103">
        <v>2.7039986165588474E-3</v>
      </c>
    </row>
    <row r="777" spans="1:4" x14ac:dyDescent="0.25">
      <c r="A777" s="86">
        <v>17</v>
      </c>
      <c r="B777" s="86">
        <v>135</v>
      </c>
      <c r="C777" s="103">
        <v>4.409403978758315E-3</v>
      </c>
      <c r="D777" s="103">
        <v>2.2559523341639221E-3</v>
      </c>
    </row>
    <row r="778" spans="1:4" x14ac:dyDescent="0.25">
      <c r="A778" s="86">
        <v>17</v>
      </c>
      <c r="B778" s="86">
        <v>137</v>
      </c>
      <c r="C778" s="103">
        <v>3.1753501914247731E-3</v>
      </c>
      <c r="D778" s="103">
        <v>2.6725567721802559E-3</v>
      </c>
    </row>
    <row r="779" spans="1:4" x14ac:dyDescent="0.25">
      <c r="A779" s="86">
        <v>17</v>
      </c>
      <c r="B779" s="86">
        <v>139</v>
      </c>
      <c r="C779" s="103">
        <v>1.1481045599906624E-3</v>
      </c>
      <c r="D779" s="103">
        <v>1.1476273198185805E-3</v>
      </c>
    </row>
    <row r="780" spans="1:4" x14ac:dyDescent="0.25">
      <c r="A780" s="86">
        <v>17</v>
      </c>
      <c r="B780" s="86">
        <v>141</v>
      </c>
      <c r="C780" s="103">
        <v>6.0264911820737E-3</v>
      </c>
      <c r="D780" s="103">
        <v>3.9931142360810886E-3</v>
      </c>
    </row>
    <row r="781" spans="1:4" x14ac:dyDescent="0.25">
      <c r="A781" s="86">
        <v>17</v>
      </c>
      <c r="B781" s="86">
        <v>143</v>
      </c>
      <c r="C781" s="103">
        <v>1.4881108610362256E-2</v>
      </c>
      <c r="D781" s="103">
        <v>1.422743458131254E-2</v>
      </c>
    </row>
    <row r="782" spans="1:4" x14ac:dyDescent="0.25">
      <c r="A782" s="86">
        <v>17</v>
      </c>
      <c r="B782" s="86">
        <v>145</v>
      </c>
      <c r="C782" s="103">
        <v>1.502626069480859E-3</v>
      </c>
      <c r="D782" s="103">
        <v>1.6585572909706883E-3</v>
      </c>
    </row>
    <row r="783" spans="1:4" x14ac:dyDescent="0.25">
      <c r="A783" s="86">
        <v>17</v>
      </c>
      <c r="B783" s="86">
        <v>147</v>
      </c>
      <c r="C783" s="103">
        <v>2.3435666207602679E-3</v>
      </c>
      <c r="D783" s="103">
        <v>1.2891156195222412E-3</v>
      </c>
    </row>
    <row r="784" spans="1:4" x14ac:dyDescent="0.25">
      <c r="A784" s="86">
        <v>17</v>
      </c>
      <c r="B784" s="86">
        <v>149</v>
      </c>
      <c r="C784" s="103">
        <v>2.4104156403538758E-3</v>
      </c>
      <c r="D784" s="103">
        <v>1.2262319307650587E-3</v>
      </c>
    </row>
    <row r="785" spans="1:4" x14ac:dyDescent="0.25">
      <c r="A785" s="86">
        <v>17</v>
      </c>
      <c r="B785" s="86">
        <v>151</v>
      </c>
      <c r="C785" s="103">
        <v>2.8551158991723893E-4</v>
      </c>
      <c r="D785" s="103">
        <v>3.2856727375627854E-4</v>
      </c>
    </row>
    <row r="786" spans="1:4" x14ac:dyDescent="0.25">
      <c r="A786" s="86">
        <v>17</v>
      </c>
      <c r="B786" s="86">
        <v>153</v>
      </c>
      <c r="C786" s="103">
        <v>1.2441039770690076E-3</v>
      </c>
      <c r="D786" s="103">
        <v>4.268230374393762E-4</v>
      </c>
    </row>
    <row r="787" spans="1:4" x14ac:dyDescent="0.25">
      <c r="A787" s="86">
        <v>17</v>
      </c>
      <c r="B787" s="86">
        <v>155</v>
      </c>
      <c r="C787" s="103">
        <v>4.7430655710376109E-4</v>
      </c>
      <c r="D787" s="103">
        <v>4.5119046683278442E-4</v>
      </c>
    </row>
    <row r="788" spans="1:4" x14ac:dyDescent="0.25">
      <c r="A788" s="86">
        <v>17</v>
      </c>
      <c r="B788" s="86">
        <v>157</v>
      </c>
      <c r="C788" s="103">
        <v>2.0144273978587026E-3</v>
      </c>
      <c r="D788" s="103">
        <v>2.5310684724765956E-3</v>
      </c>
    </row>
    <row r="789" spans="1:4" x14ac:dyDescent="0.25">
      <c r="A789" s="86">
        <v>17</v>
      </c>
      <c r="B789" s="86">
        <v>159</v>
      </c>
      <c r="C789" s="103">
        <v>1.097087784117127E-3</v>
      </c>
      <c r="D789" s="103">
        <v>1.2340923918597066E-3</v>
      </c>
    </row>
    <row r="790" spans="1:4" x14ac:dyDescent="0.25">
      <c r="A790" s="86">
        <v>17</v>
      </c>
      <c r="B790" s="86">
        <v>161</v>
      </c>
      <c r="C790" s="103">
        <v>1.1695995514009365E-2</v>
      </c>
      <c r="D790" s="103">
        <v>1.1240459365346371E-2</v>
      </c>
    </row>
    <row r="791" spans="1:4" x14ac:dyDescent="0.25">
      <c r="A791" s="86">
        <v>17</v>
      </c>
      <c r="B791" s="86">
        <v>163</v>
      </c>
      <c r="C791" s="103">
        <v>2.7541025869884737E-2</v>
      </c>
      <c r="D791" s="103">
        <v>2.0515803457030791E-2</v>
      </c>
    </row>
    <row r="792" spans="1:4" x14ac:dyDescent="0.25">
      <c r="A792" s="86">
        <v>17</v>
      </c>
      <c r="B792" s="86">
        <v>165</v>
      </c>
      <c r="C792" s="103">
        <v>1.7484005434133124E-3</v>
      </c>
      <c r="D792" s="103">
        <v>1.8707897405261793E-3</v>
      </c>
    </row>
    <row r="793" spans="1:4" x14ac:dyDescent="0.25">
      <c r="A793" s="86">
        <v>17</v>
      </c>
      <c r="B793" s="86">
        <v>167</v>
      </c>
      <c r="C793" s="103">
        <v>2.0000151567805963E-2</v>
      </c>
      <c r="D793" s="103">
        <v>1.5406503745509711E-2</v>
      </c>
    </row>
    <row r="794" spans="1:4" x14ac:dyDescent="0.25">
      <c r="A794" s="86">
        <v>17</v>
      </c>
      <c r="B794" s="86">
        <v>169</v>
      </c>
      <c r="C794" s="103">
        <v>6.1644722765114121E-4</v>
      </c>
      <c r="D794" s="103">
        <v>5.4001367720230464E-4</v>
      </c>
    </row>
    <row r="795" spans="1:4" x14ac:dyDescent="0.25">
      <c r="A795" s="86">
        <v>17</v>
      </c>
      <c r="B795" s="86">
        <v>171</v>
      </c>
      <c r="C795" s="103">
        <v>8.0480790072591795E-4</v>
      </c>
      <c r="D795" s="103">
        <v>3.8752073196613715E-4</v>
      </c>
    </row>
    <row r="796" spans="1:4" x14ac:dyDescent="0.25">
      <c r="A796" s="86">
        <v>17</v>
      </c>
      <c r="B796" s="86">
        <v>173</v>
      </c>
      <c r="C796" s="103">
        <v>1.765526102632018E-3</v>
      </c>
      <c r="D796" s="103">
        <v>1.7057200575385752E-3</v>
      </c>
    </row>
    <row r="797" spans="1:4" x14ac:dyDescent="0.25">
      <c r="A797" s="86">
        <v>17</v>
      </c>
      <c r="B797" s="86">
        <v>175</v>
      </c>
      <c r="C797" s="103">
        <v>4.4038469109057614E-4</v>
      </c>
      <c r="D797" s="103">
        <v>4.2603699132991141E-4</v>
      </c>
    </row>
    <row r="798" spans="1:4" x14ac:dyDescent="0.25">
      <c r="A798" s="86">
        <v>17</v>
      </c>
      <c r="B798" s="86">
        <v>177</v>
      </c>
      <c r="C798" s="103">
        <v>3.1143495639814503E-3</v>
      </c>
      <c r="D798" s="103">
        <v>3.5214865704022197E-3</v>
      </c>
    </row>
    <row r="799" spans="1:4" x14ac:dyDescent="0.25">
      <c r="A799" s="86">
        <v>17</v>
      </c>
      <c r="B799" s="86">
        <v>179</v>
      </c>
      <c r="C799" s="103">
        <v>1.1588039055733211E-2</v>
      </c>
      <c r="D799" s="103">
        <v>1.0375808644935113E-2</v>
      </c>
    </row>
    <row r="800" spans="1:4" x14ac:dyDescent="0.25">
      <c r="A800" s="86">
        <v>17</v>
      </c>
      <c r="B800" s="86">
        <v>181</v>
      </c>
      <c r="C800" s="103">
        <v>2.1909745484615015E-3</v>
      </c>
      <c r="D800" s="103">
        <v>1.3205574639008324E-3</v>
      </c>
    </row>
    <row r="801" spans="1:4" x14ac:dyDescent="0.25">
      <c r="A801" s="86">
        <v>17</v>
      </c>
      <c r="B801" s="86">
        <v>183</v>
      </c>
      <c r="C801" s="103">
        <v>6.2822450759573547E-3</v>
      </c>
      <c r="D801" s="103">
        <v>6.0289736595948717E-3</v>
      </c>
    </row>
    <row r="802" spans="1:4" x14ac:dyDescent="0.25">
      <c r="A802" s="86">
        <v>17</v>
      </c>
      <c r="B802" s="86">
        <v>185</v>
      </c>
      <c r="C802" s="103">
        <v>7.1425741721868532E-4</v>
      </c>
      <c r="D802" s="103">
        <v>9.0395302588449841E-4</v>
      </c>
    </row>
    <row r="803" spans="1:4" x14ac:dyDescent="0.25">
      <c r="A803" s="86">
        <v>17</v>
      </c>
      <c r="B803" s="86">
        <v>187</v>
      </c>
      <c r="C803" s="103">
        <v>1.598341307604259E-3</v>
      </c>
      <c r="D803" s="103">
        <v>1.336278386090128E-3</v>
      </c>
    </row>
    <row r="804" spans="1:4" x14ac:dyDescent="0.25">
      <c r="A804" s="86">
        <v>17</v>
      </c>
      <c r="B804" s="86">
        <v>189</v>
      </c>
      <c r="C804" s="103">
        <v>3.8330392327666761E-3</v>
      </c>
      <c r="D804" s="103">
        <v>1.1004645532506937E-3</v>
      </c>
    </row>
    <row r="805" spans="1:4" x14ac:dyDescent="0.25">
      <c r="A805" s="86">
        <v>17</v>
      </c>
      <c r="B805" s="86">
        <v>191</v>
      </c>
      <c r="C805" s="103">
        <v>2.1378502971287463E-3</v>
      </c>
      <c r="D805" s="103">
        <v>1.2812551584275933E-3</v>
      </c>
    </row>
    <row r="806" spans="1:4" x14ac:dyDescent="0.25">
      <c r="A806" s="86">
        <v>17</v>
      </c>
      <c r="B806" s="86">
        <v>193</v>
      </c>
      <c r="C806" s="103">
        <v>1.6608981656950868E-3</v>
      </c>
      <c r="D806" s="103">
        <v>1.0690227088721025E-3</v>
      </c>
    </row>
    <row r="807" spans="1:4" x14ac:dyDescent="0.25">
      <c r="A807" s="86">
        <v>17</v>
      </c>
      <c r="B807" s="86">
        <v>195</v>
      </c>
      <c r="C807" s="103">
        <v>4.801543159898323E-3</v>
      </c>
      <c r="D807" s="103">
        <v>4.3704163686241835E-3</v>
      </c>
    </row>
    <row r="808" spans="1:4" x14ac:dyDescent="0.25">
      <c r="A808" s="86">
        <v>17</v>
      </c>
      <c r="B808" s="86">
        <v>197</v>
      </c>
      <c r="C808" s="103">
        <v>5.6034508679469748E-2</v>
      </c>
      <c r="D808" s="103">
        <v>5.4315786164016382E-2</v>
      </c>
    </row>
    <row r="809" spans="1:4" x14ac:dyDescent="0.25">
      <c r="A809" s="86">
        <v>17</v>
      </c>
      <c r="B809" s="86">
        <v>199</v>
      </c>
      <c r="C809" s="103">
        <v>7.498426376384571E-3</v>
      </c>
      <c r="D809" s="103">
        <v>5.266508933414034E-3</v>
      </c>
    </row>
    <row r="810" spans="1:4" x14ac:dyDescent="0.25">
      <c r="A810" s="86">
        <v>17</v>
      </c>
      <c r="B810" s="86">
        <v>201</v>
      </c>
      <c r="C810" s="103">
        <v>2.3372982090090772E-2</v>
      </c>
      <c r="D810" s="103">
        <v>2.2323709508799788E-2</v>
      </c>
    </row>
    <row r="811" spans="1:4" x14ac:dyDescent="0.25">
      <c r="A811" s="86">
        <v>17</v>
      </c>
      <c r="B811" s="86">
        <v>203</v>
      </c>
      <c r="C811" s="103">
        <v>4.067522055934825E-3</v>
      </c>
      <c r="D811" s="103">
        <v>3.0262775214394077E-3</v>
      </c>
    </row>
    <row r="812" spans="1:4" x14ac:dyDescent="0.25">
      <c r="A812" s="86">
        <v>18</v>
      </c>
      <c r="B812" s="86">
        <v>1</v>
      </c>
      <c r="C812" s="103">
        <v>3.8934271067309961E-3</v>
      </c>
      <c r="D812" s="103">
        <v>5.318004732426683E-3</v>
      </c>
    </row>
    <row r="813" spans="1:4" x14ac:dyDescent="0.25">
      <c r="A813" s="86">
        <v>18</v>
      </c>
      <c r="B813" s="86">
        <v>3</v>
      </c>
      <c r="C813" s="103">
        <v>5.2749477525693922E-2</v>
      </c>
      <c r="D813" s="103">
        <v>5.6018308276966466E-2</v>
      </c>
    </row>
    <row r="814" spans="1:4" x14ac:dyDescent="0.25">
      <c r="A814" s="86">
        <v>18</v>
      </c>
      <c r="B814" s="86">
        <v>5</v>
      </c>
      <c r="C814" s="103">
        <v>1.3729193579741811E-2</v>
      </c>
      <c r="D814" s="103">
        <v>1.2353904252013671E-2</v>
      </c>
    </row>
    <row r="815" spans="1:4" x14ac:dyDescent="0.25">
      <c r="A815" s="86">
        <v>18</v>
      </c>
      <c r="B815" s="86">
        <v>7</v>
      </c>
      <c r="C815" s="103">
        <v>1.3687751697730717E-3</v>
      </c>
      <c r="D815" s="103">
        <v>1.2921556442553599E-3</v>
      </c>
    </row>
    <row r="816" spans="1:4" x14ac:dyDescent="0.25">
      <c r="A816" s="86">
        <v>18</v>
      </c>
      <c r="B816" s="86">
        <v>9</v>
      </c>
      <c r="C816" s="103">
        <v>1.3324188808048097E-3</v>
      </c>
      <c r="D816" s="103">
        <v>1.7776476493224025E-3</v>
      </c>
    </row>
    <row r="817" spans="1:4" x14ac:dyDescent="0.25">
      <c r="A817" s="86">
        <v>18</v>
      </c>
      <c r="B817" s="86">
        <v>11</v>
      </c>
      <c r="C817" s="103">
        <v>1.7681365994578879E-2</v>
      </c>
      <c r="D817" s="103">
        <v>9.9936661966108179E-3</v>
      </c>
    </row>
    <row r="818" spans="1:4" x14ac:dyDescent="0.25">
      <c r="A818" s="86">
        <v>18</v>
      </c>
      <c r="B818" s="86">
        <v>13</v>
      </c>
      <c r="C818" s="103">
        <v>1.7907639310725883E-3</v>
      </c>
      <c r="D818" s="103">
        <v>2.2706087621597077E-3</v>
      </c>
    </row>
    <row r="819" spans="1:4" x14ac:dyDescent="0.25">
      <c r="A819" s="86">
        <v>18</v>
      </c>
      <c r="B819" s="86">
        <v>15</v>
      </c>
      <c r="C819" s="103">
        <v>3.2102342863191513E-3</v>
      </c>
      <c r="D819" s="103">
        <v>3.017519539185927E-3</v>
      </c>
    </row>
    <row r="820" spans="1:4" x14ac:dyDescent="0.25">
      <c r="A820" s="86">
        <v>18</v>
      </c>
      <c r="B820" s="86">
        <v>17</v>
      </c>
      <c r="C820" s="103">
        <v>4.5425681724413185E-3</v>
      </c>
      <c r="D820" s="103">
        <v>5.6615836898587443E-3</v>
      </c>
    </row>
    <row r="821" spans="1:4" x14ac:dyDescent="0.25">
      <c r="A821" s="86">
        <v>18</v>
      </c>
      <c r="B821" s="86">
        <v>19</v>
      </c>
      <c r="C821" s="103">
        <v>1.8618777031649811E-2</v>
      </c>
      <c r="D821" s="103">
        <v>1.7477712182413539E-2</v>
      </c>
    </row>
    <row r="822" spans="1:4" x14ac:dyDescent="0.25">
      <c r="A822" s="86">
        <v>18</v>
      </c>
      <c r="B822" s="86">
        <v>21</v>
      </c>
      <c r="C822" s="103">
        <v>5.1513432861021811E-3</v>
      </c>
      <c r="D822" s="103">
        <v>3.9138124716173901E-3</v>
      </c>
    </row>
    <row r="823" spans="1:4" x14ac:dyDescent="0.25">
      <c r="A823" s="86">
        <v>18</v>
      </c>
      <c r="B823" s="86">
        <v>23</v>
      </c>
      <c r="C823" s="103">
        <v>6.2443493443971347E-3</v>
      </c>
      <c r="D823" s="103">
        <v>4.8101054040488537E-3</v>
      </c>
    </row>
    <row r="824" spans="1:4" x14ac:dyDescent="0.25">
      <c r="A824" s="86">
        <v>18</v>
      </c>
      <c r="B824" s="86">
        <v>25</v>
      </c>
      <c r="C824" s="103">
        <v>2.5156992177918507E-3</v>
      </c>
      <c r="D824" s="103">
        <v>1.5834508472955854E-3</v>
      </c>
    </row>
    <row r="825" spans="1:4" x14ac:dyDescent="0.25">
      <c r="A825" s="86">
        <v>18</v>
      </c>
      <c r="B825" s="86">
        <v>27</v>
      </c>
      <c r="C825" s="103">
        <v>4.4801171073439406E-3</v>
      </c>
      <c r="D825" s="103">
        <v>4.9744257749946225E-3</v>
      </c>
    </row>
    <row r="826" spans="1:4" x14ac:dyDescent="0.25">
      <c r="A826" s="86">
        <v>18</v>
      </c>
      <c r="B826" s="86">
        <v>29</v>
      </c>
      <c r="C826" s="103">
        <v>8.0925435809909869E-3</v>
      </c>
      <c r="D826" s="103">
        <v>7.3944166925595739E-3</v>
      </c>
    </row>
    <row r="827" spans="1:4" x14ac:dyDescent="0.25">
      <c r="A827" s="86">
        <v>18</v>
      </c>
      <c r="B827" s="86">
        <v>31</v>
      </c>
      <c r="C827" s="103">
        <v>5.4184995958781457E-3</v>
      </c>
      <c r="D827" s="103">
        <v>3.9885035493200122E-3</v>
      </c>
    </row>
    <row r="828" spans="1:4" x14ac:dyDescent="0.25">
      <c r="A828" s="86">
        <v>18</v>
      </c>
      <c r="B828" s="86">
        <v>33</v>
      </c>
      <c r="C828" s="103">
        <v>8.6186504631394559E-3</v>
      </c>
      <c r="D828" s="103">
        <v>6.4533091135065366E-3</v>
      </c>
    </row>
    <row r="829" spans="1:4" x14ac:dyDescent="0.25">
      <c r="A829" s="86">
        <v>18</v>
      </c>
      <c r="B829" s="86">
        <v>35</v>
      </c>
      <c r="C829" s="103">
        <v>1.6414726671832049E-2</v>
      </c>
      <c r="D829" s="103">
        <v>1.7029565716197806E-2</v>
      </c>
    </row>
    <row r="830" spans="1:4" x14ac:dyDescent="0.25">
      <c r="A830" s="86">
        <v>18</v>
      </c>
      <c r="B830" s="86">
        <v>37</v>
      </c>
      <c r="C830" s="103">
        <v>6.0755132038421743E-3</v>
      </c>
      <c r="D830" s="103">
        <v>6.3786180358039153E-3</v>
      </c>
    </row>
    <row r="831" spans="1:4" x14ac:dyDescent="0.25">
      <c r="A831" s="86">
        <v>18</v>
      </c>
      <c r="B831" s="86">
        <v>39</v>
      </c>
      <c r="C831" s="103">
        <v>2.9345203171753095E-2</v>
      </c>
      <c r="D831" s="103">
        <v>3.0772724013480246E-2</v>
      </c>
    </row>
    <row r="832" spans="1:4" x14ac:dyDescent="0.25">
      <c r="A832" s="86">
        <v>18</v>
      </c>
      <c r="B832" s="86">
        <v>41</v>
      </c>
      <c r="C832" s="103">
        <v>2.22886713441937E-3</v>
      </c>
      <c r="D832" s="103">
        <v>3.4507277898611342E-3</v>
      </c>
    </row>
    <row r="833" spans="1:4" x14ac:dyDescent="0.25">
      <c r="A833" s="86">
        <v>18</v>
      </c>
      <c r="B833" s="86">
        <v>43</v>
      </c>
      <c r="C833" s="103">
        <v>1.1103581068047366E-2</v>
      </c>
      <c r="D833" s="103">
        <v>1.1621931690527977E-2</v>
      </c>
    </row>
    <row r="834" spans="1:4" x14ac:dyDescent="0.25">
      <c r="A834" s="86">
        <v>18</v>
      </c>
      <c r="B834" s="86">
        <v>45</v>
      </c>
      <c r="C834" s="103">
        <v>3.106227428310398E-3</v>
      </c>
      <c r="D834" s="103">
        <v>2.4498673486460002E-3</v>
      </c>
    </row>
    <row r="835" spans="1:4" x14ac:dyDescent="0.25">
      <c r="A835" s="86">
        <v>18</v>
      </c>
      <c r="B835" s="86">
        <v>47</v>
      </c>
      <c r="C835" s="103">
        <v>2.7377488566121973E-3</v>
      </c>
      <c r="D835" s="103">
        <v>3.3909749276990367E-3</v>
      </c>
    </row>
    <row r="836" spans="1:4" x14ac:dyDescent="0.25">
      <c r="A836" s="86">
        <v>18</v>
      </c>
      <c r="B836" s="86">
        <v>49</v>
      </c>
      <c r="C836" s="103">
        <v>3.0045247750847062E-3</v>
      </c>
      <c r="D836" s="103">
        <v>3.0025813236454024E-3</v>
      </c>
    </row>
    <row r="837" spans="1:4" x14ac:dyDescent="0.25">
      <c r="A837" s="86">
        <v>18</v>
      </c>
      <c r="B837" s="86">
        <v>51</v>
      </c>
      <c r="C837" s="103">
        <v>6.8531794499056544E-3</v>
      </c>
      <c r="D837" s="103">
        <v>5.0192404216161954E-3</v>
      </c>
    </row>
    <row r="838" spans="1:4" x14ac:dyDescent="0.25">
      <c r="A838" s="86">
        <v>18</v>
      </c>
      <c r="B838" s="86">
        <v>53</v>
      </c>
      <c r="C838" s="103">
        <v>1.0844068240092524E-2</v>
      </c>
      <c r="D838" s="103">
        <v>9.8592222567460974E-3</v>
      </c>
    </row>
    <row r="839" spans="1:4" x14ac:dyDescent="0.25">
      <c r="A839" s="86">
        <v>18</v>
      </c>
      <c r="B839" s="86">
        <v>55</v>
      </c>
      <c r="C839" s="103">
        <v>4.1222739220775195E-3</v>
      </c>
      <c r="D839" s="103">
        <v>4.79516718850833E-3</v>
      </c>
    </row>
    <row r="840" spans="1:4" x14ac:dyDescent="0.25">
      <c r="A840" s="86">
        <v>18</v>
      </c>
      <c r="B840" s="86">
        <v>57</v>
      </c>
      <c r="C840" s="103">
        <v>5.4071782062110343E-2</v>
      </c>
      <c r="D840" s="103">
        <v>4.9296111283730494E-2</v>
      </c>
    </row>
    <row r="841" spans="1:4" x14ac:dyDescent="0.25">
      <c r="A841" s="86">
        <v>18</v>
      </c>
      <c r="B841" s="86">
        <v>59</v>
      </c>
      <c r="C841" s="103">
        <v>1.3264526009647263E-2</v>
      </c>
      <c r="D841" s="103">
        <v>1.142773488850116E-2</v>
      </c>
    </row>
    <row r="842" spans="1:4" x14ac:dyDescent="0.25">
      <c r="A842" s="86">
        <v>18</v>
      </c>
      <c r="B842" s="86">
        <v>61</v>
      </c>
      <c r="C842" s="103">
        <v>5.9475141825388262E-3</v>
      </c>
      <c r="D842" s="103">
        <v>6.0051626472908048E-3</v>
      </c>
    </row>
    <row r="843" spans="1:4" x14ac:dyDescent="0.25">
      <c r="A843" s="86">
        <v>18</v>
      </c>
      <c r="B843" s="86">
        <v>63</v>
      </c>
      <c r="C843" s="103">
        <v>2.7636770442451525E-2</v>
      </c>
      <c r="D843" s="103">
        <v>2.4946819952675732E-2</v>
      </c>
    </row>
    <row r="844" spans="1:4" x14ac:dyDescent="0.25">
      <c r="A844" s="86">
        <v>18</v>
      </c>
      <c r="B844" s="86">
        <v>65</v>
      </c>
      <c r="C844" s="103">
        <v>8.4868132930875102E-3</v>
      </c>
      <c r="D844" s="103">
        <v>7.1852816749922322E-3</v>
      </c>
    </row>
    <row r="845" spans="1:4" x14ac:dyDescent="0.25">
      <c r="A845" s="86">
        <v>18</v>
      </c>
      <c r="B845" s="86">
        <v>67</v>
      </c>
      <c r="C845" s="103">
        <v>9.9445034293070608E-3</v>
      </c>
      <c r="D845" s="103">
        <v>1.2294151389851574E-2</v>
      </c>
    </row>
    <row r="846" spans="1:4" x14ac:dyDescent="0.25">
      <c r="A846" s="86">
        <v>18</v>
      </c>
      <c r="B846" s="86">
        <v>69</v>
      </c>
      <c r="C846" s="103">
        <v>7.5769952452219153E-3</v>
      </c>
      <c r="D846" s="103">
        <v>5.4076340256698297E-3</v>
      </c>
    </row>
    <row r="847" spans="1:4" x14ac:dyDescent="0.25">
      <c r="A847" s="86">
        <v>18</v>
      </c>
      <c r="B847" s="86">
        <v>71</v>
      </c>
      <c r="C847" s="103">
        <v>8.594098660891062E-3</v>
      </c>
      <c r="D847" s="103">
        <v>6.5877530533712562E-3</v>
      </c>
    </row>
    <row r="848" spans="1:4" x14ac:dyDescent="0.25">
      <c r="A848" s="86">
        <v>18</v>
      </c>
      <c r="B848" s="86">
        <v>73</v>
      </c>
      <c r="C848" s="103">
        <v>9.6726074411020383E-3</v>
      </c>
      <c r="D848" s="103">
        <v>4.9893639905351462E-3</v>
      </c>
    </row>
    <row r="849" spans="1:4" x14ac:dyDescent="0.25">
      <c r="A849" s="86">
        <v>18</v>
      </c>
      <c r="B849" s="86">
        <v>75</v>
      </c>
      <c r="C849" s="103">
        <v>2.5840330912816445E-3</v>
      </c>
      <c r="D849" s="103">
        <v>3.0922106168885491E-3</v>
      </c>
    </row>
    <row r="850" spans="1:4" x14ac:dyDescent="0.25">
      <c r="A850" s="86">
        <v>18</v>
      </c>
      <c r="B850" s="86">
        <v>77</v>
      </c>
      <c r="C850" s="103">
        <v>3.9666591134300795E-3</v>
      </c>
      <c r="D850" s="103">
        <v>4.8101054040488537E-3</v>
      </c>
    </row>
    <row r="851" spans="1:4" x14ac:dyDescent="0.25">
      <c r="A851" s="86">
        <v>18</v>
      </c>
      <c r="B851" s="86">
        <v>79</v>
      </c>
      <c r="C851" s="103">
        <v>3.5316158916527509E-3</v>
      </c>
      <c r="D851" s="103">
        <v>4.1378857047252564E-3</v>
      </c>
    </row>
    <row r="852" spans="1:4" x14ac:dyDescent="0.25">
      <c r="A852" s="86">
        <v>18</v>
      </c>
      <c r="B852" s="86">
        <v>81</v>
      </c>
      <c r="C852" s="103">
        <v>2.171711727337303E-2</v>
      </c>
      <c r="D852" s="103">
        <v>2.3303616243218049E-2</v>
      </c>
    </row>
    <row r="853" spans="1:4" x14ac:dyDescent="0.25">
      <c r="A853" s="86">
        <v>18</v>
      </c>
      <c r="B853" s="86">
        <v>83</v>
      </c>
      <c r="C853" s="103">
        <v>5.7281125170906581E-3</v>
      </c>
      <c r="D853" s="103">
        <v>5.4673868878319272E-3</v>
      </c>
    </row>
    <row r="854" spans="1:4" x14ac:dyDescent="0.25">
      <c r="A854" s="86">
        <v>18</v>
      </c>
      <c r="B854" s="86">
        <v>85</v>
      </c>
      <c r="C854" s="103">
        <v>1.095657146054115E-2</v>
      </c>
      <c r="D854" s="103">
        <v>1.1860943139176367E-2</v>
      </c>
    </row>
    <row r="855" spans="1:4" x14ac:dyDescent="0.25">
      <c r="A855" s="86">
        <v>18</v>
      </c>
      <c r="B855" s="86">
        <v>87</v>
      </c>
      <c r="C855" s="103">
        <v>7.0059611695386876E-3</v>
      </c>
      <c r="D855" s="103">
        <v>5.8856569229666098E-3</v>
      </c>
    </row>
    <row r="856" spans="1:4" x14ac:dyDescent="0.25">
      <c r="A856" s="86">
        <v>18</v>
      </c>
      <c r="B856" s="86">
        <v>89</v>
      </c>
      <c r="C856" s="103">
        <v>7.1467421834386924E-2</v>
      </c>
      <c r="D856" s="103">
        <v>7.2300963216138048E-2</v>
      </c>
    </row>
    <row r="857" spans="1:4" x14ac:dyDescent="0.25">
      <c r="A857" s="86">
        <v>18</v>
      </c>
      <c r="B857" s="86">
        <v>91</v>
      </c>
      <c r="C857" s="103">
        <v>2.0341339797716382E-2</v>
      </c>
      <c r="D857" s="103">
        <v>1.6432037094576829E-2</v>
      </c>
    </row>
    <row r="858" spans="1:4" x14ac:dyDescent="0.25">
      <c r="A858" s="86">
        <v>18</v>
      </c>
      <c r="B858" s="86">
        <v>93</v>
      </c>
      <c r="C858" s="103">
        <v>5.5944638060949252E-3</v>
      </c>
      <c r="D858" s="103">
        <v>6.8118262864791225E-3</v>
      </c>
    </row>
    <row r="859" spans="1:4" x14ac:dyDescent="0.25">
      <c r="A859" s="86">
        <v>18</v>
      </c>
      <c r="B859" s="86">
        <v>95</v>
      </c>
      <c r="C859" s="103">
        <v>1.8026095795391078E-2</v>
      </c>
      <c r="D859" s="103">
        <v>1.941968020268171E-2</v>
      </c>
    </row>
    <row r="860" spans="1:4" x14ac:dyDescent="0.25">
      <c r="A860" s="86">
        <v>18</v>
      </c>
      <c r="B860" s="86">
        <v>97</v>
      </c>
      <c r="C860" s="103">
        <v>0.12612008058681889</v>
      </c>
      <c r="D860" s="103">
        <v>0.14325748703362892</v>
      </c>
    </row>
    <row r="861" spans="1:4" x14ac:dyDescent="0.25">
      <c r="A861" s="86">
        <v>18</v>
      </c>
      <c r="B861" s="86">
        <v>99</v>
      </c>
      <c r="C861" s="103">
        <v>8.0275512861068231E-3</v>
      </c>
      <c r="D861" s="103">
        <v>6.916393795262793E-3</v>
      </c>
    </row>
    <row r="862" spans="1:4" x14ac:dyDescent="0.25">
      <c r="A862" s="86">
        <v>18</v>
      </c>
      <c r="B862" s="86">
        <v>101</v>
      </c>
      <c r="C862" s="103">
        <v>1.5419187501420056E-3</v>
      </c>
      <c r="D862" s="103">
        <v>1.5236979851334879E-3</v>
      </c>
    </row>
    <row r="863" spans="1:4" x14ac:dyDescent="0.25">
      <c r="A863" s="86">
        <v>18</v>
      </c>
      <c r="B863" s="86">
        <v>103</v>
      </c>
      <c r="C863" s="103">
        <v>5.6505901071771678E-3</v>
      </c>
      <c r="D863" s="103">
        <v>5.318004732426683E-3</v>
      </c>
    </row>
    <row r="864" spans="1:4" x14ac:dyDescent="0.25">
      <c r="A864" s="86">
        <v>18</v>
      </c>
      <c r="B864" s="86">
        <v>105</v>
      </c>
      <c r="C864" s="103">
        <v>1.6082981650009109E-2</v>
      </c>
      <c r="D864" s="103">
        <v>2.1959176844570855E-2</v>
      </c>
    </row>
    <row r="865" spans="1:4" x14ac:dyDescent="0.25">
      <c r="A865" s="86">
        <v>18</v>
      </c>
      <c r="B865" s="86">
        <v>107</v>
      </c>
      <c r="C865" s="103">
        <v>6.3642958882758295E-3</v>
      </c>
      <c r="D865" s="103">
        <v>5.7213365520208418E-3</v>
      </c>
    </row>
    <row r="866" spans="1:4" x14ac:dyDescent="0.25">
      <c r="A866" s="86">
        <v>18</v>
      </c>
      <c r="B866" s="86">
        <v>109</v>
      </c>
      <c r="C866" s="103">
        <v>1.0335824024834642E-2</v>
      </c>
      <c r="D866" s="103">
        <v>1.0471689093907598E-2</v>
      </c>
    </row>
    <row r="867" spans="1:4" x14ac:dyDescent="0.25">
      <c r="A867" s="86">
        <v>18</v>
      </c>
      <c r="B867" s="86">
        <v>111</v>
      </c>
      <c r="C867" s="103">
        <v>2.8212546553756427E-3</v>
      </c>
      <c r="D867" s="103">
        <v>2.0913501756734147E-3</v>
      </c>
    </row>
    <row r="868" spans="1:4" x14ac:dyDescent="0.25">
      <c r="A868" s="86">
        <v>18</v>
      </c>
      <c r="B868" s="86">
        <v>113</v>
      </c>
      <c r="C868" s="103">
        <v>5.5585469559240779E-3</v>
      </c>
      <c r="D868" s="103">
        <v>7.0956523817490855E-3</v>
      </c>
    </row>
    <row r="869" spans="1:4" x14ac:dyDescent="0.25">
      <c r="A869" s="86">
        <v>18</v>
      </c>
      <c r="B869" s="86">
        <v>115</v>
      </c>
      <c r="C869" s="103">
        <v>6.4272636119640009E-4</v>
      </c>
      <c r="D869" s="103">
        <v>8.7836707378283424E-4</v>
      </c>
    </row>
    <row r="870" spans="1:4" x14ac:dyDescent="0.25">
      <c r="A870" s="86">
        <v>18</v>
      </c>
      <c r="B870" s="86">
        <v>117</v>
      </c>
      <c r="C870" s="103">
        <v>2.3082454484542277E-3</v>
      </c>
      <c r="D870" s="103">
        <v>2.9129520304022561E-3</v>
      </c>
    </row>
    <row r="871" spans="1:4" x14ac:dyDescent="0.25">
      <c r="A871" s="86">
        <v>18</v>
      </c>
      <c r="B871" s="86">
        <v>119</v>
      </c>
      <c r="C871" s="103">
        <v>2.1995440482164017E-3</v>
      </c>
      <c r="D871" s="103">
        <v>3.1220870479695979E-3</v>
      </c>
    </row>
    <row r="872" spans="1:4" x14ac:dyDescent="0.25">
      <c r="A872" s="86">
        <v>18</v>
      </c>
      <c r="B872" s="86">
        <v>121</v>
      </c>
      <c r="C872" s="103">
        <v>2.0649075845299912E-3</v>
      </c>
      <c r="D872" s="103">
        <v>2.5394966418891465E-3</v>
      </c>
    </row>
    <row r="873" spans="1:4" x14ac:dyDescent="0.25">
      <c r="A873" s="86">
        <v>18</v>
      </c>
      <c r="B873" s="86">
        <v>123</v>
      </c>
      <c r="C873" s="103">
        <v>3.0366426521499994E-3</v>
      </c>
      <c r="D873" s="103">
        <v>2.8531991682401586E-3</v>
      </c>
    </row>
    <row r="874" spans="1:4" x14ac:dyDescent="0.25">
      <c r="A874" s="86">
        <v>18</v>
      </c>
      <c r="B874" s="86">
        <v>125</v>
      </c>
      <c r="C874" s="103">
        <v>2.3205489960523139E-3</v>
      </c>
      <c r="D874" s="103">
        <v>1.8523387270250244E-3</v>
      </c>
    </row>
    <row r="875" spans="1:4" x14ac:dyDescent="0.25">
      <c r="A875" s="86">
        <v>18</v>
      </c>
      <c r="B875" s="86">
        <v>127</v>
      </c>
      <c r="C875" s="103">
        <v>2.7353979075630579E-2</v>
      </c>
      <c r="D875" s="103">
        <v>2.524558426348622E-2</v>
      </c>
    </row>
    <row r="876" spans="1:4" x14ac:dyDescent="0.25">
      <c r="A876" s="86">
        <v>18</v>
      </c>
      <c r="B876" s="86">
        <v>129</v>
      </c>
      <c r="C876" s="103">
        <v>4.3549693859693157E-3</v>
      </c>
      <c r="D876" s="103">
        <v>3.8241831783742443E-3</v>
      </c>
    </row>
    <row r="877" spans="1:4" x14ac:dyDescent="0.25">
      <c r="A877" s="86">
        <v>18</v>
      </c>
      <c r="B877" s="86">
        <v>131</v>
      </c>
      <c r="C877" s="103">
        <v>1.7380436182125724E-3</v>
      </c>
      <c r="D877" s="103">
        <v>1.8672769425655488E-3</v>
      </c>
    </row>
    <row r="878" spans="1:4" x14ac:dyDescent="0.25">
      <c r="A878" s="86">
        <v>18</v>
      </c>
      <c r="B878" s="86">
        <v>133</v>
      </c>
      <c r="C878" s="103">
        <v>7.4789746559509492E-3</v>
      </c>
      <c r="D878" s="103">
        <v>5.6018308276966468E-3</v>
      </c>
    </row>
    <row r="879" spans="1:4" x14ac:dyDescent="0.25">
      <c r="A879" s="86">
        <v>18</v>
      </c>
      <c r="B879" s="86">
        <v>135</v>
      </c>
      <c r="C879" s="103">
        <v>3.0314405978105617E-3</v>
      </c>
      <c r="D879" s="103">
        <v>3.7046774540500488E-3</v>
      </c>
    </row>
    <row r="880" spans="1:4" x14ac:dyDescent="0.25">
      <c r="A880" s="86">
        <v>18</v>
      </c>
      <c r="B880" s="86">
        <v>137</v>
      </c>
      <c r="C880" s="103">
        <v>4.4434889193594937E-3</v>
      </c>
      <c r="D880" s="103">
        <v>4.2573914290494515E-3</v>
      </c>
    </row>
    <row r="881" spans="1:4" x14ac:dyDescent="0.25">
      <c r="A881" s="86">
        <v>18</v>
      </c>
      <c r="B881" s="86">
        <v>139</v>
      </c>
      <c r="C881" s="103">
        <v>2.4876544631548384E-3</v>
      </c>
      <c r="D881" s="103">
        <v>2.479743779727049E-3</v>
      </c>
    </row>
    <row r="882" spans="1:4" x14ac:dyDescent="0.25">
      <c r="A882" s="86">
        <v>18</v>
      </c>
      <c r="B882" s="86">
        <v>141</v>
      </c>
      <c r="C882" s="103">
        <v>3.4977359605041426E-2</v>
      </c>
      <c r="D882" s="103">
        <v>4.0482564114821103E-2</v>
      </c>
    </row>
    <row r="883" spans="1:4" x14ac:dyDescent="0.25">
      <c r="A883" s="86">
        <v>18</v>
      </c>
      <c r="B883" s="86">
        <v>143</v>
      </c>
      <c r="C883" s="103">
        <v>4.3981186694790437E-3</v>
      </c>
      <c r="D883" s="103">
        <v>3.555295298644805E-3</v>
      </c>
    </row>
    <row r="884" spans="1:4" x14ac:dyDescent="0.25">
      <c r="A884" s="86">
        <v>18</v>
      </c>
      <c r="B884" s="86">
        <v>145</v>
      </c>
      <c r="C884" s="103">
        <v>8.8647911635190008E-3</v>
      </c>
      <c r="D884" s="103">
        <v>6.6475059155333537E-3</v>
      </c>
    </row>
    <row r="885" spans="1:4" x14ac:dyDescent="0.25">
      <c r="A885" s="86">
        <v>18</v>
      </c>
      <c r="B885" s="86">
        <v>147</v>
      </c>
      <c r="C885" s="103">
        <v>4.642278395525965E-3</v>
      </c>
      <c r="D885" s="103">
        <v>3.0473959702669758E-3</v>
      </c>
    </row>
    <row r="886" spans="1:4" x14ac:dyDescent="0.25">
      <c r="A886" s="86">
        <v>18</v>
      </c>
      <c r="B886" s="86">
        <v>149</v>
      </c>
      <c r="C886" s="103">
        <v>3.0594560761240249E-3</v>
      </c>
      <c r="D886" s="103">
        <v>3.43578957432061E-3</v>
      </c>
    </row>
    <row r="887" spans="1:4" x14ac:dyDescent="0.25">
      <c r="A887" s="86">
        <v>18</v>
      </c>
      <c r="B887" s="86">
        <v>151</v>
      </c>
      <c r="C887" s="103">
        <v>7.889298846353943E-3</v>
      </c>
      <c r="D887" s="103">
        <v>5.153684361480915E-3</v>
      </c>
    </row>
    <row r="888" spans="1:4" x14ac:dyDescent="0.25">
      <c r="A888" s="86">
        <v>18</v>
      </c>
      <c r="B888" s="86">
        <v>153</v>
      </c>
      <c r="C888" s="103">
        <v>3.1093601832583189E-3</v>
      </c>
      <c r="D888" s="103">
        <v>3.0922106168885491E-3</v>
      </c>
    </row>
    <row r="889" spans="1:4" x14ac:dyDescent="0.25">
      <c r="A889" s="86">
        <v>18</v>
      </c>
      <c r="B889" s="86">
        <v>155</v>
      </c>
      <c r="C889" s="103">
        <v>1.1682584084658154E-3</v>
      </c>
      <c r="D889" s="103">
        <v>1.5983890628361098E-3</v>
      </c>
    </row>
    <row r="890" spans="1:4" x14ac:dyDescent="0.25">
      <c r="A890" s="86">
        <v>18</v>
      </c>
      <c r="B890" s="86">
        <v>157</v>
      </c>
      <c r="C890" s="103">
        <v>2.4692142244776942E-2</v>
      </c>
      <c r="D890" s="103">
        <v>2.8980138148617319E-2</v>
      </c>
    </row>
    <row r="891" spans="1:4" x14ac:dyDescent="0.25">
      <c r="A891" s="86">
        <v>18</v>
      </c>
      <c r="B891" s="86">
        <v>159</v>
      </c>
      <c r="C891" s="103">
        <v>3.3564492468363466E-3</v>
      </c>
      <c r="D891" s="103">
        <v>2.2556705466191831E-3</v>
      </c>
    </row>
    <row r="892" spans="1:4" x14ac:dyDescent="0.25">
      <c r="A892" s="86">
        <v>18</v>
      </c>
      <c r="B892" s="86">
        <v>161</v>
      </c>
      <c r="C892" s="103">
        <v>9.2011805589043739E-4</v>
      </c>
      <c r="D892" s="103">
        <v>1.0501565524988646E-3</v>
      </c>
    </row>
    <row r="893" spans="1:4" x14ac:dyDescent="0.25">
      <c r="A893" s="86">
        <v>18</v>
      </c>
      <c r="B893" s="86">
        <v>163</v>
      </c>
      <c r="C893" s="103">
        <v>2.4159165168235474E-2</v>
      </c>
      <c r="D893" s="103">
        <v>2.7038170128349148E-2</v>
      </c>
    </row>
    <row r="894" spans="1:4" x14ac:dyDescent="0.25">
      <c r="A894" s="86">
        <v>18</v>
      </c>
      <c r="B894" s="86">
        <v>165</v>
      </c>
      <c r="C894" s="103">
        <v>2.9697495628621916E-3</v>
      </c>
      <c r="D894" s="103">
        <v>2.3154234087812806E-3</v>
      </c>
    </row>
    <row r="895" spans="1:4" x14ac:dyDescent="0.25">
      <c r="A895" s="86">
        <v>18</v>
      </c>
      <c r="B895" s="86">
        <v>167</v>
      </c>
      <c r="C895" s="103">
        <v>1.4374022852749047E-2</v>
      </c>
      <c r="D895" s="103">
        <v>1.59838906283611E-2</v>
      </c>
    </row>
    <row r="896" spans="1:4" x14ac:dyDescent="0.25">
      <c r="A896" s="86">
        <v>18</v>
      </c>
      <c r="B896" s="86">
        <v>169</v>
      </c>
      <c r="C896" s="103">
        <v>4.0185427202614138E-3</v>
      </c>
      <c r="D896" s="103">
        <v>4.6607232486436103E-3</v>
      </c>
    </row>
    <row r="897" spans="1:4" x14ac:dyDescent="0.25">
      <c r="A897" s="86">
        <v>18</v>
      </c>
      <c r="B897" s="86">
        <v>171</v>
      </c>
      <c r="C897" s="103">
        <v>1.4974599905699373E-3</v>
      </c>
      <c r="D897" s="103">
        <v>1.2368842467554196E-3</v>
      </c>
    </row>
    <row r="898" spans="1:4" x14ac:dyDescent="0.25">
      <c r="A898" s="86">
        <v>18</v>
      </c>
      <c r="B898" s="86">
        <v>173</v>
      </c>
      <c r="C898" s="103">
        <v>8.6952193142241403E-3</v>
      </c>
      <c r="D898" s="103">
        <v>9.3363847128277444E-3</v>
      </c>
    </row>
    <row r="899" spans="1:4" x14ac:dyDescent="0.25">
      <c r="A899" s="86">
        <v>18</v>
      </c>
      <c r="B899" s="86">
        <v>175</v>
      </c>
      <c r="C899" s="103">
        <v>3.4349374504571684E-3</v>
      </c>
      <c r="D899" s="103">
        <v>4.1677621358063048E-3</v>
      </c>
    </row>
    <row r="900" spans="1:4" x14ac:dyDescent="0.25">
      <c r="A900" s="86">
        <v>18</v>
      </c>
      <c r="B900" s="86">
        <v>177</v>
      </c>
      <c r="C900" s="103">
        <v>1.0534541218015645E-2</v>
      </c>
      <c r="D900" s="103">
        <v>9.8592222567460974E-3</v>
      </c>
    </row>
    <row r="901" spans="1:4" x14ac:dyDescent="0.25">
      <c r="A901" s="86">
        <v>18</v>
      </c>
      <c r="B901" s="86">
        <v>179</v>
      </c>
      <c r="C901" s="103">
        <v>3.8401228963150387E-3</v>
      </c>
      <c r="D901" s="103">
        <v>4.197638566887354E-3</v>
      </c>
    </row>
    <row r="902" spans="1:4" x14ac:dyDescent="0.25">
      <c r="A902" s="86">
        <v>18</v>
      </c>
      <c r="B902" s="86">
        <v>181</v>
      </c>
      <c r="C902" s="103">
        <v>6.2669007343084939E-3</v>
      </c>
      <c r="D902" s="103">
        <v>3.6001099452663784E-3</v>
      </c>
    </row>
    <row r="903" spans="1:4" x14ac:dyDescent="0.25">
      <c r="A903" s="86">
        <v>18</v>
      </c>
      <c r="B903" s="86">
        <v>183</v>
      </c>
      <c r="C903" s="103">
        <v>5.7783767720962446E-3</v>
      </c>
      <c r="D903" s="103">
        <v>5.0789932837782929E-3</v>
      </c>
    </row>
    <row r="904" spans="1:4" x14ac:dyDescent="0.25">
      <c r="A904" s="86">
        <v>19</v>
      </c>
      <c r="B904" s="86">
        <v>1</v>
      </c>
      <c r="C904" s="103">
        <v>9.6008083241654017E-3</v>
      </c>
      <c r="D904" s="103">
        <v>2.2439814006633553E-3</v>
      </c>
    </row>
    <row r="905" spans="1:4" x14ac:dyDescent="0.25">
      <c r="A905" s="86">
        <v>19</v>
      </c>
      <c r="B905" s="86">
        <v>3</v>
      </c>
      <c r="C905" s="103">
        <v>7.3623446827027433E-4</v>
      </c>
      <c r="D905" s="103">
        <v>1.1553171567771729E-3</v>
      </c>
    </row>
    <row r="906" spans="1:4" x14ac:dyDescent="0.25">
      <c r="A906" s="86">
        <v>19</v>
      </c>
      <c r="B906" s="86">
        <v>5</v>
      </c>
      <c r="C906" s="103">
        <v>1.8810287348255419E-3</v>
      </c>
      <c r="D906" s="103">
        <v>4.4117880437370069E-3</v>
      </c>
    </row>
    <row r="907" spans="1:4" x14ac:dyDescent="0.25">
      <c r="A907" s="86">
        <v>19</v>
      </c>
      <c r="B907" s="86">
        <v>7</v>
      </c>
      <c r="C907" s="103">
        <v>2.3796958218849436E-3</v>
      </c>
      <c r="D907" s="103">
        <v>3.9356958088013587E-3</v>
      </c>
    </row>
    <row r="908" spans="1:4" x14ac:dyDescent="0.25">
      <c r="A908" s="86">
        <v>19</v>
      </c>
      <c r="B908" s="86">
        <v>9</v>
      </c>
      <c r="C908" s="103">
        <v>8.6568967906736744E-4</v>
      </c>
      <c r="D908" s="103">
        <v>1.7361496833986638E-3</v>
      </c>
    </row>
    <row r="909" spans="1:4" x14ac:dyDescent="0.25">
      <c r="A909" s="86">
        <v>19</v>
      </c>
      <c r="B909" s="86">
        <v>11</v>
      </c>
      <c r="C909" s="103">
        <v>6.4971869806817063E-3</v>
      </c>
      <c r="D909" s="103">
        <v>8.1253074762350618E-3</v>
      </c>
    </row>
    <row r="910" spans="1:4" x14ac:dyDescent="0.25">
      <c r="A910" s="86">
        <v>19</v>
      </c>
      <c r="B910" s="86">
        <v>13</v>
      </c>
      <c r="C910" s="103">
        <v>3.8784541219731447E-2</v>
      </c>
      <c r="D910" s="103">
        <v>4.1896116674337042E-2</v>
      </c>
    </row>
    <row r="911" spans="1:4" x14ac:dyDescent="0.25">
      <c r="A911" s="86">
        <v>19</v>
      </c>
      <c r="B911" s="86">
        <v>15</v>
      </c>
      <c r="C911" s="103">
        <v>5.9931463030831692E-3</v>
      </c>
      <c r="D911" s="103">
        <v>8.3474838525383656E-3</v>
      </c>
    </row>
    <row r="912" spans="1:4" x14ac:dyDescent="0.25">
      <c r="A912" s="86">
        <v>19</v>
      </c>
      <c r="B912" s="86">
        <v>17</v>
      </c>
      <c r="C912" s="103">
        <v>4.8677275413931669E-3</v>
      </c>
      <c r="D912" s="103">
        <v>7.9031310999317598E-3</v>
      </c>
    </row>
    <row r="913" spans="1:4" x14ac:dyDescent="0.25">
      <c r="A913" s="86">
        <v>19</v>
      </c>
      <c r="B913" s="86">
        <v>19</v>
      </c>
      <c r="C913" s="103">
        <v>6.2057755451282604E-3</v>
      </c>
      <c r="D913" s="103">
        <v>6.7287702537571614E-3</v>
      </c>
    </row>
    <row r="914" spans="1:4" x14ac:dyDescent="0.25">
      <c r="A914" s="86">
        <v>19</v>
      </c>
      <c r="B914" s="86">
        <v>21</v>
      </c>
      <c r="C914" s="103">
        <v>3.8477638374521815E-3</v>
      </c>
      <c r="D914" s="103">
        <v>6.2844175011505564E-3</v>
      </c>
    </row>
    <row r="915" spans="1:4" x14ac:dyDescent="0.25">
      <c r="A915" s="86">
        <v>19</v>
      </c>
      <c r="B915" s="86">
        <v>23</v>
      </c>
      <c r="C915" s="103">
        <v>1.6226866554459249E-3</v>
      </c>
      <c r="D915" s="103">
        <v>4.6022249377112657E-3</v>
      </c>
    </row>
    <row r="916" spans="1:4" x14ac:dyDescent="0.25">
      <c r="A916" s="86">
        <v>19</v>
      </c>
      <c r="B916" s="86">
        <v>25</v>
      </c>
      <c r="C916" s="103">
        <v>2.1741624314168206E-3</v>
      </c>
      <c r="D916" s="103">
        <v>3.0819037341500962E-3</v>
      </c>
    </row>
    <row r="917" spans="1:4" x14ac:dyDescent="0.25">
      <c r="A917" s="86">
        <v>19</v>
      </c>
      <c r="B917" s="86">
        <v>27</v>
      </c>
      <c r="C917" s="103">
        <v>3.8351542534474752E-3</v>
      </c>
      <c r="D917" s="103">
        <v>6.4113754304667295E-3</v>
      </c>
    </row>
    <row r="918" spans="1:4" x14ac:dyDescent="0.25">
      <c r="A918" s="86">
        <v>19</v>
      </c>
      <c r="B918" s="86">
        <v>29</v>
      </c>
      <c r="C918" s="103">
        <v>1.0967446903636052E-2</v>
      </c>
      <c r="D918" s="103">
        <v>4.0943932204465742E-3</v>
      </c>
    </row>
    <row r="919" spans="1:4" x14ac:dyDescent="0.25">
      <c r="A919" s="86">
        <v>19</v>
      </c>
      <c r="B919" s="86">
        <v>31</v>
      </c>
      <c r="C919" s="103">
        <v>1.5698244977400105E-2</v>
      </c>
      <c r="D919" s="103">
        <v>5.903543713202038E-3</v>
      </c>
    </row>
    <row r="920" spans="1:4" x14ac:dyDescent="0.25">
      <c r="A920" s="86">
        <v>19</v>
      </c>
      <c r="B920" s="86">
        <v>33</v>
      </c>
      <c r="C920" s="103">
        <v>1.795382888281866E-2</v>
      </c>
      <c r="D920" s="103">
        <v>1.3521019472172409E-2</v>
      </c>
    </row>
    <row r="921" spans="1:4" x14ac:dyDescent="0.25">
      <c r="A921" s="86">
        <v>19</v>
      </c>
      <c r="B921" s="86">
        <v>35</v>
      </c>
      <c r="C921" s="103">
        <v>1.7905898567929974E-3</v>
      </c>
      <c r="D921" s="103">
        <v>3.5865615031818831E-3</v>
      </c>
    </row>
    <row r="922" spans="1:4" x14ac:dyDescent="0.25">
      <c r="A922" s="86">
        <v>19</v>
      </c>
      <c r="B922" s="86">
        <v>37</v>
      </c>
      <c r="C922" s="103">
        <v>2.29580624949408E-3</v>
      </c>
      <c r="D922" s="103">
        <v>3.8087378794851856E-3</v>
      </c>
    </row>
    <row r="923" spans="1:4" x14ac:dyDescent="0.25">
      <c r="A923" s="86">
        <v>19</v>
      </c>
      <c r="B923" s="86">
        <v>39</v>
      </c>
      <c r="C923" s="103">
        <v>6.6883388209311107E-3</v>
      </c>
      <c r="D923" s="103">
        <v>3.0152508212591051E-3</v>
      </c>
    </row>
    <row r="924" spans="1:4" x14ac:dyDescent="0.25">
      <c r="A924" s="86">
        <v>19</v>
      </c>
      <c r="B924" s="86">
        <v>41</v>
      </c>
      <c r="C924" s="103">
        <v>4.0400438471491253E-3</v>
      </c>
      <c r="D924" s="103">
        <v>5.1100566549759571E-3</v>
      </c>
    </row>
    <row r="925" spans="1:4" x14ac:dyDescent="0.25">
      <c r="A925" s="86">
        <v>19</v>
      </c>
      <c r="B925" s="86">
        <v>43</v>
      </c>
      <c r="C925" s="103">
        <v>3.1767115288966479E-3</v>
      </c>
      <c r="D925" s="103">
        <v>5.5544094075825621E-3</v>
      </c>
    </row>
    <row r="926" spans="1:4" x14ac:dyDescent="0.25">
      <c r="A926" s="86">
        <v>19</v>
      </c>
      <c r="B926" s="86">
        <v>45</v>
      </c>
      <c r="C926" s="103">
        <v>9.9067834785830783E-3</v>
      </c>
      <c r="D926" s="103">
        <v>1.4727119800676052E-2</v>
      </c>
    </row>
    <row r="927" spans="1:4" x14ac:dyDescent="0.25">
      <c r="A927" s="86">
        <v>19</v>
      </c>
      <c r="B927" s="86">
        <v>47</v>
      </c>
      <c r="C927" s="103">
        <v>3.2729516255772372E-3</v>
      </c>
      <c r="D927" s="103">
        <v>5.4274514782663898E-3</v>
      </c>
    </row>
    <row r="928" spans="1:4" x14ac:dyDescent="0.25">
      <c r="A928" s="86">
        <v>19</v>
      </c>
      <c r="B928" s="86">
        <v>49</v>
      </c>
      <c r="C928" s="103">
        <v>2.6030893394823371E-2</v>
      </c>
      <c r="D928" s="103">
        <v>2.8565534096138892E-2</v>
      </c>
    </row>
    <row r="929" spans="1:4" x14ac:dyDescent="0.25">
      <c r="A929" s="86">
        <v>19</v>
      </c>
      <c r="B929" s="86">
        <v>51</v>
      </c>
      <c r="C929" s="103">
        <v>1.3691946692403335E-3</v>
      </c>
      <c r="D929" s="103">
        <v>2.8470315649151761E-3</v>
      </c>
    </row>
    <row r="930" spans="1:4" x14ac:dyDescent="0.25">
      <c r="A930" s="86">
        <v>19</v>
      </c>
      <c r="B930" s="86">
        <v>53</v>
      </c>
      <c r="C930" s="103">
        <v>5.8515839918864459E-3</v>
      </c>
      <c r="D930" s="103">
        <v>2.5042451557615096E-3</v>
      </c>
    </row>
    <row r="931" spans="1:4" x14ac:dyDescent="0.25">
      <c r="A931" s="86">
        <v>19</v>
      </c>
      <c r="B931" s="86">
        <v>55</v>
      </c>
      <c r="C931" s="103">
        <v>4.0627846490848699E-3</v>
      </c>
      <c r="D931" s="103">
        <v>5.4274514782663898E-3</v>
      </c>
    </row>
    <row r="932" spans="1:4" x14ac:dyDescent="0.25">
      <c r="A932" s="86">
        <v>19</v>
      </c>
      <c r="B932" s="86">
        <v>57</v>
      </c>
      <c r="C932" s="103">
        <v>9.7031563437531831E-3</v>
      </c>
      <c r="D932" s="103">
        <v>1.2410137590655896E-2</v>
      </c>
    </row>
    <row r="933" spans="1:4" x14ac:dyDescent="0.25">
      <c r="A933" s="86">
        <v>19</v>
      </c>
      <c r="B933" s="86">
        <v>59</v>
      </c>
      <c r="C933" s="103">
        <v>5.4742985157894422E-3</v>
      </c>
      <c r="D933" s="103">
        <v>5.4274514782663898E-3</v>
      </c>
    </row>
    <row r="934" spans="1:4" x14ac:dyDescent="0.25">
      <c r="A934" s="86">
        <v>19</v>
      </c>
      <c r="B934" s="86">
        <v>61</v>
      </c>
      <c r="C934" s="103">
        <v>2.231453729251023E-2</v>
      </c>
      <c r="D934" s="103">
        <v>3.0755558376842875E-2</v>
      </c>
    </row>
    <row r="935" spans="1:4" x14ac:dyDescent="0.25">
      <c r="A935" s="86">
        <v>19</v>
      </c>
      <c r="B935" s="86">
        <v>63</v>
      </c>
      <c r="C935" s="103">
        <v>1.6997128499215755E-3</v>
      </c>
      <c r="D935" s="103">
        <v>2.94542396013521E-3</v>
      </c>
    </row>
    <row r="936" spans="1:4" x14ac:dyDescent="0.25">
      <c r="A936" s="86">
        <v>19</v>
      </c>
      <c r="B936" s="86">
        <v>65</v>
      </c>
      <c r="C936" s="103">
        <v>3.0886232334313276E-3</v>
      </c>
      <c r="D936" s="103">
        <v>6.2526780188215132E-3</v>
      </c>
    </row>
    <row r="937" spans="1:4" x14ac:dyDescent="0.25">
      <c r="A937" s="86">
        <v>19</v>
      </c>
      <c r="B937" s="86">
        <v>67</v>
      </c>
      <c r="C937" s="103">
        <v>3.877108915172226E-3</v>
      </c>
      <c r="D937" s="103">
        <v>5.0148382079888273E-3</v>
      </c>
    </row>
    <row r="938" spans="1:4" x14ac:dyDescent="0.25">
      <c r="A938" s="86">
        <v>19</v>
      </c>
      <c r="B938" s="86">
        <v>69</v>
      </c>
      <c r="C938" s="103">
        <v>7.8992017104823516E-3</v>
      </c>
      <c r="D938" s="103">
        <v>3.2056877152333648E-3</v>
      </c>
    </row>
    <row r="939" spans="1:4" x14ac:dyDescent="0.25">
      <c r="A939" s="86">
        <v>19</v>
      </c>
      <c r="B939" s="86">
        <v>71</v>
      </c>
      <c r="C939" s="103">
        <v>6.6227209113290447E-3</v>
      </c>
      <c r="D939" s="103">
        <v>2.2154158665672161E-3</v>
      </c>
    </row>
    <row r="940" spans="1:4" x14ac:dyDescent="0.25">
      <c r="A940" s="86">
        <v>19</v>
      </c>
      <c r="B940" s="86">
        <v>73</v>
      </c>
      <c r="C940" s="103">
        <v>1.5250721928676758E-3</v>
      </c>
      <c r="D940" s="103">
        <v>2.8470315649151761E-3</v>
      </c>
    </row>
    <row r="941" spans="1:4" x14ac:dyDescent="0.25">
      <c r="A941" s="86">
        <v>19</v>
      </c>
      <c r="B941" s="86">
        <v>75</v>
      </c>
      <c r="C941" s="103">
        <v>3.2578694250283797E-3</v>
      </c>
      <c r="D941" s="103">
        <v>3.9039563264723154E-3</v>
      </c>
    </row>
    <row r="942" spans="1:4" x14ac:dyDescent="0.25">
      <c r="A942" s="86">
        <v>19</v>
      </c>
      <c r="B942" s="86">
        <v>77</v>
      </c>
      <c r="C942" s="103">
        <v>1.5243222517984801E-3</v>
      </c>
      <c r="D942" s="103">
        <v>3.3961246092076239E-3</v>
      </c>
    </row>
    <row r="943" spans="1:4" x14ac:dyDescent="0.25">
      <c r="A943" s="86">
        <v>19</v>
      </c>
      <c r="B943" s="86">
        <v>79</v>
      </c>
      <c r="C943" s="103">
        <v>1.2279115206431331E-2</v>
      </c>
      <c r="D943" s="103">
        <v>4.7291828670274387E-3</v>
      </c>
    </row>
    <row r="944" spans="1:4" x14ac:dyDescent="0.25">
      <c r="A944" s="86">
        <v>19</v>
      </c>
      <c r="B944" s="86">
        <v>81</v>
      </c>
      <c r="C944" s="103">
        <v>1.8357702717961919E-3</v>
      </c>
      <c r="D944" s="103">
        <v>3.3961246092076239E-3</v>
      </c>
    </row>
    <row r="945" spans="1:4" x14ac:dyDescent="0.25">
      <c r="A945" s="86">
        <v>19</v>
      </c>
      <c r="B945" s="86">
        <v>83</v>
      </c>
      <c r="C945" s="103">
        <v>3.7100907930156125E-3</v>
      </c>
      <c r="D945" s="103">
        <v>5.3639725136083033E-3</v>
      </c>
    </row>
    <row r="946" spans="1:4" x14ac:dyDescent="0.25">
      <c r="A946" s="86">
        <v>19</v>
      </c>
      <c r="B946" s="86">
        <v>85</v>
      </c>
      <c r="C946" s="103">
        <v>9.0253863464867853E-3</v>
      </c>
      <c r="D946" s="103">
        <v>4.4752670083950934E-3</v>
      </c>
    </row>
    <row r="947" spans="1:4" x14ac:dyDescent="0.25">
      <c r="A947" s="86">
        <v>19</v>
      </c>
      <c r="B947" s="86">
        <v>87</v>
      </c>
      <c r="C947" s="103">
        <v>5.0159187615179228E-3</v>
      </c>
      <c r="D947" s="103">
        <v>6.347896465808643E-3</v>
      </c>
    </row>
    <row r="948" spans="1:4" x14ac:dyDescent="0.25">
      <c r="A948" s="86">
        <v>19</v>
      </c>
      <c r="B948" s="86">
        <v>89</v>
      </c>
      <c r="C948" s="103">
        <v>1.5044475079258434E-3</v>
      </c>
      <c r="D948" s="103">
        <v>2.9105105295732627E-3</v>
      </c>
    </row>
    <row r="949" spans="1:4" x14ac:dyDescent="0.25">
      <c r="A949" s="86">
        <v>19</v>
      </c>
      <c r="B949" s="86">
        <v>91</v>
      </c>
      <c r="C949" s="103">
        <v>1.7522415129507722E-3</v>
      </c>
      <c r="D949" s="103">
        <v>3.0342945106565313E-3</v>
      </c>
    </row>
    <row r="950" spans="1:4" x14ac:dyDescent="0.25">
      <c r="A950" s="86">
        <v>19</v>
      </c>
      <c r="B950" s="86">
        <v>93</v>
      </c>
      <c r="C950" s="103">
        <v>1.3307125304831944E-3</v>
      </c>
      <c r="D950" s="103">
        <v>2.1741545395394602E-3</v>
      </c>
    </row>
    <row r="951" spans="1:4" x14ac:dyDescent="0.25">
      <c r="A951" s="86">
        <v>19</v>
      </c>
      <c r="B951" s="86">
        <v>95</v>
      </c>
      <c r="C951" s="103">
        <v>1.467754579746694E-2</v>
      </c>
      <c r="D951" s="103">
        <v>5.1417961373050004E-3</v>
      </c>
    </row>
    <row r="952" spans="1:4" x14ac:dyDescent="0.25">
      <c r="A952" s="86">
        <v>19</v>
      </c>
      <c r="B952" s="86">
        <v>97</v>
      </c>
      <c r="C952" s="103">
        <v>3.4832136786799271E-3</v>
      </c>
      <c r="D952" s="103">
        <v>6.1574595718343833E-3</v>
      </c>
    </row>
    <row r="953" spans="1:4" x14ac:dyDescent="0.25">
      <c r="A953" s="86">
        <v>19</v>
      </c>
      <c r="B953" s="86">
        <v>99</v>
      </c>
      <c r="C953" s="103">
        <v>2.215651334952003E-2</v>
      </c>
      <c r="D953" s="103">
        <v>1.1807087426404076E-2</v>
      </c>
    </row>
    <row r="954" spans="1:4" x14ac:dyDescent="0.25">
      <c r="A954" s="86">
        <v>19</v>
      </c>
      <c r="B954" s="86">
        <v>101</v>
      </c>
      <c r="C954" s="103">
        <v>3.235897860203753E-3</v>
      </c>
      <c r="D954" s="103">
        <v>5.8083252662149082E-3</v>
      </c>
    </row>
    <row r="955" spans="1:4" x14ac:dyDescent="0.25">
      <c r="A955" s="86">
        <v>19</v>
      </c>
      <c r="B955" s="86">
        <v>103</v>
      </c>
      <c r="C955" s="103">
        <v>5.685436870384649E-2</v>
      </c>
      <c r="D955" s="103">
        <v>4.7926618316855255E-2</v>
      </c>
    </row>
    <row r="956" spans="1:4" x14ac:dyDescent="0.25">
      <c r="A956" s="86">
        <v>19</v>
      </c>
      <c r="B956" s="86">
        <v>105</v>
      </c>
      <c r="C956" s="103">
        <v>3.8552395532370871E-3</v>
      </c>
      <c r="D956" s="103">
        <v>6.570072842111945E-3</v>
      </c>
    </row>
    <row r="957" spans="1:4" x14ac:dyDescent="0.25">
      <c r="A957" s="86">
        <v>19</v>
      </c>
      <c r="B957" s="86">
        <v>107</v>
      </c>
      <c r="C957" s="103">
        <v>1.4167544649143831E-3</v>
      </c>
      <c r="D957" s="103">
        <v>3.2374271975624076E-3</v>
      </c>
    </row>
    <row r="958" spans="1:4" x14ac:dyDescent="0.25">
      <c r="A958" s="86">
        <v>19</v>
      </c>
      <c r="B958" s="86">
        <v>109</v>
      </c>
      <c r="C958" s="103">
        <v>3.0406542825200571E-3</v>
      </c>
      <c r="D958" s="103">
        <v>4.7291828670274387E-3</v>
      </c>
    </row>
    <row r="959" spans="1:4" x14ac:dyDescent="0.25">
      <c r="A959" s="86">
        <v>19</v>
      </c>
      <c r="B959" s="86">
        <v>111</v>
      </c>
      <c r="C959" s="103">
        <v>7.434627969183925E-3</v>
      </c>
      <c r="D959" s="103">
        <v>1.0759684509545649E-2</v>
      </c>
    </row>
    <row r="960" spans="1:4" x14ac:dyDescent="0.25">
      <c r="A960" s="86">
        <v>19</v>
      </c>
      <c r="B960" s="86">
        <v>113</v>
      </c>
      <c r="C960" s="103">
        <v>7.1824012493110434E-2</v>
      </c>
      <c r="D960" s="103">
        <v>7.1731230063637658E-2</v>
      </c>
    </row>
    <row r="961" spans="1:4" x14ac:dyDescent="0.25">
      <c r="A961" s="86">
        <v>19</v>
      </c>
      <c r="B961" s="86">
        <v>115</v>
      </c>
      <c r="C961" s="103">
        <v>1.6673143270252153E-3</v>
      </c>
      <c r="D961" s="103">
        <v>3.5548220208528399E-3</v>
      </c>
    </row>
    <row r="962" spans="1:4" x14ac:dyDescent="0.25">
      <c r="A962" s="86">
        <v>19</v>
      </c>
      <c r="B962" s="86">
        <v>117</v>
      </c>
      <c r="C962" s="103">
        <v>1.3735713953442171E-3</v>
      </c>
      <c r="D962" s="103">
        <v>2.7359433767635251E-3</v>
      </c>
    </row>
    <row r="963" spans="1:4" x14ac:dyDescent="0.25">
      <c r="A963" s="86">
        <v>19</v>
      </c>
      <c r="B963" s="86">
        <v>119</v>
      </c>
      <c r="C963" s="103">
        <v>1.9725284665999322E-3</v>
      </c>
      <c r="D963" s="103">
        <v>3.7452589148270991E-3</v>
      </c>
    </row>
    <row r="964" spans="1:4" x14ac:dyDescent="0.25">
      <c r="A964" s="86">
        <v>19</v>
      </c>
      <c r="B964" s="86">
        <v>121</v>
      </c>
      <c r="C964" s="103">
        <v>3.0808255113051004E-3</v>
      </c>
      <c r="D964" s="103">
        <v>5.1417961373050004E-3</v>
      </c>
    </row>
    <row r="965" spans="1:4" x14ac:dyDescent="0.25">
      <c r="A965" s="86">
        <v>19</v>
      </c>
      <c r="B965" s="86">
        <v>123</v>
      </c>
      <c r="C965" s="103">
        <v>5.3972269427574517E-3</v>
      </c>
      <c r="D965" s="103">
        <v>6.9826861123895067E-3</v>
      </c>
    </row>
    <row r="966" spans="1:4" x14ac:dyDescent="0.25">
      <c r="A966" s="86">
        <v>19</v>
      </c>
      <c r="B966" s="86">
        <v>125</v>
      </c>
      <c r="C966" s="103">
        <v>7.0110149787609372E-3</v>
      </c>
      <c r="D966" s="103">
        <v>1.0569247615571389E-2</v>
      </c>
    </row>
    <row r="967" spans="1:4" x14ac:dyDescent="0.25">
      <c r="A967" s="86">
        <v>19</v>
      </c>
      <c r="B967" s="86">
        <v>127</v>
      </c>
      <c r="C967" s="103">
        <v>8.1838070375281728E-3</v>
      </c>
      <c r="D967" s="103">
        <v>1.2664053449288242E-2</v>
      </c>
    </row>
    <row r="968" spans="1:4" x14ac:dyDescent="0.25">
      <c r="A968" s="86">
        <v>19</v>
      </c>
      <c r="B968" s="86">
        <v>129</v>
      </c>
      <c r="C968" s="103">
        <v>7.778993368983445E-3</v>
      </c>
      <c r="D968" s="103">
        <v>4.7926618316855253E-3</v>
      </c>
    </row>
    <row r="969" spans="1:4" x14ac:dyDescent="0.25">
      <c r="A969" s="86">
        <v>19</v>
      </c>
      <c r="B969" s="86">
        <v>131</v>
      </c>
      <c r="C969" s="103">
        <v>1.4251732403635265E-3</v>
      </c>
      <c r="D969" s="103">
        <v>3.3643851268785807E-3</v>
      </c>
    </row>
    <row r="970" spans="1:4" x14ac:dyDescent="0.25">
      <c r="A970" s="86">
        <v>19</v>
      </c>
      <c r="B970" s="86">
        <v>133</v>
      </c>
      <c r="C970" s="103">
        <v>7.6346521366308017E-3</v>
      </c>
      <c r="D970" s="103">
        <v>2.7486391696951423E-3</v>
      </c>
    </row>
    <row r="971" spans="1:4" x14ac:dyDescent="0.25">
      <c r="A971" s="86">
        <v>19</v>
      </c>
      <c r="B971" s="86">
        <v>135</v>
      </c>
      <c r="C971" s="103">
        <v>1.3701460245422786E-3</v>
      </c>
      <c r="D971" s="103">
        <v>2.4661577769666577E-3</v>
      </c>
    </row>
    <row r="972" spans="1:4" x14ac:dyDescent="0.25">
      <c r="A972" s="86">
        <v>19</v>
      </c>
      <c r="B972" s="86">
        <v>137</v>
      </c>
      <c r="C972" s="103">
        <v>1.8963805149632747E-3</v>
      </c>
      <c r="D972" s="103">
        <v>3.1612524399727039E-3</v>
      </c>
    </row>
    <row r="973" spans="1:4" x14ac:dyDescent="0.25">
      <c r="A973" s="86">
        <v>19</v>
      </c>
      <c r="B973" s="86">
        <v>139</v>
      </c>
      <c r="C973" s="103">
        <v>1.0159981933509291E-2</v>
      </c>
      <c r="D973" s="103">
        <v>1.3616237919159538E-2</v>
      </c>
    </row>
    <row r="974" spans="1:4" x14ac:dyDescent="0.25">
      <c r="A974" s="86">
        <v>19</v>
      </c>
      <c r="B974" s="86">
        <v>141</v>
      </c>
      <c r="C974" s="103">
        <v>2.1567433719343297E-3</v>
      </c>
      <c r="D974" s="103">
        <v>4.3800485614079636E-3</v>
      </c>
    </row>
    <row r="975" spans="1:4" x14ac:dyDescent="0.25">
      <c r="A975" s="86">
        <v>19</v>
      </c>
      <c r="B975" s="86">
        <v>143</v>
      </c>
      <c r="C975" s="103">
        <v>1.3512807651463485E-3</v>
      </c>
      <c r="D975" s="103">
        <v>1.9138907844413057E-3</v>
      </c>
    </row>
    <row r="976" spans="1:4" x14ac:dyDescent="0.25">
      <c r="A976" s="86">
        <v>19</v>
      </c>
      <c r="B976" s="86">
        <v>145</v>
      </c>
      <c r="C976" s="103">
        <v>2.6297969331179191E-3</v>
      </c>
      <c r="D976" s="103">
        <v>4.8244013140145686E-3</v>
      </c>
    </row>
    <row r="977" spans="1:4" x14ac:dyDescent="0.25">
      <c r="A977" s="86">
        <v>19</v>
      </c>
      <c r="B977" s="86">
        <v>147</v>
      </c>
      <c r="C977" s="103">
        <v>1.4206040798490633E-3</v>
      </c>
      <c r="D977" s="103">
        <v>2.8248139272848459E-3</v>
      </c>
    </row>
    <row r="978" spans="1:4" x14ac:dyDescent="0.25">
      <c r="A978" s="86">
        <v>19</v>
      </c>
      <c r="B978" s="86">
        <v>149</v>
      </c>
      <c r="C978" s="103">
        <v>5.894076540577736E-3</v>
      </c>
      <c r="D978" s="103">
        <v>7.9348705822608039E-3</v>
      </c>
    </row>
    <row r="979" spans="1:4" x14ac:dyDescent="0.25">
      <c r="A979" s="86">
        <v>19</v>
      </c>
      <c r="B979" s="86">
        <v>151</v>
      </c>
      <c r="C979" s="103">
        <v>1.2697532237386504E-3</v>
      </c>
      <c r="D979" s="103">
        <v>2.1297192642787998E-3</v>
      </c>
    </row>
    <row r="980" spans="1:4" x14ac:dyDescent="0.25">
      <c r="A980" s="86">
        <v>19</v>
      </c>
      <c r="B980" s="86">
        <v>153</v>
      </c>
      <c r="C980" s="103">
        <v>0.16716255613896649</v>
      </c>
      <c r="D980" s="103">
        <v>0.15425388411915</v>
      </c>
    </row>
    <row r="981" spans="1:4" x14ac:dyDescent="0.25">
      <c r="A981" s="86">
        <v>19</v>
      </c>
      <c r="B981" s="86">
        <v>155</v>
      </c>
      <c r="C981" s="103">
        <v>5.2520860926721674E-2</v>
      </c>
      <c r="D981" s="103">
        <v>2.9612937012997317E-2</v>
      </c>
    </row>
    <row r="982" spans="1:4" x14ac:dyDescent="0.25">
      <c r="A982" s="86">
        <v>19</v>
      </c>
      <c r="B982" s="86">
        <v>157</v>
      </c>
      <c r="C982" s="103">
        <v>1.4622931832777472E-2</v>
      </c>
      <c r="D982" s="103">
        <v>5.8718042308729948E-3</v>
      </c>
    </row>
    <row r="983" spans="1:4" x14ac:dyDescent="0.25">
      <c r="A983" s="86">
        <v>19</v>
      </c>
      <c r="B983" s="86">
        <v>159</v>
      </c>
      <c r="C983" s="103">
        <v>7.7773565092239324E-4</v>
      </c>
      <c r="D983" s="103">
        <v>1.5679304270547348E-3</v>
      </c>
    </row>
    <row r="984" spans="1:4" x14ac:dyDescent="0.25">
      <c r="A984" s="86">
        <v>19</v>
      </c>
      <c r="B984" s="86">
        <v>161</v>
      </c>
      <c r="C984" s="103">
        <v>2.2695758438584586E-3</v>
      </c>
      <c r="D984" s="103">
        <v>3.0819037341500962E-3</v>
      </c>
    </row>
    <row r="985" spans="1:4" x14ac:dyDescent="0.25">
      <c r="A985" s="86">
        <v>19</v>
      </c>
      <c r="B985" s="86">
        <v>163</v>
      </c>
      <c r="C985" s="103">
        <v>6.079063033898479E-2</v>
      </c>
      <c r="D985" s="103">
        <v>5.4909304429244757E-2</v>
      </c>
    </row>
    <row r="986" spans="1:4" x14ac:dyDescent="0.25">
      <c r="A986" s="86">
        <v>19</v>
      </c>
      <c r="B986" s="86">
        <v>165</v>
      </c>
      <c r="C986" s="103">
        <v>1.725594254183717E-3</v>
      </c>
      <c r="D986" s="103">
        <v>3.681779950169013E-3</v>
      </c>
    </row>
    <row r="987" spans="1:4" x14ac:dyDescent="0.25">
      <c r="A987" s="86">
        <v>19</v>
      </c>
      <c r="B987" s="86">
        <v>167</v>
      </c>
      <c r="C987" s="103">
        <v>6.1121046819004711E-3</v>
      </c>
      <c r="D987" s="103">
        <v>1.1045339850507038E-2</v>
      </c>
    </row>
    <row r="988" spans="1:4" x14ac:dyDescent="0.25">
      <c r="A988" s="86">
        <v>19</v>
      </c>
      <c r="B988" s="86">
        <v>169</v>
      </c>
      <c r="C988" s="103">
        <v>3.090820415589925E-2</v>
      </c>
      <c r="D988" s="103">
        <v>3.0723818894513831E-2</v>
      </c>
    </row>
    <row r="989" spans="1:4" x14ac:dyDescent="0.25">
      <c r="A989" s="86">
        <v>19</v>
      </c>
      <c r="B989" s="86">
        <v>171</v>
      </c>
      <c r="C989" s="103">
        <v>2.7962655658918408E-3</v>
      </c>
      <c r="D989" s="103">
        <v>5.3639725136083033E-3</v>
      </c>
    </row>
    <row r="990" spans="1:4" x14ac:dyDescent="0.25">
      <c r="A990" s="86">
        <v>19</v>
      </c>
      <c r="B990" s="86">
        <v>173</v>
      </c>
      <c r="C990" s="103">
        <v>7.315208315687565E-4</v>
      </c>
      <c r="D990" s="103">
        <v>1.9551521114690618E-3</v>
      </c>
    </row>
    <row r="991" spans="1:4" x14ac:dyDescent="0.25">
      <c r="A991" s="86">
        <v>19</v>
      </c>
      <c r="B991" s="86">
        <v>175</v>
      </c>
      <c r="C991" s="103">
        <v>2.2569950262057931E-3</v>
      </c>
      <c r="D991" s="103">
        <v>3.9039563264723154E-3</v>
      </c>
    </row>
    <row r="992" spans="1:4" x14ac:dyDescent="0.25">
      <c r="A992" s="86">
        <v>19</v>
      </c>
      <c r="B992" s="86">
        <v>177</v>
      </c>
      <c r="C992" s="103">
        <v>1.0157712578690674E-3</v>
      </c>
      <c r="D992" s="103">
        <v>2.2249377112659291E-3</v>
      </c>
    </row>
    <row r="993" spans="1:4" x14ac:dyDescent="0.25">
      <c r="A993" s="86">
        <v>19</v>
      </c>
      <c r="B993" s="86">
        <v>179</v>
      </c>
      <c r="C993" s="103">
        <v>8.9419517691950862E-3</v>
      </c>
      <c r="D993" s="103">
        <v>1.1108818815165124E-2</v>
      </c>
    </row>
    <row r="994" spans="1:4" x14ac:dyDescent="0.25">
      <c r="A994" s="86">
        <v>19</v>
      </c>
      <c r="B994" s="86">
        <v>181</v>
      </c>
      <c r="C994" s="103">
        <v>1.9709870522079575E-2</v>
      </c>
      <c r="D994" s="103">
        <v>1.6187135987812039E-2</v>
      </c>
    </row>
    <row r="995" spans="1:4" x14ac:dyDescent="0.25">
      <c r="A995" s="86">
        <v>19</v>
      </c>
      <c r="B995" s="86">
        <v>183</v>
      </c>
      <c r="C995" s="103">
        <v>4.8731302574923441E-3</v>
      </c>
      <c r="D995" s="103">
        <v>7.0144255947185499E-3</v>
      </c>
    </row>
    <row r="996" spans="1:4" x14ac:dyDescent="0.25">
      <c r="A996" s="86">
        <v>19</v>
      </c>
      <c r="B996" s="86">
        <v>185</v>
      </c>
      <c r="C996" s="103">
        <v>8.7549172165176043E-4</v>
      </c>
      <c r="D996" s="103">
        <v>2.03450081729167E-3</v>
      </c>
    </row>
    <row r="997" spans="1:4" x14ac:dyDescent="0.25">
      <c r="A997" s="86">
        <v>19</v>
      </c>
      <c r="B997" s="86">
        <v>187</v>
      </c>
      <c r="C997" s="103">
        <v>8.3352760361196931E-3</v>
      </c>
      <c r="D997" s="103">
        <v>1.1521432085442686E-2</v>
      </c>
    </row>
    <row r="998" spans="1:4" x14ac:dyDescent="0.25">
      <c r="A998" s="86">
        <v>19</v>
      </c>
      <c r="B998" s="86">
        <v>189</v>
      </c>
      <c r="C998" s="103">
        <v>1.266650493556449E-3</v>
      </c>
      <c r="D998" s="103">
        <v>3.3326456445495374E-3</v>
      </c>
    </row>
    <row r="999" spans="1:4" x14ac:dyDescent="0.25">
      <c r="A999" s="86">
        <v>19</v>
      </c>
      <c r="B999" s="86">
        <v>191</v>
      </c>
      <c r="C999" s="103">
        <v>4.155457074182428E-3</v>
      </c>
      <c r="D999" s="103">
        <v>6.347896465808643E-3</v>
      </c>
    </row>
    <row r="1000" spans="1:4" x14ac:dyDescent="0.25">
      <c r="A1000" s="86">
        <v>19</v>
      </c>
      <c r="B1000" s="86">
        <v>193</v>
      </c>
      <c r="C1000" s="103">
        <v>3.2036300378570783E-2</v>
      </c>
      <c r="D1000" s="103">
        <v>3.2691666798914512E-2</v>
      </c>
    </row>
    <row r="1001" spans="1:4" x14ac:dyDescent="0.25">
      <c r="A1001" s="86">
        <v>19</v>
      </c>
      <c r="B1001" s="86">
        <v>195</v>
      </c>
      <c r="C1001" s="103">
        <v>6.546717020504929E-3</v>
      </c>
      <c r="D1001" s="103">
        <v>2.3518956405821022E-3</v>
      </c>
    </row>
    <row r="1002" spans="1:4" x14ac:dyDescent="0.25">
      <c r="A1002" s="86">
        <v>19</v>
      </c>
      <c r="B1002" s="86">
        <v>197</v>
      </c>
      <c r="C1002" s="103">
        <v>2.0785980305362012E-3</v>
      </c>
      <c r="D1002" s="103">
        <v>4.0309142557884885E-3</v>
      </c>
    </row>
    <row r="1003" spans="1:4" x14ac:dyDescent="0.25">
      <c r="A1003" s="86">
        <v>20</v>
      </c>
      <c r="B1003" s="86">
        <v>1</v>
      </c>
      <c r="C1003" s="103">
        <v>2.3781916438842679E-3</v>
      </c>
      <c r="D1003" s="103">
        <v>4.295857418773928E-3</v>
      </c>
    </row>
    <row r="1004" spans="1:4" x14ac:dyDescent="0.25">
      <c r="A1004" s="86">
        <v>20</v>
      </c>
      <c r="B1004" s="86">
        <v>3</v>
      </c>
      <c r="C1004" s="103">
        <v>1.0945547043118597E-3</v>
      </c>
      <c r="D1004" s="103">
        <v>2.6977984589900269E-3</v>
      </c>
    </row>
    <row r="1005" spans="1:4" x14ac:dyDescent="0.25">
      <c r="A1005" s="86">
        <v>20</v>
      </c>
      <c r="B1005" s="86">
        <v>5</v>
      </c>
      <c r="C1005" s="103">
        <v>2.6849482169573028E-3</v>
      </c>
      <c r="D1005" s="103">
        <v>5.5674312147310102E-3</v>
      </c>
    </row>
    <row r="1006" spans="1:4" x14ac:dyDescent="0.25">
      <c r="A1006" s="86">
        <v>20</v>
      </c>
      <c r="B1006" s="86">
        <v>7</v>
      </c>
      <c r="C1006" s="103">
        <v>6.3422227525754174E-4</v>
      </c>
      <c r="D1006" s="103">
        <v>1.5361986129535565E-3</v>
      </c>
    </row>
    <row r="1007" spans="1:4" x14ac:dyDescent="0.25">
      <c r="A1007" s="86">
        <v>20</v>
      </c>
      <c r="B1007" s="86">
        <v>9</v>
      </c>
      <c r="C1007" s="103">
        <v>4.9793570183324191E-3</v>
      </c>
      <c r="D1007" s="103">
        <v>8.9697502903999613E-3</v>
      </c>
    </row>
    <row r="1008" spans="1:4" x14ac:dyDescent="0.25">
      <c r="A1008" s="86">
        <v>20</v>
      </c>
      <c r="B1008" s="86">
        <v>11</v>
      </c>
      <c r="C1008" s="103">
        <v>4.230876677314855E-3</v>
      </c>
      <c r="D1008" s="103">
        <v>4.9831946057777568E-3</v>
      </c>
    </row>
    <row r="1009" spans="1:4" x14ac:dyDescent="0.25">
      <c r="A1009" s="86">
        <v>20</v>
      </c>
      <c r="B1009" s="86">
        <v>13</v>
      </c>
      <c r="C1009" s="103">
        <v>1.6715698087078163E-3</v>
      </c>
      <c r="D1009" s="103">
        <v>3.3026551835533958E-3</v>
      </c>
    </row>
    <row r="1010" spans="1:4" x14ac:dyDescent="0.25">
      <c r="A1010" s="86">
        <v>20</v>
      </c>
      <c r="B1010" s="86">
        <v>15</v>
      </c>
      <c r="C1010" s="103">
        <v>2.6971045834492596E-2</v>
      </c>
      <c r="D1010" s="103">
        <v>2.2957062045927869E-2</v>
      </c>
    </row>
    <row r="1011" spans="1:4" x14ac:dyDescent="0.25">
      <c r="A1011" s="86">
        <v>20</v>
      </c>
      <c r="B1011" s="86">
        <v>17</v>
      </c>
      <c r="C1011" s="103">
        <v>5.5714829000525759E-3</v>
      </c>
      <c r="D1011" s="103">
        <v>8.9353834310497697E-4</v>
      </c>
    </row>
    <row r="1012" spans="1:4" x14ac:dyDescent="0.25">
      <c r="A1012" s="86">
        <v>20</v>
      </c>
      <c r="B1012" s="86">
        <v>19</v>
      </c>
      <c r="C1012" s="103">
        <v>4.7463416782050227E-4</v>
      </c>
      <c r="D1012" s="103">
        <v>1.134106358556317E-3</v>
      </c>
    </row>
    <row r="1013" spans="1:4" x14ac:dyDescent="0.25">
      <c r="A1013" s="86">
        <v>20</v>
      </c>
      <c r="B1013" s="86">
        <v>21</v>
      </c>
      <c r="C1013" s="103">
        <v>4.1409430430562784E-3</v>
      </c>
      <c r="D1013" s="103">
        <v>6.873371870038285E-3</v>
      </c>
    </row>
    <row r="1014" spans="1:4" x14ac:dyDescent="0.25">
      <c r="A1014" s="86">
        <v>20</v>
      </c>
      <c r="B1014" s="86">
        <v>23</v>
      </c>
      <c r="C1014" s="103">
        <v>4.7747164874044747E-4</v>
      </c>
      <c r="D1014" s="103">
        <v>9.1072177278007276E-4</v>
      </c>
    </row>
    <row r="1015" spans="1:4" x14ac:dyDescent="0.25">
      <c r="A1015" s="86">
        <v>20</v>
      </c>
      <c r="B1015" s="86">
        <v>25</v>
      </c>
      <c r="C1015" s="103">
        <v>5.4884673125066437E-4</v>
      </c>
      <c r="D1015" s="103">
        <v>6.8390050106880936E-4</v>
      </c>
    </row>
    <row r="1016" spans="1:4" x14ac:dyDescent="0.25">
      <c r="A1016" s="86">
        <v>20</v>
      </c>
      <c r="B1016" s="86">
        <v>27</v>
      </c>
      <c r="C1016" s="103">
        <v>9.66443865562246E-4</v>
      </c>
      <c r="D1016" s="103">
        <v>2.7493487480153137E-3</v>
      </c>
    </row>
    <row r="1017" spans="1:4" x14ac:dyDescent="0.25">
      <c r="A1017" s="86">
        <v>20</v>
      </c>
      <c r="B1017" s="86">
        <v>29</v>
      </c>
      <c r="C1017" s="103">
        <v>3.9821677034520232E-3</v>
      </c>
      <c r="D1017" s="103">
        <v>3.0002268212717112E-3</v>
      </c>
    </row>
    <row r="1018" spans="1:4" x14ac:dyDescent="0.25">
      <c r="A1018" s="86">
        <v>20</v>
      </c>
      <c r="B1018" s="86">
        <v>31</v>
      </c>
      <c r="C1018" s="103">
        <v>3.8366389179585636E-3</v>
      </c>
      <c r="D1018" s="103">
        <v>2.828392524520754E-3</v>
      </c>
    </row>
    <row r="1019" spans="1:4" x14ac:dyDescent="0.25">
      <c r="A1019" s="86">
        <v>20</v>
      </c>
      <c r="B1019" s="86">
        <v>33</v>
      </c>
      <c r="C1019" s="103">
        <v>2.4428523018996156E-4</v>
      </c>
      <c r="D1019" s="103">
        <v>5.9798335269333077E-4</v>
      </c>
    </row>
    <row r="1020" spans="1:4" x14ac:dyDescent="0.25">
      <c r="A1020" s="86">
        <v>20</v>
      </c>
      <c r="B1020" s="86">
        <v>35</v>
      </c>
      <c r="C1020" s="103">
        <v>7.7924395206136572E-3</v>
      </c>
      <c r="D1020" s="103">
        <v>1.2062767631917189E-2</v>
      </c>
    </row>
    <row r="1021" spans="1:4" x14ac:dyDescent="0.25">
      <c r="A1021" s="86">
        <v>20</v>
      </c>
      <c r="B1021" s="86">
        <v>37</v>
      </c>
      <c r="C1021" s="103">
        <v>8.2755612869746548E-3</v>
      </c>
      <c r="D1021" s="103">
        <v>1.3368708287224463E-2</v>
      </c>
    </row>
    <row r="1022" spans="1:4" x14ac:dyDescent="0.25">
      <c r="A1022" s="86">
        <v>20</v>
      </c>
      <c r="B1022" s="86">
        <v>39</v>
      </c>
      <c r="C1022" s="103">
        <v>5.6105379452803022E-4</v>
      </c>
      <c r="D1022" s="103">
        <v>9.8289217741547464E-4</v>
      </c>
    </row>
    <row r="1023" spans="1:4" x14ac:dyDescent="0.25">
      <c r="A1023" s="86">
        <v>20</v>
      </c>
      <c r="B1023" s="86">
        <v>41</v>
      </c>
      <c r="C1023" s="103">
        <v>8.92881788541839E-3</v>
      </c>
      <c r="D1023" s="103">
        <v>6.4266026984857961E-3</v>
      </c>
    </row>
    <row r="1024" spans="1:4" x14ac:dyDescent="0.25">
      <c r="A1024" s="86">
        <v>20</v>
      </c>
      <c r="B1024" s="86">
        <v>43</v>
      </c>
      <c r="C1024" s="103">
        <v>2.2164163121153923E-3</v>
      </c>
      <c r="D1024" s="103">
        <v>2.632501426224663E-3</v>
      </c>
    </row>
    <row r="1025" spans="1:4" x14ac:dyDescent="0.25">
      <c r="A1025" s="86">
        <v>20</v>
      </c>
      <c r="B1025" s="86">
        <v>45</v>
      </c>
      <c r="C1025" s="103">
        <v>3.9997982151244921E-2</v>
      </c>
      <c r="D1025" s="103">
        <v>4.1583899813731624E-2</v>
      </c>
    </row>
    <row r="1026" spans="1:4" x14ac:dyDescent="0.25">
      <c r="A1026" s="86">
        <v>20</v>
      </c>
      <c r="B1026" s="86">
        <v>47</v>
      </c>
      <c r="C1026" s="103">
        <v>6.1984703827273121E-4</v>
      </c>
      <c r="D1026" s="103">
        <v>9.6914543367539814E-4</v>
      </c>
    </row>
    <row r="1027" spans="1:4" x14ac:dyDescent="0.25">
      <c r="A1027" s="86">
        <v>20</v>
      </c>
      <c r="B1027" s="86">
        <v>49</v>
      </c>
      <c r="C1027" s="103">
        <v>3.2347728351083793E-4</v>
      </c>
      <c r="D1027" s="103">
        <v>8.5229811188474727E-4</v>
      </c>
    </row>
    <row r="1028" spans="1:4" x14ac:dyDescent="0.25">
      <c r="A1028" s="86">
        <v>20</v>
      </c>
      <c r="B1028" s="86">
        <v>51</v>
      </c>
      <c r="C1028" s="103">
        <v>1.2998316138883295E-2</v>
      </c>
      <c r="D1028" s="103">
        <v>9.8289217741547464E-3</v>
      </c>
    </row>
    <row r="1029" spans="1:4" x14ac:dyDescent="0.25">
      <c r="A1029" s="86">
        <v>20</v>
      </c>
      <c r="B1029" s="86">
        <v>53</v>
      </c>
      <c r="C1029" s="103">
        <v>6.2423453984408852E-3</v>
      </c>
      <c r="D1029" s="103">
        <v>2.1169985359717918E-3</v>
      </c>
    </row>
    <row r="1030" spans="1:4" x14ac:dyDescent="0.25">
      <c r="A1030" s="86">
        <v>20</v>
      </c>
      <c r="B1030" s="86">
        <v>55</v>
      </c>
      <c r="C1030" s="103">
        <v>9.9243575429938426E-3</v>
      </c>
      <c r="D1030" s="103">
        <v>1.2543903662819869E-2</v>
      </c>
    </row>
    <row r="1031" spans="1:4" x14ac:dyDescent="0.25">
      <c r="A1031" s="86">
        <v>20</v>
      </c>
      <c r="B1031" s="86">
        <v>57</v>
      </c>
      <c r="C1031" s="103">
        <v>7.9991114511883156E-3</v>
      </c>
      <c r="D1031" s="103">
        <v>1.1650365319714893E-2</v>
      </c>
    </row>
    <row r="1032" spans="1:4" x14ac:dyDescent="0.25">
      <c r="A1032" s="86">
        <v>20</v>
      </c>
      <c r="B1032" s="86">
        <v>59</v>
      </c>
      <c r="C1032" s="103">
        <v>1.3762203420449644E-2</v>
      </c>
      <c r="D1032" s="103">
        <v>8.797915993649005E-3</v>
      </c>
    </row>
    <row r="1033" spans="1:4" x14ac:dyDescent="0.25">
      <c r="A1033" s="86">
        <v>20</v>
      </c>
      <c r="B1033" s="86">
        <v>61</v>
      </c>
      <c r="C1033" s="103">
        <v>1.4603994070113582E-2</v>
      </c>
      <c r="D1033" s="103">
        <v>1.1272329866862787E-2</v>
      </c>
    </row>
    <row r="1034" spans="1:4" x14ac:dyDescent="0.25">
      <c r="A1034" s="86">
        <v>20</v>
      </c>
      <c r="B1034" s="86">
        <v>63</v>
      </c>
      <c r="C1034" s="103">
        <v>7.7121893597478265E-3</v>
      </c>
      <c r="D1034" s="103">
        <v>8.9697502903999615E-4</v>
      </c>
    </row>
    <row r="1035" spans="1:4" x14ac:dyDescent="0.25">
      <c r="A1035" s="86">
        <v>20</v>
      </c>
      <c r="B1035" s="86">
        <v>65</v>
      </c>
      <c r="C1035" s="103">
        <v>3.9218985445134083E-4</v>
      </c>
      <c r="D1035" s="103">
        <v>8.5229811188474727E-4</v>
      </c>
    </row>
    <row r="1036" spans="1:4" x14ac:dyDescent="0.25">
      <c r="A1036" s="86">
        <v>20</v>
      </c>
      <c r="B1036" s="86">
        <v>67</v>
      </c>
      <c r="C1036" s="103">
        <v>1.2336004042463936E-3</v>
      </c>
      <c r="D1036" s="103">
        <v>2.5053440466289547E-3</v>
      </c>
    </row>
    <row r="1037" spans="1:4" x14ac:dyDescent="0.25">
      <c r="A1037" s="86">
        <v>20</v>
      </c>
      <c r="B1037" s="86">
        <v>69</v>
      </c>
      <c r="C1037" s="103">
        <v>1.3575481478313492E-3</v>
      </c>
      <c r="D1037" s="103">
        <v>2.0895050484916384E-3</v>
      </c>
    </row>
    <row r="1038" spans="1:4" x14ac:dyDescent="0.25">
      <c r="A1038" s="86">
        <v>20</v>
      </c>
      <c r="B1038" s="86">
        <v>71</v>
      </c>
      <c r="C1038" s="103">
        <v>2.7820910679722386E-4</v>
      </c>
      <c r="D1038" s="103">
        <v>4.2271237000735451E-4</v>
      </c>
    </row>
    <row r="1039" spans="1:4" x14ac:dyDescent="0.25">
      <c r="A1039" s="86">
        <v>20</v>
      </c>
      <c r="B1039" s="86">
        <v>73</v>
      </c>
      <c r="C1039" s="103">
        <v>1.2231903263051902E-3</v>
      </c>
      <c r="D1039" s="103">
        <v>2.0654482469465046E-3</v>
      </c>
    </row>
    <row r="1040" spans="1:4" x14ac:dyDescent="0.25">
      <c r="A1040" s="86">
        <v>20</v>
      </c>
      <c r="B1040" s="86">
        <v>75</v>
      </c>
      <c r="C1040" s="103">
        <v>5.5462989334305703E-4</v>
      </c>
      <c r="D1040" s="103">
        <v>8.9353834310497697E-4</v>
      </c>
    </row>
    <row r="1041" spans="1:4" x14ac:dyDescent="0.25">
      <c r="A1041" s="86">
        <v>20</v>
      </c>
      <c r="B1041" s="86">
        <v>77</v>
      </c>
      <c r="C1041" s="103">
        <v>7.3960183515261026E-4</v>
      </c>
      <c r="D1041" s="103">
        <v>1.8936139501955474E-3</v>
      </c>
    </row>
    <row r="1042" spans="1:4" x14ac:dyDescent="0.25">
      <c r="A1042" s="86">
        <v>20</v>
      </c>
      <c r="B1042" s="86">
        <v>79</v>
      </c>
      <c r="C1042" s="103">
        <v>1.2946053164088428E-2</v>
      </c>
      <c r="D1042" s="103">
        <v>1.1753465897765467E-2</v>
      </c>
    </row>
    <row r="1043" spans="1:4" x14ac:dyDescent="0.25">
      <c r="A1043" s="86">
        <v>20</v>
      </c>
      <c r="B1043" s="86">
        <v>81</v>
      </c>
      <c r="C1043" s="103">
        <v>1.0317773768089916E-3</v>
      </c>
      <c r="D1043" s="103">
        <v>1.3712376880726377E-3</v>
      </c>
    </row>
    <row r="1044" spans="1:4" x14ac:dyDescent="0.25">
      <c r="A1044" s="86">
        <v>20</v>
      </c>
      <c r="B1044" s="86">
        <v>83</v>
      </c>
      <c r="C1044" s="103">
        <v>4.2924477663727263E-4</v>
      </c>
      <c r="D1044" s="103">
        <v>6.2547684017348387E-4</v>
      </c>
    </row>
    <row r="1045" spans="1:4" x14ac:dyDescent="0.25">
      <c r="A1045" s="86">
        <v>20</v>
      </c>
      <c r="B1045" s="86">
        <v>85</v>
      </c>
      <c r="C1045" s="103">
        <v>4.1311530014577959E-3</v>
      </c>
      <c r="D1045" s="103">
        <v>4.5707922935754597E-3</v>
      </c>
    </row>
    <row r="1046" spans="1:4" x14ac:dyDescent="0.25">
      <c r="A1046" s="86">
        <v>20</v>
      </c>
      <c r="B1046" s="86">
        <v>87</v>
      </c>
      <c r="C1046" s="103">
        <v>2.6205870697202337E-3</v>
      </c>
      <c r="D1046" s="103">
        <v>6.4953364171861788E-3</v>
      </c>
    </row>
    <row r="1047" spans="1:4" x14ac:dyDescent="0.25">
      <c r="A1047" s="86">
        <v>20</v>
      </c>
      <c r="B1047" s="86">
        <v>89</v>
      </c>
      <c r="C1047" s="103">
        <v>5.1524145888018835E-4</v>
      </c>
      <c r="D1047" s="103">
        <v>9.7945549148045546E-4</v>
      </c>
    </row>
    <row r="1048" spans="1:4" x14ac:dyDescent="0.25">
      <c r="A1048" s="86">
        <v>20</v>
      </c>
      <c r="B1048" s="86">
        <v>91</v>
      </c>
      <c r="C1048" s="103">
        <v>0.20821352390588496</v>
      </c>
      <c r="D1048" s="103">
        <v>0.20551381891414472</v>
      </c>
    </row>
    <row r="1049" spans="1:4" x14ac:dyDescent="0.25">
      <c r="A1049" s="86">
        <v>20</v>
      </c>
      <c r="B1049" s="86">
        <v>93</v>
      </c>
      <c r="C1049" s="103">
        <v>7.2306188059972486E-4</v>
      </c>
      <c r="D1049" s="103">
        <v>1.354054258397542E-3</v>
      </c>
    </row>
    <row r="1050" spans="1:4" x14ac:dyDescent="0.25">
      <c r="A1050" s="86">
        <v>20</v>
      </c>
      <c r="B1050" s="86">
        <v>95</v>
      </c>
      <c r="C1050" s="103">
        <v>4.165816138386607E-3</v>
      </c>
      <c r="D1050" s="103">
        <v>2.4812872450838208E-3</v>
      </c>
    </row>
    <row r="1051" spans="1:4" x14ac:dyDescent="0.25">
      <c r="A1051" s="86">
        <v>20</v>
      </c>
      <c r="B1051" s="86">
        <v>97</v>
      </c>
      <c r="C1051" s="103">
        <v>8.5791325314291036E-4</v>
      </c>
      <c r="D1051" s="103">
        <v>8.5573479781976644E-4</v>
      </c>
    </row>
    <row r="1052" spans="1:4" x14ac:dyDescent="0.25">
      <c r="A1052" s="86">
        <v>20</v>
      </c>
      <c r="B1052" s="86">
        <v>99</v>
      </c>
      <c r="C1052" s="103">
        <v>3.7153792402066731E-3</v>
      </c>
      <c r="D1052" s="103">
        <v>6.8390050106880932E-3</v>
      </c>
    </row>
    <row r="1053" spans="1:4" x14ac:dyDescent="0.25">
      <c r="A1053" s="86">
        <v>20</v>
      </c>
      <c r="B1053" s="86">
        <v>101</v>
      </c>
      <c r="C1053" s="103">
        <v>3.3048678332244636E-4</v>
      </c>
      <c r="D1053" s="103">
        <v>5.3268631992796703E-4</v>
      </c>
    </row>
    <row r="1054" spans="1:4" x14ac:dyDescent="0.25">
      <c r="A1054" s="86">
        <v>20</v>
      </c>
      <c r="B1054" s="86">
        <v>103</v>
      </c>
      <c r="C1054" s="103">
        <v>2.0067432169970031E-2</v>
      </c>
      <c r="D1054" s="103">
        <v>2.8008990370406009E-2</v>
      </c>
    </row>
    <row r="1055" spans="1:4" x14ac:dyDescent="0.25">
      <c r="A1055" s="86">
        <v>20</v>
      </c>
      <c r="B1055" s="86">
        <v>105</v>
      </c>
      <c r="C1055" s="103">
        <v>2.3820657663859001E-3</v>
      </c>
      <c r="D1055" s="103">
        <v>1.0310057805057427E-3</v>
      </c>
    </row>
    <row r="1056" spans="1:4" x14ac:dyDescent="0.25">
      <c r="A1056" s="86">
        <v>20</v>
      </c>
      <c r="B1056" s="86">
        <v>107</v>
      </c>
      <c r="C1056" s="103">
        <v>4.0592026928960587E-3</v>
      </c>
      <c r="D1056" s="103">
        <v>3.3576421585137023E-3</v>
      </c>
    </row>
    <row r="1057" spans="1:4" x14ac:dyDescent="0.25">
      <c r="A1057" s="86">
        <v>20</v>
      </c>
      <c r="B1057" s="86">
        <v>109</v>
      </c>
      <c r="C1057" s="103">
        <v>8.5721959381100199E-4</v>
      </c>
      <c r="D1057" s="103">
        <v>9.6570874774037896E-4</v>
      </c>
    </row>
    <row r="1058" spans="1:4" x14ac:dyDescent="0.25">
      <c r="A1058" s="86">
        <v>20</v>
      </c>
      <c r="B1058" s="86">
        <v>111</v>
      </c>
      <c r="C1058" s="103">
        <v>1.5954240595616297E-2</v>
      </c>
      <c r="D1058" s="103">
        <v>1.1444164163613744E-2</v>
      </c>
    </row>
    <row r="1059" spans="1:4" x14ac:dyDescent="0.25">
      <c r="A1059" s="86">
        <v>20</v>
      </c>
      <c r="B1059" s="86">
        <v>113</v>
      </c>
      <c r="C1059" s="103">
        <v>1.4795989584738975E-2</v>
      </c>
      <c r="D1059" s="103">
        <v>9.7945549148045555E-3</v>
      </c>
    </row>
    <row r="1060" spans="1:4" x14ac:dyDescent="0.25">
      <c r="A1060" s="86">
        <v>20</v>
      </c>
      <c r="B1060" s="86">
        <v>115</v>
      </c>
      <c r="C1060" s="103">
        <v>1.7457444098620725E-3</v>
      </c>
      <c r="D1060" s="103">
        <v>4.089656262672779E-3</v>
      </c>
    </row>
    <row r="1061" spans="1:4" x14ac:dyDescent="0.25">
      <c r="A1061" s="86">
        <v>20</v>
      </c>
      <c r="B1061" s="86">
        <v>117</v>
      </c>
      <c r="C1061" s="103">
        <v>1.676405457630692E-3</v>
      </c>
      <c r="D1061" s="103">
        <v>3.3404587288386064E-3</v>
      </c>
    </row>
    <row r="1062" spans="1:4" x14ac:dyDescent="0.25">
      <c r="A1062" s="86">
        <v>20</v>
      </c>
      <c r="B1062" s="86">
        <v>119</v>
      </c>
      <c r="C1062" s="103">
        <v>9.4435371211422543E-4</v>
      </c>
      <c r="D1062" s="103">
        <v>1.4090412333578484E-3</v>
      </c>
    </row>
    <row r="1063" spans="1:4" x14ac:dyDescent="0.25">
      <c r="A1063" s="86">
        <v>20</v>
      </c>
      <c r="B1063" s="86">
        <v>121</v>
      </c>
      <c r="C1063" s="103">
        <v>1.479043714239886E-2</v>
      </c>
      <c r="D1063" s="103">
        <v>1.1581631601014509E-2</v>
      </c>
    </row>
    <row r="1064" spans="1:4" x14ac:dyDescent="0.25">
      <c r="A1064" s="86">
        <v>20</v>
      </c>
      <c r="B1064" s="86">
        <v>123</v>
      </c>
      <c r="C1064" s="103">
        <v>8.1986281025008901E-4</v>
      </c>
      <c r="D1064" s="103">
        <v>2.0998151062966959E-3</v>
      </c>
    </row>
    <row r="1065" spans="1:4" x14ac:dyDescent="0.25">
      <c r="A1065" s="86">
        <v>20</v>
      </c>
      <c r="B1065" s="86">
        <v>125</v>
      </c>
      <c r="C1065" s="103">
        <v>6.5751988193634234E-3</v>
      </c>
      <c r="D1065" s="103">
        <v>1.1031761851411448E-2</v>
      </c>
    </row>
    <row r="1066" spans="1:4" x14ac:dyDescent="0.25">
      <c r="A1066" s="86">
        <v>20</v>
      </c>
      <c r="B1066" s="86">
        <v>127</v>
      </c>
      <c r="C1066" s="103">
        <v>7.2843198806386508E-4</v>
      </c>
      <c r="D1066" s="103">
        <v>1.9107973798706431E-3</v>
      </c>
    </row>
    <row r="1067" spans="1:4" x14ac:dyDescent="0.25">
      <c r="A1067" s="86">
        <v>20</v>
      </c>
      <c r="B1067" s="86">
        <v>129</v>
      </c>
      <c r="C1067" s="103">
        <v>4.2976029786581671E-4</v>
      </c>
      <c r="D1067" s="103">
        <v>9.2446851652014926E-4</v>
      </c>
    </row>
    <row r="1068" spans="1:4" x14ac:dyDescent="0.25">
      <c r="A1068" s="86">
        <v>20</v>
      </c>
      <c r="B1068" s="86">
        <v>131</v>
      </c>
      <c r="C1068" s="103">
        <v>1.1459805571759709E-3</v>
      </c>
      <c r="D1068" s="103">
        <v>3.4710527943693338E-3</v>
      </c>
    </row>
    <row r="1069" spans="1:4" x14ac:dyDescent="0.25">
      <c r="A1069" s="86">
        <v>20</v>
      </c>
      <c r="B1069" s="86">
        <v>133</v>
      </c>
      <c r="C1069" s="103">
        <v>3.3116432258094176E-3</v>
      </c>
      <c r="D1069" s="103">
        <v>5.4986974960306275E-3</v>
      </c>
    </row>
    <row r="1070" spans="1:4" x14ac:dyDescent="0.25">
      <c r="A1070" s="86">
        <v>20</v>
      </c>
      <c r="B1070" s="86">
        <v>135</v>
      </c>
      <c r="C1070" s="103">
        <v>5.3173695183639886E-4</v>
      </c>
      <c r="D1070" s="103">
        <v>9.6227206180535989E-4</v>
      </c>
    </row>
    <row r="1071" spans="1:4" x14ac:dyDescent="0.25">
      <c r="A1071" s="86">
        <v>20</v>
      </c>
      <c r="B1071" s="86">
        <v>137</v>
      </c>
      <c r="C1071" s="103">
        <v>7.6900357476742656E-4</v>
      </c>
      <c r="D1071" s="103">
        <v>1.8626837767803752E-3</v>
      </c>
    </row>
    <row r="1072" spans="1:4" x14ac:dyDescent="0.25">
      <c r="A1072" s="86">
        <v>20</v>
      </c>
      <c r="B1072" s="86">
        <v>139</v>
      </c>
      <c r="C1072" s="103">
        <v>6.3390532697562537E-3</v>
      </c>
      <c r="D1072" s="103">
        <v>5.4643306366804366E-3</v>
      </c>
    </row>
    <row r="1073" spans="1:4" x14ac:dyDescent="0.25">
      <c r="A1073" s="86">
        <v>20</v>
      </c>
      <c r="B1073" s="86">
        <v>141</v>
      </c>
      <c r="C1073" s="103">
        <v>4.8675769080417584E-4</v>
      </c>
      <c r="D1073" s="103">
        <v>1.1890933335166232E-3</v>
      </c>
    </row>
    <row r="1074" spans="1:4" x14ac:dyDescent="0.25">
      <c r="A1074" s="86">
        <v>20</v>
      </c>
      <c r="B1074" s="86">
        <v>143</v>
      </c>
      <c r="C1074" s="103">
        <v>3.725090086958992E-3</v>
      </c>
      <c r="D1074" s="103">
        <v>1.9760944126360068E-3</v>
      </c>
    </row>
    <row r="1075" spans="1:4" x14ac:dyDescent="0.25">
      <c r="A1075" s="86">
        <v>20</v>
      </c>
      <c r="B1075" s="86">
        <v>145</v>
      </c>
      <c r="C1075" s="103">
        <v>1.0020208406566415E-3</v>
      </c>
      <c r="D1075" s="103">
        <v>2.2579026593075764E-3</v>
      </c>
    </row>
    <row r="1076" spans="1:4" x14ac:dyDescent="0.25">
      <c r="A1076" s="86">
        <v>20</v>
      </c>
      <c r="B1076" s="86">
        <v>147</v>
      </c>
      <c r="C1076" s="103">
        <v>7.5640105021232396E-4</v>
      </c>
      <c r="D1076" s="103">
        <v>1.8145701736901072E-3</v>
      </c>
    </row>
    <row r="1077" spans="1:4" x14ac:dyDescent="0.25">
      <c r="A1077" s="86">
        <v>20</v>
      </c>
      <c r="B1077" s="86">
        <v>149</v>
      </c>
      <c r="C1077" s="103">
        <v>3.8793666457350709E-3</v>
      </c>
      <c r="D1077" s="103">
        <v>8.3167799627463252E-3</v>
      </c>
    </row>
    <row r="1078" spans="1:4" x14ac:dyDescent="0.25">
      <c r="A1078" s="86">
        <v>20</v>
      </c>
      <c r="B1078" s="86">
        <v>151</v>
      </c>
      <c r="C1078" s="103">
        <v>3.1809585634005335E-3</v>
      </c>
      <c r="D1078" s="103">
        <v>3.2098646633078789E-3</v>
      </c>
    </row>
    <row r="1079" spans="1:4" x14ac:dyDescent="0.25">
      <c r="A1079" s="86">
        <v>20</v>
      </c>
      <c r="B1079" s="86">
        <v>153</v>
      </c>
      <c r="C1079" s="103">
        <v>4.5277462966443672E-4</v>
      </c>
      <c r="D1079" s="103">
        <v>8.5917148375478562E-4</v>
      </c>
    </row>
    <row r="1080" spans="1:4" x14ac:dyDescent="0.25">
      <c r="A1080" s="86">
        <v>20</v>
      </c>
      <c r="B1080" s="86">
        <v>155</v>
      </c>
      <c r="C1080" s="103">
        <v>1.5341036464157088E-2</v>
      </c>
      <c r="D1080" s="103">
        <v>2.1410553375169256E-2</v>
      </c>
    </row>
    <row r="1081" spans="1:4" x14ac:dyDescent="0.25">
      <c r="A1081" s="86">
        <v>20</v>
      </c>
      <c r="B1081" s="86">
        <v>157</v>
      </c>
      <c r="C1081" s="103">
        <v>2.9090625605432859E-3</v>
      </c>
      <c r="D1081" s="103">
        <v>1.5980589597839011E-3</v>
      </c>
    </row>
    <row r="1082" spans="1:4" x14ac:dyDescent="0.25">
      <c r="A1082" s="86">
        <v>20</v>
      </c>
      <c r="B1082" s="86">
        <v>159</v>
      </c>
      <c r="C1082" s="103">
        <v>1.3527864977450417E-3</v>
      </c>
      <c r="D1082" s="103">
        <v>3.2579782663981469E-3</v>
      </c>
    </row>
    <row r="1083" spans="1:4" x14ac:dyDescent="0.25">
      <c r="A1083" s="86">
        <v>20</v>
      </c>
      <c r="B1083" s="86">
        <v>161</v>
      </c>
      <c r="C1083" s="103">
        <v>1.7644858310754699E-2</v>
      </c>
      <c r="D1083" s="103">
        <v>2.5672043934592992E-2</v>
      </c>
    </row>
    <row r="1084" spans="1:4" x14ac:dyDescent="0.25">
      <c r="A1084" s="86">
        <v>20</v>
      </c>
      <c r="B1084" s="86">
        <v>163</v>
      </c>
      <c r="C1084" s="103">
        <v>7.3556738313923205E-4</v>
      </c>
      <c r="D1084" s="103">
        <v>1.7183429675095712E-3</v>
      </c>
    </row>
    <row r="1085" spans="1:4" x14ac:dyDescent="0.25">
      <c r="A1085" s="86">
        <v>20</v>
      </c>
      <c r="B1085" s="86">
        <v>165</v>
      </c>
      <c r="C1085" s="103">
        <v>6.236381589424365E-4</v>
      </c>
      <c r="D1085" s="103">
        <v>1.0516258961158576E-3</v>
      </c>
    </row>
    <row r="1086" spans="1:4" x14ac:dyDescent="0.25">
      <c r="A1086" s="86">
        <v>20</v>
      </c>
      <c r="B1086" s="86">
        <v>167</v>
      </c>
      <c r="C1086" s="103">
        <v>7.0766431433344429E-3</v>
      </c>
      <c r="D1086" s="103">
        <v>2.371313295163208E-3</v>
      </c>
    </row>
    <row r="1087" spans="1:4" x14ac:dyDescent="0.25">
      <c r="A1087" s="86">
        <v>20</v>
      </c>
      <c r="B1087" s="86">
        <v>169</v>
      </c>
      <c r="C1087" s="103">
        <v>2.4014177608505344E-2</v>
      </c>
      <c r="D1087" s="103">
        <v>1.8695571486504133E-2</v>
      </c>
    </row>
    <row r="1088" spans="1:4" x14ac:dyDescent="0.25">
      <c r="A1088" s="86">
        <v>20</v>
      </c>
      <c r="B1088" s="86">
        <v>171</v>
      </c>
      <c r="C1088" s="103">
        <v>8.973141870921731E-4</v>
      </c>
      <c r="D1088" s="103">
        <v>1.6874127940943989E-3</v>
      </c>
    </row>
    <row r="1089" spans="1:4" x14ac:dyDescent="0.25">
      <c r="A1089" s="86">
        <v>20</v>
      </c>
      <c r="B1089" s="86">
        <v>173</v>
      </c>
      <c r="C1089" s="103">
        <v>0.1711875248302353</v>
      </c>
      <c r="D1089" s="103">
        <v>0.17630198846648201</v>
      </c>
    </row>
    <row r="1090" spans="1:4" x14ac:dyDescent="0.25">
      <c r="A1090" s="86">
        <v>20</v>
      </c>
      <c r="B1090" s="86">
        <v>175</v>
      </c>
      <c r="C1090" s="103">
        <v>4.7730878057479637E-3</v>
      </c>
      <c r="D1090" s="103">
        <v>7.526342197691922E-3</v>
      </c>
    </row>
    <row r="1091" spans="1:4" x14ac:dyDescent="0.25">
      <c r="A1091" s="86">
        <v>20</v>
      </c>
      <c r="B1091" s="86">
        <v>177</v>
      </c>
      <c r="C1091" s="103">
        <v>6.2858892891850135E-2</v>
      </c>
      <c r="D1091" s="103">
        <v>6.0829341049838823E-2</v>
      </c>
    </row>
    <row r="1092" spans="1:4" x14ac:dyDescent="0.25">
      <c r="A1092" s="86">
        <v>20</v>
      </c>
      <c r="B1092" s="86">
        <v>179</v>
      </c>
      <c r="C1092" s="103">
        <v>5.2517221263335989E-4</v>
      </c>
      <c r="D1092" s="103">
        <v>8.6604485562482387E-4</v>
      </c>
    </row>
    <row r="1093" spans="1:4" x14ac:dyDescent="0.25">
      <c r="A1093" s="86">
        <v>20</v>
      </c>
      <c r="B1093" s="86">
        <v>181</v>
      </c>
      <c r="C1093" s="103">
        <v>7.3755009675868675E-3</v>
      </c>
      <c r="D1093" s="103">
        <v>2.0345180735313324E-3</v>
      </c>
    </row>
    <row r="1094" spans="1:4" x14ac:dyDescent="0.25">
      <c r="A1094" s="86">
        <v>20</v>
      </c>
      <c r="B1094" s="86">
        <v>183</v>
      </c>
      <c r="C1094" s="103">
        <v>5.6720308949243414E-4</v>
      </c>
      <c r="D1094" s="103">
        <v>1.2337702506718721E-3</v>
      </c>
    </row>
    <row r="1095" spans="1:4" x14ac:dyDescent="0.25">
      <c r="A1095" s="86">
        <v>20</v>
      </c>
      <c r="B1095" s="86">
        <v>185</v>
      </c>
      <c r="C1095" s="103">
        <v>1.3486285426758749E-3</v>
      </c>
      <c r="D1095" s="103">
        <v>1.4296613489679633E-3</v>
      </c>
    </row>
    <row r="1096" spans="1:4" x14ac:dyDescent="0.25">
      <c r="A1096" s="86">
        <v>20</v>
      </c>
      <c r="B1096" s="86">
        <v>187</v>
      </c>
      <c r="C1096" s="103">
        <v>4.2131733897663419E-4</v>
      </c>
      <c r="D1096" s="103">
        <v>6.9764724480888586E-4</v>
      </c>
    </row>
    <row r="1097" spans="1:4" x14ac:dyDescent="0.25">
      <c r="A1097" s="86">
        <v>20</v>
      </c>
      <c r="B1097" s="86">
        <v>189</v>
      </c>
      <c r="C1097" s="103">
        <v>9.2141145738794308E-4</v>
      </c>
      <c r="D1097" s="103">
        <v>1.9039240080006049E-3</v>
      </c>
    </row>
    <row r="1098" spans="1:4" x14ac:dyDescent="0.25">
      <c r="A1098" s="86">
        <v>20</v>
      </c>
      <c r="B1098" s="86">
        <v>191</v>
      </c>
      <c r="C1098" s="103">
        <v>1.4009923392830583E-2</v>
      </c>
      <c r="D1098" s="103">
        <v>7.9043776505440273E-3</v>
      </c>
    </row>
    <row r="1099" spans="1:4" x14ac:dyDescent="0.25">
      <c r="A1099" s="86">
        <v>20</v>
      </c>
      <c r="B1099" s="86">
        <v>193</v>
      </c>
      <c r="C1099" s="103">
        <v>8.8723749616434044E-3</v>
      </c>
      <c r="D1099" s="103">
        <v>2.6496848558997589E-3</v>
      </c>
    </row>
    <row r="1100" spans="1:4" x14ac:dyDescent="0.25">
      <c r="A1100" s="86">
        <v>20</v>
      </c>
      <c r="B1100" s="86">
        <v>195</v>
      </c>
      <c r="C1100" s="103">
        <v>6.8279412586256111E-3</v>
      </c>
      <c r="D1100" s="103">
        <v>9.6227206180535989E-4</v>
      </c>
    </row>
    <row r="1101" spans="1:4" x14ac:dyDescent="0.25">
      <c r="A1101" s="86">
        <v>20</v>
      </c>
      <c r="B1101" s="86">
        <v>197</v>
      </c>
      <c r="C1101" s="103">
        <v>8.6578761895116808E-3</v>
      </c>
      <c r="D1101" s="103">
        <v>2.3747499810982272E-3</v>
      </c>
    </row>
    <row r="1102" spans="1:4" x14ac:dyDescent="0.25">
      <c r="A1102" s="86">
        <v>20</v>
      </c>
      <c r="B1102" s="86">
        <v>199</v>
      </c>
      <c r="C1102" s="103">
        <v>3.7003045971832356E-4</v>
      </c>
      <c r="D1102" s="103">
        <v>5.1206620431785217E-4</v>
      </c>
    </row>
    <row r="1103" spans="1:4" x14ac:dyDescent="0.25">
      <c r="A1103" s="86">
        <v>20</v>
      </c>
      <c r="B1103" s="86">
        <v>201</v>
      </c>
      <c r="C1103" s="103">
        <v>1.0675011726548123E-3</v>
      </c>
      <c r="D1103" s="103">
        <v>1.8729938345854325E-3</v>
      </c>
    </row>
    <row r="1104" spans="1:4" x14ac:dyDescent="0.25">
      <c r="A1104" s="86">
        <v>20</v>
      </c>
      <c r="B1104" s="86">
        <v>203</v>
      </c>
      <c r="C1104" s="103">
        <v>3.6982603286283145E-4</v>
      </c>
      <c r="D1104" s="103">
        <v>7.2514073228903907E-4</v>
      </c>
    </row>
    <row r="1105" spans="1:4" x14ac:dyDescent="0.25">
      <c r="A1105" s="86">
        <v>20</v>
      </c>
      <c r="B1105" s="86">
        <v>205</v>
      </c>
      <c r="C1105" s="103">
        <v>1.4501158962798089E-3</v>
      </c>
      <c r="D1105" s="103">
        <v>2.9796067056615965E-3</v>
      </c>
    </row>
    <row r="1106" spans="1:4" x14ac:dyDescent="0.25">
      <c r="A1106" s="86">
        <v>20</v>
      </c>
      <c r="B1106" s="86">
        <v>207</v>
      </c>
      <c r="C1106" s="103">
        <v>5.2373638124198906E-4</v>
      </c>
      <c r="D1106" s="103">
        <v>1.0928661273360873E-3</v>
      </c>
    </row>
    <row r="1107" spans="1:4" x14ac:dyDescent="0.25">
      <c r="A1107" s="86">
        <v>20</v>
      </c>
      <c r="B1107" s="86">
        <v>209</v>
      </c>
      <c r="C1107" s="103">
        <v>7.3564718016984304E-2</v>
      </c>
      <c r="D1107" s="103">
        <v>5.670531792781585E-2</v>
      </c>
    </row>
    <row r="1108" spans="1:4" x14ac:dyDescent="0.25">
      <c r="A1108" s="86">
        <v>21</v>
      </c>
      <c r="B1108" s="86">
        <v>1</v>
      </c>
      <c r="C1108" s="103">
        <v>3.5848980483095881E-3</v>
      </c>
      <c r="D1108" s="103">
        <v>4.3042185825670183E-3</v>
      </c>
    </row>
    <row r="1109" spans="1:4" x14ac:dyDescent="0.25">
      <c r="A1109" s="86">
        <v>21</v>
      </c>
      <c r="B1109" s="86">
        <v>3</v>
      </c>
      <c r="C1109" s="103">
        <v>2.9943097573914951E-3</v>
      </c>
      <c r="D1109" s="103">
        <v>4.7301568798002128E-3</v>
      </c>
    </row>
    <row r="1110" spans="1:4" x14ac:dyDescent="0.25">
      <c r="A1110" s="86">
        <v>21</v>
      </c>
      <c r="B1110" s="86">
        <v>5</v>
      </c>
      <c r="C1110" s="103">
        <v>4.5628086609609108E-3</v>
      </c>
      <c r="D1110" s="103">
        <v>5.0664239565632605E-3</v>
      </c>
    </row>
    <row r="1111" spans="1:4" x14ac:dyDescent="0.25">
      <c r="A1111" s="86">
        <v>21</v>
      </c>
      <c r="B1111" s="86">
        <v>7</v>
      </c>
      <c r="C1111" s="103">
        <v>1.5207715084949148E-3</v>
      </c>
      <c r="D1111" s="103">
        <v>1.7911826288911706E-3</v>
      </c>
    </row>
    <row r="1112" spans="1:4" x14ac:dyDescent="0.25">
      <c r="A1112" s="86">
        <v>21</v>
      </c>
      <c r="B1112" s="86">
        <v>9</v>
      </c>
      <c r="C1112" s="103">
        <v>1.1187240477836003E-2</v>
      </c>
      <c r="D1112" s="103">
        <v>9.8862520568336193E-3</v>
      </c>
    </row>
    <row r="1113" spans="1:4" x14ac:dyDescent="0.25">
      <c r="A1113" s="86">
        <v>21</v>
      </c>
      <c r="B1113" s="86">
        <v>11</v>
      </c>
      <c r="C1113" s="103">
        <v>3.4742849058734342E-3</v>
      </c>
      <c r="D1113" s="103">
        <v>2.7798078345745323E-3</v>
      </c>
    </row>
    <row r="1114" spans="1:4" x14ac:dyDescent="0.25">
      <c r="A1114" s="86">
        <v>21</v>
      </c>
      <c r="B1114" s="86">
        <v>13</v>
      </c>
      <c r="C1114" s="103">
        <v>5.0558506005684003E-3</v>
      </c>
      <c r="D1114" s="103">
        <v>5.9407183561471866E-3</v>
      </c>
    </row>
    <row r="1115" spans="1:4" x14ac:dyDescent="0.25">
      <c r="A1115" s="86">
        <v>21</v>
      </c>
      <c r="B1115" s="86">
        <v>15</v>
      </c>
      <c r="C1115" s="103">
        <v>3.4680648393908796E-2</v>
      </c>
      <c r="D1115" s="103">
        <v>2.9591502755148248E-2</v>
      </c>
    </row>
    <row r="1116" spans="1:4" x14ac:dyDescent="0.25">
      <c r="A1116" s="86">
        <v>21</v>
      </c>
      <c r="B1116" s="86">
        <v>17</v>
      </c>
      <c r="C1116" s="103">
        <v>3.8125080276239904E-3</v>
      </c>
      <c r="D1116" s="103">
        <v>4.5059788286248466E-3</v>
      </c>
    </row>
    <row r="1117" spans="1:4" x14ac:dyDescent="0.25">
      <c r="A1117" s="86">
        <v>21</v>
      </c>
      <c r="B1117" s="86">
        <v>19</v>
      </c>
      <c r="C1117" s="103">
        <v>8.8669297754526994E-3</v>
      </c>
      <c r="D1117" s="103">
        <v>1.0603621820594789E-2</v>
      </c>
    </row>
    <row r="1118" spans="1:4" x14ac:dyDescent="0.25">
      <c r="A1118" s="86">
        <v>21</v>
      </c>
      <c r="B1118" s="86">
        <v>21</v>
      </c>
      <c r="C1118" s="103">
        <v>5.7397834374983466E-3</v>
      </c>
      <c r="D1118" s="103">
        <v>6.7477593403785022E-3</v>
      </c>
    </row>
    <row r="1119" spans="1:4" x14ac:dyDescent="0.25">
      <c r="A1119" s="86">
        <v>21</v>
      </c>
      <c r="B1119" s="86">
        <v>23</v>
      </c>
      <c r="C1119" s="103">
        <v>1.6383465371324552E-3</v>
      </c>
      <c r="D1119" s="103">
        <v>1.8561942637320265E-3</v>
      </c>
    </row>
    <row r="1120" spans="1:4" x14ac:dyDescent="0.25">
      <c r="A1120" s="86">
        <v>21</v>
      </c>
      <c r="B1120" s="86">
        <v>25</v>
      </c>
      <c r="C1120" s="103">
        <v>2.3826654004343536E-3</v>
      </c>
      <c r="D1120" s="103">
        <v>2.8694790550446788E-3</v>
      </c>
    </row>
    <row r="1121" spans="1:4" x14ac:dyDescent="0.25">
      <c r="A1121" s="86">
        <v>21</v>
      </c>
      <c r="B1121" s="86">
        <v>27</v>
      </c>
      <c r="C1121" s="103">
        <v>2.7969672069295638E-3</v>
      </c>
      <c r="D1121" s="103">
        <v>4.55081443885992E-3</v>
      </c>
    </row>
    <row r="1122" spans="1:4" x14ac:dyDescent="0.25">
      <c r="A1122" s="86">
        <v>21</v>
      </c>
      <c r="B1122" s="86">
        <v>29</v>
      </c>
      <c r="C1122" s="103">
        <v>2.1821868183202316E-2</v>
      </c>
      <c r="D1122" s="103">
        <v>1.8158422145204606E-2</v>
      </c>
    </row>
    <row r="1123" spans="1:4" x14ac:dyDescent="0.25">
      <c r="A1123" s="86">
        <v>21</v>
      </c>
      <c r="B1123" s="86">
        <v>31</v>
      </c>
      <c r="C1123" s="103">
        <v>3.0426056037453349E-3</v>
      </c>
      <c r="D1123" s="103">
        <v>2.847061249927142E-3</v>
      </c>
    </row>
    <row r="1124" spans="1:4" x14ac:dyDescent="0.25">
      <c r="A1124" s="86">
        <v>21</v>
      </c>
      <c r="B1124" s="86">
        <v>33</v>
      </c>
      <c r="C1124" s="103">
        <v>3.7538657390489669E-3</v>
      </c>
      <c r="D1124" s="103">
        <v>2.847061249927142E-3</v>
      </c>
    </row>
    <row r="1125" spans="1:4" x14ac:dyDescent="0.25">
      <c r="A1125" s="86">
        <v>21</v>
      </c>
      <c r="B1125" s="86">
        <v>35</v>
      </c>
      <c r="C1125" s="103">
        <v>5.7657984106880408E-3</v>
      </c>
      <c r="D1125" s="103">
        <v>8.7429439958392561E-3</v>
      </c>
    </row>
    <row r="1126" spans="1:4" x14ac:dyDescent="0.25">
      <c r="A1126" s="86">
        <v>21</v>
      </c>
      <c r="B1126" s="86">
        <v>37</v>
      </c>
      <c r="C1126" s="103">
        <v>1.800581147544569E-2</v>
      </c>
      <c r="D1126" s="103">
        <v>2.0960647784896678E-2</v>
      </c>
    </row>
    <row r="1127" spans="1:4" x14ac:dyDescent="0.25">
      <c r="A1127" s="86">
        <v>21</v>
      </c>
      <c r="B1127" s="86">
        <v>39</v>
      </c>
      <c r="C1127" s="103">
        <v>9.0571503618040185E-4</v>
      </c>
      <c r="D1127" s="103">
        <v>1.0626039625712326E-3</v>
      </c>
    </row>
    <row r="1128" spans="1:4" x14ac:dyDescent="0.25">
      <c r="A1128" s="86">
        <v>21</v>
      </c>
      <c r="B1128" s="86">
        <v>41</v>
      </c>
      <c r="C1128" s="103">
        <v>6.5597565318056246E-3</v>
      </c>
      <c r="D1128" s="103">
        <v>2.3987051475764113E-3</v>
      </c>
    </row>
    <row r="1129" spans="1:4" x14ac:dyDescent="0.25">
      <c r="A1129" s="86">
        <v>21</v>
      </c>
      <c r="B1129" s="86">
        <v>43</v>
      </c>
      <c r="C1129" s="103">
        <v>6.9222390065888989E-3</v>
      </c>
      <c r="D1129" s="103">
        <v>6.0528073817348689E-3</v>
      </c>
    </row>
    <row r="1130" spans="1:4" x14ac:dyDescent="0.25">
      <c r="A1130" s="86">
        <v>21</v>
      </c>
      <c r="B1130" s="86">
        <v>45</v>
      </c>
      <c r="C1130" s="103">
        <v>2.1307523164521181E-3</v>
      </c>
      <c r="D1130" s="103">
        <v>3.5644310136883116E-3</v>
      </c>
    </row>
    <row r="1131" spans="1:4" x14ac:dyDescent="0.25">
      <c r="A1131" s="86">
        <v>21</v>
      </c>
      <c r="B1131" s="86">
        <v>47</v>
      </c>
      <c r="C1131" s="103">
        <v>2.0684409805163673E-2</v>
      </c>
      <c r="D1131" s="103">
        <v>1.5849388218098344E-2</v>
      </c>
    </row>
    <row r="1132" spans="1:4" x14ac:dyDescent="0.25">
      <c r="A1132" s="86">
        <v>21</v>
      </c>
      <c r="B1132" s="86">
        <v>49</v>
      </c>
      <c r="C1132" s="103">
        <v>1.0131196953559863E-2</v>
      </c>
      <c r="D1132" s="103">
        <v>8.1152454525482316E-3</v>
      </c>
    </row>
    <row r="1133" spans="1:4" x14ac:dyDescent="0.25">
      <c r="A1133" s="86">
        <v>21</v>
      </c>
      <c r="B1133" s="86">
        <v>51</v>
      </c>
      <c r="C1133" s="103">
        <v>3.2442415934989107E-3</v>
      </c>
      <c r="D1133" s="103">
        <v>4.5059788286248466E-3</v>
      </c>
    </row>
    <row r="1134" spans="1:4" x14ac:dyDescent="0.25">
      <c r="A1134" s="86">
        <v>21</v>
      </c>
      <c r="B1134" s="86">
        <v>53</v>
      </c>
      <c r="C1134" s="103">
        <v>1.6048789858525469E-3</v>
      </c>
      <c r="D1134" s="103">
        <v>2.2866161219887281E-3</v>
      </c>
    </row>
    <row r="1135" spans="1:4" x14ac:dyDescent="0.25">
      <c r="A1135" s="86">
        <v>21</v>
      </c>
      <c r="B1135" s="86">
        <v>55</v>
      </c>
      <c r="C1135" s="103">
        <v>1.2565454919584811E-3</v>
      </c>
      <c r="D1135" s="103">
        <v>1.9951846554607531E-3</v>
      </c>
    </row>
    <row r="1136" spans="1:4" x14ac:dyDescent="0.25">
      <c r="A1136" s="86">
        <v>21</v>
      </c>
      <c r="B1136" s="86">
        <v>57</v>
      </c>
      <c r="C1136" s="103">
        <v>1.1300290942752036E-3</v>
      </c>
      <c r="D1136" s="103">
        <v>1.4997511623631953E-3</v>
      </c>
    </row>
    <row r="1137" spans="1:4" x14ac:dyDescent="0.25">
      <c r="A1137" s="86">
        <v>21</v>
      </c>
      <c r="B1137" s="86">
        <v>59</v>
      </c>
      <c r="C1137" s="103">
        <v>1.8016915052981884E-2</v>
      </c>
      <c r="D1137" s="103">
        <v>2.2641983168711917E-2</v>
      </c>
    </row>
    <row r="1138" spans="1:4" x14ac:dyDescent="0.25">
      <c r="A1138" s="86">
        <v>21</v>
      </c>
      <c r="B1138" s="86">
        <v>61</v>
      </c>
      <c r="C1138" s="103">
        <v>2.4080578970140099E-3</v>
      </c>
      <c r="D1138" s="103">
        <v>2.7349722243394593E-3</v>
      </c>
    </row>
    <row r="1139" spans="1:4" x14ac:dyDescent="0.25">
      <c r="A1139" s="86">
        <v>21</v>
      </c>
      <c r="B1139" s="86">
        <v>63</v>
      </c>
      <c r="C1139" s="103">
        <v>6.6987763230395196E-4</v>
      </c>
      <c r="D1139" s="103">
        <v>1.6813353838152415E-3</v>
      </c>
    </row>
    <row r="1140" spans="1:4" x14ac:dyDescent="0.25">
      <c r="A1140" s="86">
        <v>21</v>
      </c>
      <c r="B1140" s="86">
        <v>65</v>
      </c>
      <c r="C1140" s="103">
        <v>1.805450576318644E-3</v>
      </c>
      <c r="D1140" s="103">
        <v>3.1833283266901906E-3</v>
      </c>
    </row>
    <row r="1141" spans="1:4" x14ac:dyDescent="0.25">
      <c r="A1141" s="86">
        <v>21</v>
      </c>
      <c r="B1141" s="86">
        <v>67</v>
      </c>
      <c r="C1141" s="103">
        <v>6.7515476764629476E-2</v>
      </c>
      <c r="D1141" s="103">
        <v>7.2185332478467701E-2</v>
      </c>
    </row>
    <row r="1142" spans="1:4" x14ac:dyDescent="0.25">
      <c r="A1142" s="86">
        <v>21</v>
      </c>
      <c r="B1142" s="86">
        <v>69</v>
      </c>
      <c r="C1142" s="103">
        <v>2.3366953983586045E-3</v>
      </c>
      <c r="D1142" s="103">
        <v>3.2505817420428003E-3</v>
      </c>
    </row>
    <row r="1143" spans="1:4" x14ac:dyDescent="0.25">
      <c r="A1143" s="86">
        <v>21</v>
      </c>
      <c r="B1143" s="86">
        <v>71</v>
      </c>
      <c r="C1143" s="103">
        <v>7.9228393140843654E-3</v>
      </c>
      <c r="D1143" s="103">
        <v>8.0479920371956219E-3</v>
      </c>
    </row>
    <row r="1144" spans="1:4" x14ac:dyDescent="0.25">
      <c r="A1144" s="86">
        <v>21</v>
      </c>
      <c r="B1144" s="86">
        <v>73</v>
      </c>
      <c r="C1144" s="103">
        <v>1.1268476829352831E-2</v>
      </c>
      <c r="D1144" s="103">
        <v>1.1388244999708568E-2</v>
      </c>
    </row>
    <row r="1145" spans="1:4" x14ac:dyDescent="0.25">
      <c r="A1145" s="86">
        <v>21</v>
      </c>
      <c r="B1145" s="86">
        <v>75</v>
      </c>
      <c r="C1145" s="103">
        <v>1.1930258667852873E-3</v>
      </c>
      <c r="D1145" s="103">
        <v>1.3607607706344687E-3</v>
      </c>
    </row>
    <row r="1146" spans="1:4" x14ac:dyDescent="0.25">
      <c r="A1146" s="86">
        <v>21</v>
      </c>
      <c r="B1146" s="86">
        <v>77</v>
      </c>
      <c r="C1146" s="103">
        <v>6.0416271906058123E-3</v>
      </c>
      <c r="D1146" s="103">
        <v>1.9660415088079558E-3</v>
      </c>
    </row>
    <row r="1147" spans="1:4" x14ac:dyDescent="0.25">
      <c r="A1147" s="86">
        <v>21</v>
      </c>
      <c r="B1147" s="86">
        <v>79</v>
      </c>
      <c r="C1147" s="103">
        <v>2.8873807954607465E-3</v>
      </c>
      <c r="D1147" s="103">
        <v>3.9231158955688964E-3</v>
      </c>
    </row>
    <row r="1148" spans="1:4" x14ac:dyDescent="0.25">
      <c r="A1148" s="86">
        <v>21</v>
      </c>
      <c r="B1148" s="86">
        <v>81</v>
      </c>
      <c r="C1148" s="103">
        <v>1.0098687665463874E-2</v>
      </c>
      <c r="D1148" s="103">
        <v>5.6268690845016744E-3</v>
      </c>
    </row>
    <row r="1149" spans="1:4" x14ac:dyDescent="0.25">
      <c r="A1149" s="86">
        <v>21</v>
      </c>
      <c r="B1149" s="86">
        <v>83</v>
      </c>
      <c r="C1149" s="103">
        <v>7.9672586411472564E-3</v>
      </c>
      <c r="D1149" s="103">
        <v>8.3618413088411333E-3</v>
      </c>
    </row>
    <row r="1150" spans="1:4" x14ac:dyDescent="0.25">
      <c r="A1150" s="86">
        <v>21</v>
      </c>
      <c r="B1150" s="86">
        <v>85</v>
      </c>
      <c r="C1150" s="103">
        <v>6.2626351211764351E-3</v>
      </c>
      <c r="D1150" s="103">
        <v>5.8958827459121132E-3</v>
      </c>
    </row>
    <row r="1151" spans="1:4" x14ac:dyDescent="0.25">
      <c r="A1151" s="86">
        <v>21</v>
      </c>
      <c r="B1151" s="86">
        <v>87</v>
      </c>
      <c r="C1151" s="103">
        <v>1.5293830286145583E-3</v>
      </c>
      <c r="D1151" s="103">
        <v>2.4659585629290205E-3</v>
      </c>
    </row>
    <row r="1152" spans="1:4" x14ac:dyDescent="0.25">
      <c r="A1152" s="86">
        <v>21</v>
      </c>
      <c r="B1152" s="86">
        <v>89</v>
      </c>
      <c r="C1152" s="103">
        <v>6.2213703164841509E-3</v>
      </c>
      <c r="D1152" s="103">
        <v>7.9134852064904025E-3</v>
      </c>
    </row>
    <row r="1153" spans="1:4" x14ac:dyDescent="0.25">
      <c r="A1153" s="86">
        <v>21</v>
      </c>
      <c r="B1153" s="86">
        <v>91</v>
      </c>
      <c r="C1153" s="103">
        <v>1.5557167601368035E-3</v>
      </c>
      <c r="D1153" s="103">
        <v>1.9593161672726948E-3</v>
      </c>
    </row>
    <row r="1154" spans="1:4" x14ac:dyDescent="0.25">
      <c r="A1154" s="86">
        <v>21</v>
      </c>
      <c r="B1154" s="86">
        <v>93</v>
      </c>
      <c r="C1154" s="103">
        <v>2.9741015621139118E-2</v>
      </c>
      <c r="D1154" s="103">
        <v>2.4659585629290208E-2</v>
      </c>
    </row>
    <row r="1155" spans="1:4" x14ac:dyDescent="0.25">
      <c r="A1155" s="86">
        <v>21</v>
      </c>
      <c r="B1155" s="86">
        <v>95</v>
      </c>
      <c r="C1155" s="103">
        <v>3.9835662914700799E-3</v>
      </c>
      <c r="D1155" s="103">
        <v>5.8958827459121132E-3</v>
      </c>
    </row>
    <row r="1156" spans="1:4" x14ac:dyDescent="0.25">
      <c r="A1156" s="86">
        <v>21</v>
      </c>
      <c r="B1156" s="86">
        <v>97</v>
      </c>
      <c r="C1156" s="103">
        <v>2.5972555812224861E-3</v>
      </c>
      <c r="D1156" s="103">
        <v>4.2145473620968715E-3</v>
      </c>
    </row>
    <row r="1157" spans="1:4" x14ac:dyDescent="0.25">
      <c r="A1157" s="86">
        <v>21</v>
      </c>
      <c r="B1157" s="86">
        <v>99</v>
      </c>
      <c r="C1157" s="103">
        <v>8.857086528476249E-3</v>
      </c>
      <c r="D1157" s="103">
        <v>4.2369651672144086E-3</v>
      </c>
    </row>
    <row r="1158" spans="1:4" x14ac:dyDescent="0.25">
      <c r="A1158" s="86">
        <v>21</v>
      </c>
      <c r="B1158" s="86">
        <v>101</v>
      </c>
      <c r="C1158" s="103">
        <v>1.083756034273039E-2</v>
      </c>
      <c r="D1158" s="103">
        <v>1.0200101328479131E-2</v>
      </c>
    </row>
    <row r="1159" spans="1:4" x14ac:dyDescent="0.25">
      <c r="A1159" s="86">
        <v>21</v>
      </c>
      <c r="B1159" s="86">
        <v>103</v>
      </c>
      <c r="C1159" s="103">
        <v>6.3274854919397414E-3</v>
      </c>
      <c r="D1159" s="103">
        <v>3.609266623923385E-3</v>
      </c>
    </row>
    <row r="1160" spans="1:4" x14ac:dyDescent="0.25">
      <c r="A1160" s="86">
        <v>21</v>
      </c>
      <c r="B1160" s="86">
        <v>105</v>
      </c>
      <c r="C1160" s="103">
        <v>1.0258249412939502E-3</v>
      </c>
      <c r="D1160" s="103">
        <v>9.9310876670686936E-4</v>
      </c>
    </row>
    <row r="1161" spans="1:4" x14ac:dyDescent="0.25">
      <c r="A1161" s="86">
        <v>21</v>
      </c>
      <c r="B1161" s="86">
        <v>107</v>
      </c>
      <c r="C1161" s="103">
        <v>1.1042302602218607E-2</v>
      </c>
      <c r="D1161" s="103">
        <v>1.0088012302891448E-2</v>
      </c>
    </row>
    <row r="1162" spans="1:4" x14ac:dyDescent="0.25">
      <c r="A1162" s="86">
        <v>21</v>
      </c>
      <c r="B1162" s="86">
        <v>109</v>
      </c>
      <c r="C1162" s="103">
        <v>1.5891532194729403E-3</v>
      </c>
      <c r="D1162" s="103">
        <v>3.0039858857498982E-3</v>
      </c>
    </row>
    <row r="1163" spans="1:4" x14ac:dyDescent="0.25">
      <c r="A1163" s="86">
        <v>21</v>
      </c>
      <c r="B1163" s="86">
        <v>111</v>
      </c>
      <c r="C1163" s="103">
        <v>0.16461883036407021</v>
      </c>
      <c r="D1163" s="103">
        <v>0.17216874330268073</v>
      </c>
    </row>
    <row r="1164" spans="1:4" x14ac:dyDescent="0.25">
      <c r="A1164" s="86">
        <v>21</v>
      </c>
      <c r="B1164" s="86">
        <v>113</v>
      </c>
      <c r="C1164" s="103">
        <v>8.3923581751814118E-3</v>
      </c>
      <c r="D1164" s="103">
        <v>1.2060779153234665E-2</v>
      </c>
    </row>
    <row r="1165" spans="1:4" x14ac:dyDescent="0.25">
      <c r="A1165" s="86">
        <v>21</v>
      </c>
      <c r="B1165" s="86">
        <v>115</v>
      </c>
      <c r="C1165" s="103">
        <v>3.6428039101991873E-3</v>
      </c>
      <c r="D1165" s="103">
        <v>5.0215883463281879E-3</v>
      </c>
    </row>
    <row r="1166" spans="1:4" x14ac:dyDescent="0.25">
      <c r="A1166" s="86">
        <v>21</v>
      </c>
      <c r="B1166" s="86">
        <v>117</v>
      </c>
      <c r="C1166" s="103">
        <v>3.409701196434059E-2</v>
      </c>
      <c r="D1166" s="103">
        <v>3.7213556495110676E-2</v>
      </c>
    </row>
    <row r="1167" spans="1:4" x14ac:dyDescent="0.25">
      <c r="A1167" s="86">
        <v>21</v>
      </c>
      <c r="B1167" s="86">
        <v>119</v>
      </c>
      <c r="C1167" s="103">
        <v>2.4441046339389138E-3</v>
      </c>
      <c r="D1167" s="103">
        <v>3.3850885727480192E-3</v>
      </c>
    </row>
    <row r="1168" spans="1:4" x14ac:dyDescent="0.25">
      <c r="A1168" s="86">
        <v>21</v>
      </c>
      <c r="B1168" s="86">
        <v>121</v>
      </c>
      <c r="C1168" s="103">
        <v>5.3002446615676036E-3</v>
      </c>
      <c r="D1168" s="103">
        <v>7.016773001788941E-3</v>
      </c>
    </row>
    <row r="1169" spans="1:4" x14ac:dyDescent="0.25">
      <c r="A1169" s="86">
        <v>21</v>
      </c>
      <c r="B1169" s="86">
        <v>123</v>
      </c>
      <c r="C1169" s="103">
        <v>3.5425231691062035E-3</v>
      </c>
      <c r="D1169" s="103">
        <v>3.2057461318077268E-3</v>
      </c>
    </row>
    <row r="1170" spans="1:4" x14ac:dyDescent="0.25">
      <c r="A1170" s="86">
        <v>21</v>
      </c>
      <c r="B1170" s="86">
        <v>125</v>
      </c>
      <c r="C1170" s="103">
        <v>1.8271403677030704E-2</v>
      </c>
      <c r="D1170" s="103">
        <v>1.3607607706344687E-2</v>
      </c>
    </row>
    <row r="1171" spans="1:4" x14ac:dyDescent="0.25">
      <c r="A1171" s="86">
        <v>21</v>
      </c>
      <c r="B1171" s="86">
        <v>127</v>
      </c>
      <c r="C1171" s="103">
        <v>3.1846008404574763E-3</v>
      </c>
      <c r="D1171" s="103">
        <v>3.4971775983357023E-3</v>
      </c>
    </row>
    <row r="1172" spans="1:4" x14ac:dyDescent="0.25">
      <c r="A1172" s="86">
        <v>21</v>
      </c>
      <c r="B1172" s="86">
        <v>129</v>
      </c>
      <c r="C1172" s="103">
        <v>9.5680241276180605E-4</v>
      </c>
      <c r="D1172" s="103">
        <v>1.5804552607863269E-3</v>
      </c>
    </row>
    <row r="1173" spans="1:4" x14ac:dyDescent="0.25">
      <c r="A1173" s="86">
        <v>21</v>
      </c>
      <c r="B1173" s="86">
        <v>131</v>
      </c>
      <c r="C1173" s="103">
        <v>1.8277920812892362E-3</v>
      </c>
      <c r="D1173" s="103">
        <v>2.2866161219887281E-3</v>
      </c>
    </row>
    <row r="1174" spans="1:4" x14ac:dyDescent="0.25">
      <c r="A1174" s="86">
        <v>21</v>
      </c>
      <c r="B1174" s="86">
        <v>133</v>
      </c>
      <c r="C1174" s="103">
        <v>3.4133662558651053E-3</v>
      </c>
      <c r="D1174" s="103">
        <v>4.8870815156229685E-3</v>
      </c>
    </row>
    <row r="1175" spans="1:4" x14ac:dyDescent="0.25">
      <c r="A1175" s="86">
        <v>21</v>
      </c>
      <c r="B1175" s="86">
        <v>135</v>
      </c>
      <c r="C1175" s="103">
        <v>2.1879746810993649E-3</v>
      </c>
      <c r="D1175" s="103">
        <v>2.9815680806323614E-3</v>
      </c>
    </row>
    <row r="1176" spans="1:4" x14ac:dyDescent="0.25">
      <c r="A1176" s="86">
        <v>21</v>
      </c>
      <c r="B1176" s="86">
        <v>137</v>
      </c>
      <c r="C1176" s="103">
        <v>4.0445860568162429E-3</v>
      </c>
      <c r="D1176" s="103">
        <v>5.5147800589139921E-3</v>
      </c>
    </row>
    <row r="1177" spans="1:4" x14ac:dyDescent="0.25">
      <c r="A1177" s="86">
        <v>21</v>
      </c>
      <c r="B1177" s="86">
        <v>139</v>
      </c>
      <c r="C1177" s="103">
        <v>2.5922800542245651E-3</v>
      </c>
      <c r="D1177" s="103">
        <v>2.0714051928603775E-3</v>
      </c>
    </row>
    <row r="1178" spans="1:4" x14ac:dyDescent="0.25">
      <c r="A1178" s="86">
        <v>21</v>
      </c>
      <c r="B1178" s="86">
        <v>141</v>
      </c>
      <c r="C1178" s="103">
        <v>5.3366898620817024E-3</v>
      </c>
      <c r="D1178" s="103">
        <v>6.0528073817348689E-3</v>
      </c>
    </row>
    <row r="1179" spans="1:4" x14ac:dyDescent="0.25">
      <c r="A1179" s="86">
        <v>21</v>
      </c>
      <c r="B1179" s="86">
        <v>143</v>
      </c>
      <c r="C1179" s="103">
        <v>5.5984828660050178E-3</v>
      </c>
      <c r="D1179" s="103">
        <v>1.8315346781027364E-3</v>
      </c>
    </row>
    <row r="1180" spans="1:4" x14ac:dyDescent="0.25">
      <c r="A1180" s="86">
        <v>21</v>
      </c>
      <c r="B1180" s="86">
        <v>145</v>
      </c>
      <c r="C1180" s="103">
        <v>1.6741993409526246E-2</v>
      </c>
      <c r="D1180" s="103">
        <v>1.4638826741751369E-2</v>
      </c>
    </row>
    <row r="1181" spans="1:4" x14ac:dyDescent="0.25">
      <c r="A1181" s="86">
        <v>21</v>
      </c>
      <c r="B1181" s="86">
        <v>147</v>
      </c>
      <c r="C1181" s="103">
        <v>2.2540788207984675E-3</v>
      </c>
      <c r="D1181" s="103">
        <v>3.8782802853338234E-3</v>
      </c>
    </row>
    <row r="1182" spans="1:4" x14ac:dyDescent="0.25">
      <c r="A1182" s="86">
        <v>21</v>
      </c>
      <c r="B1182" s="86">
        <v>149</v>
      </c>
      <c r="C1182" s="103">
        <v>1.6638119060010453E-3</v>
      </c>
      <c r="D1182" s="103">
        <v>2.0758887538838847E-3</v>
      </c>
    </row>
    <row r="1183" spans="1:4" x14ac:dyDescent="0.25">
      <c r="A1183" s="86">
        <v>21</v>
      </c>
      <c r="B1183" s="86">
        <v>151</v>
      </c>
      <c r="C1183" s="103">
        <v>2.2789500784242387E-2</v>
      </c>
      <c r="D1183" s="103">
        <v>2.0646798513251165E-2</v>
      </c>
    </row>
    <row r="1184" spans="1:4" x14ac:dyDescent="0.25">
      <c r="A1184" s="86">
        <v>21</v>
      </c>
      <c r="B1184" s="86">
        <v>153</v>
      </c>
      <c r="C1184" s="103">
        <v>2.2706596971345727E-3</v>
      </c>
      <c r="D1184" s="103">
        <v>2.7573900294569961E-3</v>
      </c>
    </row>
    <row r="1185" spans="1:4" x14ac:dyDescent="0.25">
      <c r="A1185" s="86">
        <v>21</v>
      </c>
      <c r="B1185" s="86">
        <v>155</v>
      </c>
      <c r="C1185" s="103">
        <v>3.1154379232695996E-3</v>
      </c>
      <c r="D1185" s="103">
        <v>4.3266363876845546E-3</v>
      </c>
    </row>
    <row r="1186" spans="1:4" x14ac:dyDescent="0.25">
      <c r="A1186" s="86">
        <v>21</v>
      </c>
      <c r="B1186" s="86">
        <v>157</v>
      </c>
      <c r="C1186" s="103">
        <v>9.9542807262877637E-3</v>
      </c>
      <c r="D1186" s="103">
        <v>6.9943551966714047E-3</v>
      </c>
    </row>
    <row r="1187" spans="1:4" x14ac:dyDescent="0.25">
      <c r="A1187" s="86">
        <v>21</v>
      </c>
      <c r="B1187" s="86">
        <v>159</v>
      </c>
      <c r="C1187" s="103">
        <v>1.4774426733096774E-3</v>
      </c>
      <c r="D1187" s="103">
        <v>2.5332119782816302E-3</v>
      </c>
    </row>
    <row r="1188" spans="1:4" x14ac:dyDescent="0.25">
      <c r="A1188" s="86">
        <v>21</v>
      </c>
      <c r="B1188" s="86">
        <v>161</v>
      </c>
      <c r="C1188" s="103">
        <v>3.7706309233486324E-3</v>
      </c>
      <c r="D1188" s="103">
        <v>3.8334446750987504E-3</v>
      </c>
    </row>
    <row r="1189" spans="1:4" x14ac:dyDescent="0.25">
      <c r="A1189" s="86">
        <v>21</v>
      </c>
      <c r="B1189" s="86">
        <v>163</v>
      </c>
      <c r="C1189" s="103">
        <v>4.7114087040576692E-3</v>
      </c>
      <c r="D1189" s="103">
        <v>6.4114922636154537E-3</v>
      </c>
    </row>
    <row r="1190" spans="1:4" x14ac:dyDescent="0.25">
      <c r="A1190" s="86">
        <v>21</v>
      </c>
      <c r="B1190" s="86">
        <v>165</v>
      </c>
      <c r="C1190" s="103">
        <v>8.9195721500636674E-4</v>
      </c>
      <c r="D1190" s="103">
        <v>1.4437066495693539E-3</v>
      </c>
    </row>
    <row r="1191" spans="1:4" x14ac:dyDescent="0.25">
      <c r="A1191" s="86">
        <v>21</v>
      </c>
      <c r="B1191" s="86">
        <v>167</v>
      </c>
      <c r="C1191" s="103">
        <v>4.0261397606644236E-3</v>
      </c>
      <c r="D1191" s="103">
        <v>4.8646637105054322E-3</v>
      </c>
    </row>
    <row r="1192" spans="1:4" x14ac:dyDescent="0.25">
      <c r="A1192" s="86">
        <v>21</v>
      </c>
      <c r="B1192" s="86">
        <v>169</v>
      </c>
      <c r="C1192" s="103">
        <v>1.9192257661421091E-3</v>
      </c>
      <c r="D1192" s="103">
        <v>2.2641983168711919E-3</v>
      </c>
    </row>
    <row r="1193" spans="1:4" x14ac:dyDescent="0.25">
      <c r="A1193" s="86">
        <v>21</v>
      </c>
      <c r="B1193" s="86">
        <v>171</v>
      </c>
      <c r="C1193" s="103">
        <v>1.3945044117185221E-3</v>
      </c>
      <c r="D1193" s="103">
        <v>2.3987051475764113E-3</v>
      </c>
    </row>
    <row r="1194" spans="1:4" x14ac:dyDescent="0.25">
      <c r="A1194" s="86">
        <v>21</v>
      </c>
      <c r="B1194" s="86">
        <v>173</v>
      </c>
      <c r="C1194" s="103">
        <v>6.2532677563468687E-3</v>
      </c>
      <c r="D1194" s="103">
        <v>6.2994032380277714E-3</v>
      </c>
    </row>
    <row r="1195" spans="1:4" x14ac:dyDescent="0.25">
      <c r="A1195" s="86">
        <v>21</v>
      </c>
      <c r="B1195" s="86">
        <v>175</v>
      </c>
      <c r="C1195" s="103">
        <v>2.1709903044615699E-3</v>
      </c>
      <c r="D1195" s="103">
        <v>3.0039858857498982E-3</v>
      </c>
    </row>
    <row r="1196" spans="1:4" x14ac:dyDescent="0.25">
      <c r="A1196" s="86">
        <v>21</v>
      </c>
      <c r="B1196" s="86">
        <v>177</v>
      </c>
      <c r="C1196" s="103">
        <v>6.2141109951742209E-3</v>
      </c>
      <c r="D1196" s="103">
        <v>6.9046839762012579E-3</v>
      </c>
    </row>
    <row r="1197" spans="1:4" x14ac:dyDescent="0.25">
      <c r="A1197" s="86">
        <v>21</v>
      </c>
      <c r="B1197" s="86">
        <v>179</v>
      </c>
      <c r="C1197" s="103">
        <v>1.0658237722784807E-2</v>
      </c>
      <c r="D1197" s="103">
        <v>1.026735474383174E-2</v>
      </c>
    </row>
    <row r="1198" spans="1:4" x14ac:dyDescent="0.25">
      <c r="A1198" s="86">
        <v>21</v>
      </c>
      <c r="B1198" s="86">
        <v>181</v>
      </c>
      <c r="C1198" s="103">
        <v>1.1696136006512422E-3</v>
      </c>
      <c r="D1198" s="103">
        <v>1.6140819684626318E-3</v>
      </c>
    </row>
    <row r="1199" spans="1:4" x14ac:dyDescent="0.25">
      <c r="A1199" s="86">
        <v>21</v>
      </c>
      <c r="B1199" s="86">
        <v>183</v>
      </c>
      <c r="C1199" s="103">
        <v>6.4675719274114212E-3</v>
      </c>
      <c r="D1199" s="103">
        <v>5.402691033326309E-3</v>
      </c>
    </row>
    <row r="1200" spans="1:4" x14ac:dyDescent="0.25">
      <c r="A1200" s="86">
        <v>21</v>
      </c>
      <c r="B1200" s="86">
        <v>185</v>
      </c>
      <c r="C1200" s="103">
        <v>1.3300992166740463E-2</v>
      </c>
      <c r="D1200" s="103">
        <v>1.4907840403161808E-2</v>
      </c>
    </row>
    <row r="1201" spans="1:4" x14ac:dyDescent="0.25">
      <c r="A1201" s="86">
        <v>21</v>
      </c>
      <c r="B1201" s="86">
        <v>187</v>
      </c>
      <c r="C1201" s="103">
        <v>1.6225585971953978E-3</v>
      </c>
      <c r="D1201" s="103">
        <v>2.4435407578114843E-3</v>
      </c>
    </row>
    <row r="1202" spans="1:4" x14ac:dyDescent="0.25">
      <c r="A1202" s="86">
        <v>21</v>
      </c>
      <c r="B1202" s="86">
        <v>189</v>
      </c>
      <c r="C1202" s="103">
        <v>5.685974343667534E-4</v>
      </c>
      <c r="D1202" s="103">
        <v>1.0020758887538839E-3</v>
      </c>
    </row>
    <row r="1203" spans="1:4" x14ac:dyDescent="0.25">
      <c r="A1203" s="86">
        <v>21</v>
      </c>
      <c r="B1203" s="86">
        <v>191</v>
      </c>
      <c r="C1203" s="103">
        <v>1.779493147697537E-3</v>
      </c>
      <c r="D1203" s="103">
        <v>3.2729995471603365E-3</v>
      </c>
    </row>
    <row r="1204" spans="1:4" x14ac:dyDescent="0.25">
      <c r="A1204" s="86">
        <v>21</v>
      </c>
      <c r="B1204" s="86">
        <v>193</v>
      </c>
      <c r="C1204" s="103">
        <v>5.9270005010945374E-3</v>
      </c>
      <c r="D1204" s="103">
        <v>5.8734649407945769E-3</v>
      </c>
    </row>
    <row r="1205" spans="1:4" x14ac:dyDescent="0.25">
      <c r="A1205" s="86">
        <v>21</v>
      </c>
      <c r="B1205" s="86">
        <v>195</v>
      </c>
      <c r="C1205" s="103">
        <v>1.2068455989330594E-2</v>
      </c>
      <c r="D1205" s="103">
        <v>1.3114415993758883E-2</v>
      </c>
    </row>
    <row r="1206" spans="1:4" x14ac:dyDescent="0.25">
      <c r="A1206" s="86">
        <v>21</v>
      </c>
      <c r="B1206" s="86">
        <v>197</v>
      </c>
      <c r="C1206" s="103">
        <v>3.2988651706593744E-3</v>
      </c>
      <c r="D1206" s="103">
        <v>2.7798078345745323E-3</v>
      </c>
    </row>
    <row r="1207" spans="1:4" x14ac:dyDescent="0.25">
      <c r="A1207" s="86">
        <v>21</v>
      </c>
      <c r="B1207" s="86">
        <v>199</v>
      </c>
      <c r="C1207" s="103">
        <v>1.2767206258308524E-2</v>
      </c>
      <c r="D1207" s="103">
        <v>1.4481902105928613E-2</v>
      </c>
    </row>
    <row r="1208" spans="1:4" x14ac:dyDescent="0.25">
      <c r="A1208" s="86">
        <v>21</v>
      </c>
      <c r="B1208" s="86">
        <v>201</v>
      </c>
      <c r="C1208" s="103">
        <v>2.5253176146782327E-4</v>
      </c>
      <c r="D1208" s="103">
        <v>4.7749924900352856E-4</v>
      </c>
    </row>
    <row r="1209" spans="1:4" x14ac:dyDescent="0.25">
      <c r="A1209" s="86">
        <v>21</v>
      </c>
      <c r="B1209" s="86">
        <v>203</v>
      </c>
      <c r="C1209" s="103">
        <v>9.7554262900772515E-3</v>
      </c>
      <c r="D1209" s="103">
        <v>3.7661912597461407E-3</v>
      </c>
    </row>
    <row r="1210" spans="1:4" x14ac:dyDescent="0.25">
      <c r="A1210" s="86">
        <v>21</v>
      </c>
      <c r="B1210" s="86">
        <v>205</v>
      </c>
      <c r="C1210" s="103">
        <v>5.7596569286708123E-3</v>
      </c>
      <c r="D1210" s="103">
        <v>5.492362253796455E-3</v>
      </c>
    </row>
    <row r="1211" spans="1:4" x14ac:dyDescent="0.25">
      <c r="A1211" s="86">
        <v>21</v>
      </c>
      <c r="B1211" s="86">
        <v>207</v>
      </c>
      <c r="C1211" s="103">
        <v>2.8973510971960783E-3</v>
      </c>
      <c r="D1211" s="103">
        <v>3.9903693109215061E-3</v>
      </c>
    </row>
    <row r="1212" spans="1:4" x14ac:dyDescent="0.25">
      <c r="A1212" s="86">
        <v>21</v>
      </c>
      <c r="B1212" s="86">
        <v>209</v>
      </c>
      <c r="C1212" s="103">
        <v>1.6352663356458099E-2</v>
      </c>
      <c r="D1212" s="103">
        <v>1.2553970865820469E-2</v>
      </c>
    </row>
    <row r="1213" spans="1:4" x14ac:dyDescent="0.25">
      <c r="A1213" s="86">
        <v>21</v>
      </c>
      <c r="B1213" s="86">
        <v>211</v>
      </c>
      <c r="C1213" s="103">
        <v>1.4601825731446014E-2</v>
      </c>
      <c r="D1213" s="103">
        <v>1.0782964261535081E-2</v>
      </c>
    </row>
    <row r="1214" spans="1:4" x14ac:dyDescent="0.25">
      <c r="A1214" s="86">
        <v>21</v>
      </c>
      <c r="B1214" s="86">
        <v>213</v>
      </c>
      <c r="C1214" s="103">
        <v>7.873379157517164E-3</v>
      </c>
      <c r="D1214" s="103">
        <v>4.1248761416267255E-3</v>
      </c>
    </row>
    <row r="1215" spans="1:4" x14ac:dyDescent="0.25">
      <c r="A1215" s="86">
        <v>21</v>
      </c>
      <c r="B1215" s="86">
        <v>215</v>
      </c>
      <c r="C1215" s="103">
        <v>2.4343065568792005E-3</v>
      </c>
      <c r="D1215" s="103">
        <v>4.2593829723319449E-3</v>
      </c>
    </row>
    <row r="1216" spans="1:4" x14ac:dyDescent="0.25">
      <c r="A1216" s="86">
        <v>21</v>
      </c>
      <c r="B1216" s="86">
        <v>217</v>
      </c>
      <c r="C1216" s="103">
        <v>4.3731054127301838E-3</v>
      </c>
      <c r="D1216" s="103">
        <v>5.7165403049718212E-3</v>
      </c>
    </row>
    <row r="1217" spans="1:4" x14ac:dyDescent="0.25">
      <c r="A1217" s="86">
        <v>21</v>
      </c>
      <c r="B1217" s="86">
        <v>219</v>
      </c>
      <c r="C1217" s="103">
        <v>2.1793607376487177E-3</v>
      </c>
      <c r="D1217" s="103">
        <v>2.7573900294569961E-3</v>
      </c>
    </row>
    <row r="1218" spans="1:4" x14ac:dyDescent="0.25">
      <c r="A1218" s="86">
        <v>21</v>
      </c>
      <c r="B1218" s="86">
        <v>221</v>
      </c>
      <c r="C1218" s="103">
        <v>4.3560745449384587E-3</v>
      </c>
      <c r="D1218" s="103">
        <v>3.2954173522778732E-3</v>
      </c>
    </row>
    <row r="1219" spans="1:4" x14ac:dyDescent="0.25">
      <c r="A1219" s="86">
        <v>21</v>
      </c>
      <c r="B1219" s="86">
        <v>223</v>
      </c>
      <c r="C1219" s="103">
        <v>1.4751599115525483E-3</v>
      </c>
      <c r="D1219" s="103">
        <v>1.8987880934553459E-3</v>
      </c>
    </row>
    <row r="1220" spans="1:4" x14ac:dyDescent="0.25">
      <c r="A1220" s="86">
        <v>21</v>
      </c>
      <c r="B1220" s="86">
        <v>225</v>
      </c>
      <c r="C1220" s="103">
        <v>2.1773337397193635E-3</v>
      </c>
      <c r="D1220" s="103">
        <v>3.2505817420428003E-3</v>
      </c>
    </row>
    <row r="1221" spans="1:4" x14ac:dyDescent="0.25">
      <c r="A1221" s="86">
        <v>21</v>
      </c>
      <c r="B1221" s="86">
        <v>227</v>
      </c>
      <c r="C1221" s="103">
        <v>3.3527601735354677E-2</v>
      </c>
      <c r="D1221" s="103">
        <v>2.9367324703972884E-2</v>
      </c>
    </row>
    <row r="1222" spans="1:4" x14ac:dyDescent="0.25">
      <c r="A1222" s="86">
        <v>21</v>
      </c>
      <c r="B1222" s="86">
        <v>229</v>
      </c>
      <c r="C1222" s="103">
        <v>3.0477734917830775E-3</v>
      </c>
      <c r="D1222" s="103">
        <v>2.6901366141043864E-3</v>
      </c>
    </row>
    <row r="1223" spans="1:4" x14ac:dyDescent="0.25">
      <c r="A1223" s="86">
        <v>21</v>
      </c>
      <c r="B1223" s="86">
        <v>231</v>
      </c>
      <c r="C1223" s="103">
        <v>3.1252760374739052E-3</v>
      </c>
      <c r="D1223" s="103">
        <v>4.5732322439774563E-3</v>
      </c>
    </row>
    <row r="1224" spans="1:4" x14ac:dyDescent="0.25">
      <c r="A1224" s="86">
        <v>21</v>
      </c>
      <c r="B1224" s="86">
        <v>233</v>
      </c>
      <c r="C1224" s="103">
        <v>2.70998896903354E-3</v>
      </c>
      <c r="D1224" s="103">
        <v>2.9367324703972885E-3</v>
      </c>
    </row>
    <row r="1225" spans="1:4" x14ac:dyDescent="0.25">
      <c r="A1225" s="86">
        <v>21</v>
      </c>
      <c r="B1225" s="86">
        <v>235</v>
      </c>
      <c r="C1225" s="103">
        <v>1.1802502857576593E-2</v>
      </c>
      <c r="D1225" s="103">
        <v>8.0928276474306962E-3</v>
      </c>
    </row>
    <row r="1226" spans="1:4" x14ac:dyDescent="0.25">
      <c r="A1226" s="86">
        <v>21</v>
      </c>
      <c r="B1226" s="86">
        <v>237</v>
      </c>
      <c r="C1226" s="103">
        <v>1.984675618462274E-3</v>
      </c>
      <c r="D1226" s="103">
        <v>1.6140819684626318E-3</v>
      </c>
    </row>
    <row r="1227" spans="1:4" x14ac:dyDescent="0.25">
      <c r="A1227" s="86">
        <v>21</v>
      </c>
      <c r="B1227" s="86">
        <v>239</v>
      </c>
      <c r="C1227" s="103">
        <v>7.6542636674848631E-3</v>
      </c>
      <c r="D1227" s="103">
        <v>5.9407183561471866E-3</v>
      </c>
    </row>
    <row r="1228" spans="1:4" x14ac:dyDescent="0.25">
      <c r="A1228" s="86">
        <v>22</v>
      </c>
      <c r="B1228" s="86">
        <v>1</v>
      </c>
      <c r="C1228" s="103">
        <v>1.6286442752354288E-2</v>
      </c>
      <c r="D1228" s="103">
        <v>1.3349157736824145E-2</v>
      </c>
    </row>
    <row r="1229" spans="1:4" x14ac:dyDescent="0.25">
      <c r="A1229" s="86">
        <v>22</v>
      </c>
      <c r="B1229" s="86">
        <v>3</v>
      </c>
      <c r="C1229" s="103">
        <v>3.6153034893844018E-3</v>
      </c>
      <c r="D1229" s="103">
        <v>5.4941871071173334E-3</v>
      </c>
    </row>
    <row r="1230" spans="1:4" x14ac:dyDescent="0.25">
      <c r="A1230" s="86">
        <v>22</v>
      </c>
      <c r="B1230" s="86">
        <v>5</v>
      </c>
      <c r="C1230" s="103">
        <v>2.4589382056046799E-2</v>
      </c>
      <c r="D1230" s="103">
        <v>2.6827085483971353E-2</v>
      </c>
    </row>
    <row r="1231" spans="1:4" x14ac:dyDescent="0.25">
      <c r="A1231" s="86">
        <v>22</v>
      </c>
      <c r="B1231" s="86">
        <v>7</v>
      </c>
      <c r="C1231" s="103">
        <v>4.812747117996969E-3</v>
      </c>
      <c r="D1231" s="103">
        <v>4.7859520503404892E-3</v>
      </c>
    </row>
    <row r="1232" spans="1:4" x14ac:dyDescent="0.25">
      <c r="A1232" s="86">
        <v>22</v>
      </c>
      <c r="B1232" s="86">
        <v>9</v>
      </c>
      <c r="C1232" s="103">
        <v>5.9931249374040483E-3</v>
      </c>
      <c r="D1232" s="103">
        <v>8.6705140284195417E-3</v>
      </c>
    </row>
    <row r="1233" spans="1:4" x14ac:dyDescent="0.25">
      <c r="A1233" s="86">
        <v>22</v>
      </c>
      <c r="B1233" s="86">
        <v>11</v>
      </c>
      <c r="C1233" s="103">
        <v>6.8108106544774684E-3</v>
      </c>
      <c r="D1233" s="103">
        <v>8.0266639768042294E-3</v>
      </c>
    </row>
    <row r="1234" spans="1:4" x14ac:dyDescent="0.25">
      <c r="A1234" s="86">
        <v>22</v>
      </c>
      <c r="B1234" s="86">
        <v>13</v>
      </c>
      <c r="C1234" s="103">
        <v>6.042510688549183E-3</v>
      </c>
      <c r="D1234" s="103">
        <v>2.8544018954945521E-3</v>
      </c>
    </row>
    <row r="1235" spans="1:4" x14ac:dyDescent="0.25">
      <c r="A1235" s="86">
        <v>22</v>
      </c>
      <c r="B1235" s="86">
        <v>15</v>
      </c>
      <c r="C1235" s="103">
        <v>2.3602971280252242E-2</v>
      </c>
      <c r="D1235" s="103">
        <v>2.7256318851714895E-2</v>
      </c>
    </row>
    <row r="1236" spans="1:4" x14ac:dyDescent="0.25">
      <c r="A1236" s="86">
        <v>22</v>
      </c>
      <c r="B1236" s="86">
        <v>17</v>
      </c>
      <c r="C1236" s="103">
        <v>6.9761596267707351E-2</v>
      </c>
      <c r="D1236" s="103">
        <v>5.2151854180840312E-2</v>
      </c>
    </row>
    <row r="1237" spans="1:4" x14ac:dyDescent="0.25">
      <c r="A1237" s="86">
        <v>22</v>
      </c>
      <c r="B1237" s="86">
        <v>19</v>
      </c>
      <c r="C1237" s="103">
        <v>5.7616907463159138E-2</v>
      </c>
      <c r="D1237" s="103">
        <v>4.3567186825969474E-2</v>
      </c>
    </row>
    <row r="1238" spans="1:4" x14ac:dyDescent="0.25">
      <c r="A1238" s="86">
        <v>22</v>
      </c>
      <c r="B1238" s="86">
        <v>21</v>
      </c>
      <c r="C1238" s="103">
        <v>2.1989506710921041E-3</v>
      </c>
      <c r="D1238" s="103">
        <v>2.1375821713628374E-3</v>
      </c>
    </row>
    <row r="1239" spans="1:4" x14ac:dyDescent="0.25">
      <c r="A1239" s="86">
        <v>22</v>
      </c>
      <c r="B1239" s="86">
        <v>23</v>
      </c>
      <c r="C1239" s="103">
        <v>2.6153735688902893E-3</v>
      </c>
      <c r="D1239" s="103">
        <v>1.5044629539411134E-3</v>
      </c>
    </row>
    <row r="1240" spans="1:4" x14ac:dyDescent="0.25">
      <c r="A1240" s="86">
        <v>22</v>
      </c>
      <c r="B1240" s="86">
        <v>25</v>
      </c>
      <c r="C1240" s="103">
        <v>2.648636738214544E-3</v>
      </c>
      <c r="D1240" s="103">
        <v>2.0624663320077175E-3</v>
      </c>
    </row>
    <row r="1241" spans="1:4" x14ac:dyDescent="0.25">
      <c r="A1241" s="86">
        <v>22</v>
      </c>
      <c r="B1241" s="86">
        <v>27</v>
      </c>
      <c r="C1241" s="103">
        <v>2.4299560624843797E-3</v>
      </c>
      <c r="D1241" s="103">
        <v>3.4124052735611562E-3</v>
      </c>
    </row>
    <row r="1242" spans="1:4" x14ac:dyDescent="0.25">
      <c r="A1242" s="86">
        <v>22</v>
      </c>
      <c r="B1242" s="86">
        <v>29</v>
      </c>
      <c r="C1242" s="103">
        <v>2.9944836332549598E-3</v>
      </c>
      <c r="D1242" s="103">
        <v>4.2064870038867079E-3</v>
      </c>
    </row>
    <row r="1243" spans="1:4" x14ac:dyDescent="0.25">
      <c r="A1243" s="86">
        <v>22</v>
      </c>
      <c r="B1243" s="86">
        <v>31</v>
      </c>
      <c r="C1243" s="103">
        <v>1.1667633729467308E-2</v>
      </c>
      <c r="D1243" s="103">
        <v>5.8804971380865207E-3</v>
      </c>
    </row>
    <row r="1244" spans="1:4" x14ac:dyDescent="0.25">
      <c r="A1244" s="86">
        <v>22</v>
      </c>
      <c r="B1244" s="86">
        <v>33</v>
      </c>
      <c r="C1244" s="103">
        <v>8.3243212912586517E-2</v>
      </c>
      <c r="D1244" s="103">
        <v>9.4860574271322703E-2</v>
      </c>
    </row>
    <row r="1245" spans="1:4" x14ac:dyDescent="0.25">
      <c r="A1245" s="86">
        <v>22</v>
      </c>
      <c r="B1245" s="86">
        <v>35</v>
      </c>
      <c r="C1245" s="103">
        <v>1.0847576296684385E-3</v>
      </c>
      <c r="D1245" s="103">
        <v>1.500170620263678E-3</v>
      </c>
    </row>
    <row r="1246" spans="1:4" x14ac:dyDescent="0.25">
      <c r="A1246" s="86">
        <v>22</v>
      </c>
      <c r="B1246" s="86">
        <v>37</v>
      </c>
      <c r="C1246" s="103">
        <v>2.6311081507055423E-3</v>
      </c>
      <c r="D1246" s="103">
        <v>4.1421019987251768E-3</v>
      </c>
    </row>
    <row r="1247" spans="1:4" x14ac:dyDescent="0.25">
      <c r="A1247" s="86">
        <v>22</v>
      </c>
      <c r="B1247" s="86">
        <v>39</v>
      </c>
      <c r="C1247" s="103">
        <v>4.6643135070168918E-3</v>
      </c>
      <c r="D1247" s="103">
        <v>7.189658909704323E-3</v>
      </c>
    </row>
    <row r="1248" spans="1:4" x14ac:dyDescent="0.25">
      <c r="A1248" s="86">
        <v>22</v>
      </c>
      <c r="B1248" s="86">
        <v>41</v>
      </c>
      <c r="C1248" s="103">
        <v>3.9532447464220924E-3</v>
      </c>
      <c r="D1248" s="103">
        <v>4.3352570142097709E-3</v>
      </c>
    </row>
    <row r="1249" spans="1:4" x14ac:dyDescent="0.25">
      <c r="A1249" s="86">
        <v>22</v>
      </c>
      <c r="B1249" s="86">
        <v>43</v>
      </c>
      <c r="C1249" s="103">
        <v>3.3024593120353335E-3</v>
      </c>
      <c r="D1249" s="103">
        <v>4.8074137187276668E-3</v>
      </c>
    </row>
    <row r="1250" spans="1:4" x14ac:dyDescent="0.25">
      <c r="A1250" s="86">
        <v>22</v>
      </c>
      <c r="B1250" s="86">
        <v>45</v>
      </c>
      <c r="C1250" s="103">
        <v>1.3456816844107643E-2</v>
      </c>
      <c r="D1250" s="103">
        <v>1.5216322886508551E-2</v>
      </c>
    </row>
    <row r="1251" spans="1:4" x14ac:dyDescent="0.25">
      <c r="A1251" s="86">
        <v>22</v>
      </c>
      <c r="B1251" s="86">
        <v>47</v>
      </c>
      <c r="C1251" s="103">
        <v>1.080266284957632E-2</v>
      </c>
      <c r="D1251" s="103">
        <v>7.0179655626069056E-3</v>
      </c>
    </row>
    <row r="1252" spans="1:4" x14ac:dyDescent="0.25">
      <c r="A1252" s="86">
        <v>22</v>
      </c>
      <c r="B1252" s="86">
        <v>49</v>
      </c>
      <c r="C1252" s="103">
        <v>2.8703302123011419E-3</v>
      </c>
      <c r="D1252" s="103">
        <v>3.4124052735611562E-3</v>
      </c>
    </row>
    <row r="1253" spans="1:4" x14ac:dyDescent="0.25">
      <c r="A1253" s="86">
        <v>22</v>
      </c>
      <c r="B1253" s="86">
        <v>51</v>
      </c>
      <c r="C1253" s="103">
        <v>5.9907767869788131E-2</v>
      </c>
      <c r="D1253" s="103">
        <v>9.3143640800348537E-2</v>
      </c>
    </row>
    <row r="1254" spans="1:4" x14ac:dyDescent="0.25">
      <c r="A1254" s="86">
        <v>22</v>
      </c>
      <c r="B1254" s="86">
        <v>53</v>
      </c>
      <c r="C1254" s="103">
        <v>1.3230944916902921E-2</v>
      </c>
      <c r="D1254" s="103">
        <v>6.7604255419607805E-3</v>
      </c>
    </row>
    <row r="1255" spans="1:4" x14ac:dyDescent="0.25">
      <c r="A1255" s="86">
        <v>22</v>
      </c>
      <c r="B1255" s="86">
        <v>55</v>
      </c>
      <c r="C1255" s="103">
        <v>4.4552144428049827E-2</v>
      </c>
      <c r="D1255" s="103">
        <v>5.2151854180840312E-2</v>
      </c>
    </row>
    <row r="1256" spans="1:4" x14ac:dyDescent="0.25">
      <c r="A1256" s="86">
        <v>22</v>
      </c>
      <c r="B1256" s="86">
        <v>57</v>
      </c>
      <c r="C1256" s="103">
        <v>2.0607027092443303E-2</v>
      </c>
      <c r="D1256" s="103">
        <v>2.103243501943354E-2</v>
      </c>
    </row>
    <row r="1257" spans="1:4" x14ac:dyDescent="0.25">
      <c r="A1257" s="86">
        <v>22</v>
      </c>
      <c r="B1257" s="86">
        <v>59</v>
      </c>
      <c r="C1257" s="103">
        <v>1.8063398547333485E-3</v>
      </c>
      <c r="D1257" s="103">
        <v>3.1977885896893854E-3</v>
      </c>
    </row>
    <row r="1258" spans="1:4" x14ac:dyDescent="0.25">
      <c r="A1258" s="86">
        <v>22</v>
      </c>
      <c r="B1258" s="86">
        <v>61</v>
      </c>
      <c r="C1258" s="103">
        <v>1.3510097703518499E-2</v>
      </c>
      <c r="D1258" s="103">
        <v>1.0108445810360406E-2</v>
      </c>
    </row>
    <row r="1259" spans="1:4" x14ac:dyDescent="0.25">
      <c r="A1259" s="86">
        <v>22</v>
      </c>
      <c r="B1259" s="86">
        <v>63</v>
      </c>
      <c r="C1259" s="103">
        <v>3.5155643398620866E-2</v>
      </c>
      <c r="D1259" s="103">
        <v>2.9831719058176144E-2</v>
      </c>
    </row>
    <row r="1260" spans="1:4" x14ac:dyDescent="0.25">
      <c r="A1260" s="86">
        <v>22</v>
      </c>
      <c r="B1260" s="86">
        <v>65</v>
      </c>
      <c r="C1260" s="103">
        <v>9.852959464856861E-3</v>
      </c>
      <c r="D1260" s="103">
        <v>2.4037068593638334E-3</v>
      </c>
    </row>
    <row r="1261" spans="1:4" x14ac:dyDescent="0.25">
      <c r="A1261" s="86">
        <v>22</v>
      </c>
      <c r="B1261" s="86">
        <v>67</v>
      </c>
      <c r="C1261" s="103">
        <v>4.1547391310070327E-3</v>
      </c>
      <c r="D1261" s="103">
        <v>5.4298021019558015E-3</v>
      </c>
    </row>
    <row r="1262" spans="1:4" x14ac:dyDescent="0.25">
      <c r="A1262" s="86">
        <v>22</v>
      </c>
      <c r="B1262" s="86">
        <v>69</v>
      </c>
      <c r="C1262" s="103">
        <v>1.356400619837078E-2</v>
      </c>
      <c r="D1262" s="103">
        <v>8.2842039974503536E-3</v>
      </c>
    </row>
    <row r="1263" spans="1:4" x14ac:dyDescent="0.25">
      <c r="A1263" s="86">
        <v>22</v>
      </c>
      <c r="B1263" s="86">
        <v>71</v>
      </c>
      <c r="C1263" s="103">
        <v>6.2633079129483543E-2</v>
      </c>
      <c r="D1263" s="103">
        <v>8.3915123393862395E-2</v>
      </c>
    </row>
    <row r="1264" spans="1:4" x14ac:dyDescent="0.25">
      <c r="A1264" s="86">
        <v>22</v>
      </c>
      <c r="B1264" s="86">
        <v>73</v>
      </c>
      <c r="C1264" s="103">
        <v>3.1732813075378334E-2</v>
      </c>
      <c r="D1264" s="103">
        <v>3.3265586000124477E-2</v>
      </c>
    </row>
    <row r="1265" spans="1:4" x14ac:dyDescent="0.25">
      <c r="A1265" s="86">
        <v>22</v>
      </c>
      <c r="B1265" s="86">
        <v>75</v>
      </c>
      <c r="C1265" s="103">
        <v>4.8043417011993713E-3</v>
      </c>
      <c r="D1265" s="103">
        <v>5.0220304025994375E-3</v>
      </c>
    </row>
    <row r="1266" spans="1:4" x14ac:dyDescent="0.25">
      <c r="A1266" s="86">
        <v>22</v>
      </c>
      <c r="B1266" s="86">
        <v>77</v>
      </c>
      <c r="C1266" s="103">
        <v>4.5726851585684829E-3</v>
      </c>
      <c r="D1266" s="103">
        <v>4.7001053767917814E-3</v>
      </c>
    </row>
    <row r="1267" spans="1:4" x14ac:dyDescent="0.25">
      <c r="A1267" s="86">
        <v>22</v>
      </c>
      <c r="B1267" s="86">
        <v>79</v>
      </c>
      <c r="C1267" s="103">
        <v>3.2111175399490106E-2</v>
      </c>
      <c r="D1267" s="103">
        <v>2.7900168903330209E-2</v>
      </c>
    </row>
    <row r="1268" spans="1:4" x14ac:dyDescent="0.25">
      <c r="A1268" s="86">
        <v>22</v>
      </c>
      <c r="B1268" s="86">
        <v>81</v>
      </c>
      <c r="C1268" s="103">
        <v>1.6987917437006836E-3</v>
      </c>
      <c r="D1268" s="103">
        <v>1.830680313426205E-3</v>
      </c>
    </row>
    <row r="1269" spans="1:4" x14ac:dyDescent="0.25">
      <c r="A1269" s="86">
        <v>22</v>
      </c>
      <c r="B1269" s="86">
        <v>83</v>
      </c>
      <c r="C1269" s="103">
        <v>1.0030744172238981E-2</v>
      </c>
      <c r="D1269" s="103">
        <v>4.3352570142097709E-3</v>
      </c>
    </row>
    <row r="1270" spans="1:4" x14ac:dyDescent="0.25">
      <c r="A1270" s="86">
        <v>22</v>
      </c>
      <c r="B1270" s="86">
        <v>85</v>
      </c>
      <c r="C1270" s="103">
        <v>3.1049599051129547E-3</v>
      </c>
      <c r="D1270" s="103">
        <v>5.1293387445353229E-3</v>
      </c>
    </row>
    <row r="1271" spans="1:4" x14ac:dyDescent="0.25">
      <c r="A1271" s="86">
        <v>22</v>
      </c>
      <c r="B1271" s="86">
        <v>87</v>
      </c>
      <c r="C1271" s="103">
        <v>4.6739960733599012E-3</v>
      </c>
      <c r="D1271" s="103">
        <v>1.0044060805198875E-2</v>
      </c>
    </row>
    <row r="1272" spans="1:4" x14ac:dyDescent="0.25">
      <c r="A1272" s="86">
        <v>22</v>
      </c>
      <c r="B1272" s="86">
        <v>89</v>
      </c>
      <c r="C1272" s="103">
        <v>1.593686034801595E-2</v>
      </c>
      <c r="D1272" s="103">
        <v>1.13317609084295E-2</v>
      </c>
    </row>
    <row r="1273" spans="1:4" x14ac:dyDescent="0.25">
      <c r="A1273" s="86">
        <v>22</v>
      </c>
      <c r="B1273" s="86">
        <v>91</v>
      </c>
      <c r="C1273" s="103">
        <v>1.8051969501470873E-3</v>
      </c>
      <c r="D1273" s="103">
        <v>2.1890901754920626E-3</v>
      </c>
    </row>
    <row r="1274" spans="1:4" x14ac:dyDescent="0.25">
      <c r="A1274" s="86">
        <v>22</v>
      </c>
      <c r="B1274" s="86">
        <v>93</v>
      </c>
      <c r="C1274" s="103">
        <v>8.2798005971481924E-3</v>
      </c>
      <c r="D1274" s="103">
        <v>4.5498736980815416E-3</v>
      </c>
    </row>
    <row r="1275" spans="1:4" x14ac:dyDescent="0.25">
      <c r="A1275" s="86">
        <v>22</v>
      </c>
      <c r="B1275" s="86">
        <v>95</v>
      </c>
      <c r="C1275" s="103">
        <v>1.4498533153621882E-2</v>
      </c>
      <c r="D1275" s="103">
        <v>9.249979074873323E-3</v>
      </c>
    </row>
    <row r="1276" spans="1:4" x14ac:dyDescent="0.25">
      <c r="A1276" s="86">
        <v>22</v>
      </c>
      <c r="B1276" s="86">
        <v>97</v>
      </c>
      <c r="C1276" s="103">
        <v>2.0143731739313168E-2</v>
      </c>
      <c r="D1276" s="103">
        <v>1.7770261424582625E-2</v>
      </c>
    </row>
    <row r="1277" spans="1:4" x14ac:dyDescent="0.25">
      <c r="A1277" s="86">
        <v>22</v>
      </c>
      <c r="B1277" s="86">
        <v>99</v>
      </c>
      <c r="C1277" s="103">
        <v>1.3862808764468347E-2</v>
      </c>
      <c r="D1277" s="103">
        <v>1.1503454255526915E-2</v>
      </c>
    </row>
    <row r="1278" spans="1:4" x14ac:dyDescent="0.25">
      <c r="A1278" s="86">
        <v>22</v>
      </c>
      <c r="B1278" s="86">
        <v>101</v>
      </c>
      <c r="C1278" s="103">
        <v>9.558586045821325E-3</v>
      </c>
      <c r="D1278" s="103">
        <v>1.0687910856814187E-2</v>
      </c>
    </row>
    <row r="1279" spans="1:4" x14ac:dyDescent="0.25">
      <c r="A1279" s="86">
        <v>22</v>
      </c>
      <c r="B1279" s="86">
        <v>103</v>
      </c>
      <c r="C1279" s="103">
        <v>6.7418728555293475E-2</v>
      </c>
      <c r="D1279" s="103">
        <v>5.5371104438916872E-2</v>
      </c>
    </row>
    <row r="1280" spans="1:4" x14ac:dyDescent="0.25">
      <c r="A1280" s="86">
        <v>22</v>
      </c>
      <c r="B1280" s="86">
        <v>105</v>
      </c>
      <c r="C1280" s="103">
        <v>3.6392034263823966E-2</v>
      </c>
      <c r="D1280" s="103">
        <v>2.8758635638817292E-2</v>
      </c>
    </row>
    <row r="1281" spans="1:4" x14ac:dyDescent="0.25">
      <c r="A1281" s="86">
        <v>22</v>
      </c>
      <c r="B1281" s="86">
        <v>107</v>
      </c>
      <c r="C1281" s="103">
        <v>5.9493612306638305E-4</v>
      </c>
      <c r="D1281" s="103">
        <v>9.5933657690681559E-4</v>
      </c>
    </row>
    <row r="1282" spans="1:4" x14ac:dyDescent="0.25">
      <c r="A1282" s="86">
        <v>22</v>
      </c>
      <c r="B1282" s="86">
        <v>109</v>
      </c>
      <c r="C1282" s="103">
        <v>1.7392279184504669E-2</v>
      </c>
      <c r="D1282" s="103">
        <v>2.3822451909766562E-2</v>
      </c>
    </row>
    <row r="1283" spans="1:4" x14ac:dyDescent="0.25">
      <c r="A1283" s="86">
        <v>22</v>
      </c>
      <c r="B1283" s="86">
        <v>111</v>
      </c>
      <c r="C1283" s="103">
        <v>3.0386120556555899E-3</v>
      </c>
      <c r="D1283" s="103">
        <v>4.7644903819533124E-3</v>
      </c>
    </row>
    <row r="1284" spans="1:4" x14ac:dyDescent="0.25">
      <c r="A1284" s="86">
        <v>22</v>
      </c>
      <c r="B1284" s="86">
        <v>113</v>
      </c>
      <c r="C1284" s="103">
        <v>7.0340333641910188E-3</v>
      </c>
      <c r="D1284" s="103">
        <v>1.2855539363919073E-2</v>
      </c>
    </row>
    <row r="1285" spans="1:4" x14ac:dyDescent="0.25">
      <c r="A1285" s="86">
        <v>22</v>
      </c>
      <c r="B1285" s="86">
        <v>115</v>
      </c>
      <c r="C1285" s="103">
        <v>6.3807312416549345E-3</v>
      </c>
      <c r="D1285" s="103">
        <v>1.0323062494232177E-2</v>
      </c>
    </row>
    <row r="1286" spans="1:4" x14ac:dyDescent="0.25">
      <c r="A1286" s="86">
        <v>22</v>
      </c>
      <c r="B1286" s="86">
        <v>117</v>
      </c>
      <c r="C1286" s="103">
        <v>6.3839298636034804E-3</v>
      </c>
      <c r="D1286" s="103">
        <v>1.000113746842452E-2</v>
      </c>
    </row>
    <row r="1287" spans="1:4" x14ac:dyDescent="0.25">
      <c r="A1287" s="86">
        <v>22</v>
      </c>
      <c r="B1287" s="86">
        <v>119</v>
      </c>
      <c r="C1287" s="103">
        <v>9.153670180800327E-3</v>
      </c>
      <c r="D1287" s="103">
        <v>8.3271273342247088E-3</v>
      </c>
    </row>
    <row r="1288" spans="1:4" x14ac:dyDescent="0.25">
      <c r="A1288" s="86">
        <v>22</v>
      </c>
      <c r="B1288" s="86">
        <v>121</v>
      </c>
      <c r="C1288" s="103">
        <v>1.4607178716285554E-2</v>
      </c>
      <c r="D1288" s="103">
        <v>5.6658804542147499E-3</v>
      </c>
    </row>
    <row r="1289" spans="1:4" x14ac:dyDescent="0.25">
      <c r="A1289" s="86">
        <v>22</v>
      </c>
      <c r="B1289" s="86">
        <v>123</v>
      </c>
      <c r="C1289" s="103">
        <v>1.044724826611651E-3</v>
      </c>
      <c r="D1289" s="103">
        <v>2.360783522589479E-3</v>
      </c>
    </row>
    <row r="1290" spans="1:4" x14ac:dyDescent="0.25">
      <c r="A1290" s="86">
        <v>22</v>
      </c>
      <c r="B1290" s="86">
        <v>125</v>
      </c>
      <c r="C1290" s="103">
        <v>2.1254362687907848E-3</v>
      </c>
      <c r="D1290" s="103">
        <v>3.3265586000124476E-3</v>
      </c>
    </row>
    <row r="1291" spans="1:4" x14ac:dyDescent="0.25">
      <c r="A1291" s="86">
        <v>22</v>
      </c>
      <c r="B1291" s="86">
        <v>127</v>
      </c>
      <c r="C1291" s="103">
        <v>2.9481940652031583E-3</v>
      </c>
      <c r="D1291" s="103">
        <v>3.0260952425919686E-3</v>
      </c>
    </row>
    <row r="1292" spans="1:4" x14ac:dyDescent="0.25">
      <c r="A1292" s="86">
        <v>23</v>
      </c>
      <c r="B1292" s="86">
        <v>1</v>
      </c>
      <c r="C1292" s="103">
        <v>6.93879655562996E-2</v>
      </c>
      <c r="D1292" s="103">
        <v>8.0615063073822504E-2</v>
      </c>
    </row>
    <row r="1293" spans="1:4" x14ac:dyDescent="0.25">
      <c r="A1293" s="86">
        <v>23</v>
      </c>
      <c r="B1293" s="86">
        <v>3</v>
      </c>
      <c r="C1293" s="103">
        <v>4.4146858391610061E-2</v>
      </c>
      <c r="D1293" s="103">
        <v>5.0235127267298646E-2</v>
      </c>
    </row>
    <row r="1294" spans="1:4" x14ac:dyDescent="0.25">
      <c r="A1294" s="86">
        <v>23</v>
      </c>
      <c r="B1294" s="86">
        <v>5</v>
      </c>
      <c r="C1294" s="103">
        <v>0.23318689454784192</v>
      </c>
      <c r="D1294" s="103">
        <v>0.21945211614540569</v>
      </c>
    </row>
    <row r="1295" spans="1:4" x14ac:dyDescent="0.25">
      <c r="A1295" s="86">
        <v>23</v>
      </c>
      <c r="B1295" s="86">
        <v>7</v>
      </c>
      <c r="C1295" s="103">
        <v>2.1137244454879689E-2</v>
      </c>
      <c r="D1295" s="103">
        <v>2.23184294991416E-2</v>
      </c>
    </row>
    <row r="1296" spans="1:4" x14ac:dyDescent="0.25">
      <c r="A1296" s="86">
        <v>23</v>
      </c>
      <c r="B1296" s="86">
        <v>9</v>
      </c>
      <c r="C1296" s="103">
        <v>4.0086706564677888E-2</v>
      </c>
      <c r="D1296" s="103">
        <v>4.0830036575352689E-2</v>
      </c>
    </row>
    <row r="1297" spans="1:4" x14ac:dyDescent="0.25">
      <c r="A1297" s="86">
        <v>23</v>
      </c>
      <c r="B1297" s="86">
        <v>11</v>
      </c>
      <c r="C1297" s="103">
        <v>0.10494592635382954</v>
      </c>
      <c r="D1297" s="103">
        <v>9.1065163842651342E-2</v>
      </c>
    </row>
    <row r="1298" spans="1:4" x14ac:dyDescent="0.25">
      <c r="A1298" s="86">
        <v>23</v>
      </c>
      <c r="B1298" s="86">
        <v>13</v>
      </c>
      <c r="C1298" s="103">
        <v>2.2120878445303024E-2</v>
      </c>
      <c r="D1298" s="103">
        <v>2.9633500037321788E-2</v>
      </c>
    </row>
    <row r="1299" spans="1:4" x14ac:dyDescent="0.25">
      <c r="A1299" s="86">
        <v>23</v>
      </c>
      <c r="B1299" s="86">
        <v>15</v>
      </c>
      <c r="C1299" s="103">
        <v>2.2168929738587681E-2</v>
      </c>
      <c r="D1299" s="103">
        <v>2.567739046055087E-2</v>
      </c>
    </row>
    <row r="1300" spans="1:4" x14ac:dyDescent="0.25">
      <c r="A1300" s="86">
        <v>23</v>
      </c>
      <c r="B1300" s="86">
        <v>17</v>
      </c>
      <c r="C1300" s="103">
        <v>3.1425127393027844E-2</v>
      </c>
      <c r="D1300" s="103">
        <v>4.3143987459879074E-2</v>
      </c>
    </row>
    <row r="1301" spans="1:4" x14ac:dyDescent="0.25">
      <c r="A1301" s="86">
        <v>23</v>
      </c>
      <c r="B1301" s="86">
        <v>19</v>
      </c>
      <c r="C1301" s="103">
        <v>0.12056476101756357</v>
      </c>
      <c r="D1301" s="103">
        <v>0.11345823691871315</v>
      </c>
    </row>
    <row r="1302" spans="1:4" x14ac:dyDescent="0.25">
      <c r="A1302" s="86">
        <v>23</v>
      </c>
      <c r="B1302" s="86">
        <v>21</v>
      </c>
      <c r="C1302" s="103">
        <v>1.035075978150612E-2</v>
      </c>
      <c r="D1302" s="103">
        <v>1.2465477345674405E-2</v>
      </c>
    </row>
    <row r="1303" spans="1:4" x14ac:dyDescent="0.25">
      <c r="A1303" s="86">
        <v>23</v>
      </c>
      <c r="B1303" s="86">
        <v>23</v>
      </c>
      <c r="C1303" s="103">
        <v>3.2847156761195664E-2</v>
      </c>
      <c r="D1303" s="103">
        <v>2.6647756960513549E-2</v>
      </c>
    </row>
    <row r="1304" spans="1:4" x14ac:dyDescent="0.25">
      <c r="A1304" s="86">
        <v>23</v>
      </c>
      <c r="B1304" s="86">
        <v>25</v>
      </c>
      <c r="C1304" s="103">
        <v>4.3328729389735414E-2</v>
      </c>
      <c r="D1304" s="103">
        <v>3.7695006344704039E-2</v>
      </c>
    </row>
    <row r="1305" spans="1:4" x14ac:dyDescent="0.25">
      <c r="A1305" s="86">
        <v>23</v>
      </c>
      <c r="B1305" s="86">
        <v>27</v>
      </c>
      <c r="C1305" s="103">
        <v>2.3362199709458503E-2</v>
      </c>
      <c r="D1305" s="103">
        <v>2.9633500037321788E-2</v>
      </c>
    </row>
    <row r="1306" spans="1:4" x14ac:dyDescent="0.25">
      <c r="A1306" s="86">
        <v>23</v>
      </c>
      <c r="B1306" s="86">
        <v>29</v>
      </c>
      <c r="C1306" s="103">
        <v>2.2253210162095274E-2</v>
      </c>
      <c r="D1306" s="103">
        <v>2.3363439576024485E-2</v>
      </c>
    </row>
    <row r="1307" spans="1:4" x14ac:dyDescent="0.25">
      <c r="A1307" s="86">
        <v>23</v>
      </c>
      <c r="B1307" s="86">
        <v>31</v>
      </c>
      <c r="C1307" s="103">
        <v>0.15868665173238808</v>
      </c>
      <c r="D1307" s="103">
        <v>0.1537657684556244</v>
      </c>
    </row>
    <row r="1308" spans="1:4" x14ac:dyDescent="0.25">
      <c r="A1308" s="86">
        <v>24</v>
      </c>
      <c r="B1308" s="86">
        <v>1</v>
      </c>
      <c r="C1308" s="103">
        <v>1.325702411752082E-2</v>
      </c>
      <c r="D1308" s="103">
        <v>1.1741132050475276E-2</v>
      </c>
    </row>
    <row r="1309" spans="1:4" x14ac:dyDescent="0.25">
      <c r="A1309" s="86">
        <v>24</v>
      </c>
      <c r="B1309" s="86">
        <v>3</v>
      </c>
      <c r="C1309" s="103">
        <v>0.10520332806521074</v>
      </c>
      <c r="D1309" s="103">
        <v>9.5386347828966975E-2</v>
      </c>
    </row>
    <row r="1310" spans="1:4" x14ac:dyDescent="0.25">
      <c r="A1310" s="86">
        <v>24</v>
      </c>
      <c r="B1310" s="86">
        <v>5</v>
      </c>
      <c r="C1310" s="103">
        <v>0.1452559102492775</v>
      </c>
      <c r="D1310" s="103">
        <v>0.13711787500414002</v>
      </c>
    </row>
    <row r="1311" spans="1:4" x14ac:dyDescent="0.25">
      <c r="A1311" s="86">
        <v>24</v>
      </c>
      <c r="B1311" s="86">
        <v>9</v>
      </c>
      <c r="C1311" s="103">
        <v>1.3114672350210342E-2</v>
      </c>
      <c r="D1311" s="103">
        <v>1.5251879574735866E-2</v>
      </c>
    </row>
    <row r="1312" spans="1:4" x14ac:dyDescent="0.25">
      <c r="A1312" s="86">
        <v>24</v>
      </c>
      <c r="B1312" s="86">
        <v>11</v>
      </c>
      <c r="C1312" s="103">
        <v>5.7398811733032646E-3</v>
      </c>
      <c r="D1312" s="103">
        <v>5.5145232338621531E-3</v>
      </c>
    </row>
    <row r="1313" spans="1:4" x14ac:dyDescent="0.25">
      <c r="A1313" s="86">
        <v>24</v>
      </c>
      <c r="B1313" s="86">
        <v>13</v>
      </c>
      <c r="C1313" s="103">
        <v>2.1816868349828013E-2</v>
      </c>
      <c r="D1313" s="103">
        <v>2.7821018116782035E-2</v>
      </c>
    </row>
    <row r="1314" spans="1:4" x14ac:dyDescent="0.25">
      <c r="A1314" s="86">
        <v>24</v>
      </c>
      <c r="B1314" s="86">
        <v>15</v>
      </c>
      <c r="C1314" s="103">
        <v>2.1003271321785966E-2</v>
      </c>
      <c r="D1314" s="103">
        <v>1.7056933726360416E-2</v>
      </c>
    </row>
    <row r="1315" spans="1:4" x14ac:dyDescent="0.25">
      <c r="A1315" s="86">
        <v>24</v>
      </c>
      <c r="B1315" s="86">
        <v>17</v>
      </c>
      <c r="C1315" s="103">
        <v>2.1568120399422762E-2</v>
      </c>
      <c r="D1315" s="103">
        <v>2.6661809028582784E-2</v>
      </c>
    </row>
    <row r="1316" spans="1:4" x14ac:dyDescent="0.25">
      <c r="A1316" s="86">
        <v>24</v>
      </c>
      <c r="B1316" s="86">
        <v>19</v>
      </c>
      <c r="C1316" s="103">
        <v>5.2404749987526025E-3</v>
      </c>
      <c r="D1316" s="103">
        <v>5.299241546053721E-3</v>
      </c>
    </row>
    <row r="1317" spans="1:4" x14ac:dyDescent="0.25">
      <c r="A1317" s="86">
        <v>24</v>
      </c>
      <c r="B1317" s="86">
        <v>21</v>
      </c>
      <c r="C1317" s="103">
        <v>5.2849735737241069E-2</v>
      </c>
      <c r="D1317" s="103">
        <v>4.2228331070115588E-2</v>
      </c>
    </row>
    <row r="1318" spans="1:4" x14ac:dyDescent="0.25">
      <c r="A1318" s="86">
        <v>24</v>
      </c>
      <c r="B1318" s="86">
        <v>23</v>
      </c>
      <c r="C1318" s="103">
        <v>7.3230407774107515E-3</v>
      </c>
      <c r="D1318" s="103">
        <v>4.8189977809426025E-3</v>
      </c>
    </row>
    <row r="1319" spans="1:4" x14ac:dyDescent="0.25">
      <c r="A1319" s="86">
        <v>24</v>
      </c>
      <c r="B1319" s="86">
        <v>25</v>
      </c>
      <c r="C1319" s="103">
        <v>4.3614841873440467E-2</v>
      </c>
      <c r="D1319" s="103">
        <v>4.2062729771801408E-2</v>
      </c>
    </row>
    <row r="1320" spans="1:4" x14ac:dyDescent="0.25">
      <c r="A1320" s="86">
        <v>24</v>
      </c>
      <c r="B1320" s="86">
        <v>27</v>
      </c>
      <c r="C1320" s="103">
        <v>7.064277778223918E-2</v>
      </c>
      <c r="D1320" s="103">
        <v>5.3489219355479747E-2</v>
      </c>
    </row>
    <row r="1321" spans="1:4" x14ac:dyDescent="0.25">
      <c r="A1321" s="86">
        <v>24</v>
      </c>
      <c r="B1321" s="86">
        <v>29</v>
      </c>
      <c r="C1321" s="103">
        <v>2.8496623423243778E-3</v>
      </c>
      <c r="D1321" s="103">
        <v>3.2126651872950683E-3</v>
      </c>
    </row>
    <row r="1322" spans="1:4" x14ac:dyDescent="0.25">
      <c r="A1322" s="86">
        <v>24</v>
      </c>
      <c r="B1322" s="86">
        <v>31</v>
      </c>
      <c r="C1322" s="103">
        <v>0.13781807345061461</v>
      </c>
      <c r="D1322" s="103">
        <v>0.17388136322988773</v>
      </c>
    </row>
    <row r="1323" spans="1:4" x14ac:dyDescent="0.25">
      <c r="A1323" s="86">
        <v>24</v>
      </c>
      <c r="B1323" s="86">
        <v>33</v>
      </c>
      <c r="C1323" s="103">
        <v>0.16279564973266439</v>
      </c>
      <c r="D1323" s="103">
        <v>0.15069718146590269</v>
      </c>
    </row>
    <row r="1324" spans="1:4" x14ac:dyDescent="0.25">
      <c r="A1324" s="86">
        <v>24</v>
      </c>
      <c r="B1324" s="86">
        <v>35</v>
      </c>
      <c r="C1324" s="103">
        <v>1.450417390548946E-2</v>
      </c>
      <c r="D1324" s="103">
        <v>8.2966250455403564E-3</v>
      </c>
    </row>
    <row r="1325" spans="1:4" x14ac:dyDescent="0.25">
      <c r="A1325" s="86">
        <v>24</v>
      </c>
      <c r="B1325" s="86">
        <v>37</v>
      </c>
      <c r="C1325" s="103">
        <v>1.4516918448778046E-2</v>
      </c>
      <c r="D1325" s="103">
        <v>1.8712946709502201E-2</v>
      </c>
    </row>
    <row r="1326" spans="1:4" x14ac:dyDescent="0.25">
      <c r="A1326" s="86">
        <v>24</v>
      </c>
      <c r="B1326" s="86">
        <v>39</v>
      </c>
      <c r="C1326" s="103">
        <v>4.1226719748172543E-3</v>
      </c>
      <c r="D1326" s="103">
        <v>4.2393932368429768E-3</v>
      </c>
    </row>
    <row r="1327" spans="1:4" x14ac:dyDescent="0.25">
      <c r="A1327" s="86">
        <v>24</v>
      </c>
      <c r="B1327" s="86">
        <v>41</v>
      </c>
      <c r="C1327" s="103">
        <v>9.6644824752020152E-3</v>
      </c>
      <c r="D1327" s="103">
        <v>6.1438081674560331E-3</v>
      </c>
    </row>
    <row r="1328" spans="1:4" x14ac:dyDescent="0.25">
      <c r="A1328" s="86">
        <v>24</v>
      </c>
      <c r="B1328" s="86">
        <v>43</v>
      </c>
      <c r="C1328" s="103">
        <v>3.2971142412611537E-2</v>
      </c>
      <c r="D1328" s="103">
        <v>2.5005796045440995E-2</v>
      </c>
    </row>
    <row r="1329" spans="1:4" x14ac:dyDescent="0.25">
      <c r="A1329" s="86">
        <v>24</v>
      </c>
      <c r="B1329" s="86">
        <v>45</v>
      </c>
      <c r="C1329" s="103">
        <v>1.5934550024522844E-2</v>
      </c>
      <c r="D1329" s="103">
        <v>1.7056933726360416E-2</v>
      </c>
    </row>
    <row r="1330" spans="1:4" x14ac:dyDescent="0.25">
      <c r="A1330" s="86">
        <v>24</v>
      </c>
      <c r="B1330" s="86">
        <v>47</v>
      </c>
      <c r="C1330" s="103">
        <v>1.3334758230758331E-2</v>
      </c>
      <c r="D1330" s="103">
        <v>8.6112675123372964E-3</v>
      </c>
    </row>
    <row r="1331" spans="1:4" x14ac:dyDescent="0.25">
      <c r="A1331" s="86">
        <v>24</v>
      </c>
      <c r="B1331" s="86">
        <v>510</v>
      </c>
      <c r="C1331" s="103">
        <v>6.4857969806573504E-2</v>
      </c>
      <c r="D1331" s="103">
        <v>9.9691981585135633E-2</v>
      </c>
    </row>
    <row r="1332" spans="1:4" x14ac:dyDescent="0.25">
      <c r="A1332" s="86">
        <v>25</v>
      </c>
      <c r="B1332" s="86">
        <v>1</v>
      </c>
      <c r="C1332" s="103">
        <v>4.5868263805795575E-2</v>
      </c>
      <c r="D1332" s="103">
        <v>3.0949855422036879E-2</v>
      </c>
    </row>
    <row r="1333" spans="1:4" x14ac:dyDescent="0.25">
      <c r="A1333" s="86">
        <v>25</v>
      </c>
      <c r="B1333" s="86">
        <v>3</v>
      </c>
      <c r="C1333" s="103">
        <v>1.9082805575913783E-2</v>
      </c>
      <c r="D1333" s="103">
        <v>1.8308365179233083E-2</v>
      </c>
    </row>
    <row r="1334" spans="1:4" x14ac:dyDescent="0.25">
      <c r="A1334" s="86">
        <v>25</v>
      </c>
      <c r="B1334" s="86">
        <v>5</v>
      </c>
      <c r="C1334" s="103">
        <v>8.5638800259585285E-2</v>
      </c>
      <c r="D1334" s="103">
        <v>8.195172984990047E-2</v>
      </c>
    </row>
    <row r="1335" spans="1:4" x14ac:dyDescent="0.25">
      <c r="A1335" s="86">
        <v>25</v>
      </c>
      <c r="B1335" s="86">
        <v>7</v>
      </c>
      <c r="C1335" s="103">
        <v>2.0294359386130601E-3</v>
      </c>
      <c r="D1335" s="103">
        <v>2.513767600005812E-3</v>
      </c>
    </row>
    <row r="1336" spans="1:4" x14ac:dyDescent="0.25">
      <c r="A1336" s="86">
        <v>25</v>
      </c>
      <c r="B1336" s="86">
        <v>9</v>
      </c>
      <c r="C1336" s="103">
        <v>0.11320598843340869</v>
      </c>
      <c r="D1336" s="103">
        <v>0.1144999346129815</v>
      </c>
    </row>
    <row r="1337" spans="1:4" x14ac:dyDescent="0.25">
      <c r="A1337" s="86">
        <v>25</v>
      </c>
      <c r="B1337" s="86">
        <v>11</v>
      </c>
      <c r="C1337" s="103">
        <v>1.1340749436197122E-2</v>
      </c>
      <c r="D1337" s="103">
        <v>1.0258496679792506E-2</v>
      </c>
    </row>
    <row r="1338" spans="1:4" x14ac:dyDescent="0.25">
      <c r="A1338" s="86">
        <v>25</v>
      </c>
      <c r="B1338" s="86">
        <v>13</v>
      </c>
      <c r="C1338" s="103">
        <v>6.5625166725434531E-2</v>
      </c>
      <c r="D1338" s="103">
        <v>6.8002499237151445E-2</v>
      </c>
    </row>
    <row r="1339" spans="1:4" x14ac:dyDescent="0.25">
      <c r="A1339" s="86">
        <v>25</v>
      </c>
      <c r="B1339" s="86">
        <v>15</v>
      </c>
      <c r="C1339" s="103">
        <v>1.7869720265145946E-2</v>
      </c>
      <c r="D1339" s="103">
        <v>2.3394022173464493E-2</v>
      </c>
    </row>
    <row r="1340" spans="1:4" x14ac:dyDescent="0.25">
      <c r="A1340" s="86">
        <v>25</v>
      </c>
      <c r="B1340" s="86">
        <v>17</v>
      </c>
      <c r="C1340" s="103">
        <v>0.22669828878521872</v>
      </c>
      <c r="D1340" s="103">
        <v>0.23394022173464496</v>
      </c>
    </row>
    <row r="1341" spans="1:4" x14ac:dyDescent="0.25">
      <c r="A1341" s="86">
        <v>25</v>
      </c>
      <c r="B1341" s="86">
        <v>19</v>
      </c>
      <c r="C1341" s="103">
        <v>1.5546962114759513E-3</v>
      </c>
      <c r="D1341" s="103">
        <v>1.6274102381540517E-3</v>
      </c>
    </row>
    <row r="1342" spans="1:4" x14ac:dyDescent="0.25">
      <c r="A1342" s="86">
        <v>25</v>
      </c>
      <c r="B1342" s="86">
        <v>21</v>
      </c>
      <c r="C1342" s="103">
        <v>0.12088792702261686</v>
      </c>
      <c r="D1342" s="103">
        <v>0.10214905334127665</v>
      </c>
    </row>
    <row r="1343" spans="1:4" x14ac:dyDescent="0.25">
      <c r="A1343" s="86">
        <v>25</v>
      </c>
      <c r="B1343" s="86">
        <v>23</v>
      </c>
      <c r="C1343" s="103">
        <v>8.2031869859214207E-2</v>
      </c>
      <c r="D1343" s="103">
        <v>7.5267723514624893E-2</v>
      </c>
    </row>
    <row r="1344" spans="1:4" x14ac:dyDescent="0.25">
      <c r="A1344" s="86">
        <v>25</v>
      </c>
      <c r="B1344" s="86">
        <v>25</v>
      </c>
      <c r="C1344" s="103">
        <v>7.2695351996543381E-2</v>
      </c>
      <c r="D1344" s="103">
        <v>0.11667950189622353</v>
      </c>
    </row>
    <row r="1345" spans="1:4" x14ac:dyDescent="0.25">
      <c r="A1345" s="86">
        <v>25</v>
      </c>
      <c r="B1345" s="86">
        <v>27</v>
      </c>
      <c r="C1345" s="103">
        <v>0.13547093568483687</v>
      </c>
      <c r="D1345" s="103">
        <v>0.12045741852050973</v>
      </c>
    </row>
    <row r="1346" spans="1:4" x14ac:dyDescent="0.25">
      <c r="A1346" s="86">
        <v>26</v>
      </c>
      <c r="B1346" s="86">
        <v>1</v>
      </c>
      <c r="C1346" s="103">
        <v>7.2788390442519101E-4</v>
      </c>
      <c r="D1346" s="103">
        <v>1.0416145024788421E-3</v>
      </c>
    </row>
    <row r="1347" spans="1:4" x14ac:dyDescent="0.25">
      <c r="A1347" s="86">
        <v>26</v>
      </c>
      <c r="B1347" s="86">
        <v>3</v>
      </c>
      <c r="C1347" s="103">
        <v>1.1187515097468613E-3</v>
      </c>
      <c r="D1347" s="103">
        <v>9.1341579448144623E-4</v>
      </c>
    </row>
    <row r="1348" spans="1:4" x14ac:dyDescent="0.25">
      <c r="A1348" s="86">
        <v>26</v>
      </c>
      <c r="B1348" s="86">
        <v>5</v>
      </c>
      <c r="C1348" s="103">
        <v>1.6394273364014739E-2</v>
      </c>
      <c r="D1348" s="103">
        <v>1.1718163152886974E-2</v>
      </c>
    </row>
    <row r="1349" spans="1:4" x14ac:dyDescent="0.25">
      <c r="A1349" s="86">
        <v>26</v>
      </c>
      <c r="B1349" s="86">
        <v>7</v>
      </c>
      <c r="C1349" s="103">
        <v>2.1644349578412475E-3</v>
      </c>
      <c r="D1349" s="103">
        <v>2.844408833692223E-3</v>
      </c>
    </row>
    <row r="1350" spans="1:4" x14ac:dyDescent="0.25">
      <c r="A1350" s="86">
        <v>26</v>
      </c>
      <c r="B1350" s="86">
        <v>9</v>
      </c>
      <c r="C1350" s="103">
        <v>2.0433730745995277E-3</v>
      </c>
      <c r="D1350" s="103">
        <v>2.3336171065150985E-3</v>
      </c>
    </row>
    <row r="1351" spans="1:4" x14ac:dyDescent="0.25">
      <c r="A1351" s="86">
        <v>26</v>
      </c>
      <c r="B1351" s="86">
        <v>11</v>
      </c>
      <c r="C1351" s="103">
        <v>3.2588095426645696E-3</v>
      </c>
      <c r="D1351" s="103">
        <v>1.502328609344484E-3</v>
      </c>
    </row>
    <row r="1352" spans="1:4" x14ac:dyDescent="0.25">
      <c r="A1352" s="86">
        <v>26</v>
      </c>
      <c r="B1352" s="86">
        <v>13</v>
      </c>
      <c r="C1352" s="103">
        <v>8.1352677997374907E-4</v>
      </c>
      <c r="D1352" s="103">
        <v>8.3329160198307374E-4</v>
      </c>
    </row>
    <row r="1353" spans="1:4" x14ac:dyDescent="0.25">
      <c r="A1353" s="86">
        <v>26</v>
      </c>
      <c r="B1353" s="86">
        <v>15</v>
      </c>
      <c r="C1353" s="103">
        <v>3.0612386554069687E-3</v>
      </c>
      <c r="D1353" s="103">
        <v>6.1295007261254943E-3</v>
      </c>
    </row>
    <row r="1354" spans="1:4" x14ac:dyDescent="0.25">
      <c r="A1354" s="86">
        <v>26</v>
      </c>
      <c r="B1354" s="86">
        <v>17</v>
      </c>
      <c r="C1354" s="103">
        <v>1.335523322347764E-2</v>
      </c>
      <c r="D1354" s="103">
        <v>1.0416145024788421E-2</v>
      </c>
    </row>
    <row r="1355" spans="1:4" x14ac:dyDescent="0.25">
      <c r="A1355" s="86">
        <v>26</v>
      </c>
      <c r="B1355" s="86">
        <v>19</v>
      </c>
      <c r="C1355" s="103">
        <v>1.4381764837284752E-3</v>
      </c>
      <c r="D1355" s="103">
        <v>1.7827632830887876E-3</v>
      </c>
    </row>
    <row r="1356" spans="1:4" x14ac:dyDescent="0.25">
      <c r="A1356" s="86">
        <v>26</v>
      </c>
      <c r="B1356" s="86">
        <v>21</v>
      </c>
      <c r="C1356" s="103">
        <v>2.335846913590044E-2</v>
      </c>
      <c r="D1356" s="103">
        <v>1.5423907055936702E-2</v>
      </c>
    </row>
    <row r="1357" spans="1:4" x14ac:dyDescent="0.25">
      <c r="A1357" s="86">
        <v>26</v>
      </c>
      <c r="B1357" s="86">
        <v>23</v>
      </c>
      <c r="C1357" s="103">
        <v>5.0482885481323179E-3</v>
      </c>
      <c r="D1357" s="103">
        <v>4.3667684911613E-3</v>
      </c>
    </row>
    <row r="1358" spans="1:4" x14ac:dyDescent="0.25">
      <c r="A1358" s="86">
        <v>26</v>
      </c>
      <c r="B1358" s="86">
        <v>25</v>
      </c>
      <c r="C1358" s="103">
        <v>1.7294400690295267E-2</v>
      </c>
      <c r="D1358" s="103">
        <v>1.342080224347739E-2</v>
      </c>
    </row>
    <row r="1359" spans="1:4" x14ac:dyDescent="0.25">
      <c r="A1359" s="86">
        <v>26</v>
      </c>
      <c r="B1359" s="86">
        <v>27</v>
      </c>
      <c r="C1359" s="103">
        <v>3.4485681908589453E-3</v>
      </c>
      <c r="D1359" s="103">
        <v>5.178025940207321E-3</v>
      </c>
    </row>
    <row r="1360" spans="1:4" x14ac:dyDescent="0.25">
      <c r="A1360" s="86">
        <v>26</v>
      </c>
      <c r="B1360" s="86">
        <v>29</v>
      </c>
      <c r="C1360" s="103">
        <v>1.9386388573123326E-3</v>
      </c>
      <c r="D1360" s="103">
        <v>2.6240673043216988E-3</v>
      </c>
    </row>
    <row r="1361" spans="1:4" x14ac:dyDescent="0.25">
      <c r="A1361" s="86">
        <v>26</v>
      </c>
      <c r="B1361" s="86">
        <v>31</v>
      </c>
      <c r="C1361" s="103">
        <v>4.9998290778409055E-3</v>
      </c>
      <c r="D1361" s="103">
        <v>2.5539586358856226E-3</v>
      </c>
    </row>
    <row r="1362" spans="1:4" x14ac:dyDescent="0.25">
      <c r="A1362" s="86">
        <v>26</v>
      </c>
      <c r="B1362" s="86">
        <v>33</v>
      </c>
      <c r="C1362" s="103">
        <v>3.1227541787161883E-3</v>
      </c>
      <c r="D1362" s="103">
        <v>3.7558215233612097E-3</v>
      </c>
    </row>
    <row r="1363" spans="1:4" x14ac:dyDescent="0.25">
      <c r="A1363" s="86">
        <v>26</v>
      </c>
      <c r="B1363" s="86">
        <v>35</v>
      </c>
      <c r="C1363" s="103">
        <v>4.1163944723329616E-3</v>
      </c>
      <c r="D1363" s="103">
        <v>3.0747658871250437E-3</v>
      </c>
    </row>
    <row r="1364" spans="1:4" x14ac:dyDescent="0.25">
      <c r="A1364" s="86">
        <v>26</v>
      </c>
      <c r="B1364" s="86">
        <v>37</v>
      </c>
      <c r="C1364" s="103">
        <v>1.2297226468103349E-2</v>
      </c>
      <c r="D1364" s="103">
        <v>7.9322950573388756E-3</v>
      </c>
    </row>
    <row r="1365" spans="1:4" x14ac:dyDescent="0.25">
      <c r="A1365" s="86">
        <v>26</v>
      </c>
      <c r="B1365" s="86">
        <v>39</v>
      </c>
      <c r="C1365" s="103">
        <v>3.6649812550328541E-3</v>
      </c>
      <c r="D1365" s="103">
        <v>1.3921578446592219E-3</v>
      </c>
    </row>
    <row r="1366" spans="1:4" x14ac:dyDescent="0.25">
      <c r="A1366" s="86">
        <v>26</v>
      </c>
      <c r="B1366" s="86">
        <v>41</v>
      </c>
      <c r="C1366" s="103">
        <v>3.3677188311172215E-3</v>
      </c>
      <c r="D1366" s="103">
        <v>3.5855576143021682E-3</v>
      </c>
    </row>
    <row r="1367" spans="1:4" x14ac:dyDescent="0.25">
      <c r="A1367" s="86">
        <v>26</v>
      </c>
      <c r="B1367" s="86">
        <v>43</v>
      </c>
      <c r="C1367" s="103">
        <v>1.9297902807075861E-3</v>
      </c>
      <c r="D1367" s="103">
        <v>2.5439431118233261E-3</v>
      </c>
    </row>
    <row r="1368" spans="1:4" x14ac:dyDescent="0.25">
      <c r="A1368" s="86">
        <v>26</v>
      </c>
      <c r="B1368" s="86">
        <v>45</v>
      </c>
      <c r="C1368" s="103">
        <v>1.2956038724688547E-2</v>
      </c>
      <c r="D1368" s="103">
        <v>1.1017076468526215E-2</v>
      </c>
    </row>
    <row r="1369" spans="1:4" x14ac:dyDescent="0.25">
      <c r="A1369" s="86">
        <v>26</v>
      </c>
      <c r="B1369" s="86">
        <v>47</v>
      </c>
      <c r="C1369" s="103">
        <v>3.1735212790176921E-3</v>
      </c>
      <c r="D1369" s="103">
        <v>3.3251539886824579E-3</v>
      </c>
    </row>
    <row r="1370" spans="1:4" x14ac:dyDescent="0.25">
      <c r="A1370" s="86">
        <v>26</v>
      </c>
      <c r="B1370" s="86">
        <v>49</v>
      </c>
      <c r="C1370" s="103">
        <v>4.3623704333040123E-2</v>
      </c>
      <c r="D1370" s="103">
        <v>4.0763182933546999E-2</v>
      </c>
    </row>
    <row r="1371" spans="1:4" x14ac:dyDescent="0.25">
      <c r="A1371" s="86">
        <v>26</v>
      </c>
      <c r="B1371" s="86">
        <v>51</v>
      </c>
      <c r="C1371" s="103">
        <v>1.5223129378269078E-3</v>
      </c>
      <c r="D1371" s="103">
        <v>2.5339275877610296E-3</v>
      </c>
    </row>
    <row r="1372" spans="1:4" x14ac:dyDescent="0.25">
      <c r="A1372" s="86">
        <v>26</v>
      </c>
      <c r="B1372" s="86">
        <v>53</v>
      </c>
      <c r="C1372" s="103">
        <v>1.0851242334567813E-3</v>
      </c>
      <c r="D1372" s="103">
        <v>1.5123441334067805E-3</v>
      </c>
    </row>
    <row r="1373" spans="1:4" x14ac:dyDescent="0.25">
      <c r="A1373" s="86">
        <v>26</v>
      </c>
      <c r="B1373" s="86">
        <v>55</v>
      </c>
      <c r="C1373" s="103">
        <v>8.4401909293313586E-3</v>
      </c>
      <c r="D1373" s="103">
        <v>9.2643597576243172E-3</v>
      </c>
    </row>
    <row r="1374" spans="1:4" x14ac:dyDescent="0.25">
      <c r="A1374" s="86">
        <v>26</v>
      </c>
      <c r="B1374" s="86">
        <v>57</v>
      </c>
      <c r="C1374" s="103">
        <v>4.7890155734984985E-3</v>
      </c>
      <c r="D1374" s="103">
        <v>4.0663027692924032E-3</v>
      </c>
    </row>
    <row r="1375" spans="1:4" x14ac:dyDescent="0.25">
      <c r="A1375" s="86">
        <v>26</v>
      </c>
      <c r="B1375" s="86">
        <v>59</v>
      </c>
      <c r="C1375" s="103">
        <v>2.9152990063240469E-3</v>
      </c>
      <c r="D1375" s="103">
        <v>4.5770944964695281E-3</v>
      </c>
    </row>
    <row r="1376" spans="1:4" x14ac:dyDescent="0.25">
      <c r="A1376" s="86">
        <v>26</v>
      </c>
      <c r="B1376" s="86">
        <v>61</v>
      </c>
      <c r="C1376" s="103">
        <v>2.2848966363122254E-3</v>
      </c>
      <c r="D1376" s="103">
        <v>3.5955731383644648E-3</v>
      </c>
    </row>
    <row r="1377" spans="1:4" x14ac:dyDescent="0.25">
      <c r="A1377" s="86">
        <v>26</v>
      </c>
      <c r="B1377" s="86">
        <v>63</v>
      </c>
      <c r="C1377" s="103">
        <v>2.1658518199494312E-3</v>
      </c>
      <c r="D1377" s="103">
        <v>3.1248435074365268E-3</v>
      </c>
    </row>
    <row r="1378" spans="1:4" x14ac:dyDescent="0.25">
      <c r="A1378" s="86">
        <v>26</v>
      </c>
      <c r="B1378" s="86">
        <v>65</v>
      </c>
      <c r="C1378" s="103">
        <v>2.4386351262749167E-2</v>
      </c>
      <c r="D1378" s="103">
        <v>2.9245330261905955E-2</v>
      </c>
    </row>
    <row r="1379" spans="1:4" x14ac:dyDescent="0.25">
      <c r="A1379" s="86">
        <v>26</v>
      </c>
      <c r="B1379" s="86">
        <v>67</v>
      </c>
      <c r="C1379" s="103">
        <v>8.399242309885268E-3</v>
      </c>
      <c r="D1379" s="103">
        <v>6.4399819720566878E-3</v>
      </c>
    </row>
    <row r="1380" spans="1:4" x14ac:dyDescent="0.25">
      <c r="A1380" s="86">
        <v>26</v>
      </c>
      <c r="B1380" s="86">
        <v>69</v>
      </c>
      <c r="C1380" s="103">
        <v>2.1011169161652904E-3</v>
      </c>
      <c r="D1380" s="103">
        <v>2.5138965396364365E-3</v>
      </c>
    </row>
    <row r="1381" spans="1:4" x14ac:dyDescent="0.25">
      <c r="A1381" s="86">
        <v>26</v>
      </c>
      <c r="B1381" s="86">
        <v>71</v>
      </c>
      <c r="C1381" s="103">
        <v>8.7037240739202041E-4</v>
      </c>
      <c r="D1381" s="103">
        <v>1.1117231709149181E-3</v>
      </c>
    </row>
    <row r="1382" spans="1:4" x14ac:dyDescent="0.25">
      <c r="A1382" s="86">
        <v>26</v>
      </c>
      <c r="B1382" s="86">
        <v>73</v>
      </c>
      <c r="C1382" s="103">
        <v>7.2173350439182328E-3</v>
      </c>
      <c r="D1382" s="103">
        <v>7.0609444639190746E-3</v>
      </c>
    </row>
    <row r="1383" spans="1:4" x14ac:dyDescent="0.25">
      <c r="A1383" s="86">
        <v>26</v>
      </c>
      <c r="B1383" s="86">
        <v>75</v>
      </c>
      <c r="C1383" s="103">
        <v>1.6591677937271745E-2</v>
      </c>
      <c r="D1383" s="103">
        <v>1.5924683259051529E-2</v>
      </c>
    </row>
    <row r="1384" spans="1:4" x14ac:dyDescent="0.25">
      <c r="A1384" s="86">
        <v>26</v>
      </c>
      <c r="B1384" s="86">
        <v>77</v>
      </c>
      <c r="C1384" s="103">
        <v>2.6211495730907881E-2</v>
      </c>
      <c r="D1384" s="103">
        <v>2.6541138765085882E-2</v>
      </c>
    </row>
    <row r="1385" spans="1:4" x14ac:dyDescent="0.25">
      <c r="A1385" s="86">
        <v>26</v>
      </c>
      <c r="B1385" s="86">
        <v>79</v>
      </c>
      <c r="C1385" s="103">
        <v>1.827100628721143E-3</v>
      </c>
      <c r="D1385" s="103">
        <v>1.7827632830887876E-3</v>
      </c>
    </row>
    <row r="1386" spans="1:4" x14ac:dyDescent="0.25">
      <c r="A1386" s="86">
        <v>26</v>
      </c>
      <c r="B1386" s="86">
        <v>81</v>
      </c>
      <c r="C1386" s="103">
        <v>6.464556615050282E-2</v>
      </c>
      <c r="D1386" s="103">
        <v>6.5401372126796531E-2</v>
      </c>
    </row>
    <row r="1387" spans="1:4" x14ac:dyDescent="0.25">
      <c r="A1387" s="86">
        <v>26</v>
      </c>
      <c r="B1387" s="86">
        <v>83</v>
      </c>
      <c r="C1387" s="103">
        <v>3.0740593526265759E-4</v>
      </c>
      <c r="D1387" s="103">
        <v>2.0932445290199809E-4</v>
      </c>
    </row>
    <row r="1388" spans="1:4" x14ac:dyDescent="0.25">
      <c r="A1388" s="86">
        <v>26</v>
      </c>
      <c r="B1388" s="86">
        <v>85</v>
      </c>
      <c r="C1388" s="103">
        <v>8.7251184381884246E-4</v>
      </c>
      <c r="D1388" s="103">
        <v>1.1918473634132906E-3</v>
      </c>
    </row>
    <row r="1389" spans="1:4" x14ac:dyDescent="0.25">
      <c r="A1389" s="86">
        <v>26</v>
      </c>
      <c r="B1389" s="86">
        <v>87</v>
      </c>
      <c r="C1389" s="103">
        <v>8.9166517332860129E-3</v>
      </c>
      <c r="D1389" s="103">
        <v>8.8036456507586767E-3</v>
      </c>
    </row>
    <row r="1390" spans="1:4" x14ac:dyDescent="0.25">
      <c r="A1390" s="86">
        <v>26</v>
      </c>
      <c r="B1390" s="86">
        <v>89</v>
      </c>
      <c r="C1390" s="103">
        <v>1.7656606464663228E-3</v>
      </c>
      <c r="D1390" s="103">
        <v>2.1733687215183535E-3</v>
      </c>
    </row>
    <row r="1391" spans="1:4" x14ac:dyDescent="0.25">
      <c r="A1391" s="86">
        <v>26</v>
      </c>
      <c r="B1391" s="86">
        <v>91</v>
      </c>
      <c r="C1391" s="103">
        <v>6.2015689633532229E-3</v>
      </c>
      <c r="D1391" s="103">
        <v>9.8252291051129249E-3</v>
      </c>
    </row>
    <row r="1392" spans="1:4" x14ac:dyDescent="0.25">
      <c r="A1392" s="86">
        <v>26</v>
      </c>
      <c r="B1392" s="86">
        <v>93</v>
      </c>
      <c r="C1392" s="103">
        <v>2.753225041947726E-2</v>
      </c>
      <c r="D1392" s="103">
        <v>1.912965095898643E-2</v>
      </c>
    </row>
    <row r="1393" spans="1:4" x14ac:dyDescent="0.25">
      <c r="A1393" s="86">
        <v>26</v>
      </c>
      <c r="B1393" s="86">
        <v>95</v>
      </c>
      <c r="C1393" s="103">
        <v>6.2407545933552489E-4</v>
      </c>
      <c r="D1393" s="103">
        <v>6.3398267314337226E-4</v>
      </c>
    </row>
    <row r="1394" spans="1:4" x14ac:dyDescent="0.25">
      <c r="A1394" s="86">
        <v>26</v>
      </c>
      <c r="B1394" s="86">
        <v>97</v>
      </c>
      <c r="C1394" s="103">
        <v>2.2639727776763239E-3</v>
      </c>
      <c r="D1394" s="103">
        <v>1.0816765987280285E-3</v>
      </c>
    </row>
    <row r="1395" spans="1:4" x14ac:dyDescent="0.25">
      <c r="A1395" s="86">
        <v>26</v>
      </c>
      <c r="B1395" s="86">
        <v>99</v>
      </c>
      <c r="C1395" s="103">
        <v>7.0764669921626611E-2</v>
      </c>
      <c r="D1395" s="103">
        <v>8.7435525063848968E-2</v>
      </c>
    </row>
    <row r="1396" spans="1:4" x14ac:dyDescent="0.25">
      <c r="A1396" s="86">
        <v>26</v>
      </c>
      <c r="B1396" s="86">
        <v>101</v>
      </c>
      <c r="C1396" s="103">
        <v>1.9700580703227214E-3</v>
      </c>
      <c r="D1396" s="103">
        <v>2.4538033952626573E-3</v>
      </c>
    </row>
    <row r="1397" spans="1:4" x14ac:dyDescent="0.25">
      <c r="A1397" s="86">
        <v>26</v>
      </c>
      <c r="B1397" s="86">
        <v>103</v>
      </c>
      <c r="C1397" s="103">
        <v>4.7356860280258406E-3</v>
      </c>
      <c r="D1397" s="103">
        <v>6.6503079773649158E-3</v>
      </c>
    </row>
    <row r="1398" spans="1:4" x14ac:dyDescent="0.25">
      <c r="A1398" s="86">
        <v>26</v>
      </c>
      <c r="B1398" s="86">
        <v>105</v>
      </c>
      <c r="C1398" s="103">
        <v>2.5756413898542704E-3</v>
      </c>
      <c r="D1398" s="103">
        <v>2.9145175021282987E-3</v>
      </c>
    </row>
    <row r="1399" spans="1:4" x14ac:dyDescent="0.25">
      <c r="A1399" s="86">
        <v>26</v>
      </c>
      <c r="B1399" s="86">
        <v>107</v>
      </c>
      <c r="C1399" s="103">
        <v>4.9865069565419532E-3</v>
      </c>
      <c r="D1399" s="103">
        <v>4.346737443036707E-3</v>
      </c>
    </row>
    <row r="1400" spans="1:4" x14ac:dyDescent="0.25">
      <c r="A1400" s="86">
        <v>26</v>
      </c>
      <c r="B1400" s="86">
        <v>109</v>
      </c>
      <c r="C1400" s="103">
        <v>1.9175965964086143E-3</v>
      </c>
      <c r="D1400" s="103">
        <v>2.2935550102659123E-3</v>
      </c>
    </row>
    <row r="1401" spans="1:4" x14ac:dyDescent="0.25">
      <c r="A1401" s="86">
        <v>26</v>
      </c>
      <c r="B1401" s="86">
        <v>111</v>
      </c>
      <c r="C1401" s="103">
        <v>8.5534218165590013E-3</v>
      </c>
      <c r="D1401" s="103">
        <v>8.332916019830737E-3</v>
      </c>
    </row>
    <row r="1402" spans="1:4" x14ac:dyDescent="0.25">
      <c r="A1402" s="86">
        <v>26</v>
      </c>
      <c r="B1402" s="86">
        <v>113</v>
      </c>
      <c r="C1402" s="103">
        <v>1.2269395458061347E-3</v>
      </c>
      <c r="D1402" s="103">
        <v>1.5123441334067805E-3</v>
      </c>
    </row>
    <row r="1403" spans="1:4" x14ac:dyDescent="0.25">
      <c r="A1403" s="86">
        <v>26</v>
      </c>
      <c r="B1403" s="86">
        <v>115</v>
      </c>
      <c r="C1403" s="103">
        <v>2.0730659507660194E-2</v>
      </c>
      <c r="D1403" s="103">
        <v>1.5023286093444839E-2</v>
      </c>
    </row>
    <row r="1404" spans="1:4" x14ac:dyDescent="0.25">
      <c r="A1404" s="86">
        <v>26</v>
      </c>
      <c r="B1404" s="86">
        <v>117</v>
      </c>
      <c r="C1404" s="103">
        <v>5.8177565100510373E-3</v>
      </c>
      <c r="D1404" s="103">
        <v>6.3999198758075016E-3</v>
      </c>
    </row>
    <row r="1405" spans="1:4" x14ac:dyDescent="0.25">
      <c r="A1405" s="86">
        <v>26</v>
      </c>
      <c r="B1405" s="86">
        <v>119</v>
      </c>
      <c r="C1405" s="103">
        <v>7.6851866357208621E-4</v>
      </c>
      <c r="D1405" s="103">
        <v>9.2944063298112077E-4</v>
      </c>
    </row>
    <row r="1406" spans="1:4" x14ac:dyDescent="0.25">
      <c r="A1406" s="86">
        <v>26</v>
      </c>
      <c r="B1406" s="86">
        <v>121</v>
      </c>
      <c r="C1406" s="103">
        <v>1.4956877058499693E-2</v>
      </c>
      <c r="D1406" s="103">
        <v>1.7427011868396014E-2</v>
      </c>
    </row>
    <row r="1407" spans="1:4" x14ac:dyDescent="0.25">
      <c r="A1407" s="86">
        <v>26</v>
      </c>
      <c r="B1407" s="86">
        <v>123</v>
      </c>
      <c r="C1407" s="103">
        <v>2.7336972153106666E-3</v>
      </c>
      <c r="D1407" s="103">
        <v>4.8875757424007215E-3</v>
      </c>
    </row>
    <row r="1408" spans="1:4" x14ac:dyDescent="0.25">
      <c r="A1408" s="86">
        <v>26</v>
      </c>
      <c r="B1408" s="86">
        <v>125</v>
      </c>
      <c r="C1408" s="103">
        <v>0.12731213139105438</v>
      </c>
      <c r="D1408" s="103">
        <v>0.12619560318493664</v>
      </c>
    </row>
    <row r="1409" spans="1:4" x14ac:dyDescent="0.25">
      <c r="A1409" s="86">
        <v>26</v>
      </c>
      <c r="B1409" s="86">
        <v>127</v>
      </c>
      <c r="C1409" s="103">
        <v>3.2195540842004265E-3</v>
      </c>
      <c r="D1409" s="103">
        <v>2.6641294005708849E-3</v>
      </c>
    </row>
    <row r="1410" spans="1:4" x14ac:dyDescent="0.25">
      <c r="A1410" s="86">
        <v>26</v>
      </c>
      <c r="B1410" s="86">
        <v>129</v>
      </c>
      <c r="C1410" s="103">
        <v>2.7402763479502427E-3</v>
      </c>
      <c r="D1410" s="103">
        <v>2.0932445290199808E-3</v>
      </c>
    </row>
    <row r="1411" spans="1:4" x14ac:dyDescent="0.25">
      <c r="A1411" s="86">
        <v>26</v>
      </c>
      <c r="B1411" s="86">
        <v>131</v>
      </c>
      <c r="C1411" s="103">
        <v>6.9870236032900464E-4</v>
      </c>
      <c r="D1411" s="103">
        <v>5.8090039561320048E-4</v>
      </c>
    </row>
    <row r="1412" spans="1:4" x14ac:dyDescent="0.25">
      <c r="A1412" s="86">
        <v>26</v>
      </c>
      <c r="B1412" s="86">
        <v>133</v>
      </c>
      <c r="C1412" s="103">
        <v>3.8487691965395721E-3</v>
      </c>
      <c r="D1412" s="103">
        <v>2.343632630577395E-3</v>
      </c>
    </row>
    <row r="1413" spans="1:4" x14ac:dyDescent="0.25">
      <c r="A1413" s="86">
        <v>26</v>
      </c>
      <c r="B1413" s="86">
        <v>135</v>
      </c>
      <c r="C1413" s="103">
        <v>6.5010642913920173E-4</v>
      </c>
      <c r="D1413" s="103">
        <v>8.2327607792077721E-4</v>
      </c>
    </row>
    <row r="1414" spans="1:4" x14ac:dyDescent="0.25">
      <c r="A1414" s="86">
        <v>26</v>
      </c>
      <c r="B1414" s="86">
        <v>137</v>
      </c>
      <c r="C1414" s="103">
        <v>4.2098672681436279E-3</v>
      </c>
      <c r="D1414" s="103">
        <v>2.4638189193249538E-3</v>
      </c>
    </row>
    <row r="1415" spans="1:4" x14ac:dyDescent="0.25">
      <c r="A1415" s="86">
        <v>26</v>
      </c>
      <c r="B1415" s="86">
        <v>139</v>
      </c>
      <c r="C1415" s="103">
        <v>2.5701570293651953E-2</v>
      </c>
      <c r="D1415" s="103">
        <v>2.9045019780660025E-2</v>
      </c>
    </row>
    <row r="1416" spans="1:4" x14ac:dyDescent="0.25">
      <c r="A1416" s="86">
        <v>26</v>
      </c>
      <c r="B1416" s="86">
        <v>141</v>
      </c>
      <c r="C1416" s="103">
        <v>1.0278312684512704E-3</v>
      </c>
      <c r="D1416" s="103">
        <v>1.2719715559116631E-3</v>
      </c>
    </row>
    <row r="1417" spans="1:4" x14ac:dyDescent="0.25">
      <c r="A1417" s="86">
        <v>26</v>
      </c>
      <c r="B1417" s="86">
        <v>143</v>
      </c>
      <c r="C1417" s="103">
        <v>4.6416517050822288E-3</v>
      </c>
      <c r="D1417" s="103">
        <v>2.3836947268265811E-3</v>
      </c>
    </row>
    <row r="1418" spans="1:4" x14ac:dyDescent="0.25">
      <c r="A1418" s="86">
        <v>26</v>
      </c>
      <c r="B1418" s="86">
        <v>145</v>
      </c>
      <c r="C1418" s="103">
        <v>2.0246153119978062E-2</v>
      </c>
      <c r="D1418" s="103">
        <v>1.912965095898643E-2</v>
      </c>
    </row>
    <row r="1419" spans="1:4" x14ac:dyDescent="0.25">
      <c r="A1419" s="86">
        <v>26</v>
      </c>
      <c r="B1419" s="86">
        <v>147</v>
      </c>
      <c r="C1419" s="103">
        <v>1.4765315267653055E-2</v>
      </c>
      <c r="D1419" s="103">
        <v>1.5924683259051529E-2</v>
      </c>
    </row>
    <row r="1420" spans="1:4" x14ac:dyDescent="0.25">
      <c r="A1420" s="86">
        <v>26</v>
      </c>
      <c r="B1420" s="86">
        <v>149</v>
      </c>
      <c r="C1420" s="103">
        <v>3.7882362606218509E-3</v>
      </c>
      <c r="D1420" s="103">
        <v>6.0994541539386047E-3</v>
      </c>
    </row>
    <row r="1421" spans="1:4" x14ac:dyDescent="0.25">
      <c r="A1421" s="86">
        <v>26</v>
      </c>
      <c r="B1421" s="86">
        <v>151</v>
      </c>
      <c r="C1421" s="103">
        <v>2.8040755689128466E-3</v>
      </c>
      <c r="D1421" s="103">
        <v>4.1263959136661824E-3</v>
      </c>
    </row>
    <row r="1422" spans="1:4" x14ac:dyDescent="0.25">
      <c r="A1422" s="86">
        <v>26</v>
      </c>
      <c r="B1422" s="86">
        <v>153</v>
      </c>
      <c r="C1422" s="103">
        <v>1.178277833495243E-3</v>
      </c>
      <c r="D1422" s="103">
        <v>8.052481346086434E-4</v>
      </c>
    </row>
    <row r="1423" spans="1:4" x14ac:dyDescent="0.25">
      <c r="A1423" s="86">
        <v>26</v>
      </c>
      <c r="B1423" s="86">
        <v>155</v>
      </c>
      <c r="C1423" s="103">
        <v>7.5550597675478493E-3</v>
      </c>
      <c r="D1423" s="103">
        <v>6.8205718864239569E-3</v>
      </c>
    </row>
    <row r="1424" spans="1:4" x14ac:dyDescent="0.25">
      <c r="A1424" s="86">
        <v>26</v>
      </c>
      <c r="B1424" s="86">
        <v>157</v>
      </c>
      <c r="C1424" s="103">
        <v>3.1506868187488016E-3</v>
      </c>
      <c r="D1424" s="103">
        <v>5.2681656567679907E-3</v>
      </c>
    </row>
    <row r="1425" spans="1:4" x14ac:dyDescent="0.25">
      <c r="A1425" s="86">
        <v>26</v>
      </c>
      <c r="B1425" s="86">
        <v>159</v>
      </c>
      <c r="C1425" s="103">
        <v>1.0808497522485154E-2</v>
      </c>
      <c r="D1425" s="103">
        <v>7.5617206670339021E-3</v>
      </c>
    </row>
    <row r="1426" spans="1:4" x14ac:dyDescent="0.25">
      <c r="A1426" s="86">
        <v>26</v>
      </c>
      <c r="B1426" s="86">
        <v>161</v>
      </c>
      <c r="C1426" s="103">
        <v>4.1959861522201373E-2</v>
      </c>
      <c r="D1426" s="103">
        <v>3.6957283789874305E-2</v>
      </c>
    </row>
    <row r="1427" spans="1:4" x14ac:dyDescent="0.25">
      <c r="A1427" s="86">
        <v>26</v>
      </c>
      <c r="B1427" s="86">
        <v>163</v>
      </c>
      <c r="C1427" s="103">
        <v>0.16100492449813308</v>
      </c>
      <c r="D1427" s="103">
        <v>0.17527167109018979</v>
      </c>
    </row>
    <row r="1428" spans="1:4" x14ac:dyDescent="0.25">
      <c r="A1428" s="86">
        <v>26</v>
      </c>
      <c r="B1428" s="86">
        <v>165</v>
      </c>
      <c r="C1428" s="103">
        <v>4.2973490735770913E-3</v>
      </c>
      <c r="D1428" s="103">
        <v>3.345185036807051E-3</v>
      </c>
    </row>
    <row r="1429" spans="1:4" x14ac:dyDescent="0.25">
      <c r="A1429" s="86">
        <v>27</v>
      </c>
      <c r="B1429" s="86">
        <v>1</v>
      </c>
      <c r="C1429" s="103">
        <v>2.4171945665976565E-3</v>
      </c>
      <c r="D1429" s="103">
        <v>2.8349826156726398E-3</v>
      </c>
    </row>
    <row r="1430" spans="1:4" x14ac:dyDescent="0.25">
      <c r="A1430" s="86">
        <v>27</v>
      </c>
      <c r="B1430" s="86">
        <v>3</v>
      </c>
      <c r="C1430" s="103">
        <v>6.3177488204814142E-2</v>
      </c>
      <c r="D1430" s="103">
        <v>6.2940180083801367E-2</v>
      </c>
    </row>
    <row r="1431" spans="1:4" x14ac:dyDescent="0.25">
      <c r="A1431" s="86">
        <v>27</v>
      </c>
      <c r="B1431" s="86">
        <v>5</v>
      </c>
      <c r="C1431" s="103">
        <v>4.9643657971404111E-3</v>
      </c>
      <c r="D1431" s="103">
        <v>6.1335472942854593E-3</v>
      </c>
    </row>
    <row r="1432" spans="1:4" x14ac:dyDescent="0.25">
      <c r="A1432" s="86">
        <v>27</v>
      </c>
      <c r="B1432" s="86">
        <v>7</v>
      </c>
      <c r="C1432" s="103">
        <v>5.9406465545837018E-3</v>
      </c>
      <c r="D1432" s="103">
        <v>8.3266470535793887E-3</v>
      </c>
    </row>
    <row r="1433" spans="1:4" x14ac:dyDescent="0.25">
      <c r="A1433" s="86">
        <v>27</v>
      </c>
      <c r="B1433" s="86">
        <v>9</v>
      </c>
      <c r="C1433" s="103">
        <v>7.5950736665187117E-3</v>
      </c>
      <c r="D1433" s="103">
        <v>7.2211821342604973E-3</v>
      </c>
    </row>
    <row r="1434" spans="1:4" x14ac:dyDescent="0.25">
      <c r="A1434" s="86">
        <v>27</v>
      </c>
      <c r="B1434" s="86">
        <v>11</v>
      </c>
      <c r="C1434" s="103">
        <v>6.0123186784624433E-4</v>
      </c>
      <c r="D1434" s="103">
        <v>8.8972095925826872E-4</v>
      </c>
    </row>
    <row r="1435" spans="1:4" x14ac:dyDescent="0.25">
      <c r="A1435" s="86">
        <v>27</v>
      </c>
      <c r="B1435" s="86">
        <v>13</v>
      </c>
      <c r="C1435" s="103">
        <v>1.038429898800401E-2</v>
      </c>
      <c r="D1435" s="103">
        <v>1.2017473477756975E-2</v>
      </c>
    </row>
    <row r="1436" spans="1:4" x14ac:dyDescent="0.25">
      <c r="A1436" s="86">
        <v>27</v>
      </c>
      <c r="B1436" s="86">
        <v>15</v>
      </c>
      <c r="C1436" s="103">
        <v>2.8519507175354796E-3</v>
      </c>
      <c r="D1436" s="103">
        <v>4.4753499153071235E-3</v>
      </c>
    </row>
    <row r="1437" spans="1:4" x14ac:dyDescent="0.25">
      <c r="A1437" s="86">
        <v>27</v>
      </c>
      <c r="B1437" s="86">
        <v>17</v>
      </c>
      <c r="C1437" s="103">
        <v>9.0882991331862617E-3</v>
      </c>
      <c r="D1437" s="103">
        <v>6.3831684050994026E-3</v>
      </c>
    </row>
    <row r="1438" spans="1:4" x14ac:dyDescent="0.25">
      <c r="A1438" s="86">
        <v>27</v>
      </c>
      <c r="B1438" s="86">
        <v>19</v>
      </c>
      <c r="C1438" s="103">
        <v>1.4280191842485631E-2</v>
      </c>
      <c r="D1438" s="103">
        <v>1.8543282517607205E-2</v>
      </c>
    </row>
    <row r="1439" spans="1:4" x14ac:dyDescent="0.25">
      <c r="A1439" s="86">
        <v>27</v>
      </c>
      <c r="B1439" s="86">
        <v>21</v>
      </c>
      <c r="C1439" s="103">
        <v>3.9543729738567368E-3</v>
      </c>
      <c r="D1439" s="103">
        <v>5.2598734064366586E-3</v>
      </c>
    </row>
    <row r="1440" spans="1:4" x14ac:dyDescent="0.25">
      <c r="A1440" s="86">
        <v>27</v>
      </c>
      <c r="B1440" s="86">
        <v>23</v>
      </c>
      <c r="C1440" s="103">
        <v>1.7301374052721675E-3</v>
      </c>
      <c r="D1440" s="103">
        <v>2.1217794419185164E-3</v>
      </c>
    </row>
    <row r="1441" spans="1:4" x14ac:dyDescent="0.25">
      <c r="A1441" s="86">
        <v>27</v>
      </c>
      <c r="B1441" s="86">
        <v>25</v>
      </c>
      <c r="C1441" s="103">
        <v>1.4506101339589812E-2</v>
      </c>
      <c r="D1441" s="103">
        <v>9.9848444325577254E-3</v>
      </c>
    </row>
    <row r="1442" spans="1:4" x14ac:dyDescent="0.25">
      <c r="A1442" s="86">
        <v>27</v>
      </c>
      <c r="B1442" s="86">
        <v>27</v>
      </c>
      <c r="C1442" s="103">
        <v>1.2577889520558265E-2</v>
      </c>
      <c r="D1442" s="103">
        <v>1.1411250780065971E-2</v>
      </c>
    </row>
    <row r="1443" spans="1:4" x14ac:dyDescent="0.25">
      <c r="A1443" s="86">
        <v>27</v>
      </c>
      <c r="B1443" s="86">
        <v>29</v>
      </c>
      <c r="C1443" s="103">
        <v>1.008281036682208E-3</v>
      </c>
      <c r="D1443" s="103">
        <v>1.5726129981278416E-3</v>
      </c>
    </row>
    <row r="1444" spans="1:4" x14ac:dyDescent="0.25">
      <c r="A1444" s="86">
        <v>27</v>
      </c>
      <c r="B1444" s="86">
        <v>31</v>
      </c>
      <c r="C1444" s="103">
        <v>1.0533836569208475E-3</v>
      </c>
      <c r="D1444" s="103">
        <v>9.6817330837122224E-4</v>
      </c>
    </row>
    <row r="1445" spans="1:4" x14ac:dyDescent="0.25">
      <c r="A1445" s="86">
        <v>27</v>
      </c>
      <c r="B1445" s="86">
        <v>33</v>
      </c>
      <c r="C1445" s="103">
        <v>1.3254789024538711E-3</v>
      </c>
      <c r="D1445" s="103">
        <v>2.0147989658553982E-3</v>
      </c>
    </row>
    <row r="1446" spans="1:4" x14ac:dyDescent="0.25">
      <c r="A1446" s="86">
        <v>27</v>
      </c>
      <c r="B1446" s="86">
        <v>35</v>
      </c>
      <c r="C1446" s="103">
        <v>1.0597987300730582E-2</v>
      </c>
      <c r="D1446" s="103">
        <v>1.1553891414816796E-2</v>
      </c>
    </row>
    <row r="1447" spans="1:4" x14ac:dyDescent="0.25">
      <c r="A1447" s="86">
        <v>27</v>
      </c>
      <c r="B1447" s="86">
        <v>37</v>
      </c>
      <c r="C1447" s="103">
        <v>7.9209903207606389E-2</v>
      </c>
      <c r="D1447" s="103">
        <v>7.5777837211375584E-2</v>
      </c>
    </row>
    <row r="1448" spans="1:4" x14ac:dyDescent="0.25">
      <c r="A1448" s="86">
        <v>27</v>
      </c>
      <c r="B1448" s="86">
        <v>39</v>
      </c>
      <c r="C1448" s="103">
        <v>2.6335725933222458E-3</v>
      </c>
      <c r="D1448" s="103">
        <v>3.7086565035214405E-3</v>
      </c>
    </row>
    <row r="1449" spans="1:4" x14ac:dyDescent="0.25">
      <c r="A1449" s="86">
        <v>27</v>
      </c>
      <c r="B1449" s="86">
        <v>41</v>
      </c>
      <c r="C1449" s="103">
        <v>1.0081483241428746E-2</v>
      </c>
      <c r="D1449" s="103">
        <v>6.7754301506641702E-3</v>
      </c>
    </row>
    <row r="1450" spans="1:4" x14ac:dyDescent="0.25">
      <c r="A1450" s="86">
        <v>27</v>
      </c>
      <c r="B1450" s="86">
        <v>43</v>
      </c>
      <c r="C1450" s="103">
        <v>3.3162266449570481E-3</v>
      </c>
      <c r="D1450" s="103">
        <v>2.4427208701078718E-3</v>
      </c>
    </row>
    <row r="1451" spans="1:4" x14ac:dyDescent="0.25">
      <c r="A1451" s="86">
        <v>27</v>
      </c>
      <c r="B1451" s="86">
        <v>45</v>
      </c>
      <c r="C1451" s="103">
        <v>2.1115066824289267E-3</v>
      </c>
      <c r="D1451" s="103">
        <v>3.744316662209147E-3</v>
      </c>
    </row>
    <row r="1452" spans="1:4" x14ac:dyDescent="0.25">
      <c r="A1452" s="86">
        <v>27</v>
      </c>
      <c r="B1452" s="86">
        <v>47</v>
      </c>
      <c r="C1452" s="103">
        <v>9.5679574030191235E-3</v>
      </c>
      <c r="D1452" s="103">
        <v>5.4381741998751898E-3</v>
      </c>
    </row>
    <row r="1453" spans="1:4" x14ac:dyDescent="0.25">
      <c r="A1453" s="86">
        <v>27</v>
      </c>
      <c r="B1453" s="86">
        <v>49</v>
      </c>
      <c r="C1453" s="103">
        <v>8.7339495185520307E-3</v>
      </c>
      <c r="D1453" s="103">
        <v>8.2553267362039766E-3</v>
      </c>
    </row>
    <row r="1454" spans="1:4" x14ac:dyDescent="0.25">
      <c r="A1454" s="86">
        <v>27</v>
      </c>
      <c r="B1454" s="86">
        <v>51</v>
      </c>
      <c r="C1454" s="103">
        <v>1.7678468472844741E-3</v>
      </c>
      <c r="D1454" s="103">
        <v>1.0680217526967996E-3</v>
      </c>
    </row>
    <row r="1455" spans="1:4" x14ac:dyDescent="0.25">
      <c r="A1455" s="86">
        <v>27</v>
      </c>
      <c r="B1455" s="86">
        <v>53</v>
      </c>
      <c r="C1455" s="103">
        <v>0.23693673225357118</v>
      </c>
      <c r="D1455" s="103">
        <v>0.2246589997325488</v>
      </c>
    </row>
    <row r="1456" spans="1:4" x14ac:dyDescent="0.25">
      <c r="A1456" s="86">
        <v>27</v>
      </c>
      <c r="B1456" s="86">
        <v>55</v>
      </c>
      <c r="C1456" s="103">
        <v>2.1759659635095037E-3</v>
      </c>
      <c r="D1456" s="103">
        <v>3.316394757956673E-3</v>
      </c>
    </row>
    <row r="1457" spans="1:4" x14ac:dyDescent="0.25">
      <c r="A1457" s="86">
        <v>27</v>
      </c>
      <c r="B1457" s="86">
        <v>57</v>
      </c>
      <c r="C1457" s="103">
        <v>2.5163821957918707E-3</v>
      </c>
      <c r="D1457" s="103">
        <v>3.7978069002407061E-3</v>
      </c>
    </row>
    <row r="1458" spans="1:4" x14ac:dyDescent="0.25">
      <c r="A1458" s="86">
        <v>27</v>
      </c>
      <c r="B1458" s="86">
        <v>59</v>
      </c>
      <c r="C1458" s="103">
        <v>5.8265888639336284E-3</v>
      </c>
      <c r="D1458" s="103">
        <v>7.1320317375412317E-3</v>
      </c>
    </row>
    <row r="1459" spans="1:4" x14ac:dyDescent="0.25">
      <c r="A1459" s="86">
        <v>27</v>
      </c>
      <c r="B1459" s="86">
        <v>61</v>
      </c>
      <c r="C1459" s="103">
        <v>5.6674624280845121E-3</v>
      </c>
      <c r="D1459" s="103">
        <v>8.0413657840777385E-3</v>
      </c>
    </row>
    <row r="1460" spans="1:4" x14ac:dyDescent="0.25">
      <c r="A1460" s="86">
        <v>27</v>
      </c>
      <c r="B1460" s="86">
        <v>63</v>
      </c>
      <c r="C1460" s="103">
        <v>3.3627842369875877E-3</v>
      </c>
      <c r="D1460" s="103">
        <v>1.7651778550414549E-3</v>
      </c>
    </row>
    <row r="1461" spans="1:4" x14ac:dyDescent="0.25">
      <c r="A1461" s="86">
        <v>27</v>
      </c>
      <c r="B1461" s="86">
        <v>65</v>
      </c>
      <c r="C1461" s="103">
        <v>1.7115450054940135E-3</v>
      </c>
      <c r="D1461" s="103">
        <v>2.8884728537041989E-3</v>
      </c>
    </row>
    <row r="1462" spans="1:4" x14ac:dyDescent="0.25">
      <c r="A1462" s="86">
        <v>27</v>
      </c>
      <c r="B1462" s="86">
        <v>67</v>
      </c>
      <c r="C1462" s="103">
        <v>6.1111026377506849E-3</v>
      </c>
      <c r="D1462" s="103">
        <v>7.6491040385129718E-3</v>
      </c>
    </row>
    <row r="1463" spans="1:4" x14ac:dyDescent="0.25">
      <c r="A1463" s="86">
        <v>27</v>
      </c>
      <c r="B1463" s="86">
        <v>69</v>
      </c>
      <c r="C1463" s="103">
        <v>6.3731812867812761E-4</v>
      </c>
      <c r="D1463" s="103">
        <v>7.6134438798252648E-4</v>
      </c>
    </row>
    <row r="1464" spans="1:4" x14ac:dyDescent="0.25">
      <c r="A1464" s="86">
        <v>27</v>
      </c>
      <c r="B1464" s="86">
        <v>71</v>
      </c>
      <c r="C1464" s="103">
        <v>1.5768584711147869E-3</v>
      </c>
      <c r="D1464" s="103">
        <v>2.210929838637782E-3</v>
      </c>
    </row>
    <row r="1465" spans="1:4" x14ac:dyDescent="0.25">
      <c r="A1465" s="86">
        <v>27</v>
      </c>
      <c r="B1465" s="86">
        <v>73</v>
      </c>
      <c r="C1465" s="103">
        <v>8.968560245083897E-4</v>
      </c>
      <c r="D1465" s="103">
        <v>1.1874832843006152E-3</v>
      </c>
    </row>
    <row r="1466" spans="1:4" x14ac:dyDescent="0.25">
      <c r="A1466" s="86">
        <v>27</v>
      </c>
      <c r="B1466" s="86">
        <v>75</v>
      </c>
      <c r="C1466" s="103">
        <v>1.6073826607042718E-3</v>
      </c>
      <c r="D1466" s="103">
        <v>1.8899884104484265E-3</v>
      </c>
    </row>
    <row r="1467" spans="1:4" x14ac:dyDescent="0.25">
      <c r="A1467" s="86">
        <v>27</v>
      </c>
      <c r="B1467" s="86">
        <v>77</v>
      </c>
      <c r="C1467" s="103">
        <v>4.6648391239361315E-4</v>
      </c>
      <c r="D1467" s="103">
        <v>6.6684496746010518E-4</v>
      </c>
    </row>
    <row r="1468" spans="1:4" x14ac:dyDescent="0.25">
      <c r="A1468" s="86">
        <v>27</v>
      </c>
      <c r="B1468" s="86">
        <v>79</v>
      </c>
      <c r="C1468" s="103">
        <v>2.9400675487639377E-3</v>
      </c>
      <c r="D1468" s="103">
        <v>5.0994026923419809E-3</v>
      </c>
    </row>
    <row r="1469" spans="1:4" x14ac:dyDescent="0.25">
      <c r="A1469" s="86">
        <v>27</v>
      </c>
      <c r="B1469" s="86">
        <v>81</v>
      </c>
      <c r="C1469" s="103">
        <v>6.4241024124837474E-4</v>
      </c>
      <c r="D1469" s="103">
        <v>1.0109654987964696E-3</v>
      </c>
    </row>
    <row r="1470" spans="1:4" x14ac:dyDescent="0.25">
      <c r="A1470" s="86">
        <v>27</v>
      </c>
      <c r="B1470" s="86">
        <v>83</v>
      </c>
      <c r="C1470" s="103">
        <v>3.2242211903997743E-3</v>
      </c>
      <c r="D1470" s="103">
        <v>4.5645003120263882E-3</v>
      </c>
    </row>
    <row r="1471" spans="1:4" x14ac:dyDescent="0.25">
      <c r="A1471" s="86">
        <v>27</v>
      </c>
      <c r="B1471" s="86">
        <v>85</v>
      </c>
      <c r="C1471" s="103">
        <v>4.5745225293941883E-3</v>
      </c>
      <c r="D1471" s="103">
        <v>6.3831684050994026E-3</v>
      </c>
    </row>
    <row r="1472" spans="1:4" x14ac:dyDescent="0.25">
      <c r="A1472" s="86">
        <v>27</v>
      </c>
      <c r="B1472" s="86">
        <v>87</v>
      </c>
      <c r="C1472" s="103">
        <v>6.7776600460730336E-4</v>
      </c>
      <c r="D1472" s="103">
        <v>9.8065436391191934E-4</v>
      </c>
    </row>
    <row r="1473" spans="1:4" x14ac:dyDescent="0.25">
      <c r="A1473" s="86">
        <v>27</v>
      </c>
      <c r="B1473" s="86">
        <v>89</v>
      </c>
      <c r="C1473" s="103">
        <v>1.1692467758927922E-3</v>
      </c>
      <c r="D1473" s="103">
        <v>1.6724614424534188E-3</v>
      </c>
    </row>
    <row r="1474" spans="1:4" x14ac:dyDescent="0.25">
      <c r="A1474" s="86">
        <v>27</v>
      </c>
      <c r="B1474" s="86">
        <v>91</v>
      </c>
      <c r="C1474" s="103">
        <v>4.4607324999343416E-3</v>
      </c>
      <c r="D1474" s="103">
        <v>3.5303557100829098E-3</v>
      </c>
    </row>
    <row r="1475" spans="1:4" x14ac:dyDescent="0.25">
      <c r="A1475" s="86">
        <v>27</v>
      </c>
      <c r="B1475" s="86">
        <v>93</v>
      </c>
      <c r="C1475" s="103">
        <v>2.7283434259426738E-3</v>
      </c>
      <c r="D1475" s="103">
        <v>4.1187483284300611E-3</v>
      </c>
    </row>
    <row r="1476" spans="1:4" x14ac:dyDescent="0.25">
      <c r="A1476" s="86">
        <v>27</v>
      </c>
      <c r="B1476" s="86">
        <v>95</v>
      </c>
      <c r="C1476" s="103">
        <v>4.3913803161390597E-3</v>
      </c>
      <c r="D1476" s="103">
        <v>4.6536507087456538E-3</v>
      </c>
    </row>
    <row r="1477" spans="1:4" x14ac:dyDescent="0.25">
      <c r="A1477" s="86">
        <v>27</v>
      </c>
      <c r="B1477" s="86">
        <v>97</v>
      </c>
      <c r="C1477" s="103">
        <v>6.3915571769808058E-3</v>
      </c>
      <c r="D1477" s="103">
        <v>5.9195863421592229E-3</v>
      </c>
    </row>
    <row r="1478" spans="1:4" x14ac:dyDescent="0.25">
      <c r="A1478" s="86">
        <v>27</v>
      </c>
      <c r="B1478" s="86">
        <v>99</v>
      </c>
      <c r="C1478" s="103">
        <v>6.5029097049912167E-3</v>
      </c>
      <c r="D1478" s="103">
        <v>7.1498618168850852E-3</v>
      </c>
    </row>
    <row r="1479" spans="1:4" x14ac:dyDescent="0.25">
      <c r="A1479" s="86">
        <v>27</v>
      </c>
      <c r="B1479" s="86">
        <v>101</v>
      </c>
      <c r="C1479" s="103">
        <v>1.0884898573486827E-3</v>
      </c>
      <c r="D1479" s="103">
        <v>1.470981545867879E-3</v>
      </c>
    </row>
    <row r="1480" spans="1:4" x14ac:dyDescent="0.25">
      <c r="A1480" s="86">
        <v>27</v>
      </c>
      <c r="B1480" s="86">
        <v>103</v>
      </c>
      <c r="C1480" s="103">
        <v>5.7171252971214281E-3</v>
      </c>
      <c r="D1480" s="103">
        <v>6.0978871355977533E-3</v>
      </c>
    </row>
    <row r="1481" spans="1:4" x14ac:dyDescent="0.25">
      <c r="A1481" s="86">
        <v>27</v>
      </c>
      <c r="B1481" s="86">
        <v>105</v>
      </c>
      <c r="C1481" s="103">
        <v>4.898071425084265E-3</v>
      </c>
      <c r="D1481" s="103">
        <v>3.8691272176161183E-3</v>
      </c>
    </row>
    <row r="1482" spans="1:4" x14ac:dyDescent="0.25">
      <c r="A1482" s="86">
        <v>27</v>
      </c>
      <c r="B1482" s="86">
        <v>107</v>
      </c>
      <c r="C1482" s="103">
        <v>8.4698022437338424E-4</v>
      </c>
      <c r="D1482" s="103">
        <v>1.1553891414816796E-3</v>
      </c>
    </row>
    <row r="1483" spans="1:4" x14ac:dyDescent="0.25">
      <c r="A1483" s="86">
        <v>27</v>
      </c>
      <c r="B1483" s="86">
        <v>109</v>
      </c>
      <c r="C1483" s="103">
        <v>2.870955291599846E-2</v>
      </c>
      <c r="D1483" s="103">
        <v>2.7814923776410806E-2</v>
      </c>
    </row>
    <row r="1484" spans="1:4" x14ac:dyDescent="0.25">
      <c r="A1484" s="86">
        <v>27</v>
      </c>
      <c r="B1484" s="86">
        <v>111</v>
      </c>
      <c r="C1484" s="103">
        <v>1.0596333224732846E-2</v>
      </c>
      <c r="D1484" s="103">
        <v>1.0466256574841758E-2</v>
      </c>
    </row>
    <row r="1485" spans="1:4" x14ac:dyDescent="0.25">
      <c r="A1485" s="86">
        <v>27</v>
      </c>
      <c r="B1485" s="86">
        <v>113</v>
      </c>
      <c r="C1485" s="103">
        <v>1.7743218336642975E-3</v>
      </c>
      <c r="D1485" s="103">
        <v>2.5318712668271374E-3</v>
      </c>
    </row>
    <row r="1486" spans="1:4" x14ac:dyDescent="0.25">
      <c r="A1486" s="86">
        <v>27</v>
      </c>
      <c r="B1486" s="86">
        <v>115</v>
      </c>
      <c r="C1486" s="103">
        <v>9.043776330747785E-3</v>
      </c>
      <c r="D1486" s="103">
        <v>5.2598734064366586E-3</v>
      </c>
    </row>
    <row r="1487" spans="1:4" x14ac:dyDescent="0.25">
      <c r="A1487" s="86">
        <v>27</v>
      </c>
      <c r="B1487" s="86">
        <v>117</v>
      </c>
      <c r="C1487" s="103">
        <v>1.0944939825261032E-3</v>
      </c>
      <c r="D1487" s="103">
        <v>1.6278862440937862E-3</v>
      </c>
    </row>
    <row r="1488" spans="1:4" x14ac:dyDescent="0.25">
      <c r="A1488" s="86">
        <v>27</v>
      </c>
      <c r="B1488" s="86">
        <v>119</v>
      </c>
      <c r="C1488" s="103">
        <v>4.3030461316746578E-3</v>
      </c>
      <c r="D1488" s="103">
        <v>5.5986449139698675E-3</v>
      </c>
    </row>
    <row r="1489" spans="1:4" x14ac:dyDescent="0.25">
      <c r="A1489" s="86">
        <v>27</v>
      </c>
      <c r="B1489" s="86">
        <v>121</v>
      </c>
      <c r="C1489" s="103">
        <v>1.3757527794918333E-3</v>
      </c>
      <c r="D1489" s="103">
        <v>1.9791388071676917E-3</v>
      </c>
    </row>
    <row r="1490" spans="1:4" x14ac:dyDescent="0.25">
      <c r="A1490" s="86">
        <v>27</v>
      </c>
      <c r="B1490" s="86">
        <v>123</v>
      </c>
      <c r="C1490" s="103">
        <v>9.9752197906500945E-2</v>
      </c>
      <c r="D1490" s="103">
        <v>9.7887135597753416E-2</v>
      </c>
    </row>
    <row r="1491" spans="1:4" x14ac:dyDescent="0.25">
      <c r="A1491" s="86">
        <v>27</v>
      </c>
      <c r="B1491" s="86">
        <v>125</v>
      </c>
      <c r="C1491" s="103">
        <v>4.8117575539575379E-4</v>
      </c>
      <c r="D1491" s="103">
        <v>7.1142016581973787E-4</v>
      </c>
    </row>
    <row r="1492" spans="1:4" x14ac:dyDescent="0.25">
      <c r="A1492" s="86">
        <v>27</v>
      </c>
      <c r="B1492" s="86">
        <v>127</v>
      </c>
      <c r="C1492" s="103">
        <v>1.8483999584935499E-3</v>
      </c>
      <c r="D1492" s="103">
        <v>2.7280021396095212E-3</v>
      </c>
    </row>
    <row r="1493" spans="1:4" x14ac:dyDescent="0.25">
      <c r="A1493" s="86">
        <v>27</v>
      </c>
      <c r="B1493" s="86">
        <v>129</v>
      </c>
      <c r="C1493" s="103">
        <v>2.0751946949583767E-3</v>
      </c>
      <c r="D1493" s="103">
        <v>2.6031915842025495E-3</v>
      </c>
    </row>
    <row r="1494" spans="1:4" x14ac:dyDescent="0.25">
      <c r="A1494" s="86">
        <v>27</v>
      </c>
      <c r="B1494" s="86">
        <v>131</v>
      </c>
      <c r="C1494" s="103">
        <v>1.3093691359117513E-2</v>
      </c>
      <c r="D1494" s="103">
        <v>1.1874832843006151E-2</v>
      </c>
    </row>
    <row r="1495" spans="1:4" x14ac:dyDescent="0.25">
      <c r="A1495" s="86">
        <v>27</v>
      </c>
      <c r="B1495" s="86">
        <v>133</v>
      </c>
      <c r="C1495" s="103">
        <v>2.6711315922927307E-3</v>
      </c>
      <c r="D1495" s="103">
        <v>1.6760274583221895E-3</v>
      </c>
    </row>
    <row r="1496" spans="1:4" x14ac:dyDescent="0.25">
      <c r="A1496" s="86">
        <v>27</v>
      </c>
      <c r="B1496" s="86">
        <v>135</v>
      </c>
      <c r="C1496" s="103">
        <v>1.401311919458563E-3</v>
      </c>
      <c r="D1496" s="103">
        <v>2.7101720602656682E-3</v>
      </c>
    </row>
    <row r="1497" spans="1:4" x14ac:dyDescent="0.25">
      <c r="A1497" s="86">
        <v>27</v>
      </c>
      <c r="B1497" s="86">
        <v>137</v>
      </c>
      <c r="C1497" s="103">
        <v>3.1147396382373835E-2</v>
      </c>
      <c r="D1497" s="103">
        <v>3.566015868770616E-2</v>
      </c>
    </row>
    <row r="1498" spans="1:4" x14ac:dyDescent="0.25">
      <c r="A1498" s="86">
        <v>27</v>
      </c>
      <c r="B1498" s="86">
        <v>139</v>
      </c>
      <c r="C1498" s="103">
        <v>2.5043664596946114E-2</v>
      </c>
      <c r="D1498" s="103">
        <v>2.6210216635464027E-2</v>
      </c>
    </row>
    <row r="1499" spans="1:4" x14ac:dyDescent="0.25">
      <c r="A1499" s="86">
        <v>27</v>
      </c>
      <c r="B1499" s="86">
        <v>141</v>
      </c>
      <c r="C1499" s="103">
        <v>1.4191566876728283E-2</v>
      </c>
      <c r="D1499" s="103">
        <v>1.7116876170098955E-2</v>
      </c>
    </row>
    <row r="1500" spans="1:4" x14ac:dyDescent="0.25">
      <c r="A1500" s="86">
        <v>27</v>
      </c>
      <c r="B1500" s="86">
        <v>143</v>
      </c>
      <c r="C1500" s="103">
        <v>1.7403483773453302E-3</v>
      </c>
      <c r="D1500" s="103">
        <v>2.6745119015779621E-3</v>
      </c>
    </row>
    <row r="1501" spans="1:4" x14ac:dyDescent="0.25">
      <c r="A1501" s="86">
        <v>27</v>
      </c>
      <c r="B1501" s="86">
        <v>145</v>
      </c>
      <c r="C1501" s="103">
        <v>3.2058048247838068E-2</v>
      </c>
      <c r="D1501" s="103">
        <v>2.8528126950164927E-2</v>
      </c>
    </row>
    <row r="1502" spans="1:4" x14ac:dyDescent="0.25">
      <c r="A1502" s="86">
        <v>27</v>
      </c>
      <c r="B1502" s="86">
        <v>147</v>
      </c>
      <c r="C1502" s="103">
        <v>9.5990394178339968E-3</v>
      </c>
      <c r="D1502" s="103">
        <v>6.5436391191940804E-3</v>
      </c>
    </row>
    <row r="1503" spans="1:4" x14ac:dyDescent="0.25">
      <c r="A1503" s="86">
        <v>27</v>
      </c>
      <c r="B1503" s="86">
        <v>149</v>
      </c>
      <c r="C1503" s="103">
        <v>1.1909281410866475E-3</v>
      </c>
      <c r="D1503" s="103">
        <v>1.7384327360256753E-3</v>
      </c>
    </row>
    <row r="1504" spans="1:4" x14ac:dyDescent="0.25">
      <c r="A1504" s="86">
        <v>27</v>
      </c>
      <c r="B1504" s="86">
        <v>151</v>
      </c>
      <c r="C1504" s="103">
        <v>1.14479581195358E-3</v>
      </c>
      <c r="D1504" s="103">
        <v>1.661763394847107E-3</v>
      </c>
    </row>
    <row r="1505" spans="1:4" x14ac:dyDescent="0.25">
      <c r="A1505" s="86">
        <v>27</v>
      </c>
      <c r="B1505" s="86">
        <v>153</v>
      </c>
      <c r="C1505" s="103">
        <v>3.4131041941110178E-3</v>
      </c>
      <c r="D1505" s="103">
        <v>4.3861995185878579E-3</v>
      </c>
    </row>
    <row r="1506" spans="1:4" x14ac:dyDescent="0.25">
      <c r="A1506" s="86">
        <v>27</v>
      </c>
      <c r="B1506" s="86">
        <v>155</v>
      </c>
      <c r="C1506" s="103">
        <v>3.8869880349689053E-4</v>
      </c>
      <c r="D1506" s="103">
        <v>5.8660961041276632E-4</v>
      </c>
    </row>
    <row r="1507" spans="1:4" x14ac:dyDescent="0.25">
      <c r="A1507" s="86">
        <v>27</v>
      </c>
      <c r="B1507" s="86">
        <v>157</v>
      </c>
      <c r="C1507" s="103">
        <v>2.2541996570519833E-3</v>
      </c>
      <c r="D1507" s="103">
        <v>3.8512971382722652E-3</v>
      </c>
    </row>
    <row r="1508" spans="1:4" x14ac:dyDescent="0.25">
      <c r="A1508" s="86">
        <v>27</v>
      </c>
      <c r="B1508" s="86">
        <v>159</v>
      </c>
      <c r="C1508" s="103">
        <v>1.4742184856781531E-3</v>
      </c>
      <c r="D1508" s="103">
        <v>2.4427208701078718E-3</v>
      </c>
    </row>
    <row r="1509" spans="1:4" x14ac:dyDescent="0.25">
      <c r="A1509" s="86">
        <v>27</v>
      </c>
      <c r="B1509" s="86">
        <v>161</v>
      </c>
      <c r="C1509" s="103">
        <v>2.6005046336075813E-3</v>
      </c>
      <c r="D1509" s="103">
        <v>3.334224837300526E-3</v>
      </c>
    </row>
    <row r="1510" spans="1:4" x14ac:dyDescent="0.25">
      <c r="A1510" s="86">
        <v>27</v>
      </c>
      <c r="B1510" s="86">
        <v>163</v>
      </c>
      <c r="C1510" s="103">
        <v>4.7452082155613098E-2</v>
      </c>
      <c r="D1510" s="103">
        <v>4.6179905500579481E-2</v>
      </c>
    </row>
    <row r="1511" spans="1:4" x14ac:dyDescent="0.25">
      <c r="A1511" s="86">
        <v>27</v>
      </c>
      <c r="B1511" s="86">
        <v>165</v>
      </c>
      <c r="C1511" s="103">
        <v>1.6449230515753718E-3</v>
      </c>
      <c r="D1511" s="103">
        <v>1.9613087278238387E-3</v>
      </c>
    </row>
    <row r="1512" spans="1:4" x14ac:dyDescent="0.25">
      <c r="A1512" s="86">
        <v>27</v>
      </c>
      <c r="B1512" s="86">
        <v>167</v>
      </c>
      <c r="C1512" s="103">
        <v>2.2805652154177258E-3</v>
      </c>
      <c r="D1512" s="103">
        <v>1.1125969510564322E-3</v>
      </c>
    </row>
    <row r="1513" spans="1:4" x14ac:dyDescent="0.25">
      <c r="A1513" s="86">
        <v>27</v>
      </c>
      <c r="B1513" s="86">
        <v>169</v>
      </c>
      <c r="C1513" s="103">
        <v>1.0890289754591907E-2</v>
      </c>
      <c r="D1513" s="103">
        <v>9.0398502273335117E-3</v>
      </c>
    </row>
    <row r="1514" spans="1:4" x14ac:dyDescent="0.25">
      <c r="A1514" s="86">
        <v>27</v>
      </c>
      <c r="B1514" s="86">
        <v>171</v>
      </c>
      <c r="C1514" s="103">
        <v>2.687873023326403E-2</v>
      </c>
      <c r="D1514" s="103">
        <v>2.4248907907640189E-2</v>
      </c>
    </row>
    <row r="1515" spans="1:4" x14ac:dyDescent="0.25">
      <c r="A1515" s="86">
        <v>27</v>
      </c>
      <c r="B1515" s="86">
        <v>173</v>
      </c>
      <c r="C1515" s="103">
        <v>1.1624089643128017E-3</v>
      </c>
      <c r="D1515" s="103">
        <v>1.7473477756976019E-3</v>
      </c>
    </row>
    <row r="1516" spans="1:4" x14ac:dyDescent="0.25">
      <c r="A1516" s="86">
        <v>28</v>
      </c>
      <c r="B1516" s="86">
        <v>1</v>
      </c>
      <c r="C1516" s="103">
        <v>7.9750396374744913E-3</v>
      </c>
      <c r="D1516" s="103">
        <v>1.0400346230880977E-2</v>
      </c>
    </row>
    <row r="1517" spans="1:4" x14ac:dyDescent="0.25">
      <c r="A1517" s="86">
        <v>28</v>
      </c>
      <c r="B1517" s="86">
        <v>3</v>
      </c>
      <c r="C1517" s="103">
        <v>1.0635435501231045E-2</v>
      </c>
      <c r="D1517" s="103">
        <v>1.2346217461174836E-2</v>
      </c>
    </row>
    <row r="1518" spans="1:4" x14ac:dyDescent="0.25">
      <c r="A1518" s="86">
        <v>28</v>
      </c>
      <c r="B1518" s="86">
        <v>5</v>
      </c>
      <c r="C1518" s="103">
        <v>3.2052753002856497E-3</v>
      </c>
      <c r="D1518" s="103">
        <v>4.1265889883818066E-3</v>
      </c>
    </row>
    <row r="1519" spans="1:4" x14ac:dyDescent="0.25">
      <c r="A1519" s="86">
        <v>28</v>
      </c>
      <c r="B1519" s="86">
        <v>7</v>
      </c>
      <c r="C1519" s="103">
        <v>4.6463293427998504E-3</v>
      </c>
      <c r="D1519" s="103">
        <v>6.1395592266168348E-3</v>
      </c>
    </row>
    <row r="1520" spans="1:4" x14ac:dyDescent="0.25">
      <c r="A1520" s="86">
        <v>28</v>
      </c>
      <c r="B1520" s="86">
        <v>9</v>
      </c>
      <c r="C1520" s="103">
        <v>4.3215946152530358E-3</v>
      </c>
      <c r="D1520" s="103">
        <v>2.7644791271761045E-3</v>
      </c>
    </row>
    <row r="1521" spans="1:4" x14ac:dyDescent="0.25">
      <c r="A1521" s="86">
        <v>28</v>
      </c>
      <c r="B1521" s="86">
        <v>11</v>
      </c>
      <c r="C1521" s="103">
        <v>8.2363275934311721E-3</v>
      </c>
      <c r="D1521" s="103">
        <v>1.043389573485156E-2</v>
      </c>
    </row>
    <row r="1522" spans="1:4" x14ac:dyDescent="0.25">
      <c r="A1522" s="86">
        <v>28</v>
      </c>
      <c r="B1522" s="86">
        <v>13</v>
      </c>
      <c r="C1522" s="103">
        <v>3.1444354259494763E-3</v>
      </c>
      <c r="D1522" s="103">
        <v>4.8311285717640663E-3</v>
      </c>
    </row>
    <row r="1523" spans="1:4" x14ac:dyDescent="0.25">
      <c r="A1523" s="86">
        <v>28</v>
      </c>
      <c r="B1523" s="86">
        <v>15</v>
      </c>
      <c r="C1523" s="103">
        <v>5.5102439100495944E-3</v>
      </c>
      <c r="D1523" s="103">
        <v>3.3281107938819125E-3</v>
      </c>
    </row>
    <row r="1524" spans="1:4" x14ac:dyDescent="0.25">
      <c r="A1524" s="86">
        <v>28</v>
      </c>
      <c r="B1524" s="86">
        <v>17</v>
      </c>
      <c r="C1524" s="103">
        <v>5.0902416273802152E-3</v>
      </c>
      <c r="D1524" s="103">
        <v>5.7369651789698287E-3</v>
      </c>
    </row>
    <row r="1525" spans="1:4" x14ac:dyDescent="0.25">
      <c r="A1525" s="86">
        <v>28</v>
      </c>
      <c r="B1525" s="86">
        <v>19</v>
      </c>
      <c r="C1525" s="103">
        <v>2.0864831170431908E-3</v>
      </c>
      <c r="D1525" s="103">
        <v>2.77454397836728E-3</v>
      </c>
    </row>
    <row r="1526" spans="1:4" x14ac:dyDescent="0.25">
      <c r="A1526" s="86">
        <v>28</v>
      </c>
      <c r="B1526" s="86">
        <v>21</v>
      </c>
      <c r="C1526" s="103">
        <v>2.4539751444183785E-3</v>
      </c>
      <c r="D1526" s="103">
        <v>3.04294001013195E-3</v>
      </c>
    </row>
    <row r="1527" spans="1:4" x14ac:dyDescent="0.25">
      <c r="A1527" s="86">
        <v>28</v>
      </c>
      <c r="B1527" s="86">
        <v>23</v>
      </c>
      <c r="C1527" s="103">
        <v>5.6918286272728321E-3</v>
      </c>
      <c r="D1527" s="103">
        <v>5.2337226194110716E-3</v>
      </c>
    </row>
    <row r="1528" spans="1:4" x14ac:dyDescent="0.25">
      <c r="A1528" s="86">
        <v>28</v>
      </c>
      <c r="B1528" s="86">
        <v>25</v>
      </c>
      <c r="C1528" s="103">
        <v>5.0214947316985009E-3</v>
      </c>
      <c r="D1528" s="103">
        <v>6.5086037702932562E-3</v>
      </c>
    </row>
    <row r="1529" spans="1:4" x14ac:dyDescent="0.25">
      <c r="A1529" s="86">
        <v>28</v>
      </c>
      <c r="B1529" s="86">
        <v>27</v>
      </c>
      <c r="C1529" s="103">
        <v>6.0738560346600134E-3</v>
      </c>
      <c r="D1529" s="103">
        <v>7.5821878973519373E-3</v>
      </c>
    </row>
    <row r="1530" spans="1:4" x14ac:dyDescent="0.25">
      <c r="A1530" s="86">
        <v>28</v>
      </c>
      <c r="B1530" s="86">
        <v>29</v>
      </c>
      <c r="C1530" s="103">
        <v>1.2356445679873108E-2</v>
      </c>
      <c r="D1530" s="103">
        <v>9.5280591276457969E-3</v>
      </c>
    </row>
    <row r="1531" spans="1:4" x14ac:dyDescent="0.25">
      <c r="A1531" s="86">
        <v>28</v>
      </c>
      <c r="B1531" s="86">
        <v>31</v>
      </c>
      <c r="C1531" s="103">
        <v>8.490602173167083E-3</v>
      </c>
      <c r="D1531" s="103">
        <v>6.3073067464697536E-3</v>
      </c>
    </row>
    <row r="1532" spans="1:4" x14ac:dyDescent="0.25">
      <c r="A1532" s="86">
        <v>28</v>
      </c>
      <c r="B1532" s="86">
        <v>33</v>
      </c>
      <c r="C1532" s="103">
        <v>5.7811154594340691E-2</v>
      </c>
      <c r="D1532" s="103">
        <v>6.1060097226462509E-2</v>
      </c>
    </row>
    <row r="1533" spans="1:4" x14ac:dyDescent="0.25">
      <c r="A1533" s="86">
        <v>28</v>
      </c>
      <c r="B1533" s="86">
        <v>35</v>
      </c>
      <c r="C1533" s="103">
        <v>2.6108301287052677E-2</v>
      </c>
      <c r="D1533" s="103">
        <v>2.5128578473967263E-2</v>
      </c>
    </row>
    <row r="1534" spans="1:4" x14ac:dyDescent="0.25">
      <c r="A1534" s="86">
        <v>28</v>
      </c>
      <c r="B1534" s="86">
        <v>37</v>
      </c>
      <c r="C1534" s="103">
        <v>2.7182644091428812E-3</v>
      </c>
      <c r="D1534" s="103">
        <v>2.6034415081173023E-3</v>
      </c>
    </row>
    <row r="1535" spans="1:4" x14ac:dyDescent="0.25">
      <c r="A1535" s="86">
        <v>28</v>
      </c>
      <c r="B1535" s="86">
        <v>39</v>
      </c>
      <c r="C1535" s="103">
        <v>5.7647082412531749E-3</v>
      </c>
      <c r="D1535" s="103">
        <v>8.0854304569106944E-3</v>
      </c>
    </row>
    <row r="1536" spans="1:4" x14ac:dyDescent="0.25">
      <c r="A1536" s="86">
        <v>28</v>
      </c>
      <c r="B1536" s="86">
        <v>41</v>
      </c>
      <c r="C1536" s="103">
        <v>3.4247421110349032E-3</v>
      </c>
      <c r="D1536" s="103">
        <v>4.6969305558817315E-3</v>
      </c>
    </row>
    <row r="1537" spans="1:4" x14ac:dyDescent="0.25">
      <c r="A1537" s="86">
        <v>28</v>
      </c>
      <c r="B1537" s="86">
        <v>43</v>
      </c>
      <c r="C1537" s="103">
        <v>8.1342913659159296E-3</v>
      </c>
      <c r="D1537" s="103">
        <v>7.0453958338225972E-3</v>
      </c>
    </row>
    <row r="1538" spans="1:4" x14ac:dyDescent="0.25">
      <c r="A1538" s="86">
        <v>28</v>
      </c>
      <c r="B1538" s="86">
        <v>45</v>
      </c>
      <c r="C1538" s="103">
        <v>1.9221999968959267E-2</v>
      </c>
      <c r="D1538" s="103">
        <v>1.5868915378086136E-2</v>
      </c>
    </row>
    <row r="1539" spans="1:4" x14ac:dyDescent="0.25">
      <c r="A1539" s="86">
        <v>28</v>
      </c>
      <c r="B1539" s="86">
        <v>47</v>
      </c>
      <c r="C1539" s="103">
        <v>7.0199981366577527E-2</v>
      </c>
      <c r="D1539" s="103">
        <v>6.9111978179402622E-2</v>
      </c>
    </row>
    <row r="1540" spans="1:4" x14ac:dyDescent="0.25">
      <c r="A1540" s="86">
        <v>28</v>
      </c>
      <c r="B1540" s="86">
        <v>49</v>
      </c>
      <c r="C1540" s="103">
        <v>8.2223074659534046E-2</v>
      </c>
      <c r="D1540" s="103">
        <v>7.9176829370577753E-2</v>
      </c>
    </row>
    <row r="1541" spans="1:4" x14ac:dyDescent="0.25">
      <c r="A1541" s="86">
        <v>28</v>
      </c>
      <c r="B1541" s="86">
        <v>51</v>
      </c>
      <c r="C1541" s="103">
        <v>7.9082244077583793E-3</v>
      </c>
      <c r="D1541" s="103">
        <v>5.8376136908815804E-3</v>
      </c>
    </row>
    <row r="1542" spans="1:4" x14ac:dyDescent="0.25">
      <c r="A1542" s="86">
        <v>28</v>
      </c>
      <c r="B1542" s="86">
        <v>53</v>
      </c>
      <c r="C1542" s="103">
        <v>2.3455065533676349E-3</v>
      </c>
      <c r="D1542" s="103">
        <v>2.7711890279702215E-3</v>
      </c>
    </row>
    <row r="1543" spans="1:4" x14ac:dyDescent="0.25">
      <c r="A1543" s="86">
        <v>28</v>
      </c>
      <c r="B1543" s="86">
        <v>55</v>
      </c>
      <c r="C1543" s="103">
        <v>4.4777143801286775E-4</v>
      </c>
      <c r="D1543" s="103">
        <v>4.3949850201464771E-4</v>
      </c>
    </row>
    <row r="1544" spans="1:4" x14ac:dyDescent="0.25">
      <c r="A1544" s="86">
        <v>28</v>
      </c>
      <c r="B1544" s="86">
        <v>57</v>
      </c>
      <c r="C1544" s="103">
        <v>8.5922949206513281E-3</v>
      </c>
      <c r="D1544" s="103">
        <v>7.8841334330871926E-3</v>
      </c>
    </row>
    <row r="1545" spans="1:4" x14ac:dyDescent="0.25">
      <c r="A1545" s="86">
        <v>28</v>
      </c>
      <c r="B1545" s="86">
        <v>59</v>
      </c>
      <c r="C1545" s="103">
        <v>5.058461196147751E-2</v>
      </c>
      <c r="D1545" s="103">
        <v>4.7975790677934824E-2</v>
      </c>
    </row>
    <row r="1546" spans="1:4" x14ac:dyDescent="0.25">
      <c r="A1546" s="86">
        <v>28</v>
      </c>
      <c r="B1546" s="86">
        <v>61</v>
      </c>
      <c r="C1546" s="103">
        <v>6.2859161321325253E-3</v>
      </c>
      <c r="D1546" s="103">
        <v>5.5021186511757421E-3</v>
      </c>
    </row>
    <row r="1547" spans="1:4" x14ac:dyDescent="0.25">
      <c r="A1547" s="86">
        <v>28</v>
      </c>
      <c r="B1547" s="86">
        <v>63</v>
      </c>
      <c r="C1547" s="103">
        <v>2.2508098152901747E-3</v>
      </c>
      <c r="D1547" s="103">
        <v>2.3786598315143912E-3</v>
      </c>
    </row>
    <row r="1548" spans="1:4" x14ac:dyDescent="0.25">
      <c r="A1548" s="86">
        <v>28</v>
      </c>
      <c r="B1548" s="86">
        <v>65</v>
      </c>
      <c r="C1548" s="103">
        <v>3.0232113005233484E-3</v>
      </c>
      <c r="D1548" s="103">
        <v>3.7575444447053852E-3</v>
      </c>
    </row>
    <row r="1549" spans="1:4" x14ac:dyDescent="0.25">
      <c r="A1549" s="86">
        <v>28</v>
      </c>
      <c r="B1549" s="86">
        <v>67</v>
      </c>
      <c r="C1549" s="103">
        <v>2.4286972259197025E-2</v>
      </c>
      <c r="D1549" s="103">
        <v>2.2880761707938149E-2</v>
      </c>
    </row>
    <row r="1550" spans="1:4" x14ac:dyDescent="0.25">
      <c r="A1550" s="86">
        <v>28</v>
      </c>
      <c r="B1550" s="86">
        <v>69</v>
      </c>
      <c r="C1550" s="103">
        <v>2.9222260701084819E-3</v>
      </c>
      <c r="D1550" s="103">
        <v>3.2643667363378031E-3</v>
      </c>
    </row>
    <row r="1551" spans="1:4" x14ac:dyDescent="0.25">
      <c r="A1551" s="86">
        <v>28</v>
      </c>
      <c r="B1551" s="86">
        <v>71</v>
      </c>
      <c r="C1551" s="103">
        <v>1.468612937495014E-2</v>
      </c>
      <c r="D1551" s="103">
        <v>1.794898462426233E-2</v>
      </c>
    </row>
    <row r="1552" spans="1:4" x14ac:dyDescent="0.25">
      <c r="A1552" s="86">
        <v>28</v>
      </c>
      <c r="B1552" s="86">
        <v>73</v>
      </c>
      <c r="C1552" s="103">
        <v>1.890756885868957E-2</v>
      </c>
      <c r="D1552" s="103">
        <v>2.1001989485585456E-2</v>
      </c>
    </row>
    <row r="1553" spans="1:4" x14ac:dyDescent="0.25">
      <c r="A1553" s="86">
        <v>28</v>
      </c>
      <c r="B1553" s="86">
        <v>75</v>
      </c>
      <c r="C1553" s="103">
        <v>2.7890590060644354E-2</v>
      </c>
      <c r="D1553" s="103">
        <v>2.5229226985879014E-2</v>
      </c>
    </row>
    <row r="1554" spans="1:4" x14ac:dyDescent="0.25">
      <c r="A1554" s="86">
        <v>28</v>
      </c>
      <c r="B1554" s="86">
        <v>77</v>
      </c>
      <c r="C1554" s="103">
        <v>2.9400963018311097E-3</v>
      </c>
      <c r="D1554" s="103">
        <v>4.1601384923523905E-3</v>
      </c>
    </row>
    <row r="1555" spans="1:4" x14ac:dyDescent="0.25">
      <c r="A1555" s="86">
        <v>28</v>
      </c>
      <c r="B1555" s="86">
        <v>79</v>
      </c>
      <c r="C1555" s="103">
        <v>6.4685299416302744E-3</v>
      </c>
      <c r="D1555" s="103">
        <v>7.6492869052931052E-3</v>
      </c>
    </row>
    <row r="1556" spans="1:4" x14ac:dyDescent="0.25">
      <c r="A1556" s="86">
        <v>28</v>
      </c>
      <c r="B1556" s="86">
        <v>81</v>
      </c>
      <c r="C1556" s="103">
        <v>3.2198003518771862E-2</v>
      </c>
      <c r="D1556" s="103">
        <v>2.8617726886907977E-2</v>
      </c>
    </row>
    <row r="1557" spans="1:4" x14ac:dyDescent="0.25">
      <c r="A1557" s="86">
        <v>28</v>
      </c>
      <c r="B1557" s="86">
        <v>83</v>
      </c>
      <c r="C1557" s="103">
        <v>7.8331517007234272E-3</v>
      </c>
      <c r="D1557" s="103">
        <v>9.5951581355869647E-3</v>
      </c>
    </row>
    <row r="1558" spans="1:4" x14ac:dyDescent="0.25">
      <c r="A1558" s="86">
        <v>28</v>
      </c>
      <c r="B1558" s="86">
        <v>85</v>
      </c>
      <c r="C1558" s="103">
        <v>1.3280838705772523E-2</v>
      </c>
      <c r="D1558" s="103">
        <v>1.1473930357939657E-2</v>
      </c>
    </row>
    <row r="1559" spans="1:4" x14ac:dyDescent="0.25">
      <c r="A1559" s="86">
        <v>28</v>
      </c>
      <c r="B1559" s="86">
        <v>87</v>
      </c>
      <c r="C1559" s="103">
        <v>1.7918250980279625E-2</v>
      </c>
      <c r="D1559" s="103">
        <v>1.9727108334703272E-2</v>
      </c>
    </row>
    <row r="1560" spans="1:4" x14ac:dyDescent="0.25">
      <c r="A1560" s="86">
        <v>28</v>
      </c>
      <c r="B1560" s="86">
        <v>89</v>
      </c>
      <c r="C1560" s="103">
        <v>4.0644952217439884E-2</v>
      </c>
      <c r="D1560" s="103">
        <v>3.556247420881882E-2</v>
      </c>
    </row>
    <row r="1561" spans="1:4" x14ac:dyDescent="0.25">
      <c r="A1561" s="86">
        <v>28</v>
      </c>
      <c r="B1561" s="86">
        <v>91</v>
      </c>
      <c r="C1561" s="103">
        <v>6.6338297526602882E-3</v>
      </c>
      <c r="D1561" s="103">
        <v>8.320276984704781E-3</v>
      </c>
    </row>
    <row r="1562" spans="1:4" x14ac:dyDescent="0.25">
      <c r="A1562" s="86">
        <v>28</v>
      </c>
      <c r="B1562" s="86">
        <v>93</v>
      </c>
      <c r="C1562" s="103">
        <v>1.7541632776406722E-2</v>
      </c>
      <c r="D1562" s="103">
        <v>1.1876524405586663E-2</v>
      </c>
    </row>
    <row r="1563" spans="1:4" x14ac:dyDescent="0.25">
      <c r="A1563" s="86">
        <v>28</v>
      </c>
      <c r="B1563" s="86">
        <v>95</v>
      </c>
      <c r="C1563" s="103">
        <v>1.1181050674674139E-2</v>
      </c>
      <c r="D1563" s="103">
        <v>1.1910073909557247E-2</v>
      </c>
    </row>
    <row r="1564" spans="1:4" x14ac:dyDescent="0.25">
      <c r="A1564" s="86">
        <v>28</v>
      </c>
      <c r="B1564" s="86">
        <v>97</v>
      </c>
      <c r="C1564" s="103">
        <v>4.602672398172713E-3</v>
      </c>
      <c r="D1564" s="103">
        <v>3.351595446661321E-3</v>
      </c>
    </row>
    <row r="1565" spans="1:4" x14ac:dyDescent="0.25">
      <c r="A1565" s="86">
        <v>28</v>
      </c>
      <c r="B1565" s="86">
        <v>99</v>
      </c>
      <c r="C1565" s="103">
        <v>7.847991906351057E-3</v>
      </c>
      <c r="D1565" s="103">
        <v>9.7964551594104683E-3</v>
      </c>
    </row>
    <row r="1566" spans="1:4" x14ac:dyDescent="0.25">
      <c r="A1566" s="86">
        <v>28</v>
      </c>
      <c r="B1566" s="86">
        <v>101</v>
      </c>
      <c r="C1566" s="103">
        <v>9.6082917387730234E-3</v>
      </c>
      <c r="D1566" s="103">
        <v>7.179593849704932E-3</v>
      </c>
    </row>
    <row r="1567" spans="1:4" x14ac:dyDescent="0.25">
      <c r="A1567" s="86">
        <v>28</v>
      </c>
      <c r="B1567" s="86">
        <v>103</v>
      </c>
      <c r="C1567" s="103">
        <v>3.2955957787279408E-3</v>
      </c>
      <c r="D1567" s="103">
        <v>3.5562474208818821E-3</v>
      </c>
    </row>
    <row r="1568" spans="1:4" x14ac:dyDescent="0.25">
      <c r="A1568" s="86">
        <v>28</v>
      </c>
      <c r="B1568" s="86">
        <v>105</v>
      </c>
      <c r="C1568" s="103">
        <v>1.3169408914321749E-2</v>
      </c>
      <c r="D1568" s="103">
        <v>1.6506355953527226E-2</v>
      </c>
    </row>
    <row r="1569" spans="1:4" x14ac:dyDescent="0.25">
      <c r="A1569" s="86">
        <v>28</v>
      </c>
      <c r="B1569" s="86">
        <v>107</v>
      </c>
      <c r="C1569" s="103">
        <v>1.5104641895473432E-2</v>
      </c>
      <c r="D1569" s="103">
        <v>1.1473930357939657E-2</v>
      </c>
    </row>
    <row r="1570" spans="1:4" x14ac:dyDescent="0.25">
      <c r="A1570" s="86">
        <v>28</v>
      </c>
      <c r="B1570" s="86">
        <v>109</v>
      </c>
      <c r="C1570" s="103">
        <v>1.8068556186695978E-2</v>
      </c>
      <c r="D1570" s="103">
        <v>1.8552875695732839E-2</v>
      </c>
    </row>
    <row r="1571" spans="1:4" x14ac:dyDescent="0.25">
      <c r="A1571" s="86">
        <v>28</v>
      </c>
      <c r="B1571" s="86">
        <v>111</v>
      </c>
      <c r="C1571" s="103">
        <v>4.1169569481927827E-3</v>
      </c>
      <c r="D1571" s="103">
        <v>3.9923909724994718E-3</v>
      </c>
    </row>
    <row r="1572" spans="1:4" x14ac:dyDescent="0.25">
      <c r="A1572" s="86">
        <v>28</v>
      </c>
      <c r="B1572" s="86">
        <v>113</v>
      </c>
      <c r="C1572" s="103">
        <v>1.294623310130291E-2</v>
      </c>
      <c r="D1572" s="103">
        <v>1.3218504564410016E-2</v>
      </c>
    </row>
    <row r="1573" spans="1:4" x14ac:dyDescent="0.25">
      <c r="A1573" s="86">
        <v>28</v>
      </c>
      <c r="B1573" s="86">
        <v>115</v>
      </c>
      <c r="C1573" s="103">
        <v>9.7527985781483469E-3</v>
      </c>
      <c r="D1573" s="103">
        <v>1.070229176661623E-2</v>
      </c>
    </row>
    <row r="1574" spans="1:4" x14ac:dyDescent="0.25">
      <c r="A1574" s="86">
        <v>28</v>
      </c>
      <c r="B1574" s="86">
        <v>117</v>
      </c>
      <c r="C1574" s="103">
        <v>7.3577733618533951E-3</v>
      </c>
      <c r="D1574" s="103">
        <v>8.4209254966165319E-3</v>
      </c>
    </row>
    <row r="1575" spans="1:4" x14ac:dyDescent="0.25">
      <c r="A1575" s="86">
        <v>28</v>
      </c>
      <c r="B1575" s="86">
        <v>119</v>
      </c>
      <c r="C1575" s="103">
        <v>1.7008075098336338E-3</v>
      </c>
      <c r="D1575" s="103">
        <v>2.3685949803232157E-3</v>
      </c>
    </row>
    <row r="1576" spans="1:4" x14ac:dyDescent="0.25">
      <c r="A1576" s="86">
        <v>28</v>
      </c>
      <c r="B1576" s="86">
        <v>121</v>
      </c>
      <c r="C1576" s="103">
        <v>5.6668151481343035E-2</v>
      </c>
      <c r="D1576" s="103">
        <v>5.1666236114699046E-2</v>
      </c>
    </row>
    <row r="1577" spans="1:4" x14ac:dyDescent="0.25">
      <c r="A1577" s="86">
        <v>28</v>
      </c>
      <c r="B1577" s="86">
        <v>123</v>
      </c>
      <c r="C1577" s="103">
        <v>1.2056894012284075E-2</v>
      </c>
      <c r="D1577" s="103">
        <v>9.4945096236752138E-3</v>
      </c>
    </row>
    <row r="1578" spans="1:4" x14ac:dyDescent="0.25">
      <c r="A1578" s="86">
        <v>28</v>
      </c>
      <c r="B1578" s="86">
        <v>125</v>
      </c>
      <c r="C1578" s="103">
        <v>1.138241135683836E-3</v>
      </c>
      <c r="D1578" s="103">
        <v>1.4694682739115703E-3</v>
      </c>
    </row>
    <row r="1579" spans="1:4" x14ac:dyDescent="0.25">
      <c r="A1579" s="86">
        <v>28</v>
      </c>
      <c r="B1579" s="86">
        <v>127</v>
      </c>
      <c r="C1579" s="103">
        <v>8.5949295806499754E-3</v>
      </c>
      <c r="D1579" s="103">
        <v>8.9577175601458729E-3</v>
      </c>
    </row>
    <row r="1580" spans="1:4" x14ac:dyDescent="0.25">
      <c r="A1580" s="86">
        <v>28</v>
      </c>
      <c r="B1580" s="86">
        <v>129</v>
      </c>
      <c r="C1580" s="103">
        <v>3.7667996941971879E-3</v>
      </c>
      <c r="D1580" s="103">
        <v>5.3679206352934073E-3</v>
      </c>
    </row>
    <row r="1581" spans="1:4" x14ac:dyDescent="0.25">
      <c r="A1581" s="86">
        <v>28</v>
      </c>
      <c r="B1581" s="86">
        <v>131</v>
      </c>
      <c r="C1581" s="103">
        <v>4.9134477467430576E-3</v>
      </c>
      <c r="D1581" s="103">
        <v>6.0389107147050831E-3</v>
      </c>
    </row>
    <row r="1582" spans="1:4" x14ac:dyDescent="0.25">
      <c r="A1582" s="86">
        <v>28</v>
      </c>
      <c r="B1582" s="86">
        <v>133</v>
      </c>
      <c r="C1582" s="103">
        <v>6.5377288779506545E-3</v>
      </c>
      <c r="D1582" s="103">
        <v>8.7899700402929541E-3</v>
      </c>
    </row>
    <row r="1583" spans="1:4" x14ac:dyDescent="0.25">
      <c r="A1583" s="86">
        <v>28</v>
      </c>
      <c r="B1583" s="86">
        <v>135</v>
      </c>
      <c r="C1583" s="103">
        <v>2.6032648836843597E-3</v>
      </c>
      <c r="D1583" s="103">
        <v>4.6969305558817315E-3</v>
      </c>
    </row>
    <row r="1584" spans="1:4" x14ac:dyDescent="0.25">
      <c r="A1584" s="86">
        <v>28</v>
      </c>
      <c r="B1584" s="86">
        <v>137</v>
      </c>
      <c r="C1584" s="103">
        <v>9.9356949970744231E-3</v>
      </c>
      <c r="D1584" s="103">
        <v>9.4945096236752138E-3</v>
      </c>
    </row>
    <row r="1585" spans="1:4" x14ac:dyDescent="0.25">
      <c r="A1585" s="86">
        <v>28</v>
      </c>
      <c r="B1585" s="86">
        <v>139</v>
      </c>
      <c r="C1585" s="103">
        <v>5.2745691692630764E-3</v>
      </c>
      <c r="D1585" s="103">
        <v>7.3808908735284347E-3</v>
      </c>
    </row>
    <row r="1586" spans="1:4" x14ac:dyDescent="0.25">
      <c r="A1586" s="86">
        <v>28</v>
      </c>
      <c r="B1586" s="86">
        <v>141</v>
      </c>
      <c r="C1586" s="103">
        <v>5.428711518891868E-3</v>
      </c>
      <c r="D1586" s="103">
        <v>6.5086037702932562E-3</v>
      </c>
    </row>
    <row r="1587" spans="1:4" x14ac:dyDescent="0.25">
      <c r="A1587" s="86">
        <v>28</v>
      </c>
      <c r="B1587" s="86">
        <v>143</v>
      </c>
      <c r="C1587" s="103">
        <v>4.1486498614635471E-3</v>
      </c>
      <c r="D1587" s="103">
        <v>3.3281107938819125E-3</v>
      </c>
    </row>
    <row r="1588" spans="1:4" x14ac:dyDescent="0.25">
      <c r="A1588" s="86">
        <v>28</v>
      </c>
      <c r="B1588" s="86">
        <v>145</v>
      </c>
      <c r="C1588" s="103">
        <v>1.2216762023040673E-2</v>
      </c>
      <c r="D1588" s="103">
        <v>9.5951581355869647E-3</v>
      </c>
    </row>
    <row r="1589" spans="1:4" x14ac:dyDescent="0.25">
      <c r="A1589" s="86">
        <v>28</v>
      </c>
      <c r="B1589" s="86">
        <v>147</v>
      </c>
      <c r="C1589" s="103">
        <v>3.0817291118292642E-3</v>
      </c>
      <c r="D1589" s="103">
        <v>4.8311285717640663E-3</v>
      </c>
    </row>
    <row r="1590" spans="1:4" x14ac:dyDescent="0.25">
      <c r="A1590" s="86">
        <v>28</v>
      </c>
      <c r="B1590" s="86">
        <v>149</v>
      </c>
      <c r="C1590" s="103">
        <v>1.5774161912457691E-2</v>
      </c>
      <c r="D1590" s="103">
        <v>1.5466321330439129E-2</v>
      </c>
    </row>
    <row r="1591" spans="1:4" x14ac:dyDescent="0.25">
      <c r="A1591" s="86">
        <v>28</v>
      </c>
      <c r="B1591" s="86">
        <v>151</v>
      </c>
      <c r="C1591" s="103">
        <v>1.1839757345298104E-2</v>
      </c>
      <c r="D1591" s="103">
        <v>1.5097276786762709E-2</v>
      </c>
    </row>
    <row r="1592" spans="1:4" x14ac:dyDescent="0.25">
      <c r="A1592" s="86">
        <v>28</v>
      </c>
      <c r="B1592" s="86">
        <v>153</v>
      </c>
      <c r="C1592" s="103">
        <v>5.1543520182356023E-3</v>
      </c>
      <c r="D1592" s="103">
        <v>6.8105493060285106E-3</v>
      </c>
    </row>
    <row r="1593" spans="1:4" x14ac:dyDescent="0.25">
      <c r="A1593" s="86">
        <v>28</v>
      </c>
      <c r="B1593" s="86">
        <v>155</v>
      </c>
      <c r="C1593" s="103">
        <v>2.8482076067915625E-3</v>
      </c>
      <c r="D1593" s="103">
        <v>3.2844964387201536E-3</v>
      </c>
    </row>
    <row r="1594" spans="1:4" x14ac:dyDescent="0.25">
      <c r="A1594" s="86">
        <v>28</v>
      </c>
      <c r="B1594" s="86">
        <v>157</v>
      </c>
      <c r="C1594" s="103">
        <v>2.5371351476805547E-3</v>
      </c>
      <c r="D1594" s="103">
        <v>2.9456464486172572E-3</v>
      </c>
    </row>
    <row r="1595" spans="1:4" x14ac:dyDescent="0.25">
      <c r="A1595" s="86">
        <v>28</v>
      </c>
      <c r="B1595" s="86">
        <v>159</v>
      </c>
      <c r="C1595" s="103">
        <v>4.7610302455185945E-3</v>
      </c>
      <c r="D1595" s="103">
        <v>6.1060097226462509E-3</v>
      </c>
    </row>
    <row r="1596" spans="1:4" x14ac:dyDescent="0.25">
      <c r="A1596" s="86">
        <v>28</v>
      </c>
      <c r="B1596" s="86">
        <v>161</v>
      </c>
      <c r="C1596" s="103">
        <v>5.9770333768589872E-3</v>
      </c>
      <c r="D1596" s="103">
        <v>4.1601384923523905E-3</v>
      </c>
    </row>
    <row r="1597" spans="1:4" x14ac:dyDescent="0.25">
      <c r="A1597" s="86">
        <v>28</v>
      </c>
      <c r="B1597" s="86">
        <v>163</v>
      </c>
      <c r="C1597" s="103">
        <v>9.8527237464212276E-3</v>
      </c>
      <c r="D1597" s="103">
        <v>9.7629056554398835E-3</v>
      </c>
    </row>
    <row r="1598" spans="1:4" x14ac:dyDescent="0.25">
      <c r="A1598" s="86">
        <v>29</v>
      </c>
      <c r="B1598" s="86">
        <v>1</v>
      </c>
      <c r="C1598" s="103">
        <v>2.7214889927616465E-3</v>
      </c>
      <c r="D1598" s="103">
        <v>4.1660540116649509E-3</v>
      </c>
    </row>
    <row r="1599" spans="1:4" x14ac:dyDescent="0.25">
      <c r="A1599" s="86">
        <v>29</v>
      </c>
      <c r="B1599" s="86">
        <v>3</v>
      </c>
      <c r="C1599" s="103">
        <v>4.173727165255825E-3</v>
      </c>
      <c r="D1599" s="103">
        <v>2.8917316080968483E-3</v>
      </c>
    </row>
    <row r="1600" spans="1:4" x14ac:dyDescent="0.25">
      <c r="A1600" s="86">
        <v>29</v>
      </c>
      <c r="B1600" s="86">
        <v>5</v>
      </c>
      <c r="C1600" s="103">
        <v>1.9636473985584334E-3</v>
      </c>
      <c r="D1600" s="103">
        <v>8.4628077570291947E-4</v>
      </c>
    </row>
    <row r="1601" spans="1:4" x14ac:dyDescent="0.25">
      <c r="A1601" s="86">
        <v>29</v>
      </c>
      <c r="B1601" s="86">
        <v>7</v>
      </c>
      <c r="C1601" s="103">
        <v>2.8463309934569636E-3</v>
      </c>
      <c r="D1601" s="103">
        <v>4.14971654495254E-3</v>
      </c>
    </row>
    <row r="1602" spans="1:4" x14ac:dyDescent="0.25">
      <c r="A1602" s="86">
        <v>29</v>
      </c>
      <c r="B1602" s="86">
        <v>9</v>
      </c>
      <c r="C1602" s="103">
        <v>3.2066521178432208E-3</v>
      </c>
      <c r="D1602" s="103">
        <v>5.8324756163309318E-3</v>
      </c>
    </row>
    <row r="1603" spans="1:4" x14ac:dyDescent="0.25">
      <c r="A1603" s="86">
        <v>29</v>
      </c>
      <c r="B1603" s="86">
        <v>11</v>
      </c>
      <c r="C1603" s="103">
        <v>2.3244135785494414E-3</v>
      </c>
      <c r="D1603" s="103">
        <v>1.9278210720645656E-3</v>
      </c>
    </row>
    <row r="1604" spans="1:4" x14ac:dyDescent="0.25">
      <c r="A1604" s="86">
        <v>29</v>
      </c>
      <c r="B1604" s="86">
        <v>13</v>
      </c>
      <c r="C1604" s="103">
        <v>3.2777960677619665E-3</v>
      </c>
      <c r="D1604" s="103">
        <v>2.6630070741230864E-3</v>
      </c>
    </row>
    <row r="1605" spans="1:4" x14ac:dyDescent="0.25">
      <c r="A1605" s="86">
        <v>29</v>
      </c>
      <c r="B1605" s="86">
        <v>15</v>
      </c>
      <c r="C1605" s="103">
        <v>2.4513351490906892E-3</v>
      </c>
      <c r="D1605" s="103">
        <v>3.1531310754954337E-3</v>
      </c>
    </row>
    <row r="1606" spans="1:4" x14ac:dyDescent="0.25">
      <c r="A1606" s="86">
        <v>29</v>
      </c>
      <c r="B1606" s="86">
        <v>17</v>
      </c>
      <c r="C1606" s="103">
        <v>8.8720066852431825E-4</v>
      </c>
      <c r="D1606" s="103">
        <v>1.9931709389142118E-3</v>
      </c>
    </row>
    <row r="1607" spans="1:4" x14ac:dyDescent="0.25">
      <c r="A1607" s="86">
        <v>29</v>
      </c>
      <c r="B1607" s="86">
        <v>19</v>
      </c>
      <c r="C1607" s="103">
        <v>2.6571686293538409E-2</v>
      </c>
      <c r="D1607" s="103">
        <v>2.9244065415216715E-2</v>
      </c>
    </row>
    <row r="1608" spans="1:4" x14ac:dyDescent="0.25">
      <c r="A1608" s="86">
        <v>29</v>
      </c>
      <c r="B1608" s="86">
        <v>21</v>
      </c>
      <c r="C1608" s="103">
        <v>1.3072680088547521E-2</v>
      </c>
      <c r="D1608" s="103">
        <v>1.4409645640347008E-2</v>
      </c>
    </row>
    <row r="1609" spans="1:4" x14ac:dyDescent="0.25">
      <c r="A1609" s="86">
        <v>29</v>
      </c>
      <c r="B1609" s="86">
        <v>23</v>
      </c>
      <c r="C1609" s="103">
        <v>7.1976591031813319E-3</v>
      </c>
      <c r="D1609" s="103">
        <v>6.9597608194873302E-3</v>
      </c>
    </row>
    <row r="1610" spans="1:4" x14ac:dyDescent="0.25">
      <c r="A1610" s="86">
        <v>29</v>
      </c>
      <c r="B1610" s="86">
        <v>25</v>
      </c>
      <c r="C1610" s="103">
        <v>2.0754865944287272E-3</v>
      </c>
      <c r="D1610" s="103">
        <v>1.4818082308157296E-3</v>
      </c>
    </row>
    <row r="1611" spans="1:4" x14ac:dyDescent="0.25">
      <c r="A1611" s="86">
        <v>29</v>
      </c>
      <c r="B1611" s="86">
        <v>27</v>
      </c>
      <c r="C1611" s="103">
        <v>1.2476876525456823E-2</v>
      </c>
      <c r="D1611" s="103">
        <v>7.351860020585208E-3</v>
      </c>
    </row>
    <row r="1612" spans="1:4" x14ac:dyDescent="0.25">
      <c r="A1612" s="86">
        <v>29</v>
      </c>
      <c r="B1612" s="86">
        <v>29</v>
      </c>
      <c r="C1612" s="103">
        <v>5.7071698161446794E-3</v>
      </c>
      <c r="D1612" s="103">
        <v>7.4988972209969126E-3</v>
      </c>
    </row>
    <row r="1613" spans="1:4" x14ac:dyDescent="0.25">
      <c r="A1613" s="86">
        <v>29</v>
      </c>
      <c r="B1613" s="86">
        <v>31</v>
      </c>
      <c r="C1613" s="103">
        <v>1.2066748274517487E-2</v>
      </c>
      <c r="D1613" s="103">
        <v>1.2841248835955497E-2</v>
      </c>
    </row>
    <row r="1614" spans="1:4" x14ac:dyDescent="0.25">
      <c r="A1614" s="86">
        <v>29</v>
      </c>
      <c r="B1614" s="86">
        <v>33</v>
      </c>
      <c r="C1614" s="103">
        <v>7.8086055396516896E-4</v>
      </c>
      <c r="D1614" s="103">
        <v>1.4262608439935304E-3</v>
      </c>
    </row>
    <row r="1615" spans="1:4" x14ac:dyDescent="0.25">
      <c r="A1615" s="86">
        <v>29</v>
      </c>
      <c r="B1615" s="86">
        <v>35</v>
      </c>
      <c r="C1615" s="103">
        <v>1.4734223740291825E-3</v>
      </c>
      <c r="D1615" s="103">
        <v>9.9331797611462366E-4</v>
      </c>
    </row>
    <row r="1616" spans="1:4" x14ac:dyDescent="0.25">
      <c r="A1616" s="86">
        <v>29</v>
      </c>
      <c r="B1616" s="86">
        <v>37</v>
      </c>
      <c r="C1616" s="103">
        <v>1.5219857647924636E-2</v>
      </c>
      <c r="D1616" s="103">
        <v>1.7154340048032152E-2</v>
      </c>
    </row>
    <row r="1617" spans="1:4" x14ac:dyDescent="0.25">
      <c r="A1617" s="86">
        <v>29</v>
      </c>
      <c r="B1617" s="86">
        <v>39</v>
      </c>
      <c r="C1617" s="103">
        <v>1.0199925589828858E-3</v>
      </c>
      <c r="D1617" s="103">
        <v>2.303582806450032E-3</v>
      </c>
    </row>
    <row r="1618" spans="1:4" x14ac:dyDescent="0.25">
      <c r="A1618" s="86">
        <v>29</v>
      </c>
      <c r="B1618" s="86">
        <v>41</v>
      </c>
      <c r="C1618" s="103">
        <v>6.0170683587945303E-4</v>
      </c>
      <c r="D1618" s="103">
        <v>1.2187750167459033E-3</v>
      </c>
    </row>
    <row r="1619" spans="1:4" x14ac:dyDescent="0.25">
      <c r="A1619" s="86">
        <v>29</v>
      </c>
      <c r="B1619" s="86">
        <v>43</v>
      </c>
      <c r="C1619" s="103">
        <v>1.0827696322630524E-2</v>
      </c>
      <c r="D1619" s="103">
        <v>1.421359603979807E-2</v>
      </c>
    </row>
    <row r="1620" spans="1:4" x14ac:dyDescent="0.25">
      <c r="A1620" s="86">
        <v>29</v>
      </c>
      <c r="B1620" s="86">
        <v>45</v>
      </c>
      <c r="C1620" s="103">
        <v>1.0855420449696002E-3</v>
      </c>
      <c r="D1620" s="103">
        <v>1.1158489764577105E-3</v>
      </c>
    </row>
    <row r="1621" spans="1:4" x14ac:dyDescent="0.25">
      <c r="A1621" s="86">
        <v>29</v>
      </c>
      <c r="B1621" s="86">
        <v>47</v>
      </c>
      <c r="C1621" s="103">
        <v>3.9358811574836096E-2</v>
      </c>
      <c r="D1621" s="103">
        <v>4.0190168112532468E-2</v>
      </c>
    </row>
    <row r="1622" spans="1:4" x14ac:dyDescent="0.25">
      <c r="A1622" s="86">
        <v>29</v>
      </c>
      <c r="B1622" s="86">
        <v>49</v>
      </c>
      <c r="C1622" s="103">
        <v>4.1258300713269093E-3</v>
      </c>
      <c r="D1622" s="103">
        <v>3.3328432093319609E-3</v>
      </c>
    </row>
    <row r="1623" spans="1:4" x14ac:dyDescent="0.25">
      <c r="A1623" s="86">
        <v>29</v>
      </c>
      <c r="B1623" s="86">
        <v>51</v>
      </c>
      <c r="C1623" s="103">
        <v>1.1888453353571228E-2</v>
      </c>
      <c r="D1623" s="103">
        <v>1.2530836968419676E-2</v>
      </c>
    </row>
    <row r="1624" spans="1:4" x14ac:dyDescent="0.25">
      <c r="A1624" s="86">
        <v>29</v>
      </c>
      <c r="B1624" s="86">
        <v>53</v>
      </c>
      <c r="C1624" s="103">
        <v>5.8270811793978737E-3</v>
      </c>
      <c r="D1624" s="103">
        <v>2.875394141384437E-3</v>
      </c>
    </row>
    <row r="1625" spans="1:4" x14ac:dyDescent="0.25">
      <c r="A1625" s="86">
        <v>29</v>
      </c>
      <c r="B1625" s="86">
        <v>55</v>
      </c>
      <c r="C1625" s="103">
        <v>4.7640914653410346E-3</v>
      </c>
      <c r="D1625" s="103">
        <v>3.9209920109787777E-3</v>
      </c>
    </row>
    <row r="1626" spans="1:4" x14ac:dyDescent="0.25">
      <c r="A1626" s="86">
        <v>29</v>
      </c>
      <c r="B1626" s="86">
        <v>57</v>
      </c>
      <c r="C1626" s="103">
        <v>6.274675896654542E-4</v>
      </c>
      <c r="D1626" s="103">
        <v>1.2351124834583148E-3</v>
      </c>
    </row>
    <row r="1627" spans="1:4" x14ac:dyDescent="0.25">
      <c r="A1627" s="86">
        <v>29</v>
      </c>
      <c r="B1627" s="86">
        <v>59</v>
      </c>
      <c r="C1627" s="103">
        <v>1.8548696079407666E-3</v>
      </c>
      <c r="D1627" s="103">
        <v>2.7446944076851445E-3</v>
      </c>
    </row>
    <row r="1628" spans="1:4" x14ac:dyDescent="0.25">
      <c r="A1628" s="86">
        <v>29</v>
      </c>
      <c r="B1628" s="86">
        <v>61</v>
      </c>
      <c r="C1628" s="103">
        <v>2.7271346638796583E-3</v>
      </c>
      <c r="D1628" s="103">
        <v>1.3609109771438842E-3</v>
      </c>
    </row>
    <row r="1629" spans="1:4" x14ac:dyDescent="0.25">
      <c r="A1629" s="86">
        <v>29</v>
      </c>
      <c r="B1629" s="86">
        <v>63</v>
      </c>
      <c r="C1629" s="103">
        <v>2.4833772874143555E-3</v>
      </c>
      <c r="D1629" s="103">
        <v>2.0421833390514466E-3</v>
      </c>
    </row>
    <row r="1630" spans="1:4" x14ac:dyDescent="0.25">
      <c r="A1630" s="86">
        <v>29</v>
      </c>
      <c r="B1630" s="86">
        <v>65</v>
      </c>
      <c r="C1630" s="103">
        <v>1.1823320134952322E-3</v>
      </c>
      <c r="D1630" s="103">
        <v>2.5323073404237939E-3</v>
      </c>
    </row>
    <row r="1631" spans="1:4" x14ac:dyDescent="0.25">
      <c r="A1631" s="86">
        <v>29</v>
      </c>
      <c r="B1631" s="86">
        <v>67</v>
      </c>
      <c r="C1631" s="103">
        <v>1.0149108548134602E-3</v>
      </c>
      <c r="D1631" s="103">
        <v>2.1892205394631508E-3</v>
      </c>
    </row>
    <row r="1632" spans="1:4" x14ac:dyDescent="0.25">
      <c r="A1632" s="86">
        <v>29</v>
      </c>
      <c r="B1632" s="86">
        <v>69</v>
      </c>
      <c r="C1632" s="103">
        <v>2.9886919739373877E-3</v>
      </c>
      <c r="D1632" s="103">
        <v>4.8195526801614146E-3</v>
      </c>
    </row>
    <row r="1633" spans="1:4" x14ac:dyDescent="0.25">
      <c r="A1633" s="86">
        <v>29</v>
      </c>
      <c r="B1633" s="86">
        <v>71</v>
      </c>
      <c r="C1633" s="103">
        <v>1.7458317122385231E-2</v>
      </c>
      <c r="D1633" s="103">
        <v>1.6990965380908038E-2</v>
      </c>
    </row>
    <row r="1634" spans="1:4" x14ac:dyDescent="0.25">
      <c r="A1634" s="86">
        <v>29</v>
      </c>
      <c r="B1634" s="86">
        <v>73</v>
      </c>
      <c r="C1634" s="103">
        <v>1.2233636104223599E-3</v>
      </c>
      <c r="D1634" s="103">
        <v>2.4016076067245014E-3</v>
      </c>
    </row>
    <row r="1635" spans="1:4" x14ac:dyDescent="0.25">
      <c r="A1635" s="86">
        <v>29</v>
      </c>
      <c r="B1635" s="86">
        <v>75</v>
      </c>
      <c r="C1635" s="103">
        <v>4.8703499315311439E-4</v>
      </c>
      <c r="D1635" s="103">
        <v>1.0782728030191639E-3</v>
      </c>
    </row>
    <row r="1636" spans="1:4" x14ac:dyDescent="0.25">
      <c r="A1636" s="86">
        <v>29</v>
      </c>
      <c r="B1636" s="86">
        <v>77</v>
      </c>
      <c r="C1636" s="103">
        <v>4.8419969463566387E-2</v>
      </c>
      <c r="D1636" s="103">
        <v>4.7542028133117677E-2</v>
      </c>
    </row>
    <row r="1637" spans="1:4" x14ac:dyDescent="0.25">
      <c r="A1637" s="86">
        <v>29</v>
      </c>
      <c r="B1637" s="86">
        <v>79</v>
      </c>
      <c r="C1637" s="103">
        <v>9.6472993465239942E-4</v>
      </c>
      <c r="D1637" s="103">
        <v>1.630479177898675E-3</v>
      </c>
    </row>
    <row r="1638" spans="1:4" x14ac:dyDescent="0.25">
      <c r="A1638" s="86">
        <v>29</v>
      </c>
      <c r="B1638" s="86">
        <v>81</v>
      </c>
      <c r="C1638" s="103">
        <v>2.6828285735415623E-3</v>
      </c>
      <c r="D1638" s="103">
        <v>1.3707134571713309E-3</v>
      </c>
    </row>
    <row r="1639" spans="1:4" x14ac:dyDescent="0.25">
      <c r="A1639" s="86">
        <v>29</v>
      </c>
      <c r="B1639" s="86">
        <v>83</v>
      </c>
      <c r="C1639" s="103">
        <v>4.3354351545624777E-3</v>
      </c>
      <c r="D1639" s="103">
        <v>3.5615677433057228E-3</v>
      </c>
    </row>
    <row r="1640" spans="1:4" x14ac:dyDescent="0.25">
      <c r="A1640" s="86">
        <v>29</v>
      </c>
      <c r="B1640" s="86">
        <v>85</v>
      </c>
      <c r="C1640" s="103">
        <v>7.8203963953844791E-4</v>
      </c>
      <c r="D1640" s="103">
        <v>1.5455243509941347E-3</v>
      </c>
    </row>
    <row r="1641" spans="1:4" x14ac:dyDescent="0.25">
      <c r="A1641" s="86">
        <v>29</v>
      </c>
      <c r="B1641" s="86">
        <v>87</v>
      </c>
      <c r="C1641" s="103">
        <v>2.9116523455840256E-3</v>
      </c>
      <c r="D1641" s="103">
        <v>7.2048228201735038E-4</v>
      </c>
    </row>
    <row r="1642" spans="1:4" x14ac:dyDescent="0.25">
      <c r="A1642" s="86">
        <v>29</v>
      </c>
      <c r="B1642" s="86">
        <v>89</v>
      </c>
      <c r="C1642" s="103">
        <v>8.4195002964404671E-4</v>
      </c>
      <c r="D1642" s="103">
        <v>1.6500841379535689E-3</v>
      </c>
    </row>
    <row r="1643" spans="1:4" x14ac:dyDescent="0.25">
      <c r="A1643" s="86">
        <v>29</v>
      </c>
      <c r="B1643" s="86">
        <v>91</v>
      </c>
      <c r="C1643" s="103">
        <v>5.9314648926393097E-3</v>
      </c>
      <c r="D1643" s="103">
        <v>6.5513241516770406E-3</v>
      </c>
    </row>
    <row r="1644" spans="1:4" x14ac:dyDescent="0.25">
      <c r="A1644" s="86">
        <v>29</v>
      </c>
      <c r="B1644" s="86">
        <v>93</v>
      </c>
      <c r="C1644" s="103">
        <v>8.3172194293898427E-4</v>
      </c>
      <c r="D1644" s="103">
        <v>1.6664216046659804E-3</v>
      </c>
    </row>
    <row r="1645" spans="1:4" x14ac:dyDescent="0.25">
      <c r="A1645" s="86">
        <v>29</v>
      </c>
      <c r="B1645" s="86">
        <v>95</v>
      </c>
      <c r="C1645" s="103">
        <v>0.11475762801837024</v>
      </c>
      <c r="D1645" s="103">
        <v>0.11452564165400513</v>
      </c>
    </row>
    <row r="1646" spans="1:4" x14ac:dyDescent="0.25">
      <c r="A1646" s="86">
        <v>29</v>
      </c>
      <c r="B1646" s="86">
        <v>97</v>
      </c>
      <c r="C1646" s="103">
        <v>1.9346289042146039E-2</v>
      </c>
      <c r="D1646" s="103">
        <v>1.9604960054893889E-2</v>
      </c>
    </row>
    <row r="1647" spans="1:4" x14ac:dyDescent="0.25">
      <c r="A1647" s="86">
        <v>29</v>
      </c>
      <c r="B1647" s="86">
        <v>99</v>
      </c>
      <c r="C1647" s="103">
        <v>3.3046408838156412E-2</v>
      </c>
      <c r="D1647" s="103">
        <v>3.6595925435801924E-2</v>
      </c>
    </row>
    <row r="1648" spans="1:4" x14ac:dyDescent="0.25">
      <c r="A1648" s="86">
        <v>29</v>
      </c>
      <c r="B1648" s="86">
        <v>101</v>
      </c>
      <c r="C1648" s="103">
        <v>6.8460147074321329E-3</v>
      </c>
      <c r="D1648" s="103">
        <v>8.7568821578526031E-3</v>
      </c>
    </row>
    <row r="1649" spans="1:4" x14ac:dyDescent="0.25">
      <c r="A1649" s="86">
        <v>29</v>
      </c>
      <c r="B1649" s="86">
        <v>103</v>
      </c>
      <c r="C1649" s="103">
        <v>4.1555811605193082E-4</v>
      </c>
      <c r="D1649" s="103">
        <v>6.4859742848273941E-4</v>
      </c>
    </row>
    <row r="1650" spans="1:4" x14ac:dyDescent="0.25">
      <c r="A1650" s="86">
        <v>29</v>
      </c>
      <c r="B1650" s="86">
        <v>105</v>
      </c>
      <c r="C1650" s="103">
        <v>8.0552225300914888E-3</v>
      </c>
      <c r="D1650" s="103">
        <v>5.81613814961852E-3</v>
      </c>
    </row>
    <row r="1651" spans="1:4" x14ac:dyDescent="0.25">
      <c r="A1651" s="86">
        <v>29</v>
      </c>
      <c r="B1651" s="86">
        <v>107</v>
      </c>
      <c r="C1651" s="103">
        <v>7.261135674930471E-3</v>
      </c>
      <c r="D1651" s="103">
        <v>5.309676681533761E-3</v>
      </c>
    </row>
    <row r="1652" spans="1:4" x14ac:dyDescent="0.25">
      <c r="A1652" s="86">
        <v>29</v>
      </c>
      <c r="B1652" s="86">
        <v>109</v>
      </c>
      <c r="C1652" s="103">
        <v>7.605684316371754E-3</v>
      </c>
      <c r="D1652" s="103">
        <v>6.2572497508536331E-3</v>
      </c>
    </row>
    <row r="1653" spans="1:4" x14ac:dyDescent="0.25">
      <c r="A1653" s="86">
        <v>29</v>
      </c>
      <c r="B1653" s="86">
        <v>111</v>
      </c>
      <c r="C1653" s="103">
        <v>1.8833913890665781E-3</v>
      </c>
      <c r="D1653" s="103">
        <v>1.6076067245012987E-3</v>
      </c>
    </row>
    <row r="1654" spans="1:4" x14ac:dyDescent="0.25">
      <c r="A1654" s="86">
        <v>29</v>
      </c>
      <c r="B1654" s="86">
        <v>113</v>
      </c>
      <c r="C1654" s="103">
        <v>6.969807934789198E-3</v>
      </c>
      <c r="D1654" s="103">
        <v>9.4103808263490667E-3</v>
      </c>
    </row>
    <row r="1655" spans="1:4" x14ac:dyDescent="0.25">
      <c r="A1655" s="86">
        <v>29</v>
      </c>
      <c r="B1655" s="86">
        <v>115</v>
      </c>
      <c r="C1655" s="103">
        <v>2.1290776677468284E-3</v>
      </c>
      <c r="D1655" s="103">
        <v>1.9604960054893888E-3</v>
      </c>
    </row>
    <row r="1656" spans="1:4" x14ac:dyDescent="0.25">
      <c r="A1656" s="86">
        <v>29</v>
      </c>
      <c r="B1656" s="86">
        <v>117</v>
      </c>
      <c r="C1656" s="103">
        <v>2.734086144654712E-3</v>
      </c>
      <c r="D1656" s="103">
        <v>2.4832949402865592E-3</v>
      </c>
    </row>
    <row r="1657" spans="1:4" x14ac:dyDescent="0.25">
      <c r="A1657" s="86">
        <v>29</v>
      </c>
      <c r="B1657" s="86">
        <v>119</v>
      </c>
      <c r="C1657" s="103">
        <v>3.312582916253911E-3</v>
      </c>
      <c r="D1657" s="103">
        <v>3.7576173438546617E-3</v>
      </c>
    </row>
    <row r="1658" spans="1:4" x14ac:dyDescent="0.25">
      <c r="A1658" s="86">
        <v>29</v>
      </c>
      <c r="B1658" s="86">
        <v>121</v>
      </c>
      <c r="C1658" s="103">
        <v>3.6707427081884071E-3</v>
      </c>
      <c r="D1658" s="103">
        <v>2.4832949402865592E-3</v>
      </c>
    </row>
    <row r="1659" spans="1:4" x14ac:dyDescent="0.25">
      <c r="A1659" s="86">
        <v>29</v>
      </c>
      <c r="B1659" s="86">
        <v>123</v>
      </c>
      <c r="C1659" s="103">
        <v>1.8614833013970409E-3</v>
      </c>
      <c r="D1659" s="103">
        <v>1.9931709389142118E-3</v>
      </c>
    </row>
    <row r="1660" spans="1:4" x14ac:dyDescent="0.25">
      <c r="A1660" s="86">
        <v>29</v>
      </c>
      <c r="B1660" s="86">
        <v>125</v>
      </c>
      <c r="C1660" s="103">
        <v>8.699862919059959E-4</v>
      </c>
      <c r="D1660" s="103">
        <v>1.4327958306784949E-3</v>
      </c>
    </row>
    <row r="1661" spans="1:4" x14ac:dyDescent="0.25">
      <c r="A1661" s="86">
        <v>29</v>
      </c>
      <c r="B1661" s="86">
        <v>127</v>
      </c>
      <c r="C1661" s="103">
        <v>5.6443509920151014E-3</v>
      </c>
      <c r="D1661" s="103">
        <v>4.6561780130372982E-3</v>
      </c>
    </row>
    <row r="1662" spans="1:4" x14ac:dyDescent="0.25">
      <c r="A1662" s="86">
        <v>29</v>
      </c>
      <c r="B1662" s="86">
        <v>129</v>
      </c>
      <c r="C1662" s="103">
        <v>3.7725526034887213E-4</v>
      </c>
      <c r="D1662" s="103">
        <v>5.9305004166054017E-4</v>
      </c>
    </row>
    <row r="1663" spans="1:4" x14ac:dyDescent="0.25">
      <c r="A1663" s="86">
        <v>29</v>
      </c>
      <c r="B1663" s="86">
        <v>131</v>
      </c>
      <c r="C1663" s="103">
        <v>3.9551398533644918E-3</v>
      </c>
      <c r="D1663" s="103">
        <v>4.1333790782401283E-3</v>
      </c>
    </row>
    <row r="1664" spans="1:4" x14ac:dyDescent="0.25">
      <c r="A1664" s="86">
        <v>29</v>
      </c>
      <c r="B1664" s="86">
        <v>133</v>
      </c>
      <c r="C1664" s="103">
        <v>3.081745283939525E-3</v>
      </c>
      <c r="D1664" s="103">
        <v>2.1892205394631508E-3</v>
      </c>
    </row>
    <row r="1665" spans="1:4" x14ac:dyDescent="0.25">
      <c r="A1665" s="86">
        <v>29</v>
      </c>
      <c r="B1665" s="86">
        <v>135</v>
      </c>
      <c r="C1665" s="103">
        <v>1.4650055693274228E-3</v>
      </c>
      <c r="D1665" s="103">
        <v>2.6466696074106751E-3</v>
      </c>
    </row>
    <row r="1666" spans="1:4" x14ac:dyDescent="0.25">
      <c r="A1666" s="86">
        <v>29</v>
      </c>
      <c r="B1666" s="86">
        <v>137</v>
      </c>
      <c r="C1666" s="103">
        <v>7.2001996914403392E-4</v>
      </c>
      <c r="D1666" s="103">
        <v>1.41155712395236E-3</v>
      </c>
    </row>
    <row r="1667" spans="1:4" x14ac:dyDescent="0.25">
      <c r="A1667" s="86">
        <v>29</v>
      </c>
      <c r="B1667" s="86">
        <v>139</v>
      </c>
      <c r="C1667" s="103">
        <v>4.8763236259179001E-3</v>
      </c>
      <c r="D1667" s="103">
        <v>1.8788086719273309E-3</v>
      </c>
    </row>
    <row r="1668" spans="1:4" x14ac:dyDescent="0.25">
      <c r="A1668" s="86">
        <v>29</v>
      </c>
      <c r="B1668" s="86">
        <v>141</v>
      </c>
      <c r="C1668" s="103">
        <v>1.9320575211571728E-3</v>
      </c>
      <c r="D1668" s="103">
        <v>3.3328432093319609E-3</v>
      </c>
    </row>
    <row r="1669" spans="1:4" x14ac:dyDescent="0.25">
      <c r="A1669" s="86">
        <v>29</v>
      </c>
      <c r="B1669" s="86">
        <v>143</v>
      </c>
      <c r="C1669" s="103">
        <v>6.4330746193425195E-3</v>
      </c>
      <c r="D1669" s="103">
        <v>2.8263817412472023E-3</v>
      </c>
    </row>
    <row r="1670" spans="1:4" x14ac:dyDescent="0.25">
      <c r="A1670" s="86">
        <v>29</v>
      </c>
      <c r="B1670" s="86">
        <v>145</v>
      </c>
      <c r="C1670" s="103">
        <v>1.0362084635709447E-2</v>
      </c>
      <c r="D1670" s="103">
        <v>9.5084056266235353E-3</v>
      </c>
    </row>
    <row r="1671" spans="1:4" x14ac:dyDescent="0.25">
      <c r="A1671" s="86">
        <v>29</v>
      </c>
      <c r="B1671" s="86">
        <v>147</v>
      </c>
      <c r="C1671" s="103">
        <v>2.5072474593530818E-3</v>
      </c>
      <c r="D1671" s="103">
        <v>3.6269176101553693E-3</v>
      </c>
    </row>
    <row r="1672" spans="1:4" x14ac:dyDescent="0.25">
      <c r="A1672" s="86">
        <v>29</v>
      </c>
      <c r="B1672" s="86">
        <v>149</v>
      </c>
      <c r="C1672" s="103">
        <v>1.0223297930747428E-3</v>
      </c>
      <c r="D1672" s="103">
        <v>1.7317714715156269E-3</v>
      </c>
    </row>
    <row r="1673" spans="1:4" x14ac:dyDescent="0.25">
      <c r="A1673" s="86">
        <v>29</v>
      </c>
      <c r="B1673" s="86">
        <v>151</v>
      </c>
      <c r="C1673" s="103">
        <v>1.6566847671908248E-3</v>
      </c>
      <c r="D1673" s="103">
        <v>2.2382329396003855E-3</v>
      </c>
    </row>
    <row r="1674" spans="1:4" x14ac:dyDescent="0.25">
      <c r="A1674" s="86">
        <v>29</v>
      </c>
      <c r="B1674" s="86">
        <v>153</v>
      </c>
      <c r="C1674" s="103">
        <v>7.3678926901796606E-4</v>
      </c>
      <c r="D1674" s="103">
        <v>1.4818082308157296E-3</v>
      </c>
    </row>
    <row r="1675" spans="1:4" x14ac:dyDescent="0.25">
      <c r="A1675" s="86">
        <v>29</v>
      </c>
      <c r="B1675" s="86">
        <v>155</v>
      </c>
      <c r="C1675" s="103">
        <v>6.1797834263600136E-3</v>
      </c>
      <c r="D1675" s="103">
        <v>2.6630070741230864E-3</v>
      </c>
    </row>
    <row r="1676" spans="1:4" x14ac:dyDescent="0.25">
      <c r="A1676" s="86">
        <v>29</v>
      </c>
      <c r="B1676" s="86">
        <v>157</v>
      </c>
      <c r="C1676" s="103">
        <v>3.9082243635314212E-3</v>
      </c>
      <c r="D1676" s="103">
        <v>3.1531310754954337E-3</v>
      </c>
    </row>
    <row r="1677" spans="1:4" x14ac:dyDescent="0.25">
      <c r="A1677" s="86">
        <v>29</v>
      </c>
      <c r="B1677" s="86">
        <v>159</v>
      </c>
      <c r="C1677" s="103">
        <v>6.1107761697528594E-3</v>
      </c>
      <c r="D1677" s="103">
        <v>6.9270858860625076E-3</v>
      </c>
    </row>
    <row r="1678" spans="1:4" x14ac:dyDescent="0.25">
      <c r="A1678" s="86">
        <v>29</v>
      </c>
      <c r="B1678" s="86">
        <v>161</v>
      </c>
      <c r="C1678" s="103">
        <v>9.2862734162137747E-3</v>
      </c>
      <c r="D1678" s="103">
        <v>7.286510153735562E-3</v>
      </c>
    </row>
    <row r="1679" spans="1:4" x14ac:dyDescent="0.25">
      <c r="A1679" s="86">
        <v>29</v>
      </c>
      <c r="B1679" s="86">
        <v>163</v>
      </c>
      <c r="C1679" s="103">
        <v>3.2721730685024829E-3</v>
      </c>
      <c r="D1679" s="103">
        <v>3.0224313417961412E-3</v>
      </c>
    </row>
    <row r="1680" spans="1:4" x14ac:dyDescent="0.25">
      <c r="A1680" s="86">
        <v>29</v>
      </c>
      <c r="B1680" s="86">
        <v>165</v>
      </c>
      <c r="C1680" s="103">
        <v>2.1117331694696928E-2</v>
      </c>
      <c r="D1680" s="103">
        <v>1.6827590713783921E-2</v>
      </c>
    </row>
    <row r="1681" spans="1:4" x14ac:dyDescent="0.25">
      <c r="A1681" s="86">
        <v>29</v>
      </c>
      <c r="B1681" s="86">
        <v>167</v>
      </c>
      <c r="C1681" s="103">
        <v>4.9670863907174635E-3</v>
      </c>
      <c r="D1681" s="103">
        <v>5.2606642813965267E-3</v>
      </c>
    </row>
    <row r="1682" spans="1:4" x14ac:dyDescent="0.25">
      <c r="A1682" s="86">
        <v>29</v>
      </c>
      <c r="B1682" s="86">
        <v>169</v>
      </c>
      <c r="C1682" s="103">
        <v>7.4859309632045075E-3</v>
      </c>
      <c r="D1682" s="103">
        <v>8.495482690454019E-3</v>
      </c>
    </row>
    <row r="1683" spans="1:4" x14ac:dyDescent="0.25">
      <c r="A1683" s="86">
        <v>29</v>
      </c>
      <c r="B1683" s="86">
        <v>171</v>
      </c>
      <c r="C1683" s="103">
        <v>4.1710333485141867E-4</v>
      </c>
      <c r="D1683" s="103">
        <v>7.7602966883954974E-4</v>
      </c>
    </row>
    <row r="1684" spans="1:4" x14ac:dyDescent="0.25">
      <c r="A1684" s="86">
        <v>29</v>
      </c>
      <c r="B1684" s="86">
        <v>173</v>
      </c>
      <c r="C1684" s="103">
        <v>2.2921226666867841E-3</v>
      </c>
      <c r="D1684" s="103">
        <v>1.6664216046659804E-3</v>
      </c>
    </row>
    <row r="1685" spans="1:4" x14ac:dyDescent="0.25">
      <c r="A1685" s="86">
        <v>29</v>
      </c>
      <c r="B1685" s="86">
        <v>175</v>
      </c>
      <c r="C1685" s="103">
        <v>3.9987053999390914E-3</v>
      </c>
      <c r="D1685" s="103">
        <v>4.0353542779656588E-3</v>
      </c>
    </row>
    <row r="1686" spans="1:4" x14ac:dyDescent="0.25">
      <c r="A1686" s="86">
        <v>29</v>
      </c>
      <c r="B1686" s="86">
        <v>177</v>
      </c>
      <c r="C1686" s="103">
        <v>2.0659148383056778E-3</v>
      </c>
      <c r="D1686" s="103">
        <v>3.7412798771422505E-3</v>
      </c>
    </row>
    <row r="1687" spans="1:4" x14ac:dyDescent="0.25">
      <c r="A1687" s="86">
        <v>29</v>
      </c>
      <c r="B1687" s="86">
        <v>179</v>
      </c>
      <c r="C1687" s="103">
        <v>6.1076914724258601E-4</v>
      </c>
      <c r="D1687" s="103">
        <v>1.0259929095394469E-3</v>
      </c>
    </row>
    <row r="1688" spans="1:4" x14ac:dyDescent="0.25">
      <c r="A1688" s="86">
        <v>29</v>
      </c>
      <c r="B1688" s="86">
        <v>181</v>
      </c>
      <c r="C1688" s="103">
        <v>8.6875690895886156E-4</v>
      </c>
      <c r="D1688" s="103">
        <v>2.1892205394631508E-3</v>
      </c>
    </row>
    <row r="1689" spans="1:4" x14ac:dyDescent="0.25">
      <c r="A1689" s="86">
        <v>29</v>
      </c>
      <c r="B1689" s="86">
        <v>183</v>
      </c>
      <c r="C1689" s="103">
        <v>6.2258697649044577E-2</v>
      </c>
      <c r="D1689" s="103">
        <v>6.5186492182522177E-2</v>
      </c>
    </row>
    <row r="1690" spans="1:4" x14ac:dyDescent="0.25">
      <c r="A1690" s="86">
        <v>29</v>
      </c>
      <c r="B1690" s="86">
        <v>185</v>
      </c>
      <c r="C1690" s="103">
        <v>2.297843886890861E-3</v>
      </c>
      <c r="D1690" s="103">
        <v>1.5340881242954468E-3</v>
      </c>
    </row>
    <row r="1691" spans="1:4" x14ac:dyDescent="0.25">
      <c r="A1691" s="86">
        <v>29</v>
      </c>
      <c r="B1691" s="86">
        <v>186</v>
      </c>
      <c r="C1691" s="103">
        <v>4.3446773703905844E-3</v>
      </c>
      <c r="D1691" s="103">
        <v>2.9244065415216717E-3</v>
      </c>
    </row>
    <row r="1692" spans="1:4" x14ac:dyDescent="0.25">
      <c r="A1692" s="86">
        <v>29</v>
      </c>
      <c r="B1692" s="86">
        <v>187</v>
      </c>
      <c r="C1692" s="103">
        <v>8.811745481987137E-3</v>
      </c>
      <c r="D1692" s="103">
        <v>1.089709029717852E-2</v>
      </c>
    </row>
    <row r="1693" spans="1:4" x14ac:dyDescent="0.25">
      <c r="A1693" s="86">
        <v>29</v>
      </c>
      <c r="B1693" s="86">
        <v>189</v>
      </c>
      <c r="C1693" s="103">
        <v>0.1784625376555676</v>
      </c>
      <c r="D1693" s="103">
        <v>0.16255779378849516</v>
      </c>
    </row>
    <row r="1694" spans="1:4" x14ac:dyDescent="0.25">
      <c r="A1694" s="86">
        <v>29</v>
      </c>
      <c r="B1694" s="86">
        <v>195</v>
      </c>
      <c r="C1694" s="103">
        <v>5.9468763384868647E-3</v>
      </c>
      <c r="D1694" s="103">
        <v>3.7412798771422505E-3</v>
      </c>
    </row>
    <row r="1695" spans="1:4" x14ac:dyDescent="0.25">
      <c r="A1695" s="86">
        <v>29</v>
      </c>
      <c r="B1695" s="86">
        <v>197</v>
      </c>
      <c r="C1695" s="103">
        <v>4.6675141927757848E-4</v>
      </c>
      <c r="D1695" s="103">
        <v>7.4988972209969124E-4</v>
      </c>
    </row>
    <row r="1696" spans="1:4" x14ac:dyDescent="0.25">
      <c r="A1696" s="86">
        <v>29</v>
      </c>
      <c r="B1696" s="86">
        <v>199</v>
      </c>
      <c r="C1696" s="103">
        <v>3.9254427493051047E-4</v>
      </c>
      <c r="D1696" s="103">
        <v>8.0707085559313173E-4</v>
      </c>
    </row>
    <row r="1697" spans="1:4" x14ac:dyDescent="0.25">
      <c r="A1697" s="86">
        <v>29</v>
      </c>
      <c r="B1697" s="86">
        <v>201</v>
      </c>
      <c r="C1697" s="103">
        <v>6.3555426491290713E-3</v>
      </c>
      <c r="D1697" s="103">
        <v>6.2899246842784556E-3</v>
      </c>
    </row>
    <row r="1698" spans="1:4" x14ac:dyDescent="0.25">
      <c r="A1698" s="86">
        <v>29</v>
      </c>
      <c r="B1698" s="86">
        <v>203</v>
      </c>
      <c r="C1698" s="103">
        <v>1.2355383918568046E-3</v>
      </c>
      <c r="D1698" s="103">
        <v>1.3380385237465079E-3</v>
      </c>
    </row>
    <row r="1699" spans="1:4" x14ac:dyDescent="0.25">
      <c r="A1699" s="86">
        <v>29</v>
      </c>
      <c r="B1699" s="86">
        <v>205</v>
      </c>
      <c r="C1699" s="103">
        <v>1.5515052613453305E-3</v>
      </c>
      <c r="D1699" s="103">
        <v>9.8024800274469442E-4</v>
      </c>
    </row>
    <row r="1700" spans="1:4" x14ac:dyDescent="0.25">
      <c r="A1700" s="86">
        <v>29</v>
      </c>
      <c r="B1700" s="86">
        <v>207</v>
      </c>
      <c r="C1700" s="103">
        <v>4.5370470014839221E-3</v>
      </c>
      <c r="D1700" s="103">
        <v>4.7868777467365911E-3</v>
      </c>
    </row>
    <row r="1701" spans="1:4" x14ac:dyDescent="0.25">
      <c r="A1701" s="86">
        <v>29</v>
      </c>
      <c r="B1701" s="86">
        <v>209</v>
      </c>
      <c r="C1701" s="103">
        <v>2.9191513217699423E-3</v>
      </c>
      <c r="D1701" s="103">
        <v>5.178976947834469E-3</v>
      </c>
    </row>
    <row r="1702" spans="1:4" x14ac:dyDescent="0.25">
      <c r="A1702" s="86">
        <v>29</v>
      </c>
      <c r="B1702" s="86">
        <v>211</v>
      </c>
      <c r="C1702" s="103">
        <v>5.2424993700005878E-4</v>
      </c>
      <c r="D1702" s="103">
        <v>1.017824176183241E-3</v>
      </c>
    </row>
    <row r="1703" spans="1:4" x14ac:dyDescent="0.25">
      <c r="A1703" s="86">
        <v>29</v>
      </c>
      <c r="B1703" s="86">
        <v>213</v>
      </c>
      <c r="C1703" s="103">
        <v>9.1188810989666323E-3</v>
      </c>
      <c r="D1703" s="103">
        <v>9.0999689588132458E-3</v>
      </c>
    </row>
    <row r="1704" spans="1:4" x14ac:dyDescent="0.25">
      <c r="A1704" s="86">
        <v>29</v>
      </c>
      <c r="B1704" s="86">
        <v>215</v>
      </c>
      <c r="C1704" s="103">
        <v>2.9959571006390679E-3</v>
      </c>
      <c r="D1704" s="103">
        <v>4.1660540116649509E-3</v>
      </c>
    </row>
    <row r="1705" spans="1:4" x14ac:dyDescent="0.25">
      <c r="A1705" s="86">
        <v>29</v>
      </c>
      <c r="B1705" s="86">
        <v>217</v>
      </c>
      <c r="C1705" s="103">
        <v>3.7402933173083853E-3</v>
      </c>
      <c r="D1705" s="103">
        <v>3.3491806760443726E-3</v>
      </c>
    </row>
    <row r="1706" spans="1:4" x14ac:dyDescent="0.25">
      <c r="A1706" s="86">
        <v>29</v>
      </c>
      <c r="B1706" s="86">
        <v>219</v>
      </c>
      <c r="C1706" s="103">
        <v>6.6127235670007884E-3</v>
      </c>
      <c r="D1706" s="103">
        <v>5.6854384159192271E-3</v>
      </c>
    </row>
    <row r="1707" spans="1:4" x14ac:dyDescent="0.25">
      <c r="A1707" s="86">
        <v>29</v>
      </c>
      <c r="B1707" s="86">
        <v>221</v>
      </c>
      <c r="C1707" s="103">
        <v>1.813269280257478E-3</v>
      </c>
      <c r="D1707" s="103">
        <v>4.0680292113904814E-3</v>
      </c>
    </row>
    <row r="1708" spans="1:4" x14ac:dyDescent="0.25">
      <c r="A1708" s="86">
        <v>29</v>
      </c>
      <c r="B1708" s="86">
        <v>223</v>
      </c>
      <c r="C1708" s="103">
        <v>1.9066681908286108E-3</v>
      </c>
      <c r="D1708" s="103">
        <v>2.140208139325916E-3</v>
      </c>
    </row>
    <row r="1709" spans="1:4" x14ac:dyDescent="0.25">
      <c r="A1709" s="86">
        <v>29</v>
      </c>
      <c r="B1709" s="86">
        <v>225</v>
      </c>
      <c r="C1709" s="103">
        <v>8.2705080213640089E-3</v>
      </c>
      <c r="D1709" s="103">
        <v>6.4042869512653368E-3</v>
      </c>
    </row>
    <row r="1710" spans="1:4" x14ac:dyDescent="0.25">
      <c r="A1710" s="86">
        <v>29</v>
      </c>
      <c r="B1710" s="86">
        <v>227</v>
      </c>
      <c r="C1710" s="103">
        <v>1.5307888766995118E-4</v>
      </c>
      <c r="D1710" s="103">
        <v>3.3165057426195495E-4</v>
      </c>
    </row>
    <row r="1711" spans="1:4" x14ac:dyDescent="0.25">
      <c r="A1711" s="86">
        <v>29</v>
      </c>
      <c r="B1711" s="86">
        <v>229</v>
      </c>
      <c r="C1711" s="103">
        <v>2.9890350587459015E-3</v>
      </c>
      <c r="D1711" s="103">
        <v>2.9734189416589065E-3</v>
      </c>
    </row>
    <row r="1712" spans="1:4" x14ac:dyDescent="0.25">
      <c r="A1712" s="86">
        <v>29</v>
      </c>
      <c r="B1712" s="86">
        <v>510</v>
      </c>
      <c r="C1712" s="103">
        <v>4.4435180328391347E-2</v>
      </c>
      <c r="D1712" s="103">
        <v>4.9502524138607069E-2</v>
      </c>
    </row>
    <row r="1713" spans="1:4" x14ac:dyDescent="0.25">
      <c r="A1713" s="86">
        <v>30</v>
      </c>
      <c r="B1713" s="86">
        <v>1</v>
      </c>
      <c r="C1713" s="103">
        <v>1.797730980929195E-2</v>
      </c>
      <c r="D1713" s="103">
        <v>8.8670944105266828E-3</v>
      </c>
    </row>
    <row r="1714" spans="1:4" x14ac:dyDescent="0.25">
      <c r="A1714" s="86">
        <v>30</v>
      </c>
      <c r="B1714" s="86">
        <v>3</v>
      </c>
      <c r="C1714" s="103">
        <v>2.6040711761148895E-2</v>
      </c>
      <c r="D1714" s="103">
        <v>1.2626893209464139E-2</v>
      </c>
    </row>
    <row r="1715" spans="1:4" x14ac:dyDescent="0.25">
      <c r="A1715" s="86">
        <v>30</v>
      </c>
      <c r="B1715" s="86">
        <v>5</v>
      </c>
      <c r="C1715" s="103">
        <v>3.0217146916281189E-3</v>
      </c>
      <c r="D1715" s="103">
        <v>6.3794079871695684E-3</v>
      </c>
    </row>
    <row r="1716" spans="1:4" x14ac:dyDescent="0.25">
      <c r="A1716" s="86">
        <v>30</v>
      </c>
      <c r="B1716" s="86">
        <v>7</v>
      </c>
      <c r="C1716" s="103">
        <v>7.5892266955108877E-3</v>
      </c>
      <c r="D1716" s="103">
        <v>5.7197941627945767E-3</v>
      </c>
    </row>
    <row r="1717" spans="1:4" x14ac:dyDescent="0.25">
      <c r="A1717" s="86">
        <v>30</v>
      </c>
      <c r="B1717" s="86">
        <v>9</v>
      </c>
      <c r="C1717" s="103">
        <v>5.9609684707033908E-3</v>
      </c>
      <c r="D1717" s="103">
        <v>1.0082668458303454E-2</v>
      </c>
    </row>
    <row r="1718" spans="1:4" x14ac:dyDescent="0.25">
      <c r="A1718" s="86">
        <v>30</v>
      </c>
      <c r="B1718" s="86">
        <v>11</v>
      </c>
      <c r="C1718" s="103">
        <v>1.5264056520140732E-3</v>
      </c>
      <c r="D1718" s="103">
        <v>1.1590357199732007E-3</v>
      </c>
    </row>
    <row r="1719" spans="1:4" x14ac:dyDescent="0.25">
      <c r="A1719" s="86">
        <v>30</v>
      </c>
      <c r="B1719" s="86">
        <v>13</v>
      </c>
      <c r="C1719" s="103">
        <v>6.0657615369674116E-2</v>
      </c>
      <c r="D1719" s="103">
        <v>7.698635635919554E-2</v>
      </c>
    </row>
    <row r="1720" spans="1:4" x14ac:dyDescent="0.25">
      <c r="A1720" s="86">
        <v>30</v>
      </c>
      <c r="B1720" s="86">
        <v>15</v>
      </c>
      <c r="C1720" s="103">
        <v>3.3162491008871821E-3</v>
      </c>
      <c r="D1720" s="103">
        <v>5.4088333598749372E-3</v>
      </c>
    </row>
    <row r="1721" spans="1:4" x14ac:dyDescent="0.25">
      <c r="A1721" s="86">
        <v>30</v>
      </c>
      <c r="B1721" s="86">
        <v>17</v>
      </c>
      <c r="C1721" s="103">
        <v>1.5314833846512199E-2</v>
      </c>
      <c r="D1721" s="103">
        <v>1.0930743375357016E-2</v>
      </c>
    </row>
    <row r="1722" spans="1:4" x14ac:dyDescent="0.25">
      <c r="A1722" s="86">
        <v>30</v>
      </c>
      <c r="B1722" s="86">
        <v>19</v>
      </c>
      <c r="C1722" s="103">
        <v>6.710539952706863E-4</v>
      </c>
      <c r="D1722" s="103">
        <v>1.6301884516696239E-3</v>
      </c>
    </row>
    <row r="1723" spans="1:4" x14ac:dyDescent="0.25">
      <c r="A1723" s="86">
        <v>30</v>
      </c>
      <c r="B1723" s="86">
        <v>21</v>
      </c>
      <c r="C1723" s="103">
        <v>1.407076947468497E-2</v>
      </c>
      <c r="D1723" s="103">
        <v>8.1792114222499056E-3</v>
      </c>
    </row>
    <row r="1724" spans="1:4" x14ac:dyDescent="0.25">
      <c r="A1724" s="86">
        <v>30</v>
      </c>
      <c r="B1724" s="86">
        <v>23</v>
      </c>
      <c r="C1724" s="103">
        <v>1.1273685704985773E-2</v>
      </c>
      <c r="D1724" s="103">
        <v>8.6032488807766851E-3</v>
      </c>
    </row>
    <row r="1725" spans="1:4" x14ac:dyDescent="0.25">
      <c r="A1725" s="86">
        <v>30</v>
      </c>
      <c r="B1725" s="86">
        <v>25</v>
      </c>
      <c r="C1725" s="103">
        <v>1.313704417737632E-3</v>
      </c>
      <c r="D1725" s="103">
        <v>2.7421088984731826E-3</v>
      </c>
    </row>
    <row r="1726" spans="1:4" x14ac:dyDescent="0.25">
      <c r="A1726" s="86">
        <v>30</v>
      </c>
      <c r="B1726" s="86">
        <v>27</v>
      </c>
      <c r="C1726" s="103">
        <v>6.3428931224793423E-3</v>
      </c>
      <c r="D1726" s="103">
        <v>1.0459590643660593E-2</v>
      </c>
    </row>
    <row r="1727" spans="1:4" x14ac:dyDescent="0.25">
      <c r="A1727" s="86">
        <v>30</v>
      </c>
      <c r="B1727" s="86">
        <v>29</v>
      </c>
      <c r="C1727" s="103">
        <v>7.2040999666928007E-2</v>
      </c>
      <c r="D1727" s="103">
        <v>9.6115157266070311E-2</v>
      </c>
    </row>
    <row r="1728" spans="1:4" x14ac:dyDescent="0.25">
      <c r="A1728" s="86">
        <v>30</v>
      </c>
      <c r="B1728" s="86">
        <v>31</v>
      </c>
      <c r="C1728" s="103">
        <v>9.9067585198991545E-2</v>
      </c>
      <c r="D1728" s="103">
        <v>0.10553821189999878</v>
      </c>
    </row>
    <row r="1729" spans="1:4" x14ac:dyDescent="0.25">
      <c r="A1729" s="86">
        <v>30</v>
      </c>
      <c r="B1729" s="86">
        <v>33</v>
      </c>
      <c r="C1729" s="103">
        <v>9.5299757737720694E-4</v>
      </c>
      <c r="D1729" s="103">
        <v>1.1873048838749861E-3</v>
      </c>
    </row>
    <row r="1730" spans="1:4" x14ac:dyDescent="0.25">
      <c r="A1730" s="86">
        <v>30</v>
      </c>
      <c r="B1730" s="86">
        <v>35</v>
      </c>
      <c r="C1730" s="103">
        <v>6.8068129927601204E-3</v>
      </c>
      <c r="D1730" s="103">
        <v>1.3003815394821278E-2</v>
      </c>
    </row>
    <row r="1731" spans="1:4" x14ac:dyDescent="0.25">
      <c r="A1731" s="86">
        <v>30</v>
      </c>
      <c r="B1731" s="86">
        <v>37</v>
      </c>
      <c r="C1731" s="103">
        <v>9.1194749996163088E-4</v>
      </c>
      <c r="D1731" s="103">
        <v>7.7457509090891961E-4</v>
      </c>
    </row>
    <row r="1732" spans="1:4" x14ac:dyDescent="0.25">
      <c r="A1732" s="86">
        <v>30</v>
      </c>
      <c r="B1732" s="86">
        <v>39</v>
      </c>
      <c r="C1732" s="103">
        <v>1.7261650152950937E-2</v>
      </c>
      <c r="D1732" s="103">
        <v>3.1755694116338915E-3</v>
      </c>
    </row>
    <row r="1733" spans="1:4" x14ac:dyDescent="0.25">
      <c r="A1733" s="86">
        <v>30</v>
      </c>
      <c r="B1733" s="86">
        <v>41</v>
      </c>
      <c r="C1733" s="103">
        <v>8.1080963954890065E-3</v>
      </c>
      <c r="D1733" s="103">
        <v>1.5359579053303393E-2</v>
      </c>
    </row>
    <row r="1734" spans="1:4" x14ac:dyDescent="0.25">
      <c r="A1734" s="86">
        <v>30</v>
      </c>
      <c r="B1734" s="86">
        <v>43</v>
      </c>
      <c r="C1734" s="103">
        <v>3.3372300611841717E-2</v>
      </c>
      <c r="D1734" s="103">
        <v>1.1401896107053439E-2</v>
      </c>
    </row>
    <row r="1735" spans="1:4" x14ac:dyDescent="0.25">
      <c r="A1735" s="86">
        <v>30</v>
      </c>
      <c r="B1735" s="86">
        <v>45</v>
      </c>
      <c r="C1735" s="103">
        <v>2.0540605377836808E-3</v>
      </c>
      <c r="D1735" s="103">
        <v>1.8374956536160501E-3</v>
      </c>
    </row>
    <row r="1736" spans="1:4" x14ac:dyDescent="0.25">
      <c r="A1736" s="86">
        <v>30</v>
      </c>
      <c r="B1736" s="86">
        <v>47</v>
      </c>
      <c r="C1736" s="103">
        <v>1.3811232177200455E-2</v>
      </c>
      <c r="D1736" s="103">
        <v>2.8457624994463956E-2</v>
      </c>
    </row>
    <row r="1737" spans="1:4" x14ac:dyDescent="0.25">
      <c r="A1737" s="86">
        <v>30</v>
      </c>
      <c r="B1737" s="86">
        <v>49</v>
      </c>
      <c r="C1737" s="103">
        <v>5.4424913716028159E-2</v>
      </c>
      <c r="D1737" s="103">
        <v>6.4642154788749254E-2</v>
      </c>
    </row>
    <row r="1738" spans="1:4" x14ac:dyDescent="0.25">
      <c r="A1738" s="86">
        <v>30</v>
      </c>
      <c r="B1738" s="86">
        <v>51</v>
      </c>
      <c r="C1738" s="103">
        <v>1.1584117499614302E-3</v>
      </c>
      <c r="D1738" s="103">
        <v>2.2803792214106879E-3</v>
      </c>
    </row>
    <row r="1739" spans="1:4" x14ac:dyDescent="0.25">
      <c r="A1739" s="86">
        <v>30</v>
      </c>
      <c r="B1739" s="86">
        <v>53</v>
      </c>
      <c r="C1739" s="103">
        <v>7.4538931636440806E-3</v>
      </c>
      <c r="D1739" s="103">
        <v>1.8657648175178353E-2</v>
      </c>
    </row>
    <row r="1740" spans="1:4" x14ac:dyDescent="0.25">
      <c r="A1740" s="86">
        <v>30</v>
      </c>
      <c r="B1740" s="86">
        <v>55</v>
      </c>
      <c r="C1740" s="103">
        <v>1.3774456381455368E-3</v>
      </c>
      <c r="D1740" s="103">
        <v>1.5736501238660533E-3</v>
      </c>
    </row>
    <row r="1741" spans="1:4" x14ac:dyDescent="0.25">
      <c r="A1741" s="86">
        <v>30</v>
      </c>
      <c r="B1741" s="86">
        <v>57</v>
      </c>
      <c r="C1741" s="103">
        <v>6.7344710593387723E-3</v>
      </c>
      <c r="D1741" s="103">
        <v>8.0378656027409786E-3</v>
      </c>
    </row>
    <row r="1742" spans="1:4" x14ac:dyDescent="0.25">
      <c r="A1742" s="86">
        <v>30</v>
      </c>
      <c r="B1742" s="86">
        <v>59</v>
      </c>
      <c r="C1742" s="103">
        <v>1.1374249909885336E-3</v>
      </c>
      <c r="D1742" s="103">
        <v>1.7526881619106939E-3</v>
      </c>
    </row>
    <row r="1743" spans="1:4" x14ac:dyDescent="0.25">
      <c r="A1743" s="86">
        <v>30</v>
      </c>
      <c r="B1743" s="86">
        <v>61</v>
      </c>
      <c r="C1743" s="103">
        <v>2.795527336946035E-2</v>
      </c>
      <c r="D1743" s="103">
        <v>4.0613365472231674E-3</v>
      </c>
    </row>
    <row r="1744" spans="1:4" x14ac:dyDescent="0.25">
      <c r="A1744" s="86">
        <v>30</v>
      </c>
      <c r="B1744" s="86">
        <v>63</v>
      </c>
      <c r="C1744" s="103">
        <v>0.10451206198029933</v>
      </c>
      <c r="D1744" s="103">
        <v>0.1121343501437487</v>
      </c>
    </row>
    <row r="1745" spans="1:4" x14ac:dyDescent="0.25">
      <c r="A1745" s="86">
        <v>30</v>
      </c>
      <c r="B1745" s="86">
        <v>65</v>
      </c>
      <c r="C1745" s="103">
        <v>2.248240014893339E-3</v>
      </c>
      <c r="D1745" s="103">
        <v>4.3628742955088779E-3</v>
      </c>
    </row>
    <row r="1746" spans="1:4" x14ac:dyDescent="0.25">
      <c r="A1746" s="86">
        <v>30</v>
      </c>
      <c r="B1746" s="86">
        <v>67</v>
      </c>
      <c r="C1746" s="103">
        <v>2.7070569425164753E-2</v>
      </c>
      <c r="D1746" s="103">
        <v>1.5642270692321249E-2</v>
      </c>
    </row>
    <row r="1747" spans="1:4" x14ac:dyDescent="0.25">
      <c r="A1747" s="86">
        <v>30</v>
      </c>
      <c r="B1747" s="86">
        <v>69</v>
      </c>
      <c r="C1747" s="103">
        <v>5.2968304915935278E-4</v>
      </c>
      <c r="D1747" s="103">
        <v>4.8246039725713727E-4</v>
      </c>
    </row>
    <row r="1748" spans="1:4" x14ac:dyDescent="0.25">
      <c r="A1748" s="86">
        <v>30</v>
      </c>
      <c r="B1748" s="86">
        <v>71</v>
      </c>
      <c r="C1748" s="103">
        <v>2.0438795006181686E-3</v>
      </c>
      <c r="D1748" s="103">
        <v>3.8257601813749555E-3</v>
      </c>
    </row>
    <row r="1749" spans="1:4" x14ac:dyDescent="0.25">
      <c r="A1749" s="86">
        <v>30</v>
      </c>
      <c r="B1749" s="86">
        <v>73</v>
      </c>
      <c r="C1749" s="103">
        <v>7.209134459069972E-3</v>
      </c>
      <c r="D1749" s="103">
        <v>5.6161405618213632E-3</v>
      </c>
    </row>
    <row r="1750" spans="1:4" x14ac:dyDescent="0.25">
      <c r="A1750" s="86">
        <v>30</v>
      </c>
      <c r="B1750" s="86">
        <v>75</v>
      </c>
      <c r="C1750" s="103">
        <v>2.3097351624913288E-3</v>
      </c>
      <c r="D1750" s="103">
        <v>1.6207653970356955E-3</v>
      </c>
    </row>
    <row r="1751" spans="1:4" x14ac:dyDescent="0.25">
      <c r="A1751" s="86">
        <v>30</v>
      </c>
      <c r="B1751" s="86">
        <v>77</v>
      </c>
      <c r="C1751" s="103">
        <v>1.7551481215148337E-2</v>
      </c>
      <c r="D1751" s="103">
        <v>6.5490229705802809E-3</v>
      </c>
    </row>
    <row r="1752" spans="1:4" x14ac:dyDescent="0.25">
      <c r="A1752" s="86">
        <v>30</v>
      </c>
      <c r="B1752" s="86">
        <v>79</v>
      </c>
      <c r="C1752" s="103">
        <v>5.9978742481446422E-3</v>
      </c>
      <c r="D1752" s="103">
        <v>1.0082668458303455E-3</v>
      </c>
    </row>
    <row r="1753" spans="1:4" x14ac:dyDescent="0.25">
      <c r="A1753" s="86">
        <v>30</v>
      </c>
      <c r="B1753" s="86">
        <v>81</v>
      </c>
      <c r="C1753" s="103">
        <v>1.8258644718810647E-2</v>
      </c>
      <c r="D1753" s="103">
        <v>4.0707596018570956E-2</v>
      </c>
    </row>
    <row r="1754" spans="1:4" x14ac:dyDescent="0.25">
      <c r="A1754" s="86">
        <v>30</v>
      </c>
      <c r="B1754" s="86">
        <v>83</v>
      </c>
      <c r="C1754" s="103">
        <v>7.4268800031062768E-3</v>
      </c>
      <c r="D1754" s="103">
        <v>1.0271129550982024E-2</v>
      </c>
    </row>
    <row r="1755" spans="1:4" x14ac:dyDescent="0.25">
      <c r="A1755" s="86">
        <v>30</v>
      </c>
      <c r="B1755" s="86">
        <v>85</v>
      </c>
      <c r="C1755" s="103">
        <v>4.3073115187092425E-3</v>
      </c>
      <c r="D1755" s="103">
        <v>1.0459590643660593E-2</v>
      </c>
    </row>
    <row r="1756" spans="1:4" x14ac:dyDescent="0.25">
      <c r="A1756" s="86">
        <v>30</v>
      </c>
      <c r="B1756" s="86">
        <v>87</v>
      </c>
      <c r="C1756" s="103">
        <v>1.2587576445916192E-2</v>
      </c>
      <c r="D1756" s="103">
        <v>8.5184413890713288E-3</v>
      </c>
    </row>
    <row r="1757" spans="1:4" x14ac:dyDescent="0.25">
      <c r="A1757" s="86">
        <v>30</v>
      </c>
      <c r="B1757" s="86">
        <v>89</v>
      </c>
      <c r="C1757" s="103">
        <v>6.0951872182104074E-3</v>
      </c>
      <c r="D1757" s="103">
        <v>1.1119204468035585E-2</v>
      </c>
    </row>
    <row r="1758" spans="1:4" x14ac:dyDescent="0.25">
      <c r="A1758" s="86">
        <v>30</v>
      </c>
      <c r="B1758" s="86">
        <v>91</v>
      </c>
      <c r="C1758" s="103">
        <v>1.5618677939574928E-3</v>
      </c>
      <c r="D1758" s="103">
        <v>3.1944155209017487E-3</v>
      </c>
    </row>
    <row r="1759" spans="1:4" x14ac:dyDescent="0.25">
      <c r="A1759" s="86">
        <v>30</v>
      </c>
      <c r="B1759" s="86">
        <v>93</v>
      </c>
      <c r="C1759" s="103">
        <v>3.7672877862631973E-2</v>
      </c>
      <c r="D1759" s="103">
        <v>3.2697999579731761E-2</v>
      </c>
    </row>
    <row r="1760" spans="1:4" x14ac:dyDescent="0.25">
      <c r="A1760" s="86">
        <v>30</v>
      </c>
      <c r="B1760" s="86">
        <v>95</v>
      </c>
      <c r="C1760" s="103">
        <v>2.3065530729487461E-2</v>
      </c>
      <c r="D1760" s="103">
        <v>8.9330557929641827E-3</v>
      </c>
    </row>
    <row r="1761" spans="1:4" x14ac:dyDescent="0.25">
      <c r="A1761" s="86">
        <v>30</v>
      </c>
      <c r="B1761" s="86">
        <v>97</v>
      </c>
      <c r="C1761" s="103">
        <v>1.8861774492994761E-2</v>
      </c>
      <c r="D1761" s="103">
        <v>3.486530214553531E-3</v>
      </c>
    </row>
    <row r="1762" spans="1:4" x14ac:dyDescent="0.25">
      <c r="A1762" s="86">
        <v>30</v>
      </c>
      <c r="B1762" s="86">
        <v>99</v>
      </c>
      <c r="C1762" s="103">
        <v>5.8836829930373185E-3</v>
      </c>
      <c r="D1762" s="103">
        <v>5.7669094359642185E-3</v>
      </c>
    </row>
    <row r="1763" spans="1:4" x14ac:dyDescent="0.25">
      <c r="A1763" s="86">
        <v>30</v>
      </c>
      <c r="B1763" s="86">
        <v>101</v>
      </c>
      <c r="C1763" s="103">
        <v>6.3336610120496885E-3</v>
      </c>
      <c r="D1763" s="103">
        <v>4.5607584428213757E-3</v>
      </c>
    </row>
    <row r="1764" spans="1:4" x14ac:dyDescent="0.25">
      <c r="A1764" s="86">
        <v>30</v>
      </c>
      <c r="B1764" s="86">
        <v>103</v>
      </c>
      <c r="C1764" s="103">
        <v>5.9300619476188405E-3</v>
      </c>
      <c r="D1764" s="103">
        <v>6.3417157686338551E-4</v>
      </c>
    </row>
    <row r="1765" spans="1:4" x14ac:dyDescent="0.25">
      <c r="A1765" s="86">
        <v>30</v>
      </c>
      <c r="B1765" s="86">
        <v>105</v>
      </c>
      <c r="C1765" s="103">
        <v>3.46789051257284E-3</v>
      </c>
      <c r="D1765" s="103">
        <v>6.9824834837409902E-3</v>
      </c>
    </row>
    <row r="1766" spans="1:4" x14ac:dyDescent="0.25">
      <c r="A1766" s="86">
        <v>30</v>
      </c>
      <c r="B1766" s="86">
        <v>107</v>
      </c>
      <c r="C1766" s="103">
        <v>1.3939081105321055E-3</v>
      </c>
      <c r="D1766" s="103">
        <v>2.0542259101964046E-3</v>
      </c>
    </row>
    <row r="1767" spans="1:4" x14ac:dyDescent="0.25">
      <c r="A1767" s="86">
        <v>30</v>
      </c>
      <c r="B1767" s="86">
        <v>109</v>
      </c>
      <c r="C1767" s="103">
        <v>3.1115508806523096E-3</v>
      </c>
      <c r="D1767" s="103">
        <v>9.7057462729463158E-4</v>
      </c>
    </row>
    <row r="1768" spans="1:4" x14ac:dyDescent="0.25">
      <c r="A1768" s="86">
        <v>30</v>
      </c>
      <c r="B1768" s="86">
        <v>111</v>
      </c>
      <c r="C1768" s="103">
        <v>0.14486227609334257</v>
      </c>
      <c r="D1768" s="103">
        <v>0.15076887414285539</v>
      </c>
    </row>
    <row r="1769" spans="1:4" x14ac:dyDescent="0.25">
      <c r="A1769" s="86">
        <v>31</v>
      </c>
      <c r="B1769" s="86">
        <v>1</v>
      </c>
      <c r="C1769" s="103">
        <v>1.0516654129584588E-2</v>
      </c>
      <c r="D1769" s="103">
        <v>1.6359973429325693E-2</v>
      </c>
    </row>
    <row r="1770" spans="1:4" x14ac:dyDescent="0.25">
      <c r="A1770" s="86">
        <v>31</v>
      </c>
      <c r="B1770" s="86">
        <v>3</v>
      </c>
      <c r="C1770" s="103">
        <v>1.5860482812805879E-3</v>
      </c>
      <c r="D1770" s="103">
        <v>3.2771883282236547E-3</v>
      </c>
    </row>
    <row r="1771" spans="1:4" x14ac:dyDescent="0.25">
      <c r="A1771" s="86">
        <v>31</v>
      </c>
      <c r="B1771" s="86">
        <v>5</v>
      </c>
      <c r="C1771" s="103">
        <v>1.1253184359198846E-4</v>
      </c>
      <c r="D1771" s="103">
        <v>2.3994627696344352E-4</v>
      </c>
    </row>
    <row r="1772" spans="1:4" x14ac:dyDescent="0.25">
      <c r="A1772" s="86">
        <v>31</v>
      </c>
      <c r="B1772" s="86">
        <v>7</v>
      </c>
      <c r="C1772" s="103">
        <v>1.634948652049434E-3</v>
      </c>
      <c r="D1772" s="103">
        <v>3.7653907099241676E-4</v>
      </c>
    </row>
    <row r="1773" spans="1:4" x14ac:dyDescent="0.25">
      <c r="A1773" s="86">
        <v>31</v>
      </c>
      <c r="B1773" s="86">
        <v>9</v>
      </c>
      <c r="C1773" s="103">
        <v>2.361181014612722E-4</v>
      </c>
      <c r="D1773" s="103">
        <v>2.4929483320877249E-4</v>
      </c>
    </row>
    <row r="1774" spans="1:4" x14ac:dyDescent="0.25">
      <c r="A1774" s="86">
        <v>31</v>
      </c>
      <c r="B1774" s="86">
        <v>11</v>
      </c>
      <c r="C1774" s="103">
        <v>1.1346603614322221E-3</v>
      </c>
      <c r="D1774" s="103">
        <v>2.7214685958624331E-3</v>
      </c>
    </row>
    <row r="1775" spans="1:4" x14ac:dyDescent="0.25">
      <c r="A1775" s="86">
        <v>31</v>
      </c>
      <c r="B1775" s="86">
        <v>13</v>
      </c>
      <c r="C1775" s="103">
        <v>2.9708491143692357E-3</v>
      </c>
      <c r="D1775" s="103">
        <v>5.5571973236122202E-3</v>
      </c>
    </row>
    <row r="1776" spans="1:4" x14ac:dyDescent="0.25">
      <c r="A1776" s="86">
        <v>31</v>
      </c>
      <c r="B1776" s="86">
        <v>15</v>
      </c>
      <c r="C1776" s="103">
        <v>3.9359066792439014E-4</v>
      </c>
      <c r="D1776" s="103">
        <v>1.0127602599106383E-3</v>
      </c>
    </row>
    <row r="1777" spans="1:4" x14ac:dyDescent="0.25">
      <c r="A1777" s="86">
        <v>31</v>
      </c>
      <c r="B1777" s="86">
        <v>17</v>
      </c>
      <c r="C1777" s="103">
        <v>6.1452630704400318E-4</v>
      </c>
      <c r="D1777" s="103">
        <v>1.5425117804792796E-3</v>
      </c>
    </row>
    <row r="1778" spans="1:4" x14ac:dyDescent="0.25">
      <c r="A1778" s="86">
        <v>31</v>
      </c>
      <c r="B1778" s="86">
        <v>19</v>
      </c>
      <c r="C1778" s="103">
        <v>3.5907383172552536E-2</v>
      </c>
      <c r="D1778" s="103">
        <v>2.56565932510695E-2</v>
      </c>
    </row>
    <row r="1779" spans="1:4" x14ac:dyDescent="0.25">
      <c r="A1779" s="86">
        <v>31</v>
      </c>
      <c r="B1779" s="86">
        <v>21</v>
      </c>
      <c r="C1779" s="103">
        <v>1.2991300384189023E-3</v>
      </c>
      <c r="D1779" s="103">
        <v>3.3706738906769443E-3</v>
      </c>
    </row>
    <row r="1780" spans="1:4" x14ac:dyDescent="0.25">
      <c r="A1780" s="86">
        <v>31</v>
      </c>
      <c r="B1780" s="86">
        <v>23</v>
      </c>
      <c r="C1780" s="103">
        <v>2.7949437402896159E-3</v>
      </c>
      <c r="D1780" s="103">
        <v>4.175688456246939E-3</v>
      </c>
    </row>
    <row r="1781" spans="1:4" x14ac:dyDescent="0.25">
      <c r="A1781" s="86">
        <v>31</v>
      </c>
      <c r="B1781" s="86">
        <v>25</v>
      </c>
      <c r="C1781" s="103">
        <v>2.0630879124312704E-2</v>
      </c>
      <c r="D1781" s="103">
        <v>1.3607342979312164E-2</v>
      </c>
    </row>
    <row r="1782" spans="1:4" x14ac:dyDescent="0.25">
      <c r="A1782" s="86">
        <v>31</v>
      </c>
      <c r="B1782" s="86">
        <v>27</v>
      </c>
      <c r="C1782" s="103">
        <v>2.0456499350021496E-3</v>
      </c>
      <c r="D1782" s="103">
        <v>4.3886277929460985E-3</v>
      </c>
    </row>
    <row r="1783" spans="1:4" x14ac:dyDescent="0.25">
      <c r="A1783" s="86">
        <v>31</v>
      </c>
      <c r="B1783" s="86">
        <v>29</v>
      </c>
      <c r="C1783" s="103">
        <v>7.7750843806534257E-4</v>
      </c>
      <c r="D1783" s="103">
        <v>2.0462950892553406E-3</v>
      </c>
    </row>
    <row r="1784" spans="1:4" x14ac:dyDescent="0.25">
      <c r="A1784" s="86">
        <v>31</v>
      </c>
      <c r="B1784" s="86">
        <v>31</v>
      </c>
      <c r="C1784" s="103">
        <v>1.5076352259441939E-3</v>
      </c>
      <c r="D1784" s="103">
        <v>2.9915379985052696E-3</v>
      </c>
    </row>
    <row r="1785" spans="1:4" x14ac:dyDescent="0.25">
      <c r="A1785" s="86">
        <v>31</v>
      </c>
      <c r="B1785" s="86">
        <v>33</v>
      </c>
      <c r="C1785" s="103">
        <v>1.1627210209322544E-2</v>
      </c>
      <c r="D1785" s="103">
        <v>4.8197001087029344E-3</v>
      </c>
    </row>
    <row r="1786" spans="1:4" x14ac:dyDescent="0.25">
      <c r="A1786" s="86">
        <v>31</v>
      </c>
      <c r="B1786" s="86">
        <v>35</v>
      </c>
      <c r="C1786" s="103">
        <v>1.3272237249120323E-3</v>
      </c>
      <c r="D1786" s="103">
        <v>3.2200582622799777E-3</v>
      </c>
    </row>
    <row r="1787" spans="1:4" x14ac:dyDescent="0.25">
      <c r="A1787" s="86">
        <v>31</v>
      </c>
      <c r="B1787" s="86">
        <v>37</v>
      </c>
      <c r="C1787" s="103">
        <v>5.1692902664567629E-3</v>
      </c>
      <c r="D1787" s="103">
        <v>5.5571973236122202E-3</v>
      </c>
    </row>
    <row r="1788" spans="1:4" x14ac:dyDescent="0.25">
      <c r="A1788" s="86">
        <v>31</v>
      </c>
      <c r="B1788" s="86">
        <v>39</v>
      </c>
      <c r="C1788" s="103">
        <v>1.9616032258009588E-3</v>
      </c>
      <c r="D1788" s="103">
        <v>4.6431162685133878E-3</v>
      </c>
    </row>
    <row r="1789" spans="1:4" x14ac:dyDescent="0.25">
      <c r="A1789" s="86">
        <v>31</v>
      </c>
      <c r="B1789" s="86">
        <v>41</v>
      </c>
      <c r="C1789" s="103">
        <v>2.5072764124724166E-3</v>
      </c>
      <c r="D1789" s="103">
        <v>5.6091337471973809E-3</v>
      </c>
    </row>
    <row r="1790" spans="1:4" x14ac:dyDescent="0.25">
      <c r="A1790" s="86">
        <v>31</v>
      </c>
      <c r="B1790" s="86">
        <v>43</v>
      </c>
      <c r="C1790" s="103">
        <v>8.7269841740650993E-3</v>
      </c>
      <c r="D1790" s="103">
        <v>1.0387284717032187E-2</v>
      </c>
    </row>
    <row r="1791" spans="1:4" x14ac:dyDescent="0.25">
      <c r="A1791" s="86">
        <v>31</v>
      </c>
      <c r="B1791" s="86">
        <v>45</v>
      </c>
      <c r="C1791" s="103">
        <v>2.2388717942393417E-3</v>
      </c>
      <c r="D1791" s="103">
        <v>4.523662494267517E-3</v>
      </c>
    </row>
    <row r="1792" spans="1:4" x14ac:dyDescent="0.25">
      <c r="A1792" s="86">
        <v>31</v>
      </c>
      <c r="B1792" s="86">
        <v>47</v>
      </c>
      <c r="C1792" s="103">
        <v>2.7430075333363807E-2</v>
      </c>
      <c r="D1792" s="103">
        <v>1.2308932389683142E-2</v>
      </c>
    </row>
    <row r="1793" spans="1:4" x14ac:dyDescent="0.25">
      <c r="A1793" s="86">
        <v>31</v>
      </c>
      <c r="B1793" s="86">
        <v>49</v>
      </c>
      <c r="C1793" s="103">
        <v>8.7173404314002858E-3</v>
      </c>
      <c r="D1793" s="103">
        <v>9.4524290924992893E-4</v>
      </c>
    </row>
    <row r="1794" spans="1:4" x14ac:dyDescent="0.25">
      <c r="A1794" s="86">
        <v>31</v>
      </c>
      <c r="B1794" s="86">
        <v>51</v>
      </c>
      <c r="C1794" s="103">
        <v>1.0319397682958269E-3</v>
      </c>
      <c r="D1794" s="103">
        <v>2.9603761443541734E-3</v>
      </c>
    </row>
    <row r="1795" spans="1:4" x14ac:dyDescent="0.25">
      <c r="A1795" s="86">
        <v>31</v>
      </c>
      <c r="B1795" s="86">
        <v>53</v>
      </c>
      <c r="C1795" s="103">
        <v>1.6087353780229852E-2</v>
      </c>
      <c r="D1795" s="103">
        <v>1.9060667455754063E-2</v>
      </c>
    </row>
    <row r="1796" spans="1:4" x14ac:dyDescent="0.25">
      <c r="A1796" s="86">
        <v>31</v>
      </c>
      <c r="B1796" s="86">
        <v>55</v>
      </c>
      <c r="C1796" s="103">
        <v>0.290799501786565</v>
      </c>
      <c r="D1796" s="103">
        <v>0.29396015749201088</v>
      </c>
    </row>
    <row r="1797" spans="1:4" x14ac:dyDescent="0.25">
      <c r="A1797" s="86">
        <v>31</v>
      </c>
      <c r="B1797" s="86">
        <v>57</v>
      </c>
      <c r="C1797" s="103">
        <v>5.1141010359348309E-4</v>
      </c>
      <c r="D1797" s="103">
        <v>9.1408105509883247E-4</v>
      </c>
    </row>
    <row r="1798" spans="1:4" x14ac:dyDescent="0.25">
      <c r="A1798" s="86">
        <v>31</v>
      </c>
      <c r="B1798" s="86">
        <v>59</v>
      </c>
      <c r="C1798" s="103">
        <v>4.7960952515394258E-3</v>
      </c>
      <c r="D1798" s="103">
        <v>2.8772778666179156E-3</v>
      </c>
    </row>
    <row r="1799" spans="1:4" x14ac:dyDescent="0.25">
      <c r="A1799" s="86">
        <v>31</v>
      </c>
      <c r="B1799" s="86">
        <v>61</v>
      </c>
      <c r="C1799" s="103">
        <v>5.7967016210090801E-4</v>
      </c>
      <c r="D1799" s="103">
        <v>1.5632863499133441E-3</v>
      </c>
    </row>
    <row r="1800" spans="1:4" x14ac:dyDescent="0.25">
      <c r="A1800" s="86">
        <v>31</v>
      </c>
      <c r="B1800" s="86">
        <v>63</v>
      </c>
      <c r="C1800" s="103">
        <v>6.7728401092984427E-4</v>
      </c>
      <c r="D1800" s="103">
        <v>1.3503470132141843E-3</v>
      </c>
    </row>
    <row r="1801" spans="1:4" x14ac:dyDescent="0.25">
      <c r="A1801" s="86">
        <v>31</v>
      </c>
      <c r="B1801" s="86">
        <v>65</v>
      </c>
      <c r="C1801" s="103">
        <v>9.3394196972629122E-4</v>
      </c>
      <c r="D1801" s="103">
        <v>2.4410119085025639E-3</v>
      </c>
    </row>
    <row r="1802" spans="1:4" x14ac:dyDescent="0.25">
      <c r="A1802" s="86">
        <v>31</v>
      </c>
      <c r="B1802" s="86">
        <v>67</v>
      </c>
      <c r="C1802" s="103">
        <v>8.9006455183402201E-3</v>
      </c>
      <c r="D1802" s="103">
        <v>1.1166331070809601E-2</v>
      </c>
    </row>
    <row r="1803" spans="1:4" x14ac:dyDescent="0.25">
      <c r="A1803" s="86">
        <v>31</v>
      </c>
      <c r="B1803" s="86">
        <v>69</v>
      </c>
      <c r="C1803" s="103">
        <v>4.9614429032405235E-4</v>
      </c>
      <c r="D1803" s="103">
        <v>9.8159840575954161E-4</v>
      </c>
    </row>
    <row r="1804" spans="1:4" x14ac:dyDescent="0.25">
      <c r="A1804" s="86">
        <v>31</v>
      </c>
      <c r="B1804" s="86">
        <v>71</v>
      </c>
      <c r="C1804" s="103">
        <v>3.7212191965517379E-4</v>
      </c>
      <c r="D1804" s="103">
        <v>1.0231475446276703E-3</v>
      </c>
    </row>
    <row r="1805" spans="1:4" x14ac:dyDescent="0.25">
      <c r="A1805" s="86">
        <v>31</v>
      </c>
      <c r="B1805" s="86">
        <v>73</v>
      </c>
      <c r="C1805" s="103">
        <v>4.8100318463586885E-4</v>
      </c>
      <c r="D1805" s="103">
        <v>1.0387284717032186E-3</v>
      </c>
    </row>
    <row r="1806" spans="1:4" x14ac:dyDescent="0.25">
      <c r="A1806" s="86">
        <v>31</v>
      </c>
      <c r="B1806" s="86">
        <v>75</v>
      </c>
      <c r="C1806" s="103">
        <v>1.9046220273044698E-4</v>
      </c>
      <c r="D1806" s="103">
        <v>3.4122230295450731E-4</v>
      </c>
    </row>
    <row r="1807" spans="1:4" x14ac:dyDescent="0.25">
      <c r="A1807" s="86">
        <v>31</v>
      </c>
      <c r="B1807" s="86">
        <v>77</v>
      </c>
      <c r="C1807" s="103">
        <v>5.2543903445151905E-4</v>
      </c>
      <c r="D1807" s="103">
        <v>1.225699596609798E-3</v>
      </c>
    </row>
    <row r="1808" spans="1:4" x14ac:dyDescent="0.25">
      <c r="A1808" s="86">
        <v>31</v>
      </c>
      <c r="B1808" s="86">
        <v>79</v>
      </c>
      <c r="C1808" s="103">
        <v>3.9318648880720647E-2</v>
      </c>
      <c r="D1808" s="103">
        <v>3.1837027657703652E-2</v>
      </c>
    </row>
    <row r="1809" spans="1:4" x14ac:dyDescent="0.25">
      <c r="A1809" s="86">
        <v>31</v>
      </c>
      <c r="B1809" s="86">
        <v>81</v>
      </c>
      <c r="C1809" s="103">
        <v>1.6475448329089898E-2</v>
      </c>
      <c r="D1809" s="103">
        <v>4.8093128239859026E-3</v>
      </c>
    </row>
    <row r="1810" spans="1:4" x14ac:dyDescent="0.25">
      <c r="A1810" s="86">
        <v>31</v>
      </c>
      <c r="B1810" s="86">
        <v>83</v>
      </c>
      <c r="C1810" s="103">
        <v>9.3302167755299529E-4</v>
      </c>
      <c r="D1810" s="103">
        <v>1.7606447595369557E-3</v>
      </c>
    </row>
    <row r="1811" spans="1:4" x14ac:dyDescent="0.25">
      <c r="A1811" s="86">
        <v>31</v>
      </c>
      <c r="B1811" s="86">
        <v>85</v>
      </c>
      <c r="C1811" s="103">
        <v>2.5069494831160831E-4</v>
      </c>
      <c r="D1811" s="103">
        <v>4.7625700427592575E-4</v>
      </c>
    </row>
    <row r="1812" spans="1:4" x14ac:dyDescent="0.25">
      <c r="A1812" s="86">
        <v>31</v>
      </c>
      <c r="B1812" s="86">
        <v>87</v>
      </c>
      <c r="C1812" s="103">
        <v>7.5419809269095721E-4</v>
      </c>
      <c r="D1812" s="103">
        <v>1.4542198603845061E-3</v>
      </c>
    </row>
    <row r="1813" spans="1:4" x14ac:dyDescent="0.25">
      <c r="A1813" s="86">
        <v>31</v>
      </c>
      <c r="B1813" s="86">
        <v>89</v>
      </c>
      <c r="C1813" s="103">
        <v>2.145653088632675E-3</v>
      </c>
      <c r="D1813" s="103">
        <v>5.2455787821012543E-3</v>
      </c>
    </row>
    <row r="1814" spans="1:4" x14ac:dyDescent="0.25">
      <c r="A1814" s="86">
        <v>31</v>
      </c>
      <c r="B1814" s="86">
        <v>91</v>
      </c>
      <c r="C1814" s="103">
        <v>1.9654481578516004E-4</v>
      </c>
      <c r="D1814" s="103">
        <v>3.5109022343568789E-4</v>
      </c>
    </row>
    <row r="1815" spans="1:4" x14ac:dyDescent="0.25">
      <c r="A1815" s="86">
        <v>31</v>
      </c>
      <c r="B1815" s="86">
        <v>93</v>
      </c>
      <c r="C1815" s="103">
        <v>1.2571015901991548E-3</v>
      </c>
      <c r="D1815" s="103">
        <v>3.3550929636013962E-3</v>
      </c>
    </row>
    <row r="1816" spans="1:4" x14ac:dyDescent="0.25">
      <c r="A1816" s="86">
        <v>31</v>
      </c>
      <c r="B1816" s="86">
        <v>95</v>
      </c>
      <c r="C1816" s="103">
        <v>1.3640243735071789E-3</v>
      </c>
      <c r="D1816" s="103">
        <v>3.6874860745464261E-3</v>
      </c>
    </row>
    <row r="1817" spans="1:4" x14ac:dyDescent="0.25">
      <c r="A1817" s="86">
        <v>31</v>
      </c>
      <c r="B1817" s="86">
        <v>97</v>
      </c>
      <c r="C1817" s="103">
        <v>8.912515993012561E-4</v>
      </c>
      <c r="D1817" s="103">
        <v>2.6591448875602397E-3</v>
      </c>
    </row>
    <row r="1818" spans="1:4" x14ac:dyDescent="0.25">
      <c r="A1818" s="86">
        <v>31</v>
      </c>
      <c r="B1818" s="86">
        <v>99</v>
      </c>
      <c r="C1818" s="103">
        <v>1.69041680515777E-3</v>
      </c>
      <c r="D1818" s="103">
        <v>3.3966421024695251E-3</v>
      </c>
    </row>
    <row r="1819" spans="1:4" x14ac:dyDescent="0.25">
      <c r="A1819" s="86">
        <v>31</v>
      </c>
      <c r="B1819" s="86">
        <v>101</v>
      </c>
      <c r="C1819" s="103">
        <v>1.9614234931440527E-2</v>
      </c>
      <c r="D1819" s="103">
        <v>4.1549138868128745E-3</v>
      </c>
    </row>
    <row r="1820" spans="1:4" x14ac:dyDescent="0.25">
      <c r="A1820" s="86">
        <v>31</v>
      </c>
      <c r="B1820" s="86">
        <v>103</v>
      </c>
      <c r="C1820" s="103">
        <v>2.439654466275625E-4</v>
      </c>
      <c r="D1820" s="103">
        <v>4.1860757409639714E-4</v>
      </c>
    </row>
    <row r="1821" spans="1:4" x14ac:dyDescent="0.25">
      <c r="A1821" s="86">
        <v>31</v>
      </c>
      <c r="B1821" s="86">
        <v>105</v>
      </c>
      <c r="C1821" s="103">
        <v>9.2837940357340994E-3</v>
      </c>
      <c r="D1821" s="103">
        <v>1.8593239643487614E-3</v>
      </c>
    </row>
    <row r="1822" spans="1:4" x14ac:dyDescent="0.25">
      <c r="A1822" s="86">
        <v>31</v>
      </c>
      <c r="B1822" s="86">
        <v>107</v>
      </c>
      <c r="C1822" s="103">
        <v>1.4242998414745111E-3</v>
      </c>
      <c r="D1822" s="103">
        <v>4.3678532235120341E-3</v>
      </c>
    </row>
    <row r="1823" spans="1:4" x14ac:dyDescent="0.25">
      <c r="A1823" s="86">
        <v>31</v>
      </c>
      <c r="B1823" s="86">
        <v>109</v>
      </c>
      <c r="C1823" s="103">
        <v>0.15354094286364348</v>
      </c>
      <c r="D1823" s="103">
        <v>0.16463846276496016</v>
      </c>
    </row>
    <row r="1824" spans="1:4" x14ac:dyDescent="0.25">
      <c r="A1824" s="86">
        <v>31</v>
      </c>
      <c r="B1824" s="86">
        <v>111</v>
      </c>
      <c r="C1824" s="103">
        <v>3.61624046963036E-2</v>
      </c>
      <c r="D1824" s="103">
        <v>1.8229684678391488E-2</v>
      </c>
    </row>
    <row r="1825" spans="1:4" x14ac:dyDescent="0.25">
      <c r="A1825" s="86">
        <v>31</v>
      </c>
      <c r="B1825" s="86">
        <v>113</v>
      </c>
      <c r="C1825" s="103">
        <v>2.8669672669277688E-4</v>
      </c>
      <c r="D1825" s="103">
        <v>3.9211999806796504E-4</v>
      </c>
    </row>
    <row r="1826" spans="1:4" x14ac:dyDescent="0.25">
      <c r="A1826" s="86">
        <v>31</v>
      </c>
      <c r="B1826" s="86">
        <v>115</v>
      </c>
      <c r="C1826" s="103">
        <v>2.2524172108118139E-4</v>
      </c>
      <c r="D1826" s="103">
        <v>3.2044773352044297E-4</v>
      </c>
    </row>
    <row r="1827" spans="1:4" x14ac:dyDescent="0.25">
      <c r="A1827" s="86">
        <v>31</v>
      </c>
      <c r="B1827" s="86">
        <v>117</v>
      </c>
      <c r="C1827" s="103">
        <v>1.2435818122630693E-2</v>
      </c>
      <c r="D1827" s="103">
        <v>2.5448847556728855E-4</v>
      </c>
    </row>
    <row r="1828" spans="1:4" x14ac:dyDescent="0.25">
      <c r="A1828" s="86">
        <v>31</v>
      </c>
      <c r="B1828" s="86">
        <v>119</v>
      </c>
      <c r="C1828" s="103">
        <v>2.0741497176683223E-3</v>
      </c>
      <c r="D1828" s="103">
        <v>1.8281621101976647E-2</v>
      </c>
    </row>
    <row r="1829" spans="1:4" x14ac:dyDescent="0.25">
      <c r="A1829" s="86">
        <v>31</v>
      </c>
      <c r="B1829" s="86">
        <v>121</v>
      </c>
      <c r="C1829" s="103">
        <v>2.1002448544436528E-3</v>
      </c>
      <c r="D1829" s="103">
        <v>4.0146855431329401E-3</v>
      </c>
    </row>
    <row r="1830" spans="1:4" x14ac:dyDescent="0.25">
      <c r="A1830" s="86">
        <v>31</v>
      </c>
      <c r="B1830" s="86">
        <v>123</v>
      </c>
      <c r="C1830" s="103">
        <v>1.6496098609397201E-3</v>
      </c>
      <c r="D1830" s="103">
        <v>2.4254309814270157E-3</v>
      </c>
    </row>
    <row r="1831" spans="1:4" x14ac:dyDescent="0.25">
      <c r="A1831" s="86">
        <v>31</v>
      </c>
      <c r="B1831" s="86">
        <v>125</v>
      </c>
      <c r="C1831" s="103">
        <v>6.4733306197562151E-4</v>
      </c>
      <c r="D1831" s="103">
        <v>1.8229684678391488E-3</v>
      </c>
    </row>
    <row r="1832" spans="1:4" x14ac:dyDescent="0.25">
      <c r="A1832" s="86">
        <v>31</v>
      </c>
      <c r="B1832" s="86">
        <v>127</v>
      </c>
      <c r="C1832" s="103">
        <v>1.3289109607564579E-3</v>
      </c>
      <c r="D1832" s="103">
        <v>3.614775081527201E-3</v>
      </c>
    </row>
    <row r="1833" spans="1:4" x14ac:dyDescent="0.25">
      <c r="A1833" s="86">
        <v>31</v>
      </c>
      <c r="B1833" s="86">
        <v>129</v>
      </c>
      <c r="C1833" s="103">
        <v>7.1706041111829874E-4</v>
      </c>
      <c r="D1833" s="103">
        <v>2.1865234329352754E-3</v>
      </c>
    </row>
    <row r="1834" spans="1:4" x14ac:dyDescent="0.25">
      <c r="A1834" s="86">
        <v>31</v>
      </c>
      <c r="B1834" s="86">
        <v>131</v>
      </c>
      <c r="C1834" s="103">
        <v>1.1303964826955061E-2</v>
      </c>
      <c r="D1834" s="103">
        <v>8.3098277736257491E-3</v>
      </c>
    </row>
    <row r="1835" spans="1:4" x14ac:dyDescent="0.25">
      <c r="A1835" s="86">
        <v>31</v>
      </c>
      <c r="B1835" s="86">
        <v>133</v>
      </c>
      <c r="C1835" s="103">
        <v>5.6716500671596644E-4</v>
      </c>
      <c r="D1835" s="103">
        <v>1.3607342979312165E-3</v>
      </c>
    </row>
    <row r="1836" spans="1:4" x14ac:dyDescent="0.25">
      <c r="A1836" s="86">
        <v>31</v>
      </c>
      <c r="B1836" s="86">
        <v>135</v>
      </c>
      <c r="C1836" s="103">
        <v>6.5621566478707048E-4</v>
      </c>
      <c r="D1836" s="103">
        <v>1.506156283969667E-3</v>
      </c>
    </row>
    <row r="1837" spans="1:4" x14ac:dyDescent="0.25">
      <c r="A1837" s="86">
        <v>31</v>
      </c>
      <c r="B1837" s="86">
        <v>137</v>
      </c>
      <c r="C1837" s="103">
        <v>2.7153460984054448E-3</v>
      </c>
      <c r="D1837" s="103">
        <v>4.679471765023E-3</v>
      </c>
    </row>
    <row r="1838" spans="1:4" x14ac:dyDescent="0.25">
      <c r="A1838" s="86">
        <v>31</v>
      </c>
      <c r="B1838" s="86">
        <v>139</v>
      </c>
      <c r="C1838" s="103">
        <v>1.7171366693374899E-3</v>
      </c>
      <c r="D1838" s="103">
        <v>3.7134542863390069E-3</v>
      </c>
    </row>
    <row r="1839" spans="1:4" x14ac:dyDescent="0.25">
      <c r="A1839" s="86">
        <v>31</v>
      </c>
      <c r="B1839" s="86">
        <v>141</v>
      </c>
      <c r="C1839" s="103">
        <v>1.5252903207850993E-2</v>
      </c>
      <c r="D1839" s="103">
        <v>1.7294829053858592E-2</v>
      </c>
    </row>
    <row r="1840" spans="1:4" x14ac:dyDescent="0.25">
      <c r="A1840" s="86">
        <v>31</v>
      </c>
      <c r="B1840" s="86">
        <v>143</v>
      </c>
      <c r="C1840" s="103">
        <v>1.0810132412257774E-3</v>
      </c>
      <c r="D1840" s="103">
        <v>2.7214685958624331E-3</v>
      </c>
    </row>
    <row r="1841" spans="1:4" x14ac:dyDescent="0.25">
      <c r="A1841" s="86">
        <v>31</v>
      </c>
      <c r="B1841" s="86">
        <v>145</v>
      </c>
      <c r="C1841" s="103">
        <v>3.3542814792494866E-3</v>
      </c>
      <c r="D1841" s="103">
        <v>5.5571973236122202E-3</v>
      </c>
    </row>
    <row r="1842" spans="1:4" x14ac:dyDescent="0.25">
      <c r="A1842" s="86">
        <v>31</v>
      </c>
      <c r="B1842" s="86">
        <v>147</v>
      </c>
      <c r="C1842" s="103">
        <v>1.3861137196904552E-3</v>
      </c>
      <c r="D1842" s="103">
        <v>4.1237520326617783E-3</v>
      </c>
    </row>
    <row r="1843" spans="1:4" x14ac:dyDescent="0.25">
      <c r="A1843" s="86">
        <v>31</v>
      </c>
      <c r="B1843" s="86">
        <v>149</v>
      </c>
      <c r="C1843" s="103">
        <v>4.5687580253404836E-4</v>
      </c>
      <c r="D1843" s="103">
        <v>7.0114171839967261E-4</v>
      </c>
    </row>
    <row r="1844" spans="1:4" x14ac:dyDescent="0.25">
      <c r="A1844" s="86">
        <v>31</v>
      </c>
      <c r="B1844" s="86">
        <v>151</v>
      </c>
      <c r="C1844" s="103">
        <v>3.0617245384841492E-3</v>
      </c>
      <c r="D1844" s="103">
        <v>7.4269085726780138E-3</v>
      </c>
    </row>
    <row r="1845" spans="1:4" x14ac:dyDescent="0.25">
      <c r="A1845" s="86">
        <v>31</v>
      </c>
      <c r="B1845" s="86">
        <v>153</v>
      </c>
      <c r="C1845" s="103">
        <v>8.7539488949660113E-2</v>
      </c>
      <c r="D1845" s="103">
        <v>9.5563019396696119E-2</v>
      </c>
    </row>
    <row r="1846" spans="1:4" x14ac:dyDescent="0.25">
      <c r="A1846" s="86">
        <v>31</v>
      </c>
      <c r="B1846" s="86">
        <v>155</v>
      </c>
      <c r="C1846" s="103">
        <v>6.346280379725476E-3</v>
      </c>
      <c r="D1846" s="103">
        <v>1.1062458223639278E-2</v>
      </c>
    </row>
    <row r="1847" spans="1:4" x14ac:dyDescent="0.25">
      <c r="A1847" s="86">
        <v>31</v>
      </c>
      <c r="B1847" s="86">
        <v>157</v>
      </c>
      <c r="C1847" s="103">
        <v>1.3829553337904687E-2</v>
      </c>
      <c r="D1847" s="103">
        <v>1.8645176067072774E-2</v>
      </c>
    </row>
    <row r="1848" spans="1:4" x14ac:dyDescent="0.25">
      <c r="A1848" s="86">
        <v>31</v>
      </c>
      <c r="B1848" s="86">
        <v>159</v>
      </c>
      <c r="C1848" s="103">
        <v>2.1444838173319217E-2</v>
      </c>
      <c r="D1848" s="103">
        <v>8.9850012802328415E-3</v>
      </c>
    </row>
    <row r="1849" spans="1:4" x14ac:dyDescent="0.25">
      <c r="A1849" s="86">
        <v>31</v>
      </c>
      <c r="B1849" s="86">
        <v>161</v>
      </c>
      <c r="C1849" s="103">
        <v>1.2858626899307844E-3</v>
      </c>
      <c r="D1849" s="103">
        <v>2.6955003840698523E-3</v>
      </c>
    </row>
    <row r="1850" spans="1:4" x14ac:dyDescent="0.25">
      <c r="A1850" s="86">
        <v>31</v>
      </c>
      <c r="B1850" s="86">
        <v>163</v>
      </c>
      <c r="C1850" s="103">
        <v>6.8190668024906045E-4</v>
      </c>
      <c r="D1850" s="103">
        <v>1.5788672769888924E-3</v>
      </c>
    </row>
    <row r="1851" spans="1:4" x14ac:dyDescent="0.25">
      <c r="A1851" s="86">
        <v>31</v>
      </c>
      <c r="B1851" s="86">
        <v>165</v>
      </c>
      <c r="C1851" s="103">
        <v>3.7159251240141347E-4</v>
      </c>
      <c r="D1851" s="103">
        <v>6.1804344066341513E-4</v>
      </c>
    </row>
    <row r="1852" spans="1:4" x14ac:dyDescent="0.25">
      <c r="A1852" s="86">
        <v>31</v>
      </c>
      <c r="B1852" s="86">
        <v>167</v>
      </c>
      <c r="C1852" s="103">
        <v>1.3979424052709853E-3</v>
      </c>
      <c r="D1852" s="103">
        <v>3.1006044880341078E-3</v>
      </c>
    </row>
    <row r="1853" spans="1:4" x14ac:dyDescent="0.25">
      <c r="A1853" s="86">
        <v>31</v>
      </c>
      <c r="B1853" s="86">
        <v>169</v>
      </c>
      <c r="C1853" s="103">
        <v>3.7555861324595221E-3</v>
      </c>
      <c r="D1853" s="103">
        <v>2.6175957486921108E-3</v>
      </c>
    </row>
    <row r="1854" spans="1:4" x14ac:dyDescent="0.25">
      <c r="A1854" s="86">
        <v>31</v>
      </c>
      <c r="B1854" s="86">
        <v>171</v>
      </c>
      <c r="C1854" s="103">
        <v>3.5739594068409517E-4</v>
      </c>
      <c r="D1854" s="103">
        <v>3.7082606439804906E-4</v>
      </c>
    </row>
    <row r="1855" spans="1:4" x14ac:dyDescent="0.25">
      <c r="A1855" s="86">
        <v>31</v>
      </c>
      <c r="B1855" s="86">
        <v>173</v>
      </c>
      <c r="C1855" s="103">
        <v>1.141185155874897E-3</v>
      </c>
      <c r="D1855" s="103">
        <v>3.7757779946411998E-3</v>
      </c>
    </row>
    <row r="1856" spans="1:4" x14ac:dyDescent="0.25">
      <c r="A1856" s="86">
        <v>31</v>
      </c>
      <c r="B1856" s="86">
        <v>175</v>
      </c>
      <c r="C1856" s="103">
        <v>8.2540146141666607E-4</v>
      </c>
      <c r="D1856" s="103">
        <v>2.1813297905767591E-3</v>
      </c>
    </row>
    <row r="1857" spans="1:4" x14ac:dyDescent="0.25">
      <c r="A1857" s="86">
        <v>31</v>
      </c>
      <c r="B1857" s="86">
        <v>177</v>
      </c>
      <c r="C1857" s="103">
        <v>7.4375580657041933E-3</v>
      </c>
      <c r="D1857" s="103">
        <v>1.0698903258543151E-2</v>
      </c>
    </row>
    <row r="1858" spans="1:4" x14ac:dyDescent="0.25">
      <c r="A1858" s="86">
        <v>31</v>
      </c>
      <c r="B1858" s="86">
        <v>179</v>
      </c>
      <c r="C1858" s="103">
        <v>2.1616325363902791E-3</v>
      </c>
      <c r="D1858" s="103">
        <v>4.8404746781369988E-3</v>
      </c>
    </row>
    <row r="1859" spans="1:4" x14ac:dyDescent="0.25">
      <c r="A1859" s="86">
        <v>31</v>
      </c>
      <c r="B1859" s="86">
        <v>181</v>
      </c>
      <c r="C1859" s="103">
        <v>6.6388574039987706E-4</v>
      </c>
      <c r="D1859" s="103">
        <v>1.8333557525561808E-3</v>
      </c>
    </row>
    <row r="1860" spans="1:4" x14ac:dyDescent="0.25">
      <c r="A1860" s="86">
        <v>31</v>
      </c>
      <c r="B1860" s="86">
        <v>183</v>
      </c>
      <c r="C1860" s="103">
        <v>3.3100525827383466E-4</v>
      </c>
      <c r="D1860" s="103">
        <v>4.1653011715299068E-4</v>
      </c>
    </row>
    <row r="1861" spans="1:4" x14ac:dyDescent="0.25">
      <c r="A1861" s="86">
        <v>31</v>
      </c>
      <c r="B1861" s="86">
        <v>185</v>
      </c>
      <c r="C1861" s="103">
        <v>2.1612487183145224E-2</v>
      </c>
      <c r="D1861" s="103">
        <v>7.1152900311670479E-3</v>
      </c>
    </row>
    <row r="1862" spans="1:4" x14ac:dyDescent="0.25">
      <c r="A1862" s="86">
        <v>32</v>
      </c>
      <c r="B1862" s="86">
        <v>1</v>
      </c>
      <c r="C1862" s="103">
        <v>1.0418867310930007E-2</v>
      </c>
      <c r="D1862" s="103">
        <v>8.0834955806374873E-3</v>
      </c>
    </row>
    <row r="1863" spans="1:4" x14ac:dyDescent="0.25">
      <c r="A1863" s="86">
        <v>32</v>
      </c>
      <c r="B1863" s="86">
        <v>3</v>
      </c>
      <c r="C1863" s="103">
        <v>0.68114739274289304</v>
      </c>
      <c r="D1863" s="103">
        <v>0.73576306713557538</v>
      </c>
    </row>
    <row r="1864" spans="1:4" x14ac:dyDescent="0.25">
      <c r="A1864" s="86">
        <v>32</v>
      </c>
      <c r="B1864" s="86">
        <v>5</v>
      </c>
      <c r="C1864" s="103">
        <v>1.4608041300590421E-2</v>
      </c>
      <c r="D1864" s="103">
        <v>1.6002021863710945E-2</v>
      </c>
    </row>
    <row r="1865" spans="1:4" x14ac:dyDescent="0.25">
      <c r="A1865" s="86">
        <v>32</v>
      </c>
      <c r="B1865" s="86">
        <v>7</v>
      </c>
      <c r="C1865" s="103">
        <v>2.9290900618362061E-2</v>
      </c>
      <c r="D1865" s="103">
        <v>1.7321776244223187E-2</v>
      </c>
    </row>
    <row r="1866" spans="1:4" x14ac:dyDescent="0.25">
      <c r="A1866" s="86">
        <v>32</v>
      </c>
      <c r="B1866" s="86">
        <v>9</v>
      </c>
      <c r="C1866" s="103">
        <v>1.2146325991477982E-3</v>
      </c>
      <c r="D1866" s="103">
        <v>2.7285921817090622E-4</v>
      </c>
    </row>
    <row r="1867" spans="1:4" x14ac:dyDescent="0.25">
      <c r="A1867" s="86">
        <v>32</v>
      </c>
      <c r="B1867" s="86">
        <v>11</v>
      </c>
      <c r="C1867" s="103">
        <v>4.6016436734766268E-3</v>
      </c>
      <c r="D1867" s="103">
        <v>6.5987719025612142E-4</v>
      </c>
    </row>
    <row r="1868" spans="1:4" x14ac:dyDescent="0.25">
      <c r="A1868" s="86">
        <v>32</v>
      </c>
      <c r="B1868" s="86">
        <v>13</v>
      </c>
      <c r="C1868" s="103">
        <v>1.2547839750365402E-2</v>
      </c>
      <c r="D1868" s="103">
        <v>5.5429683981514204E-3</v>
      </c>
    </row>
    <row r="1869" spans="1:4" x14ac:dyDescent="0.25">
      <c r="A1869" s="86">
        <v>32</v>
      </c>
      <c r="B1869" s="86">
        <v>15</v>
      </c>
      <c r="C1869" s="103">
        <v>4.1747909397605023E-3</v>
      </c>
      <c r="D1869" s="103">
        <v>1.8311592029607369E-3</v>
      </c>
    </row>
    <row r="1870" spans="1:4" x14ac:dyDescent="0.25">
      <c r="A1870" s="86">
        <v>32</v>
      </c>
      <c r="B1870" s="86">
        <v>17</v>
      </c>
      <c r="C1870" s="103">
        <v>1.8404419697410951E-3</v>
      </c>
      <c r="D1870" s="103">
        <v>1.7288782384710382E-3</v>
      </c>
    </row>
    <row r="1871" spans="1:4" x14ac:dyDescent="0.25">
      <c r="A1871" s="86">
        <v>32</v>
      </c>
      <c r="B1871" s="86">
        <v>19</v>
      </c>
      <c r="C1871" s="103">
        <v>1.7089143319473723E-2</v>
      </c>
      <c r="D1871" s="103">
        <v>1.8410573608145787E-2</v>
      </c>
    </row>
    <row r="1872" spans="1:4" x14ac:dyDescent="0.25">
      <c r="A1872" s="86">
        <v>32</v>
      </c>
      <c r="B1872" s="86">
        <v>21</v>
      </c>
      <c r="C1872" s="103">
        <v>1.8948272220191548E-3</v>
      </c>
      <c r="D1872" s="103">
        <v>1.4979212218813956E-3</v>
      </c>
    </row>
    <row r="1873" spans="1:4" x14ac:dyDescent="0.25">
      <c r="A1873" s="86">
        <v>32</v>
      </c>
      <c r="B1873" s="86">
        <v>23</v>
      </c>
      <c r="C1873" s="103">
        <v>1.3076121642503777E-2</v>
      </c>
      <c r="D1873" s="103">
        <v>1.4913224499788344E-2</v>
      </c>
    </row>
    <row r="1874" spans="1:4" x14ac:dyDescent="0.25">
      <c r="A1874" s="86">
        <v>32</v>
      </c>
      <c r="B1874" s="86">
        <v>27</v>
      </c>
      <c r="C1874" s="103">
        <v>1.2622693825204109E-2</v>
      </c>
      <c r="D1874" s="103">
        <v>2.2072892014067262E-3</v>
      </c>
    </row>
    <row r="1875" spans="1:4" x14ac:dyDescent="0.25">
      <c r="A1875" s="86">
        <v>32</v>
      </c>
      <c r="B1875" s="86">
        <v>29</v>
      </c>
      <c r="C1875" s="103">
        <v>1.1310432816240158E-3</v>
      </c>
      <c r="D1875" s="103">
        <v>1.3131556086096816E-3</v>
      </c>
    </row>
    <row r="1876" spans="1:4" x14ac:dyDescent="0.25">
      <c r="A1876" s="86">
        <v>32</v>
      </c>
      <c r="B1876" s="86">
        <v>31</v>
      </c>
      <c r="C1876" s="103">
        <v>0.1735115125123981</v>
      </c>
      <c r="D1876" s="103">
        <v>0.15309150813942018</v>
      </c>
    </row>
    <row r="1877" spans="1:4" x14ac:dyDescent="0.25">
      <c r="A1877" s="86">
        <v>32</v>
      </c>
      <c r="B1877" s="86">
        <v>33</v>
      </c>
      <c r="C1877" s="103">
        <v>2.613000115710092E-3</v>
      </c>
      <c r="D1877" s="103">
        <v>3.1476141975216991E-3</v>
      </c>
    </row>
    <row r="1878" spans="1:4" x14ac:dyDescent="0.25">
      <c r="A1878" s="86">
        <v>32</v>
      </c>
      <c r="B1878" s="86">
        <v>510</v>
      </c>
      <c r="C1878" s="103">
        <v>1.8217107175800142E-2</v>
      </c>
      <c r="D1878" s="103">
        <v>1.821261045106895E-2</v>
      </c>
    </row>
    <row r="1879" spans="1:4" x14ac:dyDescent="0.25">
      <c r="A1879" s="86">
        <v>33</v>
      </c>
      <c r="B1879" s="86">
        <v>1</v>
      </c>
      <c r="C1879" s="103">
        <v>5.2105740417380988E-2</v>
      </c>
      <c r="D1879" s="103">
        <v>4.5122221401669008E-2</v>
      </c>
    </row>
    <row r="1880" spans="1:4" x14ac:dyDescent="0.25">
      <c r="A1880" s="86">
        <v>33</v>
      </c>
      <c r="B1880" s="86">
        <v>3</v>
      </c>
      <c r="C1880" s="103">
        <v>3.200065437562008E-2</v>
      </c>
      <c r="D1880" s="103">
        <v>3.6038697289712728E-2</v>
      </c>
    </row>
    <row r="1881" spans="1:4" x14ac:dyDescent="0.25">
      <c r="A1881" s="86">
        <v>33</v>
      </c>
      <c r="B1881" s="86">
        <v>5</v>
      </c>
      <c r="C1881" s="103">
        <v>4.3513337699651232E-2</v>
      </c>
      <c r="D1881" s="103">
        <v>5.6051990251827784E-2</v>
      </c>
    </row>
    <row r="1882" spans="1:4" x14ac:dyDescent="0.25">
      <c r="A1882" s="86">
        <v>33</v>
      </c>
      <c r="B1882" s="86">
        <v>7</v>
      </c>
      <c r="C1882" s="103">
        <v>2.2625275595196278E-2</v>
      </c>
      <c r="D1882" s="103">
        <v>2.3262683701351452E-2</v>
      </c>
    </row>
    <row r="1883" spans="1:4" x14ac:dyDescent="0.25">
      <c r="A1883" s="86">
        <v>33</v>
      </c>
      <c r="B1883" s="86">
        <v>9</v>
      </c>
      <c r="C1883" s="103">
        <v>7.4425990628452843E-2</v>
      </c>
      <c r="D1883" s="103">
        <v>6.6243261206705567E-2</v>
      </c>
    </row>
    <row r="1884" spans="1:4" x14ac:dyDescent="0.25">
      <c r="A1884" s="86">
        <v>33</v>
      </c>
      <c r="B1884" s="86">
        <v>11</v>
      </c>
      <c r="C1884" s="103">
        <v>0.24615927834824466</v>
      </c>
      <c r="D1884" s="103">
        <v>0.30647662654161434</v>
      </c>
    </row>
    <row r="1885" spans="1:4" x14ac:dyDescent="0.25">
      <c r="A1885" s="86">
        <v>33</v>
      </c>
      <c r="B1885" s="86">
        <v>13</v>
      </c>
      <c r="C1885" s="103">
        <v>0.15284699302523955</v>
      </c>
      <c r="D1885" s="103">
        <v>0.11151318218743077</v>
      </c>
    </row>
    <row r="1886" spans="1:4" x14ac:dyDescent="0.25">
      <c r="A1886" s="86">
        <v>33</v>
      </c>
      <c r="B1886" s="86">
        <v>15</v>
      </c>
      <c r="C1886" s="103">
        <v>0.26726316372720871</v>
      </c>
      <c r="D1886" s="103">
        <v>0.22745735174654752</v>
      </c>
    </row>
    <row r="1887" spans="1:4" x14ac:dyDescent="0.25">
      <c r="A1887" s="86">
        <v>33</v>
      </c>
      <c r="B1887" s="86">
        <v>17</v>
      </c>
      <c r="C1887" s="103">
        <v>8.3923052956830682E-2</v>
      </c>
      <c r="D1887" s="103">
        <v>9.6004726386529793E-2</v>
      </c>
    </row>
    <row r="1888" spans="1:4" x14ac:dyDescent="0.25">
      <c r="A1888" s="86">
        <v>33</v>
      </c>
      <c r="B1888" s="86">
        <v>19</v>
      </c>
      <c r="C1888" s="103">
        <v>2.5136513226174877E-2</v>
      </c>
      <c r="D1888" s="103">
        <v>3.1829259286611032E-2</v>
      </c>
    </row>
    <row r="1889" spans="1:4" x14ac:dyDescent="0.25">
      <c r="A1889" s="86">
        <v>34</v>
      </c>
      <c r="B1889" s="86">
        <v>1</v>
      </c>
      <c r="C1889" s="103">
        <v>3.5766314760988467E-2</v>
      </c>
      <c r="D1889" s="103">
        <v>2.9709321299557737E-2</v>
      </c>
    </row>
    <row r="1890" spans="1:4" x14ac:dyDescent="0.25">
      <c r="A1890" s="86">
        <v>34</v>
      </c>
      <c r="B1890" s="86">
        <v>3</v>
      </c>
      <c r="C1890" s="103">
        <v>9.5674414070536368E-2</v>
      </c>
      <c r="D1890" s="103">
        <v>0.10499544232002792</v>
      </c>
    </row>
    <row r="1891" spans="1:4" x14ac:dyDescent="0.25">
      <c r="A1891" s="86">
        <v>34</v>
      </c>
      <c r="B1891" s="86">
        <v>5</v>
      </c>
      <c r="C1891" s="103">
        <v>6.1923061645853122E-2</v>
      </c>
      <c r="D1891" s="103">
        <v>5.0078212039027244E-2</v>
      </c>
    </row>
    <row r="1892" spans="1:4" x14ac:dyDescent="0.25">
      <c r="A1892" s="86">
        <v>34</v>
      </c>
      <c r="B1892" s="86">
        <v>7</v>
      </c>
      <c r="C1892" s="103">
        <v>5.6804844292914318E-2</v>
      </c>
      <c r="D1892" s="103">
        <v>5.6942865824152325E-2</v>
      </c>
    </row>
    <row r="1893" spans="1:4" x14ac:dyDescent="0.25">
      <c r="A1893" s="86">
        <v>34</v>
      </c>
      <c r="B1893" s="86">
        <v>9</v>
      </c>
      <c r="C1893" s="103">
        <v>1.4012173168064045E-2</v>
      </c>
      <c r="D1893" s="103">
        <v>1.0398262454845209E-2</v>
      </c>
    </row>
    <row r="1894" spans="1:4" x14ac:dyDescent="0.25">
      <c r="A1894" s="86">
        <v>34</v>
      </c>
      <c r="B1894" s="86">
        <v>11</v>
      </c>
      <c r="C1894" s="103">
        <v>1.5546707683344881E-2</v>
      </c>
      <c r="D1894" s="103">
        <v>1.6992831500883401E-2</v>
      </c>
    </row>
    <row r="1895" spans="1:4" x14ac:dyDescent="0.25">
      <c r="A1895" s="86">
        <v>34</v>
      </c>
      <c r="B1895" s="86">
        <v>13</v>
      </c>
      <c r="C1895" s="103">
        <v>7.1552037912536393E-2</v>
      </c>
      <c r="D1895" s="103">
        <v>8.9915711054343303E-2</v>
      </c>
    </row>
    <row r="1896" spans="1:4" x14ac:dyDescent="0.25">
      <c r="A1896" s="86">
        <v>34</v>
      </c>
      <c r="B1896" s="86">
        <v>15</v>
      </c>
      <c r="C1896" s="103">
        <v>4.0532953678875272E-2</v>
      </c>
      <c r="D1896" s="103">
        <v>3.2860309922238103E-2</v>
      </c>
    </row>
    <row r="1897" spans="1:4" x14ac:dyDescent="0.25">
      <c r="A1897" s="86">
        <v>34</v>
      </c>
      <c r="B1897" s="86">
        <v>17</v>
      </c>
      <c r="C1897" s="103">
        <v>3.8252159778346832E-2</v>
      </c>
      <c r="D1897" s="103">
        <v>7.5623726944328784E-2</v>
      </c>
    </row>
    <row r="1898" spans="1:4" x14ac:dyDescent="0.25">
      <c r="A1898" s="86">
        <v>34</v>
      </c>
      <c r="B1898" s="86">
        <v>19</v>
      </c>
      <c r="C1898" s="103">
        <v>2.3155511297167659E-2</v>
      </c>
      <c r="D1898" s="103">
        <v>1.4066913494108777E-2</v>
      </c>
    </row>
    <row r="1899" spans="1:4" x14ac:dyDescent="0.25">
      <c r="A1899" s="86">
        <v>34</v>
      </c>
      <c r="B1899" s="86">
        <v>21</v>
      </c>
      <c r="C1899" s="103">
        <v>4.9424039118887667E-2</v>
      </c>
      <c r="D1899" s="103">
        <v>4.1412993326656239E-2</v>
      </c>
    </row>
    <row r="1900" spans="1:4" x14ac:dyDescent="0.25">
      <c r="A1900" s="86">
        <v>34</v>
      </c>
      <c r="B1900" s="86">
        <v>23</v>
      </c>
      <c r="C1900" s="103">
        <v>0.10782820044926993</v>
      </c>
      <c r="D1900" s="103">
        <v>9.2954164369070794E-2</v>
      </c>
    </row>
    <row r="1901" spans="1:4" x14ac:dyDescent="0.25">
      <c r="A1901" s="86">
        <v>34</v>
      </c>
      <c r="B1901" s="86">
        <v>25</v>
      </c>
      <c r="C1901" s="103">
        <v>7.9738673195358351E-2</v>
      </c>
      <c r="D1901" s="103">
        <v>6.9771890930779526E-2</v>
      </c>
    </row>
    <row r="1902" spans="1:4" x14ac:dyDescent="0.25">
      <c r="A1902" s="86">
        <v>34</v>
      </c>
      <c r="B1902" s="86">
        <v>27</v>
      </c>
      <c r="C1902" s="103">
        <v>6.575263618888165E-2</v>
      </c>
      <c r="D1902" s="103">
        <v>5.5479906820765014E-2</v>
      </c>
    </row>
    <row r="1903" spans="1:4" x14ac:dyDescent="0.25">
      <c r="A1903" s="86">
        <v>34</v>
      </c>
      <c r="B1903" s="86">
        <v>29</v>
      </c>
      <c r="C1903" s="103">
        <v>6.1392849646872479E-2</v>
      </c>
      <c r="D1903" s="103">
        <v>6.7633720079674997E-2</v>
      </c>
    </row>
    <row r="1904" spans="1:4" x14ac:dyDescent="0.25">
      <c r="A1904" s="86">
        <v>34</v>
      </c>
      <c r="B1904" s="86">
        <v>31</v>
      </c>
      <c r="C1904" s="103">
        <v>4.2747078046185133E-2</v>
      </c>
      <c r="D1904" s="103">
        <v>5.660525990029372E-2</v>
      </c>
    </row>
    <row r="1905" spans="1:4" x14ac:dyDescent="0.25">
      <c r="A1905" s="86">
        <v>34</v>
      </c>
      <c r="B1905" s="86">
        <v>33</v>
      </c>
      <c r="C1905" s="103">
        <v>9.637598443747784E-3</v>
      </c>
      <c r="D1905" s="103">
        <v>7.0559638086449628E-3</v>
      </c>
    </row>
    <row r="1906" spans="1:4" x14ac:dyDescent="0.25">
      <c r="A1906" s="86">
        <v>34</v>
      </c>
      <c r="B1906" s="86">
        <v>35</v>
      </c>
      <c r="C1906" s="103">
        <v>4.4147408645197138E-2</v>
      </c>
      <c r="D1906" s="103">
        <v>3.7136651624447167E-2</v>
      </c>
    </row>
    <row r="1907" spans="1:4" x14ac:dyDescent="0.25">
      <c r="A1907" s="86">
        <v>34</v>
      </c>
      <c r="B1907" s="86">
        <v>37</v>
      </c>
      <c r="C1907" s="103">
        <v>1.3993881264255333E-2</v>
      </c>
      <c r="D1907" s="103">
        <v>1.5867478421354698E-2</v>
      </c>
    </row>
    <row r="1908" spans="1:4" x14ac:dyDescent="0.25">
      <c r="A1908" s="86">
        <v>34</v>
      </c>
      <c r="B1908" s="86">
        <v>39</v>
      </c>
      <c r="C1908" s="103">
        <v>5.331509206070785E-2</v>
      </c>
      <c r="D1908" s="103">
        <v>6.2569631221795832E-2</v>
      </c>
    </row>
    <row r="1909" spans="1:4" x14ac:dyDescent="0.25">
      <c r="A1909" s="86">
        <v>34</v>
      </c>
      <c r="B1909" s="86">
        <v>41</v>
      </c>
      <c r="C1909" s="103">
        <v>1.8802364652009445E-2</v>
      </c>
      <c r="D1909" s="103">
        <v>1.1928742643004243E-2</v>
      </c>
    </row>
    <row r="1910" spans="1:4" x14ac:dyDescent="0.25">
      <c r="A1910" s="86">
        <v>35</v>
      </c>
      <c r="B1910" s="86">
        <v>1</v>
      </c>
      <c r="C1910" s="103">
        <v>0.29813091237063205</v>
      </c>
      <c r="D1910" s="103">
        <v>0.32407938510955603</v>
      </c>
    </row>
    <row r="1911" spans="1:4" x14ac:dyDescent="0.25">
      <c r="A1911" s="86">
        <v>35</v>
      </c>
      <c r="B1911" s="86">
        <v>3</v>
      </c>
      <c r="C1911" s="103">
        <v>9.1754367182861709E-4</v>
      </c>
      <c r="D1911" s="103">
        <v>1.6968758364880885E-3</v>
      </c>
    </row>
    <row r="1912" spans="1:4" x14ac:dyDescent="0.25">
      <c r="A1912" s="86">
        <v>35</v>
      </c>
      <c r="B1912" s="86">
        <v>5</v>
      </c>
      <c r="C1912" s="103">
        <v>1.539801022542191E-2</v>
      </c>
      <c r="D1912" s="103">
        <v>3.0878360292149441E-2</v>
      </c>
    </row>
    <row r="1913" spans="1:4" x14ac:dyDescent="0.25">
      <c r="A1913" s="86">
        <v>35</v>
      </c>
      <c r="B1913" s="86">
        <v>6</v>
      </c>
      <c r="C1913" s="103">
        <v>3.7229281238461129E-2</v>
      </c>
      <c r="D1913" s="103">
        <v>1.2810217582501626E-2</v>
      </c>
    </row>
    <row r="1914" spans="1:4" x14ac:dyDescent="0.25">
      <c r="A1914" s="86">
        <v>35</v>
      </c>
      <c r="B1914" s="86">
        <v>7</v>
      </c>
      <c r="C1914" s="103">
        <v>1.2055796446600316E-2</v>
      </c>
      <c r="D1914" s="103">
        <v>5.7837176398608083E-3</v>
      </c>
    </row>
    <row r="1915" spans="1:4" x14ac:dyDescent="0.25">
      <c r="A1915" s="86">
        <v>35</v>
      </c>
      <c r="B1915" s="86">
        <v>9</v>
      </c>
      <c r="C1915" s="103">
        <v>1.0649932939905968E-2</v>
      </c>
      <c r="D1915" s="103">
        <v>2.3565064433482469E-2</v>
      </c>
    </row>
    <row r="1916" spans="1:4" x14ac:dyDescent="0.25">
      <c r="A1916" s="86">
        <v>35</v>
      </c>
      <c r="B1916" s="86">
        <v>11</v>
      </c>
      <c r="C1916" s="103">
        <v>1.047864094216112E-3</v>
      </c>
      <c r="D1916" s="103">
        <v>8.5082788421092883E-4</v>
      </c>
    </row>
    <row r="1917" spans="1:4" x14ac:dyDescent="0.25">
      <c r="A1917" s="86">
        <v>35</v>
      </c>
      <c r="B1917" s="86">
        <v>13</v>
      </c>
      <c r="C1917" s="103">
        <v>0.10052735926472718</v>
      </c>
      <c r="D1917" s="103">
        <v>0.10372452296279301</v>
      </c>
    </row>
    <row r="1918" spans="1:4" x14ac:dyDescent="0.25">
      <c r="A1918" s="86">
        <v>35</v>
      </c>
      <c r="B1918" s="86">
        <v>15</v>
      </c>
      <c r="C1918" s="103">
        <v>2.2667731477417231E-2</v>
      </c>
      <c r="D1918" s="103">
        <v>2.7580207257848648E-2</v>
      </c>
    </row>
    <row r="1919" spans="1:4" x14ac:dyDescent="0.25">
      <c r="A1919" s="86">
        <v>35</v>
      </c>
      <c r="B1919" s="86">
        <v>17</v>
      </c>
      <c r="C1919" s="103">
        <v>1.244309524783142E-2</v>
      </c>
      <c r="D1919" s="103">
        <v>1.3049214179190088E-2</v>
      </c>
    </row>
    <row r="1920" spans="1:4" x14ac:dyDescent="0.25">
      <c r="A1920" s="86">
        <v>35</v>
      </c>
      <c r="B1920" s="86">
        <v>19</v>
      </c>
      <c r="C1920" s="103">
        <v>2.4811680618345315E-2</v>
      </c>
      <c r="D1920" s="103">
        <v>2.0697105273220907E-3</v>
      </c>
    </row>
    <row r="1921" spans="1:4" x14ac:dyDescent="0.25">
      <c r="A1921" s="86">
        <v>35</v>
      </c>
      <c r="B1921" s="86">
        <v>21</v>
      </c>
      <c r="C1921" s="103">
        <v>1.5831225596868334E-4</v>
      </c>
      <c r="D1921" s="103">
        <v>3.1069557569500208E-4</v>
      </c>
    </row>
    <row r="1922" spans="1:4" x14ac:dyDescent="0.25">
      <c r="A1922" s="86">
        <v>35</v>
      </c>
      <c r="B1922" s="86">
        <v>23</v>
      </c>
      <c r="C1922" s="103">
        <v>1.2114310120943031E-2</v>
      </c>
      <c r="D1922" s="103">
        <v>2.0219112079843983E-3</v>
      </c>
    </row>
    <row r="1923" spans="1:4" x14ac:dyDescent="0.25">
      <c r="A1923" s="86">
        <v>35</v>
      </c>
      <c r="B1923" s="86">
        <v>25</v>
      </c>
      <c r="C1923" s="103">
        <v>2.580884754650686E-2</v>
      </c>
      <c r="D1923" s="103">
        <v>3.3220526939696376E-2</v>
      </c>
    </row>
    <row r="1924" spans="1:4" x14ac:dyDescent="0.25">
      <c r="A1924" s="86">
        <v>35</v>
      </c>
      <c r="B1924" s="86">
        <v>27</v>
      </c>
      <c r="C1924" s="103">
        <v>7.1703189373380424E-3</v>
      </c>
      <c r="D1924" s="103">
        <v>9.3208672708500629E-3</v>
      </c>
    </row>
    <row r="1925" spans="1:4" x14ac:dyDescent="0.25">
      <c r="A1925" s="86">
        <v>35</v>
      </c>
      <c r="B1925" s="86">
        <v>28</v>
      </c>
      <c r="C1925" s="103">
        <v>4.418732540878061E-3</v>
      </c>
      <c r="D1925" s="103">
        <v>9.0818706741616004E-3</v>
      </c>
    </row>
    <row r="1926" spans="1:4" x14ac:dyDescent="0.25">
      <c r="A1926" s="86">
        <v>35</v>
      </c>
      <c r="B1926" s="86">
        <v>29</v>
      </c>
      <c r="C1926" s="103">
        <v>2.488509010637855E-2</v>
      </c>
      <c r="D1926" s="103">
        <v>1.1424037321708538E-2</v>
      </c>
    </row>
    <row r="1927" spans="1:4" x14ac:dyDescent="0.25">
      <c r="A1927" s="86">
        <v>35</v>
      </c>
      <c r="B1927" s="86">
        <v>31</v>
      </c>
      <c r="C1927" s="103">
        <v>5.0394633367153267E-2</v>
      </c>
      <c r="D1927" s="103">
        <v>3.4367710603801005E-2</v>
      </c>
    </row>
    <row r="1928" spans="1:4" x14ac:dyDescent="0.25">
      <c r="A1928" s="86">
        <v>35</v>
      </c>
      <c r="B1928" s="86">
        <v>33</v>
      </c>
      <c r="C1928" s="103">
        <v>6.2288261508293462E-3</v>
      </c>
      <c r="D1928" s="103">
        <v>2.1461894382623992E-3</v>
      </c>
    </row>
    <row r="1929" spans="1:4" x14ac:dyDescent="0.25">
      <c r="A1929" s="86">
        <v>35</v>
      </c>
      <c r="B1929" s="86">
        <v>35</v>
      </c>
      <c r="C1929" s="103">
        <v>1.5668171510248588E-2</v>
      </c>
      <c r="D1929" s="103">
        <v>3.1882145998240984E-2</v>
      </c>
    </row>
    <row r="1930" spans="1:4" x14ac:dyDescent="0.25">
      <c r="A1930" s="86">
        <v>35</v>
      </c>
      <c r="B1930" s="86">
        <v>37</v>
      </c>
      <c r="C1930" s="103">
        <v>2.2727280530441232E-2</v>
      </c>
      <c r="D1930" s="103">
        <v>3.9386639134258725E-3</v>
      </c>
    </row>
    <row r="1931" spans="1:4" x14ac:dyDescent="0.25">
      <c r="A1931" s="86">
        <v>35</v>
      </c>
      <c r="B1931" s="86">
        <v>39</v>
      </c>
      <c r="C1931" s="103">
        <v>1.1730795643623868E-2</v>
      </c>
      <c r="D1931" s="103">
        <v>1.8641734541700126E-2</v>
      </c>
    </row>
    <row r="1932" spans="1:4" x14ac:dyDescent="0.25">
      <c r="A1932" s="86">
        <v>35</v>
      </c>
      <c r="B1932" s="86">
        <v>41</v>
      </c>
      <c r="C1932" s="103">
        <v>4.290946009478493E-3</v>
      </c>
      <c r="D1932" s="103">
        <v>8.9862720354862147E-3</v>
      </c>
    </row>
    <row r="1933" spans="1:4" x14ac:dyDescent="0.25">
      <c r="A1933" s="86">
        <v>35</v>
      </c>
      <c r="B1933" s="86">
        <v>43</v>
      </c>
      <c r="C1933" s="103">
        <v>6.5065592977624973E-2</v>
      </c>
      <c r="D1933" s="103">
        <v>6.930901303965431E-2</v>
      </c>
    </row>
    <row r="1934" spans="1:4" x14ac:dyDescent="0.25">
      <c r="A1934" s="86">
        <v>35</v>
      </c>
      <c r="B1934" s="86">
        <v>45</v>
      </c>
      <c r="C1934" s="103">
        <v>3.8846678321803801E-2</v>
      </c>
      <c r="D1934" s="103">
        <v>5.9749149172115788E-2</v>
      </c>
    </row>
    <row r="1935" spans="1:4" x14ac:dyDescent="0.25">
      <c r="A1935" s="86">
        <v>35</v>
      </c>
      <c r="B1935" s="86">
        <v>47</v>
      </c>
      <c r="C1935" s="103">
        <v>1.6150959012083504E-2</v>
      </c>
      <c r="D1935" s="103">
        <v>1.3144812817865474E-2</v>
      </c>
    </row>
    <row r="1936" spans="1:4" x14ac:dyDescent="0.25">
      <c r="A1936" s="86">
        <v>35</v>
      </c>
      <c r="B1936" s="86">
        <v>49</v>
      </c>
      <c r="C1936" s="103">
        <v>6.7926254978194364E-2</v>
      </c>
      <c r="D1936" s="103">
        <v>7.1698979006538946E-2</v>
      </c>
    </row>
    <row r="1937" spans="1:4" x14ac:dyDescent="0.25">
      <c r="A1937" s="86">
        <v>35</v>
      </c>
      <c r="B1937" s="86">
        <v>51</v>
      </c>
      <c r="C1937" s="103">
        <v>1.0159954002908476E-2</v>
      </c>
      <c r="D1937" s="103">
        <v>5.2101258078084967E-3</v>
      </c>
    </row>
    <row r="1938" spans="1:4" x14ac:dyDescent="0.25">
      <c r="A1938" s="86">
        <v>35</v>
      </c>
      <c r="B1938" s="86">
        <v>53</v>
      </c>
      <c r="C1938" s="103">
        <v>1.7757318493458327E-2</v>
      </c>
      <c r="D1938" s="103">
        <v>7.98248632939467E-3</v>
      </c>
    </row>
    <row r="1939" spans="1:4" x14ac:dyDescent="0.25">
      <c r="A1939" s="86">
        <v>35</v>
      </c>
      <c r="B1939" s="86">
        <v>55</v>
      </c>
      <c r="C1939" s="103">
        <v>8.5483740238168366E-3</v>
      </c>
      <c r="D1939" s="103">
        <v>1.563037742342549E-2</v>
      </c>
    </row>
    <row r="1940" spans="1:4" x14ac:dyDescent="0.25">
      <c r="A1940" s="86">
        <v>35</v>
      </c>
      <c r="B1940" s="86">
        <v>57</v>
      </c>
      <c r="C1940" s="103">
        <v>2.5120996455151104E-2</v>
      </c>
      <c r="D1940" s="103">
        <v>7.4088944973423575E-3</v>
      </c>
    </row>
    <row r="1941" spans="1:4" x14ac:dyDescent="0.25">
      <c r="A1941" s="86">
        <v>35</v>
      </c>
      <c r="B1941" s="86">
        <v>59</v>
      </c>
      <c r="C1941" s="103">
        <v>1.9091180248639746E-3</v>
      </c>
      <c r="D1941" s="103">
        <v>1.9645520247791671E-3</v>
      </c>
    </row>
    <row r="1942" spans="1:4" x14ac:dyDescent="0.25">
      <c r="A1942" s="86">
        <v>35</v>
      </c>
      <c r="B1942" s="86">
        <v>61</v>
      </c>
      <c r="C1942" s="103">
        <v>2.7039281394919113E-2</v>
      </c>
      <c r="D1942" s="103">
        <v>3.6470880654659477E-2</v>
      </c>
    </row>
    <row r="1943" spans="1:4" x14ac:dyDescent="0.25">
      <c r="A1943" s="86">
        <v>36</v>
      </c>
      <c r="B1943" s="86">
        <v>1</v>
      </c>
      <c r="C1943" s="103">
        <v>2.394069900096895E-2</v>
      </c>
      <c r="D1943" s="103">
        <v>1.5721474868940766E-2</v>
      </c>
    </row>
    <row r="1944" spans="1:4" x14ac:dyDescent="0.25">
      <c r="A1944" s="86">
        <v>36</v>
      </c>
      <c r="B1944" s="86">
        <v>3</v>
      </c>
      <c r="C1944" s="103">
        <v>2.7620008765766339E-3</v>
      </c>
      <c r="D1944" s="103">
        <v>2.3710237343060503E-3</v>
      </c>
    </row>
    <row r="1945" spans="1:4" x14ac:dyDescent="0.25">
      <c r="A1945" s="86">
        <v>36</v>
      </c>
      <c r="B1945" s="86">
        <v>5</v>
      </c>
      <c r="C1945" s="103">
        <v>3.8248663446597338E-2</v>
      </c>
      <c r="D1945" s="103">
        <v>7.3230322679430929E-2</v>
      </c>
    </row>
    <row r="1946" spans="1:4" x14ac:dyDescent="0.25">
      <c r="A1946" s="86">
        <v>36</v>
      </c>
      <c r="B1946" s="86">
        <v>7</v>
      </c>
      <c r="C1946" s="103">
        <v>1.4044808951247066E-2</v>
      </c>
      <c r="D1946" s="103">
        <v>9.8323230450704478E-3</v>
      </c>
    </row>
    <row r="1947" spans="1:4" x14ac:dyDescent="0.25">
      <c r="A1947" s="86">
        <v>36</v>
      </c>
      <c r="B1947" s="86">
        <v>9</v>
      </c>
      <c r="C1947" s="103">
        <v>5.6457800245653033E-3</v>
      </c>
      <c r="D1947" s="103">
        <v>3.927808216442205E-3</v>
      </c>
    </row>
    <row r="1948" spans="1:4" x14ac:dyDescent="0.25">
      <c r="A1948" s="86">
        <v>36</v>
      </c>
      <c r="B1948" s="86">
        <v>11</v>
      </c>
      <c r="C1948" s="103">
        <v>4.9494554008921287E-3</v>
      </c>
      <c r="D1948" s="103">
        <v>3.9482922227861011E-3</v>
      </c>
    </row>
    <row r="1949" spans="1:4" x14ac:dyDescent="0.25">
      <c r="A1949" s="86">
        <v>36</v>
      </c>
      <c r="B1949" s="86">
        <v>13</v>
      </c>
      <c r="C1949" s="103">
        <v>9.7519608626388601E-3</v>
      </c>
      <c r="D1949" s="103">
        <v>6.5036720141872228E-3</v>
      </c>
    </row>
    <row r="1950" spans="1:4" x14ac:dyDescent="0.25">
      <c r="A1950" s="86">
        <v>36</v>
      </c>
      <c r="B1950" s="86">
        <v>15</v>
      </c>
      <c r="C1950" s="103">
        <v>6.2347829636372381E-3</v>
      </c>
      <c r="D1950" s="103">
        <v>4.296520330632346E-3</v>
      </c>
    </row>
    <row r="1951" spans="1:4" x14ac:dyDescent="0.25">
      <c r="A1951" s="86">
        <v>36</v>
      </c>
      <c r="B1951" s="86">
        <v>17</v>
      </c>
      <c r="C1951" s="103">
        <v>3.0349865215386785E-3</v>
      </c>
      <c r="D1951" s="103">
        <v>2.4273547517517668E-3</v>
      </c>
    </row>
    <row r="1952" spans="1:4" x14ac:dyDescent="0.25">
      <c r="A1952" s="86">
        <v>36</v>
      </c>
      <c r="B1952" s="86">
        <v>19</v>
      </c>
      <c r="C1952" s="103">
        <v>4.9526690961368015E-3</v>
      </c>
      <c r="D1952" s="103">
        <v>4.1326482798811721E-3</v>
      </c>
    </row>
    <row r="1953" spans="1:4" x14ac:dyDescent="0.25">
      <c r="A1953" s="86">
        <v>36</v>
      </c>
      <c r="B1953" s="86">
        <v>21</v>
      </c>
      <c r="C1953" s="103">
        <v>5.3392958011442924E-3</v>
      </c>
      <c r="D1953" s="103">
        <v>3.0623589484125662E-3</v>
      </c>
    </row>
    <row r="1954" spans="1:4" x14ac:dyDescent="0.25">
      <c r="A1954" s="86">
        <v>36</v>
      </c>
      <c r="B1954" s="86">
        <v>23</v>
      </c>
      <c r="C1954" s="103">
        <v>4.024509066791148E-3</v>
      </c>
      <c r="D1954" s="103">
        <v>2.4427177565096892E-3</v>
      </c>
    </row>
    <row r="1955" spans="1:4" x14ac:dyDescent="0.25">
      <c r="A1955" s="86">
        <v>36</v>
      </c>
      <c r="B1955" s="86">
        <v>25</v>
      </c>
      <c r="C1955" s="103">
        <v>3.5918064304932911E-3</v>
      </c>
      <c r="D1955" s="103">
        <v>2.2788457057585153E-3</v>
      </c>
    </row>
    <row r="1956" spans="1:4" x14ac:dyDescent="0.25">
      <c r="A1956" s="86">
        <v>36</v>
      </c>
      <c r="B1956" s="86">
        <v>27</v>
      </c>
      <c r="C1956" s="103">
        <v>2.043711700690929E-2</v>
      </c>
      <c r="D1956" s="103">
        <v>1.5055744662764122E-2</v>
      </c>
    </row>
    <row r="1957" spans="1:4" x14ac:dyDescent="0.25">
      <c r="A1957" s="86">
        <v>36</v>
      </c>
      <c r="B1957" s="86">
        <v>29</v>
      </c>
      <c r="C1957" s="103">
        <v>5.5862256093817828E-2</v>
      </c>
      <c r="D1957" s="103">
        <v>4.7113214590962557E-2</v>
      </c>
    </row>
    <row r="1958" spans="1:4" x14ac:dyDescent="0.25">
      <c r="A1958" s="86">
        <v>36</v>
      </c>
      <c r="B1958" s="86">
        <v>31</v>
      </c>
      <c r="C1958" s="103">
        <v>3.6351611829357759E-3</v>
      </c>
      <c r="D1958" s="103">
        <v>1.9101335915683733E-3</v>
      </c>
    </row>
    <row r="1959" spans="1:4" x14ac:dyDescent="0.25">
      <c r="A1959" s="86">
        <v>36</v>
      </c>
      <c r="B1959" s="86">
        <v>33</v>
      </c>
      <c r="C1959" s="103">
        <v>2.8819729936834641E-3</v>
      </c>
      <c r="D1959" s="103">
        <v>2.5758637977450183E-3</v>
      </c>
    </row>
    <row r="1960" spans="1:4" x14ac:dyDescent="0.25">
      <c r="A1960" s="86">
        <v>36</v>
      </c>
      <c r="B1960" s="86">
        <v>35</v>
      </c>
      <c r="C1960" s="103">
        <v>2.7386840247157142E-3</v>
      </c>
      <c r="D1960" s="103">
        <v>2.7448568500821665E-3</v>
      </c>
    </row>
    <row r="1961" spans="1:4" x14ac:dyDescent="0.25">
      <c r="A1961" s="86">
        <v>36</v>
      </c>
      <c r="B1961" s="86">
        <v>37</v>
      </c>
      <c r="C1961" s="103">
        <v>6.7698572857282074E-3</v>
      </c>
      <c r="D1961" s="103">
        <v>2.9445759119351598E-3</v>
      </c>
    </row>
    <row r="1962" spans="1:4" x14ac:dyDescent="0.25">
      <c r="A1962" s="86">
        <v>36</v>
      </c>
      <c r="B1962" s="86">
        <v>39</v>
      </c>
      <c r="C1962" s="103">
        <v>5.0411145669646985E-3</v>
      </c>
      <c r="D1962" s="103">
        <v>2.4273547517517668E-3</v>
      </c>
    </row>
    <row r="1963" spans="1:4" x14ac:dyDescent="0.25">
      <c r="A1963" s="86">
        <v>36</v>
      </c>
      <c r="B1963" s="86">
        <v>41</v>
      </c>
      <c r="C1963" s="103">
        <v>7.3482934018069546E-4</v>
      </c>
      <c r="D1963" s="103">
        <v>2.2686037025865667E-4</v>
      </c>
    </row>
    <row r="1964" spans="1:4" x14ac:dyDescent="0.25">
      <c r="A1964" s="86">
        <v>36</v>
      </c>
      <c r="B1964" s="86">
        <v>43</v>
      </c>
      <c r="C1964" s="103">
        <v>5.0349275449174287E-3</v>
      </c>
      <c r="D1964" s="103">
        <v>3.1596579785460759E-3</v>
      </c>
    </row>
    <row r="1965" spans="1:4" x14ac:dyDescent="0.25">
      <c r="A1965" s="86">
        <v>36</v>
      </c>
      <c r="B1965" s="86">
        <v>45</v>
      </c>
      <c r="C1965" s="103">
        <v>7.6269616058358414E-3</v>
      </c>
      <c r="D1965" s="103">
        <v>5.7355217762910943E-3</v>
      </c>
    </row>
    <row r="1966" spans="1:4" x14ac:dyDescent="0.25">
      <c r="A1966" s="86">
        <v>36</v>
      </c>
      <c r="B1966" s="86">
        <v>47</v>
      </c>
      <c r="C1966" s="103">
        <v>5.679345051097414E-2</v>
      </c>
      <c r="D1966" s="103">
        <v>0.13212184091813414</v>
      </c>
    </row>
    <row r="1967" spans="1:4" x14ac:dyDescent="0.25">
      <c r="A1967" s="86">
        <v>36</v>
      </c>
      <c r="B1967" s="86">
        <v>49</v>
      </c>
      <c r="C1967" s="103">
        <v>1.4581633101854892E-3</v>
      </c>
      <c r="D1967" s="103">
        <v>1.3570654202831607E-3</v>
      </c>
    </row>
    <row r="1968" spans="1:4" x14ac:dyDescent="0.25">
      <c r="A1968" s="86">
        <v>36</v>
      </c>
      <c r="B1968" s="86">
        <v>51</v>
      </c>
      <c r="C1968" s="103">
        <v>4.901721628157856E-3</v>
      </c>
      <c r="D1968" s="103">
        <v>3.2364730023356886E-3</v>
      </c>
    </row>
    <row r="1969" spans="1:4" x14ac:dyDescent="0.25">
      <c r="A1969" s="86">
        <v>36</v>
      </c>
      <c r="B1969" s="86">
        <v>53</v>
      </c>
      <c r="C1969" s="103">
        <v>5.2132263948785514E-3</v>
      </c>
      <c r="D1969" s="103">
        <v>3.64103212762765E-3</v>
      </c>
    </row>
    <row r="1970" spans="1:4" x14ac:dyDescent="0.25">
      <c r="A1970" s="86">
        <v>36</v>
      </c>
      <c r="B1970" s="86">
        <v>55</v>
      </c>
      <c r="C1970" s="103">
        <v>4.7876224600945712E-2</v>
      </c>
      <c r="D1970" s="103">
        <v>3.8049041783788241E-2</v>
      </c>
    </row>
    <row r="1971" spans="1:4" x14ac:dyDescent="0.25">
      <c r="A1971" s="86">
        <v>36</v>
      </c>
      <c r="B1971" s="86">
        <v>57</v>
      </c>
      <c r="C1971" s="103">
        <v>5.4701902514971154E-3</v>
      </c>
      <c r="D1971" s="103">
        <v>2.5297747834712504E-3</v>
      </c>
    </row>
    <row r="1972" spans="1:4" x14ac:dyDescent="0.25">
      <c r="A1972" s="86">
        <v>36</v>
      </c>
      <c r="B1972" s="86">
        <v>59</v>
      </c>
      <c r="C1972" s="103">
        <v>8.175953937621605E-2</v>
      </c>
      <c r="D1972" s="103">
        <v>6.9645621569249E-2</v>
      </c>
    </row>
    <row r="1973" spans="1:4" x14ac:dyDescent="0.25">
      <c r="A1973" s="86">
        <v>36</v>
      </c>
      <c r="B1973" s="86">
        <v>61</v>
      </c>
      <c r="C1973" s="103">
        <v>3.8237961330534739E-2</v>
      </c>
      <c r="D1973" s="103">
        <v>8.3472325851379314E-2</v>
      </c>
    </row>
    <row r="1974" spans="1:4" x14ac:dyDescent="0.25">
      <c r="A1974" s="86">
        <v>36</v>
      </c>
      <c r="B1974" s="86">
        <v>63</v>
      </c>
      <c r="C1974" s="103">
        <v>1.0307681306882803E-2</v>
      </c>
      <c r="D1974" s="103">
        <v>1.0754103330545802E-2</v>
      </c>
    </row>
    <row r="1975" spans="1:4" x14ac:dyDescent="0.25">
      <c r="A1975" s="86">
        <v>36</v>
      </c>
      <c r="B1975" s="86">
        <v>65</v>
      </c>
      <c r="C1975" s="103">
        <v>1.5566958487030689E-2</v>
      </c>
      <c r="D1975" s="103">
        <v>1.1727093631880897E-2</v>
      </c>
    </row>
    <row r="1976" spans="1:4" x14ac:dyDescent="0.25">
      <c r="A1976" s="86">
        <v>36</v>
      </c>
      <c r="B1976" s="86">
        <v>67</v>
      </c>
      <c r="C1976" s="103">
        <v>3.135471733852728E-2</v>
      </c>
      <c r="D1976" s="103">
        <v>2.3659027327200762E-2</v>
      </c>
    </row>
    <row r="1977" spans="1:4" x14ac:dyDescent="0.25">
      <c r="A1977" s="86">
        <v>36</v>
      </c>
      <c r="B1977" s="86">
        <v>69</v>
      </c>
      <c r="C1977" s="103">
        <v>9.7209668523341366E-3</v>
      </c>
      <c r="D1977" s="103">
        <v>5.6331017445716107E-3</v>
      </c>
    </row>
    <row r="1978" spans="1:4" x14ac:dyDescent="0.25">
      <c r="A1978" s="86">
        <v>36</v>
      </c>
      <c r="B1978" s="86">
        <v>71</v>
      </c>
      <c r="C1978" s="103">
        <v>3.3915013308706131E-2</v>
      </c>
      <c r="D1978" s="103">
        <v>1.9562226058421409E-2</v>
      </c>
    </row>
    <row r="1979" spans="1:4" x14ac:dyDescent="0.25">
      <c r="A1979" s="86">
        <v>36</v>
      </c>
      <c r="B1979" s="86">
        <v>73</v>
      </c>
      <c r="C1979" s="103">
        <v>1.8737260884946149E-3</v>
      </c>
      <c r="D1979" s="103">
        <v>2.0842476454914958E-3</v>
      </c>
    </row>
    <row r="1980" spans="1:4" x14ac:dyDescent="0.25">
      <c r="A1980" s="86">
        <v>36</v>
      </c>
      <c r="B1980" s="86">
        <v>75</v>
      </c>
      <c r="C1980" s="103">
        <v>7.1236237647415435E-3</v>
      </c>
      <c r="D1980" s="103">
        <v>6.0427818714495459E-3</v>
      </c>
    </row>
    <row r="1981" spans="1:4" x14ac:dyDescent="0.25">
      <c r="A1981" s="86">
        <v>36</v>
      </c>
      <c r="B1981" s="86">
        <v>77</v>
      </c>
      <c r="C1981" s="103">
        <v>4.1318661065742543E-3</v>
      </c>
      <c r="D1981" s="103">
        <v>3.0623589484125662E-3</v>
      </c>
    </row>
    <row r="1982" spans="1:4" x14ac:dyDescent="0.25">
      <c r="A1982" s="86">
        <v>36</v>
      </c>
      <c r="B1982" s="86">
        <v>79</v>
      </c>
      <c r="C1982" s="103">
        <v>9.5942715856826098E-3</v>
      </c>
      <c r="D1982" s="103">
        <v>5.0595495669425007E-3</v>
      </c>
    </row>
    <row r="1983" spans="1:4" x14ac:dyDescent="0.25">
      <c r="A1983" s="86">
        <v>36</v>
      </c>
      <c r="B1983" s="86">
        <v>81</v>
      </c>
      <c r="C1983" s="103">
        <v>7.3246458679354823E-2</v>
      </c>
      <c r="D1983" s="103">
        <v>0.11624673600161414</v>
      </c>
    </row>
    <row r="1984" spans="1:4" x14ac:dyDescent="0.25">
      <c r="A1984" s="86">
        <v>36</v>
      </c>
      <c r="B1984" s="86">
        <v>83</v>
      </c>
      <c r="C1984" s="103">
        <v>9.3126370538943581E-3</v>
      </c>
      <c r="D1984" s="103">
        <v>8.1423925216989636E-3</v>
      </c>
    </row>
    <row r="1985" spans="1:4" x14ac:dyDescent="0.25">
      <c r="A1985" s="86">
        <v>36</v>
      </c>
      <c r="B1985" s="86">
        <v>85</v>
      </c>
      <c r="C1985" s="103">
        <v>1.9650548381000874E-2</v>
      </c>
      <c r="D1985" s="103">
        <v>2.4375967549237151E-2</v>
      </c>
    </row>
    <row r="1986" spans="1:4" x14ac:dyDescent="0.25">
      <c r="A1986" s="86">
        <v>36</v>
      </c>
      <c r="B1986" s="86">
        <v>87</v>
      </c>
      <c r="C1986" s="103">
        <v>2.2486268909091587E-2</v>
      </c>
      <c r="D1986" s="103">
        <v>1.6694465170275865E-2</v>
      </c>
    </row>
    <row r="1987" spans="1:4" x14ac:dyDescent="0.25">
      <c r="A1987" s="86">
        <v>36</v>
      </c>
      <c r="B1987" s="86">
        <v>89</v>
      </c>
      <c r="C1987" s="103">
        <v>5.6432456862335074E-3</v>
      </c>
      <c r="D1987" s="103">
        <v>5.5306817128521263E-3</v>
      </c>
    </row>
    <row r="1988" spans="1:4" x14ac:dyDescent="0.25">
      <c r="A1988" s="86">
        <v>36</v>
      </c>
      <c r="B1988" s="86">
        <v>91</v>
      </c>
      <c r="C1988" s="103">
        <v>1.6873755313568852E-2</v>
      </c>
      <c r="D1988" s="103">
        <v>1.1778303647740639E-2</v>
      </c>
    </row>
    <row r="1989" spans="1:4" x14ac:dyDescent="0.25">
      <c r="A1989" s="86">
        <v>36</v>
      </c>
      <c r="B1989" s="86">
        <v>93</v>
      </c>
      <c r="C1989" s="103">
        <v>8.6475167348946599E-3</v>
      </c>
      <c r="D1989" s="103">
        <v>7.9375524582599964E-3</v>
      </c>
    </row>
    <row r="1990" spans="1:4" x14ac:dyDescent="0.25">
      <c r="A1990" s="86">
        <v>36</v>
      </c>
      <c r="B1990" s="86">
        <v>95</v>
      </c>
      <c r="C1990" s="103">
        <v>2.2812277508312412E-3</v>
      </c>
      <c r="D1990" s="103">
        <v>1.5926314932379734E-3</v>
      </c>
    </row>
    <row r="1991" spans="1:4" x14ac:dyDescent="0.25">
      <c r="A1991" s="86">
        <v>36</v>
      </c>
      <c r="B1991" s="86">
        <v>97</v>
      </c>
      <c r="C1991" s="103">
        <v>1.1836011126488133E-3</v>
      </c>
      <c r="D1991" s="103">
        <v>9.1665928388938022E-4</v>
      </c>
    </row>
    <row r="1992" spans="1:4" x14ac:dyDescent="0.25">
      <c r="A1992" s="86">
        <v>36</v>
      </c>
      <c r="B1992" s="86">
        <v>99</v>
      </c>
      <c r="C1992" s="103">
        <v>3.4124755525577919E-3</v>
      </c>
      <c r="D1992" s="103">
        <v>1.7513825424031735E-3</v>
      </c>
    </row>
    <row r="1993" spans="1:4" x14ac:dyDescent="0.25">
      <c r="A1993" s="86">
        <v>36</v>
      </c>
      <c r="B1993" s="86">
        <v>101</v>
      </c>
      <c r="C1993" s="103">
        <v>8.7663440739568464E-3</v>
      </c>
      <c r="D1993" s="103">
        <v>4.9110405209492492E-3</v>
      </c>
    </row>
    <row r="1994" spans="1:4" x14ac:dyDescent="0.25">
      <c r="A1994" s="86">
        <v>36</v>
      </c>
      <c r="B1994" s="86">
        <v>103</v>
      </c>
      <c r="C1994" s="103">
        <v>0.11032001859347267</v>
      </c>
      <c r="D1994" s="103">
        <v>7.5790823472418029E-2</v>
      </c>
    </row>
    <row r="1995" spans="1:4" x14ac:dyDescent="0.25">
      <c r="A1995" s="86">
        <v>36</v>
      </c>
      <c r="B1995" s="86">
        <v>105</v>
      </c>
      <c r="C1995" s="103">
        <v>6.3298520230071435E-3</v>
      </c>
      <c r="D1995" s="103">
        <v>3.8612351958245399E-3</v>
      </c>
    </row>
    <row r="1996" spans="1:4" x14ac:dyDescent="0.25">
      <c r="A1996" s="86">
        <v>36</v>
      </c>
      <c r="B1996" s="86">
        <v>107</v>
      </c>
      <c r="C1996" s="103">
        <v>4.126482420298336E-3</v>
      </c>
      <c r="D1996" s="103">
        <v>2.4785647676115086E-3</v>
      </c>
    </row>
    <row r="1997" spans="1:4" x14ac:dyDescent="0.25">
      <c r="A1997" s="86">
        <v>36</v>
      </c>
      <c r="B1997" s="86">
        <v>109</v>
      </c>
      <c r="C1997" s="103">
        <v>5.0943344079223702E-3</v>
      </c>
      <c r="D1997" s="103">
        <v>5.2234216176936746E-3</v>
      </c>
    </row>
    <row r="1998" spans="1:4" x14ac:dyDescent="0.25">
      <c r="A1998" s="86">
        <v>36</v>
      </c>
      <c r="B1998" s="86">
        <v>111</v>
      </c>
      <c r="C1998" s="103">
        <v>1.479609151878138E-2</v>
      </c>
      <c r="D1998" s="103">
        <v>9.115382823034061E-3</v>
      </c>
    </row>
    <row r="1999" spans="1:4" x14ac:dyDescent="0.25">
      <c r="A1999" s="86">
        <v>36</v>
      </c>
      <c r="B1999" s="86">
        <v>113</v>
      </c>
      <c r="C1999" s="103">
        <v>5.7350961978224315E-3</v>
      </c>
      <c r="D1999" s="103">
        <v>3.2876830181954309E-3</v>
      </c>
    </row>
    <row r="2000" spans="1:4" x14ac:dyDescent="0.25">
      <c r="A2000" s="86">
        <v>36</v>
      </c>
      <c r="B2000" s="86">
        <v>115</v>
      </c>
      <c r="C2000" s="103">
        <v>3.4034264562054083E-3</v>
      </c>
      <c r="D2000" s="103">
        <v>3.1391739722021793E-3</v>
      </c>
    </row>
    <row r="2001" spans="1:4" x14ac:dyDescent="0.25">
      <c r="A2001" s="86">
        <v>36</v>
      </c>
      <c r="B2001" s="86">
        <v>117</v>
      </c>
      <c r="C2001" s="103">
        <v>4.8033324760803388E-3</v>
      </c>
      <c r="D2001" s="103">
        <v>4.6191434305487208E-3</v>
      </c>
    </row>
    <row r="2002" spans="1:4" x14ac:dyDescent="0.25">
      <c r="A2002" s="86">
        <v>36</v>
      </c>
      <c r="B2002" s="86">
        <v>119</v>
      </c>
      <c r="C2002" s="103">
        <v>6.7895010361316746E-2</v>
      </c>
      <c r="D2002" s="103">
        <v>4.957129535223017E-2</v>
      </c>
    </row>
    <row r="2003" spans="1:4" x14ac:dyDescent="0.25">
      <c r="A2003" s="86">
        <v>36</v>
      </c>
      <c r="B2003" s="86">
        <v>121</v>
      </c>
      <c r="C2003" s="103">
        <v>2.0191641060581336E-3</v>
      </c>
      <c r="D2003" s="103">
        <v>2.0484006343896763E-3</v>
      </c>
    </row>
    <row r="2004" spans="1:4" x14ac:dyDescent="0.25">
      <c r="A2004" s="86">
        <v>36</v>
      </c>
      <c r="B2004" s="86">
        <v>123</v>
      </c>
      <c r="C2004" s="103">
        <v>1.3895098597213611E-3</v>
      </c>
      <c r="D2004" s="103">
        <v>1.2802503964935478E-3</v>
      </c>
    </row>
    <row r="2005" spans="1:4" x14ac:dyDescent="0.25">
      <c r="A2005" s="86">
        <v>37</v>
      </c>
      <c r="B2005" s="86">
        <v>1</v>
      </c>
      <c r="C2005" s="103">
        <v>1.5706181285094947E-2</v>
      </c>
      <c r="D2005" s="103">
        <v>1.6092631887309177E-2</v>
      </c>
    </row>
    <row r="2006" spans="1:4" x14ac:dyDescent="0.25">
      <c r="A2006" s="86">
        <v>37</v>
      </c>
      <c r="B2006" s="86">
        <v>3</v>
      </c>
      <c r="C2006" s="103">
        <v>2.0922949463526349E-3</v>
      </c>
      <c r="D2006" s="103">
        <v>3.5943423317163609E-3</v>
      </c>
    </row>
    <row r="2007" spans="1:4" x14ac:dyDescent="0.25">
      <c r="A2007" s="86">
        <v>37</v>
      </c>
      <c r="B2007" s="86">
        <v>5</v>
      </c>
      <c r="C2007" s="103">
        <v>7.4483005835034673E-4</v>
      </c>
      <c r="D2007" s="103">
        <v>1.0696300236474963E-3</v>
      </c>
    </row>
    <row r="2008" spans="1:4" x14ac:dyDescent="0.25">
      <c r="A2008" s="86">
        <v>37</v>
      </c>
      <c r="B2008" s="86">
        <v>7</v>
      </c>
      <c r="C2008" s="103">
        <v>2.9320973993754661E-3</v>
      </c>
      <c r="D2008" s="103">
        <v>2.3608950972399691E-3</v>
      </c>
    </row>
    <row r="2009" spans="1:4" x14ac:dyDescent="0.25">
      <c r="A2009" s="86">
        <v>37</v>
      </c>
      <c r="B2009" s="86">
        <v>9</v>
      </c>
      <c r="C2009" s="103">
        <v>2.1206127146239494E-3</v>
      </c>
      <c r="D2009" s="103">
        <v>2.6114390667429863E-3</v>
      </c>
    </row>
    <row r="2010" spans="1:4" x14ac:dyDescent="0.25">
      <c r="A2010" s="86">
        <v>37</v>
      </c>
      <c r="B2010" s="86">
        <v>11</v>
      </c>
      <c r="C2010" s="103">
        <v>1.5092384139077366E-3</v>
      </c>
      <c r="D2010" s="103">
        <v>1.6863536408856922E-3</v>
      </c>
    </row>
    <row r="2011" spans="1:4" x14ac:dyDescent="0.25">
      <c r="A2011" s="86">
        <v>37</v>
      </c>
      <c r="B2011" s="86">
        <v>13</v>
      </c>
      <c r="C2011" s="103">
        <v>4.064533700011151E-3</v>
      </c>
      <c r="D2011" s="103">
        <v>4.5387003706123486E-3</v>
      </c>
    </row>
    <row r="2012" spans="1:4" x14ac:dyDescent="0.25">
      <c r="A2012" s="86">
        <v>37</v>
      </c>
      <c r="B2012" s="86">
        <v>15</v>
      </c>
      <c r="C2012" s="103">
        <v>2.3164344512123028E-3</v>
      </c>
      <c r="D2012" s="103">
        <v>1.8405345451952412E-3</v>
      </c>
    </row>
    <row r="2013" spans="1:4" x14ac:dyDescent="0.25">
      <c r="A2013" s="86">
        <v>37</v>
      </c>
      <c r="B2013" s="86">
        <v>17</v>
      </c>
      <c r="C2013" s="103">
        <v>3.3692371302985759E-3</v>
      </c>
      <c r="D2013" s="103">
        <v>3.199253764423142E-3</v>
      </c>
    </row>
    <row r="2014" spans="1:4" x14ac:dyDescent="0.25">
      <c r="A2014" s="86">
        <v>37</v>
      </c>
      <c r="B2014" s="86">
        <v>19</v>
      </c>
      <c r="C2014" s="103">
        <v>1.3871106441183971E-2</v>
      </c>
      <c r="D2014" s="103">
        <v>1.3201739931505134E-2</v>
      </c>
    </row>
    <row r="2015" spans="1:4" x14ac:dyDescent="0.25">
      <c r="A2015" s="86">
        <v>37</v>
      </c>
      <c r="B2015" s="86">
        <v>21</v>
      </c>
      <c r="C2015" s="103">
        <v>2.7047331720839483E-2</v>
      </c>
      <c r="D2015" s="103">
        <v>2.4958033885108245E-2</v>
      </c>
    </row>
    <row r="2016" spans="1:4" x14ac:dyDescent="0.25">
      <c r="A2016" s="86">
        <v>37</v>
      </c>
      <c r="B2016" s="86">
        <v>23</v>
      </c>
      <c r="C2016" s="103">
        <v>9.2833628709659676E-3</v>
      </c>
      <c r="D2016" s="103">
        <v>8.7112210934895181E-3</v>
      </c>
    </row>
    <row r="2017" spans="1:4" x14ac:dyDescent="0.25">
      <c r="A2017" s="86">
        <v>37</v>
      </c>
      <c r="B2017" s="86">
        <v>25</v>
      </c>
      <c r="C2017" s="103">
        <v>1.9566127527004772E-2</v>
      </c>
      <c r="D2017" s="103">
        <v>2.0428969821015244E-2</v>
      </c>
    </row>
    <row r="2018" spans="1:4" x14ac:dyDescent="0.25">
      <c r="A2018" s="86">
        <v>37</v>
      </c>
      <c r="B2018" s="86">
        <v>27</v>
      </c>
      <c r="C2018" s="103">
        <v>6.1932671996756264E-3</v>
      </c>
      <c r="D2018" s="103">
        <v>7.9017713458643859E-3</v>
      </c>
    </row>
    <row r="2019" spans="1:4" x14ac:dyDescent="0.25">
      <c r="A2019" s="86">
        <v>37</v>
      </c>
      <c r="B2019" s="86">
        <v>29</v>
      </c>
      <c r="C2019" s="103">
        <v>1.1956379553590703E-3</v>
      </c>
      <c r="D2019" s="103">
        <v>1.031084797570109E-3</v>
      </c>
    </row>
    <row r="2020" spans="1:4" x14ac:dyDescent="0.25">
      <c r="A2020" s="86">
        <v>37</v>
      </c>
      <c r="B2020" s="86">
        <v>31</v>
      </c>
      <c r="C2020" s="103">
        <v>7.2283732644876832E-3</v>
      </c>
      <c r="D2020" s="103">
        <v>6.6875967244266876E-3</v>
      </c>
    </row>
    <row r="2021" spans="1:4" x14ac:dyDescent="0.25">
      <c r="A2021" s="86">
        <v>37</v>
      </c>
      <c r="B2021" s="86">
        <v>33</v>
      </c>
      <c r="C2021" s="103">
        <v>1.8630125607141637E-3</v>
      </c>
      <c r="D2021" s="103">
        <v>2.1778052733723795E-3</v>
      </c>
    </row>
    <row r="2022" spans="1:4" x14ac:dyDescent="0.25">
      <c r="A2022" s="86">
        <v>37</v>
      </c>
      <c r="B2022" s="86">
        <v>35</v>
      </c>
      <c r="C2022" s="103">
        <v>1.603694199502816E-2</v>
      </c>
      <c r="D2022" s="103">
        <v>1.5321727365761432E-2</v>
      </c>
    </row>
    <row r="2023" spans="1:4" x14ac:dyDescent="0.25">
      <c r="A2023" s="86">
        <v>37</v>
      </c>
      <c r="B2023" s="86">
        <v>37</v>
      </c>
      <c r="C2023" s="103">
        <v>7.9684638300848171E-3</v>
      </c>
      <c r="D2023" s="103">
        <v>7.04414006564252E-3</v>
      </c>
    </row>
    <row r="2024" spans="1:4" x14ac:dyDescent="0.25">
      <c r="A2024" s="86">
        <v>37</v>
      </c>
      <c r="B2024" s="86">
        <v>39</v>
      </c>
      <c r="C2024" s="103">
        <v>2.5211329051122965E-3</v>
      </c>
      <c r="D2024" s="103">
        <v>2.7367110514944946E-3</v>
      </c>
    </row>
    <row r="2025" spans="1:4" x14ac:dyDescent="0.25">
      <c r="A2025" s="86">
        <v>37</v>
      </c>
      <c r="B2025" s="86">
        <v>41</v>
      </c>
      <c r="C2025" s="103">
        <v>1.0206599936162907E-3</v>
      </c>
      <c r="D2025" s="103">
        <v>1.3587192192279006E-3</v>
      </c>
    </row>
    <row r="2026" spans="1:4" x14ac:dyDescent="0.25">
      <c r="A2026" s="86">
        <v>37</v>
      </c>
      <c r="B2026" s="86">
        <v>43</v>
      </c>
      <c r="C2026" s="103">
        <v>8.8745360557484978E-4</v>
      </c>
      <c r="D2026" s="103">
        <v>1.0696300236474963E-3</v>
      </c>
    </row>
    <row r="2027" spans="1:4" x14ac:dyDescent="0.25">
      <c r="A2027" s="86">
        <v>37</v>
      </c>
      <c r="B2027" s="86">
        <v>45</v>
      </c>
      <c r="C2027" s="103">
        <v>9.4046325749930996E-3</v>
      </c>
      <c r="D2027" s="103">
        <v>9.3953988563631428E-3</v>
      </c>
    </row>
    <row r="2028" spans="1:4" x14ac:dyDescent="0.25">
      <c r="A2028" s="86">
        <v>37</v>
      </c>
      <c r="B2028" s="86">
        <v>47</v>
      </c>
      <c r="C2028" s="103">
        <v>6.3667423559367079E-3</v>
      </c>
      <c r="D2028" s="103">
        <v>5.3770590377955211E-3</v>
      </c>
    </row>
    <row r="2029" spans="1:4" x14ac:dyDescent="0.25">
      <c r="A2029" s="86">
        <v>37</v>
      </c>
      <c r="B2029" s="86">
        <v>49</v>
      </c>
      <c r="C2029" s="103">
        <v>9.2137920330925011E-3</v>
      </c>
      <c r="D2029" s="103">
        <v>9.8290326497337491E-3</v>
      </c>
    </row>
    <row r="2030" spans="1:4" x14ac:dyDescent="0.25">
      <c r="A2030" s="86">
        <v>37</v>
      </c>
      <c r="B2030" s="86">
        <v>51</v>
      </c>
      <c r="C2030" s="103">
        <v>3.0747000011358119E-2</v>
      </c>
      <c r="D2030" s="103">
        <v>3.2088900709424883E-2</v>
      </c>
    </row>
    <row r="2031" spans="1:4" x14ac:dyDescent="0.25">
      <c r="A2031" s="86">
        <v>37</v>
      </c>
      <c r="B2031" s="86">
        <v>53</v>
      </c>
      <c r="C2031" s="103">
        <v>3.2383419764287435E-3</v>
      </c>
      <c r="D2031" s="103">
        <v>2.6018027602236395E-3</v>
      </c>
    </row>
    <row r="2032" spans="1:4" x14ac:dyDescent="0.25">
      <c r="A2032" s="86">
        <v>37</v>
      </c>
      <c r="B2032" s="86">
        <v>55</v>
      </c>
      <c r="C2032" s="103">
        <v>4.7831730132350285E-3</v>
      </c>
      <c r="D2032" s="103">
        <v>3.5268881860809334E-3</v>
      </c>
    </row>
    <row r="2033" spans="1:4" x14ac:dyDescent="0.25">
      <c r="A2033" s="86">
        <v>37</v>
      </c>
      <c r="B2033" s="86">
        <v>57</v>
      </c>
      <c r="C2033" s="103">
        <v>1.7394242738271622E-2</v>
      </c>
      <c r="D2033" s="103">
        <v>1.599626882211571E-2</v>
      </c>
    </row>
    <row r="2034" spans="1:4" x14ac:dyDescent="0.25">
      <c r="A2034" s="86">
        <v>37</v>
      </c>
      <c r="B2034" s="86">
        <v>59</v>
      </c>
      <c r="C2034" s="103">
        <v>4.9836066547241939E-3</v>
      </c>
      <c r="D2034" s="103">
        <v>4.1050665772417423E-3</v>
      </c>
    </row>
    <row r="2035" spans="1:4" x14ac:dyDescent="0.25">
      <c r="A2035" s="86">
        <v>37</v>
      </c>
      <c r="B2035" s="86">
        <v>61</v>
      </c>
      <c r="C2035" s="103">
        <v>6.2549965753505585E-3</v>
      </c>
      <c r="D2035" s="103">
        <v>5.685420846414619E-3</v>
      </c>
    </row>
    <row r="2036" spans="1:4" x14ac:dyDescent="0.25">
      <c r="A2036" s="86">
        <v>37</v>
      </c>
      <c r="B2036" s="86">
        <v>63</v>
      </c>
      <c r="C2036" s="103">
        <v>3.0158600859444135E-2</v>
      </c>
      <c r="D2036" s="103">
        <v>3.0547091666329396E-2</v>
      </c>
    </row>
    <row r="2037" spans="1:4" x14ac:dyDescent="0.25">
      <c r="A2037" s="86">
        <v>37</v>
      </c>
      <c r="B2037" s="86">
        <v>65</v>
      </c>
      <c r="C2037" s="103">
        <v>4.7551686933904437E-3</v>
      </c>
      <c r="D2037" s="103">
        <v>5.0108793900603427E-3</v>
      </c>
    </row>
    <row r="2038" spans="1:4" x14ac:dyDescent="0.25">
      <c r="A2038" s="86">
        <v>37</v>
      </c>
      <c r="B2038" s="86">
        <v>67</v>
      </c>
      <c r="C2038" s="103">
        <v>3.4958880060133757E-2</v>
      </c>
      <c r="D2038" s="103">
        <v>3.6521601708324421E-2</v>
      </c>
    </row>
    <row r="2039" spans="1:4" x14ac:dyDescent="0.25">
      <c r="A2039" s="86">
        <v>37</v>
      </c>
      <c r="B2039" s="86">
        <v>69</v>
      </c>
      <c r="C2039" s="103">
        <v>5.4362664930563392E-3</v>
      </c>
      <c r="D2039" s="103">
        <v>6.5141432070784456E-3</v>
      </c>
    </row>
    <row r="2040" spans="1:4" x14ac:dyDescent="0.25">
      <c r="A2040" s="86">
        <v>37</v>
      </c>
      <c r="B2040" s="86">
        <v>71</v>
      </c>
      <c r="C2040" s="103">
        <v>2.1843564129070091E-2</v>
      </c>
      <c r="D2040" s="103">
        <v>2.1488963538143391E-2</v>
      </c>
    </row>
    <row r="2041" spans="1:4" x14ac:dyDescent="0.25">
      <c r="A2041" s="86">
        <v>37</v>
      </c>
      <c r="B2041" s="86">
        <v>73</v>
      </c>
      <c r="C2041" s="103">
        <v>9.7200597812629932E-4</v>
      </c>
      <c r="D2041" s="103">
        <v>1.1178115562442302E-3</v>
      </c>
    </row>
    <row r="2042" spans="1:4" x14ac:dyDescent="0.25">
      <c r="A2042" s="86">
        <v>37</v>
      </c>
      <c r="B2042" s="86">
        <v>75</v>
      </c>
      <c r="C2042" s="103">
        <v>6.4233267286528857E-4</v>
      </c>
      <c r="D2042" s="103">
        <v>8.1523153153674032E-4</v>
      </c>
    </row>
    <row r="2043" spans="1:4" x14ac:dyDescent="0.25">
      <c r="A2043" s="86">
        <v>37</v>
      </c>
      <c r="B2043" s="86">
        <v>77</v>
      </c>
      <c r="C2043" s="103">
        <v>6.550695195834939E-3</v>
      </c>
      <c r="D2043" s="103">
        <v>5.7817839116080872E-3</v>
      </c>
    </row>
    <row r="2044" spans="1:4" x14ac:dyDescent="0.25">
      <c r="A2044" s="86">
        <v>37</v>
      </c>
      <c r="B2044" s="86">
        <v>79</v>
      </c>
      <c r="C2044" s="103">
        <v>1.8630284003059948E-3</v>
      </c>
      <c r="D2044" s="103">
        <v>2.0332606755821773E-3</v>
      </c>
    </row>
    <row r="2045" spans="1:4" x14ac:dyDescent="0.25">
      <c r="A2045" s="86">
        <v>37</v>
      </c>
      <c r="B2045" s="86">
        <v>81</v>
      </c>
      <c r="C2045" s="103">
        <v>5.6464780839419956E-2</v>
      </c>
      <c r="D2045" s="103">
        <v>5.1361513748118509E-2</v>
      </c>
    </row>
    <row r="2046" spans="1:4" x14ac:dyDescent="0.25">
      <c r="A2046" s="86">
        <v>37</v>
      </c>
      <c r="B2046" s="86">
        <v>83</v>
      </c>
      <c r="C2046" s="103">
        <v>6.2657941377392079E-3</v>
      </c>
      <c r="D2046" s="103">
        <v>4.8759710987894868E-3</v>
      </c>
    </row>
    <row r="2047" spans="1:4" x14ac:dyDescent="0.25">
      <c r="A2047" s="86">
        <v>37</v>
      </c>
      <c r="B2047" s="86">
        <v>85</v>
      </c>
      <c r="C2047" s="103">
        <v>1.0504911290801985E-2</v>
      </c>
      <c r="D2047" s="103">
        <v>1.2912650735924729E-2</v>
      </c>
    </row>
    <row r="2048" spans="1:4" x14ac:dyDescent="0.25">
      <c r="A2048" s="86">
        <v>37</v>
      </c>
      <c r="B2048" s="86">
        <v>87</v>
      </c>
      <c r="C2048" s="103">
        <v>9.1061854596626336E-3</v>
      </c>
      <c r="D2048" s="103">
        <v>5.9648737354756768E-3</v>
      </c>
    </row>
    <row r="2049" spans="1:4" x14ac:dyDescent="0.25">
      <c r="A2049" s="86">
        <v>37</v>
      </c>
      <c r="B2049" s="86">
        <v>89</v>
      </c>
      <c r="C2049" s="103">
        <v>1.0643541765004318E-2</v>
      </c>
      <c r="D2049" s="103">
        <v>1.1274478627635771E-2</v>
      </c>
    </row>
    <row r="2050" spans="1:4" x14ac:dyDescent="0.25">
      <c r="A2050" s="86">
        <v>37</v>
      </c>
      <c r="B2050" s="86">
        <v>91</v>
      </c>
      <c r="C2050" s="103">
        <v>1.8541370357365826E-3</v>
      </c>
      <c r="D2050" s="103">
        <v>2.3030772581238883E-3</v>
      </c>
    </row>
    <row r="2051" spans="1:4" x14ac:dyDescent="0.25">
      <c r="A2051" s="86">
        <v>37</v>
      </c>
      <c r="B2051" s="86">
        <v>93</v>
      </c>
      <c r="C2051" s="103">
        <v>3.5084697302336012E-3</v>
      </c>
      <c r="D2051" s="103">
        <v>5.2710596660827062E-3</v>
      </c>
    </row>
    <row r="2052" spans="1:4" x14ac:dyDescent="0.25">
      <c r="A2052" s="86">
        <v>37</v>
      </c>
      <c r="B2052" s="86">
        <v>95</v>
      </c>
      <c r="C2052" s="103">
        <v>4.3151251990139521E-4</v>
      </c>
      <c r="D2052" s="103">
        <v>4.8470621792314465E-4</v>
      </c>
    </row>
    <row r="2053" spans="1:4" x14ac:dyDescent="0.25">
      <c r="A2053" s="86">
        <v>37</v>
      </c>
      <c r="B2053" s="86">
        <v>97</v>
      </c>
      <c r="C2053" s="103">
        <v>2.0153936994065848E-2</v>
      </c>
      <c r="D2053" s="103">
        <v>1.7152625604437328E-2</v>
      </c>
    </row>
    <row r="2054" spans="1:4" x14ac:dyDescent="0.25">
      <c r="A2054" s="86">
        <v>37</v>
      </c>
      <c r="B2054" s="86">
        <v>99</v>
      </c>
      <c r="C2054" s="103">
        <v>4.8289570259533385E-3</v>
      </c>
      <c r="D2054" s="103">
        <v>4.2014296424352105E-3</v>
      </c>
    </row>
    <row r="2055" spans="1:4" x14ac:dyDescent="0.25">
      <c r="A2055" s="86">
        <v>37</v>
      </c>
      <c r="B2055" s="86">
        <v>101</v>
      </c>
      <c r="C2055" s="103">
        <v>2.3019002202474565E-2</v>
      </c>
      <c r="D2055" s="103">
        <v>1.9561702234274031E-2</v>
      </c>
    </row>
    <row r="2056" spans="1:4" x14ac:dyDescent="0.25">
      <c r="A2056" s="86">
        <v>37</v>
      </c>
      <c r="B2056" s="86">
        <v>103</v>
      </c>
      <c r="C2056" s="103">
        <v>1.7724809921888759E-3</v>
      </c>
      <c r="D2056" s="103">
        <v>9.2604905650922869E-4</v>
      </c>
    </row>
    <row r="2057" spans="1:4" x14ac:dyDescent="0.25">
      <c r="A2057" s="86">
        <v>37</v>
      </c>
      <c r="B2057" s="86">
        <v>105</v>
      </c>
      <c r="C2057" s="103">
        <v>6.491030305475088E-3</v>
      </c>
      <c r="D2057" s="103">
        <v>5.8974195898402497E-3</v>
      </c>
    </row>
    <row r="2058" spans="1:4" x14ac:dyDescent="0.25">
      <c r="A2058" s="86">
        <v>37</v>
      </c>
      <c r="B2058" s="86">
        <v>107</v>
      </c>
      <c r="C2058" s="103">
        <v>5.5396148289788482E-3</v>
      </c>
      <c r="D2058" s="103">
        <v>5.3963316508342154E-3</v>
      </c>
    </row>
    <row r="2059" spans="1:4" x14ac:dyDescent="0.25">
      <c r="A2059" s="86">
        <v>37</v>
      </c>
      <c r="B2059" s="86">
        <v>109</v>
      </c>
      <c r="C2059" s="103">
        <v>6.9709317885428409E-3</v>
      </c>
      <c r="D2059" s="103">
        <v>8.1041337827706689E-3</v>
      </c>
    </row>
    <row r="2060" spans="1:4" x14ac:dyDescent="0.25">
      <c r="A2060" s="86">
        <v>37</v>
      </c>
      <c r="B2060" s="86">
        <v>111</v>
      </c>
      <c r="C2060" s="103">
        <v>6.1233739656322587E-3</v>
      </c>
      <c r="D2060" s="103">
        <v>4.3845194663028001E-3</v>
      </c>
    </row>
    <row r="2061" spans="1:4" x14ac:dyDescent="0.25">
      <c r="A2061" s="86">
        <v>37</v>
      </c>
      <c r="B2061" s="86">
        <v>113</v>
      </c>
      <c r="C2061" s="103">
        <v>3.2094227016378619E-3</v>
      </c>
      <c r="D2061" s="103">
        <v>3.401616201329425E-3</v>
      </c>
    </row>
    <row r="2062" spans="1:4" x14ac:dyDescent="0.25">
      <c r="A2062" s="86">
        <v>37</v>
      </c>
      <c r="B2062" s="86">
        <v>115</v>
      </c>
      <c r="C2062" s="103">
        <v>1.9700037391288555E-3</v>
      </c>
      <c r="D2062" s="103">
        <v>2.0910785146982585E-3</v>
      </c>
    </row>
    <row r="2063" spans="1:4" x14ac:dyDescent="0.25">
      <c r="A2063" s="86">
        <v>37</v>
      </c>
      <c r="B2063" s="86">
        <v>117</v>
      </c>
      <c r="C2063" s="103">
        <v>2.5974182442793387E-3</v>
      </c>
      <c r="D2063" s="103">
        <v>2.1874415798917263E-3</v>
      </c>
    </row>
    <row r="2064" spans="1:4" x14ac:dyDescent="0.25">
      <c r="A2064" s="86">
        <v>37</v>
      </c>
      <c r="B2064" s="86">
        <v>119</v>
      </c>
      <c r="C2064" s="103">
        <v>0.10466817385491448</v>
      </c>
      <c r="D2064" s="103">
        <v>0.10503574106088026</v>
      </c>
    </row>
    <row r="2065" spans="1:4" x14ac:dyDescent="0.25">
      <c r="A2065" s="86">
        <v>37</v>
      </c>
      <c r="B2065" s="86">
        <v>121</v>
      </c>
      <c r="C2065" s="103">
        <v>1.0220233100427119E-3</v>
      </c>
      <c r="D2065" s="103">
        <v>1.4454459779020218E-3</v>
      </c>
    </row>
    <row r="2066" spans="1:4" x14ac:dyDescent="0.25">
      <c r="A2066" s="86">
        <v>37</v>
      </c>
      <c r="B2066" s="86">
        <v>123</v>
      </c>
      <c r="C2066" s="103">
        <v>3.1349614871383448E-3</v>
      </c>
      <c r="D2066" s="103">
        <v>2.6114390667429863E-3</v>
      </c>
    </row>
    <row r="2067" spans="1:4" x14ac:dyDescent="0.25">
      <c r="A2067" s="86">
        <v>37</v>
      </c>
      <c r="B2067" s="86">
        <v>125</v>
      </c>
      <c r="C2067" s="103">
        <v>8.4118854130605311E-3</v>
      </c>
      <c r="D2067" s="103">
        <v>9.5206708411146503E-3</v>
      </c>
    </row>
    <row r="2068" spans="1:4" x14ac:dyDescent="0.25">
      <c r="A2068" s="86">
        <v>37</v>
      </c>
      <c r="B2068" s="86">
        <v>127</v>
      </c>
      <c r="C2068" s="103">
        <v>1.3716898162712734E-2</v>
      </c>
      <c r="D2068" s="103">
        <v>9.0677644347053506E-3</v>
      </c>
    </row>
    <row r="2069" spans="1:4" x14ac:dyDescent="0.25">
      <c r="A2069" s="86">
        <v>37</v>
      </c>
      <c r="B2069" s="86">
        <v>129</v>
      </c>
      <c r="C2069" s="103">
        <v>1.8276303440267212E-2</v>
      </c>
      <c r="D2069" s="103">
        <v>2.2356231124884607E-2</v>
      </c>
    </row>
    <row r="2070" spans="1:4" x14ac:dyDescent="0.25">
      <c r="A2070" s="86">
        <v>37</v>
      </c>
      <c r="B2070" s="86">
        <v>131</v>
      </c>
      <c r="C2070" s="103">
        <v>2.5947056053029082E-3</v>
      </c>
      <c r="D2070" s="103">
        <v>1.898352384311322E-3</v>
      </c>
    </row>
    <row r="2071" spans="1:4" x14ac:dyDescent="0.25">
      <c r="A2071" s="86">
        <v>37</v>
      </c>
      <c r="B2071" s="86">
        <v>133</v>
      </c>
      <c r="C2071" s="103">
        <v>1.5590986293017702E-2</v>
      </c>
      <c r="D2071" s="103">
        <v>1.898352384311322E-2</v>
      </c>
    </row>
    <row r="2072" spans="1:4" x14ac:dyDescent="0.25">
      <c r="A2072" s="86">
        <v>37</v>
      </c>
      <c r="B2072" s="86">
        <v>135</v>
      </c>
      <c r="C2072" s="103">
        <v>1.5156208602986977E-2</v>
      </c>
      <c r="D2072" s="103">
        <v>1.4261733648633283E-2</v>
      </c>
    </row>
    <row r="2073" spans="1:4" x14ac:dyDescent="0.25">
      <c r="A2073" s="86">
        <v>37</v>
      </c>
      <c r="B2073" s="86">
        <v>137</v>
      </c>
      <c r="C2073" s="103">
        <v>1.0212163940041222E-3</v>
      </c>
      <c r="D2073" s="103">
        <v>1.2141746214376983E-3</v>
      </c>
    </row>
    <row r="2074" spans="1:4" x14ac:dyDescent="0.25">
      <c r="A2074" s="86">
        <v>37</v>
      </c>
      <c r="B2074" s="86">
        <v>139</v>
      </c>
      <c r="C2074" s="103">
        <v>3.1494118778223022E-3</v>
      </c>
      <c r="D2074" s="103">
        <v>3.8159773816613379E-3</v>
      </c>
    </row>
    <row r="2075" spans="1:4" x14ac:dyDescent="0.25">
      <c r="A2075" s="86">
        <v>37</v>
      </c>
      <c r="B2075" s="86">
        <v>141</v>
      </c>
      <c r="C2075" s="103">
        <v>7.6443956291590781E-3</v>
      </c>
      <c r="D2075" s="103">
        <v>5.9745100419950235E-3</v>
      </c>
    </row>
    <row r="2076" spans="1:4" x14ac:dyDescent="0.25">
      <c r="A2076" s="86">
        <v>37</v>
      </c>
      <c r="B2076" s="86">
        <v>143</v>
      </c>
      <c r="C2076" s="103">
        <v>1.1914174383410743E-3</v>
      </c>
      <c r="D2076" s="103">
        <v>1.2912650735924728E-3</v>
      </c>
    </row>
    <row r="2077" spans="1:4" x14ac:dyDescent="0.25">
      <c r="A2077" s="86">
        <v>37</v>
      </c>
      <c r="B2077" s="86">
        <v>145</v>
      </c>
      <c r="C2077" s="103">
        <v>2.6145186339274341E-3</v>
      </c>
      <c r="D2077" s="103">
        <v>3.796704768622644E-3</v>
      </c>
    </row>
    <row r="2078" spans="1:4" x14ac:dyDescent="0.25">
      <c r="A2078" s="86">
        <v>37</v>
      </c>
      <c r="B2078" s="86">
        <v>147</v>
      </c>
      <c r="C2078" s="103">
        <v>1.4454975026293801E-2</v>
      </c>
      <c r="D2078" s="103">
        <v>1.7345351734824262E-2</v>
      </c>
    </row>
    <row r="2079" spans="1:4" x14ac:dyDescent="0.25">
      <c r="A2079" s="86">
        <v>37</v>
      </c>
      <c r="B2079" s="86">
        <v>149</v>
      </c>
      <c r="C2079" s="103">
        <v>3.1937831445738667E-3</v>
      </c>
      <c r="D2079" s="103">
        <v>1.9947154495047904E-3</v>
      </c>
    </row>
    <row r="2080" spans="1:4" x14ac:dyDescent="0.25">
      <c r="A2080" s="86">
        <v>37</v>
      </c>
      <c r="B2080" s="86">
        <v>151</v>
      </c>
      <c r="C2080" s="103">
        <v>1.3827593513895254E-2</v>
      </c>
      <c r="D2080" s="103">
        <v>1.3779918322665941E-2</v>
      </c>
    </row>
    <row r="2081" spans="1:4" x14ac:dyDescent="0.25">
      <c r="A2081" s="86">
        <v>37</v>
      </c>
      <c r="B2081" s="86">
        <v>153</v>
      </c>
      <c r="C2081" s="103">
        <v>4.955598019451485E-3</v>
      </c>
      <c r="D2081" s="103">
        <v>4.3267016271867189E-3</v>
      </c>
    </row>
    <row r="2082" spans="1:4" x14ac:dyDescent="0.25">
      <c r="A2082" s="86">
        <v>37</v>
      </c>
      <c r="B2082" s="86">
        <v>155</v>
      </c>
      <c r="C2082" s="103">
        <v>1.5470479485882019E-2</v>
      </c>
      <c r="D2082" s="103">
        <v>1.2719924605537792E-2</v>
      </c>
    </row>
    <row r="2083" spans="1:4" x14ac:dyDescent="0.25">
      <c r="A2083" s="86">
        <v>37</v>
      </c>
      <c r="B2083" s="86">
        <v>157</v>
      </c>
      <c r="C2083" s="103">
        <v>8.1669511279375308E-3</v>
      </c>
      <c r="D2083" s="103">
        <v>8.7304937065282116E-3</v>
      </c>
    </row>
    <row r="2084" spans="1:4" x14ac:dyDescent="0.25">
      <c r="A2084" s="86">
        <v>37</v>
      </c>
      <c r="B2084" s="86">
        <v>159</v>
      </c>
      <c r="C2084" s="103">
        <v>1.4395817983400295E-2</v>
      </c>
      <c r="D2084" s="103">
        <v>1.3587192192279007E-2</v>
      </c>
    </row>
    <row r="2085" spans="1:4" x14ac:dyDescent="0.25">
      <c r="A2085" s="86">
        <v>37</v>
      </c>
      <c r="B2085" s="86">
        <v>161</v>
      </c>
      <c r="C2085" s="103">
        <v>4.8102157364324312E-3</v>
      </c>
      <c r="D2085" s="103">
        <v>6.4370527549236708E-3</v>
      </c>
    </row>
    <row r="2086" spans="1:4" x14ac:dyDescent="0.25">
      <c r="A2086" s="86">
        <v>37</v>
      </c>
      <c r="B2086" s="86">
        <v>163</v>
      </c>
      <c r="C2086" s="103">
        <v>6.2337048999453462E-3</v>
      </c>
      <c r="D2086" s="103">
        <v>6.0997820267465327E-3</v>
      </c>
    </row>
    <row r="2087" spans="1:4" x14ac:dyDescent="0.25">
      <c r="A2087" s="86">
        <v>37</v>
      </c>
      <c r="B2087" s="86">
        <v>165</v>
      </c>
      <c r="C2087" s="103">
        <v>3.73027431895671E-3</v>
      </c>
      <c r="D2087" s="103">
        <v>3.3534346687326909E-3</v>
      </c>
    </row>
    <row r="2088" spans="1:4" x14ac:dyDescent="0.25">
      <c r="A2088" s="86">
        <v>37</v>
      </c>
      <c r="B2088" s="86">
        <v>167</v>
      </c>
      <c r="C2088" s="103">
        <v>4.6896680073866773E-3</v>
      </c>
      <c r="D2088" s="103">
        <v>5.9937826550337178E-3</v>
      </c>
    </row>
    <row r="2089" spans="1:4" x14ac:dyDescent="0.25">
      <c r="A2089" s="86">
        <v>37</v>
      </c>
      <c r="B2089" s="86">
        <v>169</v>
      </c>
      <c r="C2089" s="103">
        <v>3.0384368295211638E-3</v>
      </c>
      <c r="D2089" s="103">
        <v>4.3845194663028001E-3</v>
      </c>
    </row>
    <row r="2090" spans="1:4" x14ac:dyDescent="0.25">
      <c r="A2090" s="86">
        <v>37</v>
      </c>
      <c r="B2090" s="86">
        <v>171</v>
      </c>
      <c r="C2090" s="103">
        <v>8.607888010152262E-3</v>
      </c>
      <c r="D2090" s="103">
        <v>6.9381406939297051E-3</v>
      </c>
    </row>
    <row r="2091" spans="1:4" x14ac:dyDescent="0.25">
      <c r="A2091" s="86">
        <v>37</v>
      </c>
      <c r="B2091" s="86">
        <v>173</v>
      </c>
      <c r="C2091" s="103">
        <v>1.6109275222373355E-3</v>
      </c>
      <c r="D2091" s="103">
        <v>1.3683555257472473E-3</v>
      </c>
    </row>
    <row r="2092" spans="1:4" x14ac:dyDescent="0.25">
      <c r="A2092" s="86">
        <v>37</v>
      </c>
      <c r="B2092" s="86">
        <v>175</v>
      </c>
      <c r="C2092" s="103">
        <v>2.5931685449674985E-3</v>
      </c>
      <c r="D2092" s="103">
        <v>3.2956168296166097E-3</v>
      </c>
    </row>
    <row r="2093" spans="1:4" x14ac:dyDescent="0.25">
      <c r="A2093" s="86">
        <v>37</v>
      </c>
      <c r="B2093" s="86">
        <v>177</v>
      </c>
      <c r="C2093" s="103">
        <v>5.8892080289531452E-4</v>
      </c>
      <c r="D2093" s="103">
        <v>3.9701582859708869E-4</v>
      </c>
    </row>
    <row r="2094" spans="1:4" x14ac:dyDescent="0.25">
      <c r="A2094" s="86">
        <v>37</v>
      </c>
      <c r="B2094" s="86">
        <v>179</v>
      </c>
      <c r="C2094" s="103">
        <v>1.7657585805970499E-2</v>
      </c>
      <c r="D2094" s="103">
        <v>2.2741683385658476E-2</v>
      </c>
    </row>
    <row r="2095" spans="1:4" x14ac:dyDescent="0.25">
      <c r="A2095" s="86">
        <v>37</v>
      </c>
      <c r="B2095" s="86">
        <v>181</v>
      </c>
      <c r="C2095" s="103">
        <v>4.5528039237598059E-3</v>
      </c>
      <c r="D2095" s="103">
        <v>4.2977927076286787E-3</v>
      </c>
    </row>
    <row r="2096" spans="1:4" x14ac:dyDescent="0.25">
      <c r="A2096" s="86">
        <v>37</v>
      </c>
      <c r="B2096" s="86">
        <v>183</v>
      </c>
      <c r="C2096" s="103">
        <v>9.9743418080699225E-2</v>
      </c>
      <c r="D2096" s="103">
        <v>0.10503574106088026</v>
      </c>
    </row>
    <row r="2097" spans="1:4" x14ac:dyDescent="0.25">
      <c r="A2097" s="86">
        <v>37</v>
      </c>
      <c r="B2097" s="86">
        <v>185</v>
      </c>
      <c r="C2097" s="103">
        <v>1.9289413196591899E-3</v>
      </c>
      <c r="D2097" s="103">
        <v>1.9079886908306689E-3</v>
      </c>
    </row>
    <row r="2098" spans="1:4" x14ac:dyDescent="0.25">
      <c r="A2098" s="86">
        <v>37</v>
      </c>
      <c r="B2098" s="86">
        <v>187</v>
      </c>
      <c r="C2098" s="103">
        <v>1.2419365637067823E-3</v>
      </c>
      <c r="D2098" s="103">
        <v>1.1370841692829238E-3</v>
      </c>
    </row>
    <row r="2099" spans="1:4" x14ac:dyDescent="0.25">
      <c r="A2099" s="86">
        <v>37</v>
      </c>
      <c r="B2099" s="86">
        <v>189</v>
      </c>
      <c r="C2099" s="103">
        <v>4.2671448104255648E-3</v>
      </c>
      <c r="D2099" s="103">
        <v>5.3963316508342154E-3</v>
      </c>
    </row>
    <row r="2100" spans="1:4" x14ac:dyDescent="0.25">
      <c r="A2100" s="86">
        <v>37</v>
      </c>
      <c r="B2100" s="86">
        <v>191</v>
      </c>
      <c r="C2100" s="103">
        <v>1.0446844330930847E-2</v>
      </c>
      <c r="D2100" s="103">
        <v>1.185265701879658E-2</v>
      </c>
    </row>
    <row r="2101" spans="1:4" x14ac:dyDescent="0.25">
      <c r="A2101" s="86">
        <v>37</v>
      </c>
      <c r="B2101" s="86">
        <v>193</v>
      </c>
      <c r="C2101" s="103">
        <v>5.5895673307776285E-3</v>
      </c>
      <c r="D2101" s="103">
        <v>6.6105062722719137E-3</v>
      </c>
    </row>
    <row r="2102" spans="1:4" x14ac:dyDescent="0.25">
      <c r="A2102" s="86">
        <v>37</v>
      </c>
      <c r="B2102" s="86">
        <v>195</v>
      </c>
      <c r="C2102" s="103">
        <v>9.6912049892098322E-3</v>
      </c>
      <c r="D2102" s="103">
        <v>7.8439535067483055E-3</v>
      </c>
    </row>
    <row r="2103" spans="1:4" x14ac:dyDescent="0.25">
      <c r="A2103" s="86">
        <v>37</v>
      </c>
      <c r="B2103" s="86">
        <v>197</v>
      </c>
      <c r="C2103" s="103">
        <v>4.4180693170066563E-3</v>
      </c>
      <c r="D2103" s="103">
        <v>3.6136149447550548E-3</v>
      </c>
    </row>
    <row r="2104" spans="1:4" x14ac:dyDescent="0.25">
      <c r="A2104" s="86">
        <v>37</v>
      </c>
      <c r="B2104" s="86">
        <v>199</v>
      </c>
      <c r="C2104" s="103">
        <v>1.3400664598780625E-3</v>
      </c>
      <c r="D2104" s="103">
        <v>1.7248988669630796E-3</v>
      </c>
    </row>
    <row r="2105" spans="1:4" x14ac:dyDescent="0.25">
      <c r="A2105" s="86">
        <v>38</v>
      </c>
      <c r="B2105" s="86">
        <v>1</v>
      </c>
      <c r="C2105" s="103">
        <v>1.3200594405277306E-3</v>
      </c>
      <c r="D2105" s="103">
        <v>3.0086339877991976E-3</v>
      </c>
    </row>
    <row r="2106" spans="1:4" x14ac:dyDescent="0.25">
      <c r="A2106" s="86">
        <v>38</v>
      </c>
      <c r="B2106" s="86">
        <v>3</v>
      </c>
      <c r="C2106" s="103">
        <v>3.4638638248621303E-2</v>
      </c>
      <c r="D2106" s="103">
        <v>1.3855551259601567E-2</v>
      </c>
    </row>
    <row r="2107" spans="1:4" x14ac:dyDescent="0.25">
      <c r="A2107" s="86">
        <v>38</v>
      </c>
      <c r="B2107" s="86">
        <v>5</v>
      </c>
      <c r="C2107" s="103">
        <v>3.4782204781948394E-3</v>
      </c>
      <c r="D2107" s="103">
        <v>9.1842511206501817E-3</v>
      </c>
    </row>
    <row r="2108" spans="1:4" x14ac:dyDescent="0.25">
      <c r="A2108" s="86">
        <v>38</v>
      </c>
      <c r="B2108" s="86">
        <v>7</v>
      </c>
      <c r="C2108" s="103">
        <v>6.495621768056091E-3</v>
      </c>
      <c r="D2108" s="103">
        <v>1.2113710529823084E-3</v>
      </c>
    </row>
    <row r="2109" spans="1:4" x14ac:dyDescent="0.25">
      <c r="A2109" s="86">
        <v>38</v>
      </c>
      <c r="B2109" s="86">
        <v>9</v>
      </c>
      <c r="C2109" s="103">
        <v>3.8894547106089017E-3</v>
      </c>
      <c r="D2109" s="103">
        <v>8.445288386804764E-3</v>
      </c>
    </row>
    <row r="2110" spans="1:4" x14ac:dyDescent="0.25">
      <c r="A2110" s="86">
        <v>38</v>
      </c>
      <c r="B2110" s="86">
        <v>11</v>
      </c>
      <c r="C2110" s="103">
        <v>1.8886328355712557E-3</v>
      </c>
      <c r="D2110" s="103">
        <v>4.0510992730454108E-3</v>
      </c>
    </row>
    <row r="2111" spans="1:4" x14ac:dyDescent="0.25">
      <c r="A2111" s="86">
        <v>38</v>
      </c>
      <c r="B2111" s="86">
        <v>13</v>
      </c>
      <c r="C2111" s="103">
        <v>1.7143665398525678E-3</v>
      </c>
      <c r="D2111" s="103">
        <v>2.7579144888159311E-3</v>
      </c>
    </row>
    <row r="2112" spans="1:4" x14ac:dyDescent="0.25">
      <c r="A2112" s="86">
        <v>38</v>
      </c>
      <c r="B2112" s="86">
        <v>15</v>
      </c>
      <c r="C2112" s="103">
        <v>0.11516452565147603</v>
      </c>
      <c r="D2112" s="103">
        <v>0.1257556223847647</v>
      </c>
    </row>
    <row r="2113" spans="1:4" x14ac:dyDescent="0.25">
      <c r="A2113" s="86">
        <v>38</v>
      </c>
      <c r="B2113" s="86">
        <v>17</v>
      </c>
      <c r="C2113" s="103">
        <v>0.27358619402065942</v>
      </c>
      <c r="D2113" s="103">
        <v>0.23752373587888401</v>
      </c>
    </row>
    <row r="2114" spans="1:4" x14ac:dyDescent="0.25">
      <c r="A2114" s="86">
        <v>38</v>
      </c>
      <c r="B2114" s="86">
        <v>19</v>
      </c>
      <c r="C2114" s="103">
        <v>2.0651269931429451E-3</v>
      </c>
      <c r="D2114" s="103">
        <v>5.0275857427697114E-3</v>
      </c>
    </row>
    <row r="2115" spans="1:4" x14ac:dyDescent="0.25">
      <c r="A2115" s="86">
        <v>38</v>
      </c>
      <c r="B2115" s="86">
        <v>21</v>
      </c>
      <c r="C2115" s="103">
        <v>2.5536802874544426E-3</v>
      </c>
      <c r="D2115" s="103">
        <v>6.5055112104605451E-3</v>
      </c>
    </row>
    <row r="2116" spans="1:4" x14ac:dyDescent="0.25">
      <c r="A2116" s="86">
        <v>38</v>
      </c>
      <c r="B2116" s="86">
        <v>23</v>
      </c>
      <c r="C2116" s="103">
        <v>1.3503926701031778E-3</v>
      </c>
      <c r="D2116" s="103">
        <v>2.9822424615904325E-3</v>
      </c>
    </row>
    <row r="2117" spans="1:4" x14ac:dyDescent="0.25">
      <c r="A2117" s="86">
        <v>38</v>
      </c>
      <c r="B2117" s="86">
        <v>25</v>
      </c>
      <c r="C2117" s="103">
        <v>4.9088531796270722E-3</v>
      </c>
      <c r="D2117" s="103">
        <v>5.7137654241975989E-3</v>
      </c>
    </row>
    <row r="2118" spans="1:4" x14ac:dyDescent="0.25">
      <c r="A2118" s="86">
        <v>38</v>
      </c>
      <c r="B2118" s="86">
        <v>27</v>
      </c>
      <c r="C2118" s="103">
        <v>1.1521462021320185E-3</v>
      </c>
      <c r="D2118" s="103">
        <v>3.0482212771123446E-3</v>
      </c>
    </row>
    <row r="2119" spans="1:4" x14ac:dyDescent="0.25">
      <c r="A2119" s="86">
        <v>38</v>
      </c>
      <c r="B2119" s="86">
        <v>29</v>
      </c>
      <c r="C2119" s="103">
        <v>2.0051769012000317E-3</v>
      </c>
      <c r="D2119" s="103">
        <v>4.3282102982374416E-3</v>
      </c>
    </row>
    <row r="2120" spans="1:4" x14ac:dyDescent="0.25">
      <c r="A2120" s="86">
        <v>38</v>
      </c>
      <c r="B2120" s="86">
        <v>31</v>
      </c>
      <c r="C2120" s="103">
        <v>1.9681061816772816E-3</v>
      </c>
      <c r="D2120" s="103">
        <v>4.2358399565067652E-3</v>
      </c>
    </row>
    <row r="2121" spans="1:4" x14ac:dyDescent="0.25">
      <c r="A2121" s="86">
        <v>38</v>
      </c>
      <c r="B2121" s="86">
        <v>33</v>
      </c>
      <c r="C2121" s="103">
        <v>5.8537563612703616E-3</v>
      </c>
      <c r="D2121" s="103">
        <v>2.3224543063713101E-3</v>
      </c>
    </row>
    <row r="2122" spans="1:4" x14ac:dyDescent="0.25">
      <c r="A2122" s="86">
        <v>38</v>
      </c>
      <c r="B2122" s="86">
        <v>35</v>
      </c>
      <c r="C2122" s="103">
        <v>8.2854928924979324E-2</v>
      </c>
      <c r="D2122" s="103">
        <v>9.2898172254852418E-2</v>
      </c>
    </row>
    <row r="2123" spans="1:4" x14ac:dyDescent="0.25">
      <c r="A2123" s="86">
        <v>38</v>
      </c>
      <c r="B2123" s="86">
        <v>37</v>
      </c>
      <c r="C2123" s="103">
        <v>1.3172832298934502E-3</v>
      </c>
      <c r="D2123" s="103">
        <v>3.1010043295298744E-3</v>
      </c>
    </row>
    <row r="2124" spans="1:4" x14ac:dyDescent="0.25">
      <c r="A2124" s="86">
        <v>38</v>
      </c>
      <c r="B2124" s="86">
        <v>39</v>
      </c>
      <c r="C2124" s="103">
        <v>1.1527111653583458E-3</v>
      </c>
      <c r="D2124" s="103">
        <v>2.9426551722772851E-3</v>
      </c>
    </row>
    <row r="2125" spans="1:4" x14ac:dyDescent="0.25">
      <c r="A2125" s="86">
        <v>38</v>
      </c>
      <c r="B2125" s="86">
        <v>41</v>
      </c>
      <c r="C2125" s="103">
        <v>1.4616604014539545E-3</v>
      </c>
      <c r="D2125" s="103">
        <v>3.2989407760956112E-3</v>
      </c>
    </row>
    <row r="2126" spans="1:4" x14ac:dyDescent="0.25">
      <c r="A2126" s="86">
        <v>38</v>
      </c>
      <c r="B2126" s="86">
        <v>43</v>
      </c>
      <c r="C2126" s="103">
        <v>1.6552078560935157E-2</v>
      </c>
      <c r="D2126" s="103">
        <v>3.232961960573699E-3</v>
      </c>
    </row>
    <row r="2127" spans="1:4" x14ac:dyDescent="0.25">
      <c r="A2127" s="86">
        <v>38</v>
      </c>
      <c r="B2127" s="86">
        <v>45</v>
      </c>
      <c r="C2127" s="103">
        <v>2.4337546631849906E-3</v>
      </c>
      <c r="D2127" s="103">
        <v>5.3838713465880379E-3</v>
      </c>
    </row>
    <row r="2128" spans="1:4" x14ac:dyDescent="0.25">
      <c r="A2128" s="86">
        <v>38</v>
      </c>
      <c r="B2128" s="86">
        <v>47</v>
      </c>
      <c r="C2128" s="103">
        <v>9.4251383103864531E-4</v>
      </c>
      <c r="D2128" s="103">
        <v>2.4939992267282822E-3</v>
      </c>
    </row>
    <row r="2129" spans="1:4" x14ac:dyDescent="0.25">
      <c r="A2129" s="86">
        <v>38</v>
      </c>
      <c r="B2129" s="86">
        <v>49</v>
      </c>
      <c r="C2129" s="103">
        <v>4.4896255343931362E-3</v>
      </c>
      <c r="D2129" s="103">
        <v>7.6667383636462002E-3</v>
      </c>
    </row>
    <row r="2130" spans="1:4" x14ac:dyDescent="0.25">
      <c r="A2130" s="86">
        <v>38</v>
      </c>
      <c r="B2130" s="86">
        <v>51</v>
      </c>
      <c r="C2130" s="103">
        <v>1.1628074233606244E-3</v>
      </c>
      <c r="D2130" s="103">
        <v>3.3913111178262884E-3</v>
      </c>
    </row>
    <row r="2131" spans="1:4" x14ac:dyDescent="0.25">
      <c r="A2131" s="86">
        <v>38</v>
      </c>
      <c r="B2131" s="86">
        <v>53</v>
      </c>
      <c r="C2131" s="103">
        <v>1.4513220319945079E-2</v>
      </c>
      <c r="D2131" s="103">
        <v>1.7946237821960125E-2</v>
      </c>
    </row>
    <row r="2132" spans="1:4" x14ac:dyDescent="0.25">
      <c r="A2132" s="86">
        <v>38</v>
      </c>
      <c r="B2132" s="86">
        <v>55</v>
      </c>
      <c r="C2132" s="103">
        <v>8.2100749934935161E-3</v>
      </c>
      <c r="D2132" s="103">
        <v>1.257556223847647E-2</v>
      </c>
    </row>
    <row r="2133" spans="1:4" x14ac:dyDescent="0.25">
      <c r="A2133" s="86">
        <v>38</v>
      </c>
      <c r="B2133" s="86">
        <v>57</v>
      </c>
      <c r="C2133" s="103">
        <v>4.1321061484461989E-3</v>
      </c>
      <c r="D2133" s="103">
        <v>1.0912896087324282E-2</v>
      </c>
    </row>
    <row r="2134" spans="1:4" x14ac:dyDescent="0.25">
      <c r="A2134" s="86">
        <v>38</v>
      </c>
      <c r="B2134" s="86">
        <v>59</v>
      </c>
      <c r="C2134" s="103">
        <v>6.6979055461681702E-2</v>
      </c>
      <c r="D2134" s="103">
        <v>4.1038823254629403E-2</v>
      </c>
    </row>
    <row r="2135" spans="1:4" x14ac:dyDescent="0.25">
      <c r="A2135" s="86">
        <v>38</v>
      </c>
      <c r="B2135" s="86">
        <v>61</v>
      </c>
      <c r="C2135" s="103">
        <v>8.7995274466158135E-3</v>
      </c>
      <c r="D2135" s="103">
        <v>1.3459678366470093E-2</v>
      </c>
    </row>
    <row r="2136" spans="1:4" x14ac:dyDescent="0.25">
      <c r="A2136" s="86">
        <v>38</v>
      </c>
      <c r="B2136" s="86">
        <v>63</v>
      </c>
      <c r="C2136" s="103">
        <v>2.433324069254702E-3</v>
      </c>
      <c r="D2136" s="103">
        <v>3.8135755371665266E-3</v>
      </c>
    </row>
    <row r="2137" spans="1:4" x14ac:dyDescent="0.25">
      <c r="A2137" s="86">
        <v>38</v>
      </c>
      <c r="B2137" s="86">
        <v>65</v>
      </c>
      <c r="C2137" s="103">
        <v>1.4164663873705344E-3</v>
      </c>
      <c r="D2137" s="103">
        <v>2.5731738053545766E-3</v>
      </c>
    </row>
    <row r="2138" spans="1:4" x14ac:dyDescent="0.25">
      <c r="A2138" s="86">
        <v>38</v>
      </c>
      <c r="B2138" s="86">
        <v>67</v>
      </c>
      <c r="C2138" s="103">
        <v>9.0049404070652039E-3</v>
      </c>
      <c r="D2138" s="103">
        <v>9.1050765420238877E-3</v>
      </c>
    </row>
    <row r="2139" spans="1:4" x14ac:dyDescent="0.25">
      <c r="A2139" s="86">
        <v>38</v>
      </c>
      <c r="B2139" s="86">
        <v>69</v>
      </c>
      <c r="C2139" s="103">
        <v>2.2667184624287073E-3</v>
      </c>
      <c r="D2139" s="103">
        <v>5.3706755834836547E-3</v>
      </c>
    </row>
    <row r="2140" spans="1:4" x14ac:dyDescent="0.25">
      <c r="A2140" s="86">
        <v>38</v>
      </c>
      <c r="B2140" s="86">
        <v>71</v>
      </c>
      <c r="C2140" s="103">
        <v>1.042503414579468E-2</v>
      </c>
      <c r="D2140" s="103">
        <v>1.5307085201083636E-2</v>
      </c>
    </row>
    <row r="2141" spans="1:4" x14ac:dyDescent="0.25">
      <c r="A2141" s="86">
        <v>38</v>
      </c>
      <c r="B2141" s="86">
        <v>73</v>
      </c>
      <c r="C2141" s="103">
        <v>2.4180704638271456E-3</v>
      </c>
      <c r="D2141" s="103">
        <v>6.8881883404876363E-3</v>
      </c>
    </row>
    <row r="2142" spans="1:4" x14ac:dyDescent="0.25">
      <c r="A2142" s="86">
        <v>38</v>
      </c>
      <c r="B2142" s="86">
        <v>75</v>
      </c>
      <c r="C2142" s="103">
        <v>1.4856190831107063E-3</v>
      </c>
      <c r="D2142" s="103">
        <v>3.1142000926342572E-3</v>
      </c>
    </row>
    <row r="2143" spans="1:4" x14ac:dyDescent="0.25">
      <c r="A2143" s="86">
        <v>38</v>
      </c>
      <c r="B2143" s="86">
        <v>77</v>
      </c>
      <c r="C2143" s="103">
        <v>3.2630405509354726E-2</v>
      </c>
      <c r="D2143" s="103">
        <v>2.137713622909956E-2</v>
      </c>
    </row>
    <row r="2144" spans="1:4" x14ac:dyDescent="0.25">
      <c r="A2144" s="86">
        <v>38</v>
      </c>
      <c r="B2144" s="86">
        <v>79</v>
      </c>
      <c r="C2144" s="103">
        <v>4.7781104421833467E-3</v>
      </c>
      <c r="D2144" s="103">
        <v>1.8869941239266896E-2</v>
      </c>
    </row>
    <row r="2145" spans="1:4" x14ac:dyDescent="0.25">
      <c r="A2145" s="86">
        <v>38</v>
      </c>
      <c r="B2145" s="86">
        <v>81</v>
      </c>
      <c r="C2145" s="103">
        <v>2.3082344866928338E-3</v>
      </c>
      <c r="D2145" s="103">
        <v>5.0803687951872416E-3</v>
      </c>
    </row>
    <row r="2146" spans="1:4" x14ac:dyDescent="0.25">
      <c r="A2146" s="86">
        <v>38</v>
      </c>
      <c r="B2146" s="86">
        <v>83</v>
      </c>
      <c r="C2146" s="103">
        <v>8.0360191596991714E-4</v>
      </c>
      <c r="D2146" s="103">
        <v>1.7682322559872477E-3</v>
      </c>
    </row>
    <row r="2147" spans="1:4" x14ac:dyDescent="0.25">
      <c r="A2147" s="86">
        <v>38</v>
      </c>
      <c r="B2147" s="86">
        <v>85</v>
      </c>
      <c r="C2147" s="103">
        <v>1.8293898058779315E-3</v>
      </c>
      <c r="D2147" s="103">
        <v>5.7797442397195106E-3</v>
      </c>
    </row>
    <row r="2148" spans="1:4" x14ac:dyDescent="0.25">
      <c r="A2148" s="86">
        <v>38</v>
      </c>
      <c r="B2148" s="86">
        <v>87</v>
      </c>
      <c r="C2148" s="103">
        <v>1.0366871169302475E-3</v>
      </c>
      <c r="D2148" s="103">
        <v>1.004197572243504E-3</v>
      </c>
    </row>
    <row r="2149" spans="1:4" x14ac:dyDescent="0.25">
      <c r="A2149" s="86">
        <v>38</v>
      </c>
      <c r="B2149" s="86">
        <v>89</v>
      </c>
      <c r="C2149" s="103">
        <v>5.6338164999539822E-2</v>
      </c>
      <c r="D2149" s="103">
        <v>4.0774907992541756E-2</v>
      </c>
    </row>
    <row r="2150" spans="1:4" x14ac:dyDescent="0.25">
      <c r="A2150" s="86">
        <v>38</v>
      </c>
      <c r="B2150" s="86">
        <v>91</v>
      </c>
      <c r="C2150" s="103">
        <v>1.2862290675851899E-3</v>
      </c>
      <c r="D2150" s="103">
        <v>2.4939992267282822E-3</v>
      </c>
    </row>
    <row r="2151" spans="1:4" x14ac:dyDescent="0.25">
      <c r="A2151" s="86">
        <v>38</v>
      </c>
      <c r="B2151" s="86">
        <v>93</v>
      </c>
      <c r="C2151" s="103">
        <v>4.3466019436007364E-2</v>
      </c>
      <c r="D2151" s="103">
        <v>2.757914488815931E-2</v>
      </c>
    </row>
    <row r="2152" spans="1:4" x14ac:dyDescent="0.25">
      <c r="A2152" s="86">
        <v>38</v>
      </c>
      <c r="B2152" s="86">
        <v>95</v>
      </c>
      <c r="C2152" s="103">
        <v>1.2059680739635666E-3</v>
      </c>
      <c r="D2152" s="103">
        <v>2.8898721198597553E-3</v>
      </c>
    </row>
    <row r="2153" spans="1:4" x14ac:dyDescent="0.25">
      <c r="A2153" s="86">
        <v>38</v>
      </c>
      <c r="B2153" s="86">
        <v>97</v>
      </c>
      <c r="C2153" s="103">
        <v>2.7161173251687286E-2</v>
      </c>
      <c r="D2153" s="103">
        <v>1.0583002009714721E-2</v>
      </c>
    </row>
    <row r="2154" spans="1:4" x14ac:dyDescent="0.25">
      <c r="A2154" s="86">
        <v>38</v>
      </c>
      <c r="B2154" s="86">
        <v>99</v>
      </c>
      <c r="C2154" s="103">
        <v>1.3077789528621379E-2</v>
      </c>
      <c r="D2154" s="103">
        <v>1.3987508890645392E-2</v>
      </c>
    </row>
    <row r="2155" spans="1:4" x14ac:dyDescent="0.25">
      <c r="A2155" s="86">
        <v>38</v>
      </c>
      <c r="B2155" s="86">
        <v>101</v>
      </c>
      <c r="C2155" s="103">
        <v>6.3670147851234607E-2</v>
      </c>
      <c r="D2155" s="103">
        <v>8.9335316216669153E-2</v>
      </c>
    </row>
    <row r="2156" spans="1:4" x14ac:dyDescent="0.25">
      <c r="A2156" s="86">
        <v>38</v>
      </c>
      <c r="B2156" s="86">
        <v>103</v>
      </c>
      <c r="C2156" s="103">
        <v>2.7597650526431437E-3</v>
      </c>
      <c r="D2156" s="103">
        <v>5.1595433738135356E-3</v>
      </c>
    </row>
    <row r="2157" spans="1:4" x14ac:dyDescent="0.25">
      <c r="A2157" s="86">
        <v>38</v>
      </c>
      <c r="B2157" s="86">
        <v>105</v>
      </c>
      <c r="C2157" s="103">
        <v>3.916383986790134E-2</v>
      </c>
      <c r="D2157" s="103">
        <v>4.6844959020557679E-2</v>
      </c>
    </row>
    <row r="2158" spans="1:4" x14ac:dyDescent="0.25">
      <c r="A2158" s="86">
        <v>39</v>
      </c>
      <c r="B2158" s="86">
        <v>1</v>
      </c>
      <c r="C2158" s="103">
        <v>1.8053011573343984E-3</v>
      </c>
      <c r="D2158" s="103">
        <v>2.3720424398640141E-3</v>
      </c>
    </row>
    <row r="2159" spans="1:4" x14ac:dyDescent="0.25">
      <c r="A2159" s="86">
        <v>39</v>
      </c>
      <c r="B2159" s="86">
        <v>3</v>
      </c>
      <c r="C2159" s="103">
        <v>9.3674993138645156E-3</v>
      </c>
      <c r="D2159" s="103">
        <v>8.8202300110466966E-3</v>
      </c>
    </row>
    <row r="2160" spans="1:4" x14ac:dyDescent="0.25">
      <c r="A2160" s="86">
        <v>39</v>
      </c>
      <c r="B2160" s="86">
        <v>5</v>
      </c>
      <c r="C2160" s="103">
        <v>6.0942454242985103E-3</v>
      </c>
      <c r="D2160" s="103">
        <v>4.5985082678952193E-3</v>
      </c>
    </row>
    <row r="2161" spans="1:4" x14ac:dyDescent="0.25">
      <c r="A2161" s="86">
        <v>39</v>
      </c>
      <c r="B2161" s="86">
        <v>7</v>
      </c>
      <c r="C2161" s="103">
        <v>8.3956497064097708E-3</v>
      </c>
      <c r="D2161" s="103">
        <v>8.3578101852248305E-3</v>
      </c>
    </row>
    <row r="2162" spans="1:4" x14ac:dyDescent="0.25">
      <c r="A2162" s="86">
        <v>39</v>
      </c>
      <c r="B2162" s="86">
        <v>9</v>
      </c>
      <c r="C2162" s="103">
        <v>4.6788387588437841E-3</v>
      </c>
      <c r="D2162" s="103">
        <v>5.608981220617074E-3</v>
      </c>
    </row>
    <row r="2163" spans="1:4" x14ac:dyDescent="0.25">
      <c r="A2163" s="86">
        <v>39</v>
      </c>
      <c r="B2163" s="86">
        <v>11</v>
      </c>
      <c r="C2163" s="103">
        <v>4.7959125622698672E-3</v>
      </c>
      <c r="D2163" s="103">
        <v>3.9134418592702332E-3</v>
      </c>
    </row>
    <row r="2164" spans="1:4" x14ac:dyDescent="0.25">
      <c r="A2164" s="86">
        <v>39</v>
      </c>
      <c r="B2164" s="86">
        <v>13</v>
      </c>
      <c r="C2164" s="103">
        <v>7.9315626749669431E-3</v>
      </c>
      <c r="D2164" s="103">
        <v>5.7802478227733205E-3</v>
      </c>
    </row>
    <row r="2165" spans="1:4" x14ac:dyDescent="0.25">
      <c r="A2165" s="86">
        <v>39</v>
      </c>
      <c r="B2165" s="86">
        <v>15</v>
      </c>
      <c r="C2165" s="103">
        <v>2.9940754871508744E-3</v>
      </c>
      <c r="D2165" s="103">
        <v>3.733611927006174E-3</v>
      </c>
    </row>
    <row r="2166" spans="1:4" x14ac:dyDescent="0.25">
      <c r="A2166" s="86">
        <v>39</v>
      </c>
      <c r="B2166" s="86">
        <v>17</v>
      </c>
      <c r="C2166" s="103">
        <v>2.5323567225219768E-2</v>
      </c>
      <c r="D2166" s="103">
        <v>3.2711921011843087E-2</v>
      </c>
    </row>
    <row r="2167" spans="1:4" x14ac:dyDescent="0.25">
      <c r="A2167" s="86">
        <v>39</v>
      </c>
      <c r="B2167" s="86">
        <v>19</v>
      </c>
      <c r="C2167" s="103">
        <v>1.5684648680735853E-3</v>
      </c>
      <c r="D2167" s="103">
        <v>2.3206624592171403E-3</v>
      </c>
    </row>
    <row r="2168" spans="1:4" x14ac:dyDescent="0.25">
      <c r="A2168" s="86">
        <v>39</v>
      </c>
      <c r="B2168" s="86">
        <v>21</v>
      </c>
      <c r="C2168" s="103">
        <v>2.5792500038559515E-3</v>
      </c>
      <c r="D2168" s="103">
        <v>3.3225720818311827E-3</v>
      </c>
    </row>
    <row r="2169" spans="1:4" x14ac:dyDescent="0.25">
      <c r="A2169" s="86">
        <v>39</v>
      </c>
      <c r="B2169" s="86">
        <v>23</v>
      </c>
      <c r="C2169" s="103">
        <v>1.3514181240415134E-2</v>
      </c>
      <c r="D2169" s="103">
        <v>1.1560495645546641E-2</v>
      </c>
    </row>
    <row r="2170" spans="1:4" x14ac:dyDescent="0.25">
      <c r="A2170" s="86">
        <v>39</v>
      </c>
      <c r="B2170" s="86">
        <v>25</v>
      </c>
      <c r="C2170" s="103">
        <v>1.5701177534038633E-2</v>
      </c>
      <c r="D2170" s="103">
        <v>1.7640460022093393E-2</v>
      </c>
    </row>
    <row r="2171" spans="1:4" x14ac:dyDescent="0.25">
      <c r="A2171" s="86">
        <v>39</v>
      </c>
      <c r="B2171" s="86">
        <v>27</v>
      </c>
      <c r="C2171" s="103">
        <v>5.0375943600542194E-3</v>
      </c>
      <c r="D2171" s="103">
        <v>3.6051619753889892E-3</v>
      </c>
    </row>
    <row r="2172" spans="1:4" x14ac:dyDescent="0.25">
      <c r="A2172" s="86">
        <v>39</v>
      </c>
      <c r="B2172" s="86">
        <v>29</v>
      </c>
      <c r="C2172" s="103">
        <v>6.4796146081496512E-3</v>
      </c>
      <c r="D2172" s="103">
        <v>8.7345967099685725E-3</v>
      </c>
    </row>
    <row r="2173" spans="1:4" x14ac:dyDescent="0.25">
      <c r="A2173" s="86">
        <v>39</v>
      </c>
      <c r="B2173" s="86">
        <v>31</v>
      </c>
      <c r="C2173" s="103">
        <v>2.1662163730368344E-3</v>
      </c>
      <c r="D2173" s="103">
        <v>3.1341788194593112E-3</v>
      </c>
    </row>
    <row r="2174" spans="1:4" x14ac:dyDescent="0.25">
      <c r="A2174" s="86">
        <v>39</v>
      </c>
      <c r="B2174" s="86">
        <v>33</v>
      </c>
      <c r="C2174" s="103">
        <v>3.1058652480923407E-3</v>
      </c>
      <c r="D2174" s="103">
        <v>3.5537819947421153E-3</v>
      </c>
    </row>
    <row r="2175" spans="1:4" x14ac:dyDescent="0.25">
      <c r="A2175" s="86">
        <v>39</v>
      </c>
      <c r="B2175" s="86">
        <v>35</v>
      </c>
      <c r="C2175" s="103">
        <v>9.9341070030141074E-2</v>
      </c>
      <c r="D2175" s="103">
        <v>0.10618529333687285</v>
      </c>
    </row>
    <row r="2176" spans="1:4" x14ac:dyDescent="0.25">
      <c r="A2176" s="86">
        <v>39</v>
      </c>
      <c r="B2176" s="86">
        <v>37</v>
      </c>
      <c r="C2176" s="103">
        <v>3.2401994186251576E-3</v>
      </c>
      <c r="D2176" s="103">
        <v>4.392988345307723E-3</v>
      </c>
    </row>
    <row r="2177" spans="1:4" x14ac:dyDescent="0.25">
      <c r="A2177" s="86">
        <v>39</v>
      </c>
      <c r="B2177" s="86">
        <v>39</v>
      </c>
      <c r="C2177" s="103">
        <v>3.2538867916850379E-3</v>
      </c>
      <c r="D2177" s="103">
        <v>3.2626287710764961E-3</v>
      </c>
    </row>
    <row r="2178" spans="1:4" x14ac:dyDescent="0.25">
      <c r="A2178" s="86">
        <v>39</v>
      </c>
      <c r="B2178" s="86">
        <v>41</v>
      </c>
      <c r="C2178" s="103">
        <v>1.8752184197253795E-2</v>
      </c>
      <c r="D2178" s="103">
        <v>1.7554826721015267E-2</v>
      </c>
    </row>
    <row r="2179" spans="1:4" x14ac:dyDescent="0.25">
      <c r="A2179" s="86">
        <v>39</v>
      </c>
      <c r="B2179" s="86">
        <v>43</v>
      </c>
      <c r="C2179" s="103">
        <v>1.0677322916998418E-2</v>
      </c>
      <c r="D2179" s="103">
        <v>6.3796809303201833E-3</v>
      </c>
    </row>
    <row r="2180" spans="1:4" x14ac:dyDescent="0.25">
      <c r="A2180" s="86">
        <v>39</v>
      </c>
      <c r="B2180" s="86">
        <v>45</v>
      </c>
      <c r="C2180" s="103">
        <v>1.024512193330129E-2</v>
      </c>
      <c r="D2180" s="103">
        <v>1.3358794968187229E-2</v>
      </c>
    </row>
    <row r="2181" spans="1:4" x14ac:dyDescent="0.25">
      <c r="A2181" s="86">
        <v>39</v>
      </c>
      <c r="B2181" s="86">
        <v>47</v>
      </c>
      <c r="C2181" s="103">
        <v>4.8533140071874391E-3</v>
      </c>
      <c r="D2181" s="103">
        <v>2.4576757409421374E-3</v>
      </c>
    </row>
    <row r="2182" spans="1:4" x14ac:dyDescent="0.25">
      <c r="A2182" s="86">
        <v>39</v>
      </c>
      <c r="B2182" s="86">
        <v>49</v>
      </c>
      <c r="C2182" s="103">
        <v>0.11037305631372686</v>
      </c>
      <c r="D2182" s="103">
        <v>0.11217962441234147</v>
      </c>
    </row>
    <row r="2183" spans="1:4" x14ac:dyDescent="0.25">
      <c r="A2183" s="86">
        <v>39</v>
      </c>
      <c r="B2183" s="86">
        <v>51</v>
      </c>
      <c r="C2183" s="103">
        <v>4.7060855847413981E-3</v>
      </c>
      <c r="D2183" s="103">
        <v>3.6222886356046141E-3</v>
      </c>
    </row>
    <row r="2184" spans="1:4" x14ac:dyDescent="0.25">
      <c r="A2184" s="86">
        <v>39</v>
      </c>
      <c r="B2184" s="86">
        <v>53</v>
      </c>
      <c r="C2184" s="103">
        <v>2.6864652022535198E-3</v>
      </c>
      <c r="D2184" s="103">
        <v>2.5604357022358856E-3</v>
      </c>
    </row>
    <row r="2185" spans="1:4" x14ac:dyDescent="0.25">
      <c r="A2185" s="86">
        <v>39</v>
      </c>
      <c r="B2185" s="86">
        <v>55</v>
      </c>
      <c r="C2185" s="103">
        <v>7.183548588791968E-3</v>
      </c>
      <c r="D2185" s="103">
        <v>8.0409669712357742E-3</v>
      </c>
    </row>
    <row r="2186" spans="1:4" x14ac:dyDescent="0.25">
      <c r="A2186" s="86">
        <v>39</v>
      </c>
      <c r="B2186" s="86">
        <v>57</v>
      </c>
      <c r="C2186" s="103">
        <v>1.5159078525886847E-2</v>
      </c>
      <c r="D2186" s="103">
        <v>1.4300761280046585E-2</v>
      </c>
    </row>
    <row r="2187" spans="1:4" x14ac:dyDescent="0.25">
      <c r="A2187" s="86">
        <v>39</v>
      </c>
      <c r="B2187" s="86">
        <v>59</v>
      </c>
      <c r="C2187" s="103">
        <v>6.4214070625330053E-3</v>
      </c>
      <c r="D2187" s="103">
        <v>3.3396987420468071E-3</v>
      </c>
    </row>
    <row r="2188" spans="1:4" x14ac:dyDescent="0.25">
      <c r="A2188" s="86">
        <v>39</v>
      </c>
      <c r="B2188" s="86">
        <v>61</v>
      </c>
      <c r="C2188" s="103">
        <v>7.2671909591181971E-2</v>
      </c>
      <c r="D2188" s="103">
        <v>6.9791140378670458E-2</v>
      </c>
    </row>
    <row r="2189" spans="1:4" x14ac:dyDescent="0.25">
      <c r="A2189" s="86">
        <v>39</v>
      </c>
      <c r="B2189" s="86">
        <v>63</v>
      </c>
      <c r="C2189" s="103">
        <v>8.743141746280025E-3</v>
      </c>
      <c r="D2189" s="103">
        <v>6.4995675518295555E-3</v>
      </c>
    </row>
    <row r="2190" spans="1:4" x14ac:dyDescent="0.25">
      <c r="A2190" s="86">
        <v>39</v>
      </c>
      <c r="B2190" s="86">
        <v>65</v>
      </c>
      <c r="C2190" s="103">
        <v>1.8391010316231202E-3</v>
      </c>
      <c r="D2190" s="103">
        <v>2.6888856538530704E-3</v>
      </c>
    </row>
    <row r="2191" spans="1:4" x14ac:dyDescent="0.25">
      <c r="A2191" s="86">
        <v>39</v>
      </c>
      <c r="B2191" s="86">
        <v>67</v>
      </c>
      <c r="C2191" s="103">
        <v>1.244828525469069E-3</v>
      </c>
      <c r="D2191" s="103">
        <v>1.3016261763874736E-3</v>
      </c>
    </row>
    <row r="2192" spans="1:4" x14ac:dyDescent="0.25">
      <c r="A2192" s="86">
        <v>39</v>
      </c>
      <c r="B2192" s="86">
        <v>69</v>
      </c>
      <c r="C2192" s="103">
        <v>3.2095133578062492E-3</v>
      </c>
      <c r="D2192" s="103">
        <v>2.3206624592171403E-3</v>
      </c>
    </row>
    <row r="2193" spans="1:4" x14ac:dyDescent="0.25">
      <c r="A2193" s="86">
        <v>39</v>
      </c>
      <c r="B2193" s="86">
        <v>71</v>
      </c>
      <c r="C2193" s="103">
        <v>2.5763258238087486E-3</v>
      </c>
      <c r="D2193" s="103">
        <v>3.6907952764671124E-3</v>
      </c>
    </row>
    <row r="2194" spans="1:4" x14ac:dyDescent="0.25">
      <c r="A2194" s="86">
        <v>39</v>
      </c>
      <c r="B2194" s="86">
        <v>73</v>
      </c>
      <c r="C2194" s="103">
        <v>2.5509425699690659E-3</v>
      </c>
      <c r="D2194" s="103">
        <v>2.4319857506187007E-3</v>
      </c>
    </row>
    <row r="2195" spans="1:4" x14ac:dyDescent="0.25">
      <c r="A2195" s="86">
        <v>39</v>
      </c>
      <c r="B2195" s="86">
        <v>75</v>
      </c>
      <c r="C2195" s="103">
        <v>2.2258970599187936E-3</v>
      </c>
      <c r="D2195" s="103">
        <v>3.7593019173296112E-3</v>
      </c>
    </row>
    <row r="2196" spans="1:4" x14ac:dyDescent="0.25">
      <c r="A2196" s="86">
        <v>39</v>
      </c>
      <c r="B2196" s="86">
        <v>77</v>
      </c>
      <c r="C2196" s="103">
        <v>3.6287652185127265E-3</v>
      </c>
      <c r="D2196" s="103">
        <v>5.000984782962398E-3</v>
      </c>
    </row>
    <row r="2197" spans="1:4" x14ac:dyDescent="0.25">
      <c r="A2197" s="86">
        <v>39</v>
      </c>
      <c r="B2197" s="86">
        <v>79</v>
      </c>
      <c r="C2197" s="103">
        <v>3.0822533363314159E-3</v>
      </c>
      <c r="D2197" s="103">
        <v>2.7745189549311937E-3</v>
      </c>
    </row>
    <row r="2198" spans="1:4" x14ac:dyDescent="0.25">
      <c r="A2198" s="86">
        <v>39</v>
      </c>
      <c r="B2198" s="86">
        <v>81</v>
      </c>
      <c r="C2198" s="103">
        <v>4.6130450622288207E-3</v>
      </c>
      <c r="D2198" s="103">
        <v>5.6346712109405107E-3</v>
      </c>
    </row>
    <row r="2199" spans="1:4" x14ac:dyDescent="0.25">
      <c r="A2199" s="86">
        <v>39</v>
      </c>
      <c r="B2199" s="86">
        <v>83</v>
      </c>
      <c r="C2199" s="103">
        <v>3.2630776423240634E-3</v>
      </c>
      <c r="D2199" s="103">
        <v>5.3007013367358299E-3</v>
      </c>
    </row>
    <row r="2200" spans="1:4" x14ac:dyDescent="0.25">
      <c r="A2200" s="86">
        <v>39</v>
      </c>
      <c r="B2200" s="86">
        <v>85</v>
      </c>
      <c r="C2200" s="103">
        <v>2.0165160032023708E-2</v>
      </c>
      <c r="D2200" s="103">
        <v>1.9695659247968351E-2</v>
      </c>
    </row>
    <row r="2201" spans="1:4" x14ac:dyDescent="0.25">
      <c r="A2201" s="86">
        <v>39</v>
      </c>
      <c r="B2201" s="86">
        <v>87</v>
      </c>
      <c r="C2201" s="103">
        <v>4.0882742179912798E-3</v>
      </c>
      <c r="D2201" s="103">
        <v>5.1208714044717711E-3</v>
      </c>
    </row>
    <row r="2202" spans="1:4" x14ac:dyDescent="0.25">
      <c r="A2202" s="86">
        <v>39</v>
      </c>
      <c r="B2202" s="86">
        <v>89</v>
      </c>
      <c r="C2202" s="103">
        <v>1.6810806364898418E-2</v>
      </c>
      <c r="D2202" s="103">
        <v>1.5071460989749694E-2</v>
      </c>
    </row>
    <row r="2203" spans="1:4" x14ac:dyDescent="0.25">
      <c r="A2203" s="86">
        <v>39</v>
      </c>
      <c r="B2203" s="86">
        <v>91</v>
      </c>
      <c r="C2203" s="103">
        <v>4.1302573356798477E-3</v>
      </c>
      <c r="D2203" s="103">
        <v>3.8791885388389838E-3</v>
      </c>
    </row>
    <row r="2204" spans="1:4" x14ac:dyDescent="0.25">
      <c r="A2204" s="86">
        <v>39</v>
      </c>
      <c r="B2204" s="86">
        <v>93</v>
      </c>
      <c r="C2204" s="103">
        <v>2.3688354298844694E-2</v>
      </c>
      <c r="D2204" s="103">
        <v>2.6460690033140086E-2</v>
      </c>
    </row>
    <row r="2205" spans="1:4" x14ac:dyDescent="0.25">
      <c r="A2205" s="86">
        <v>39</v>
      </c>
      <c r="B2205" s="86">
        <v>95</v>
      </c>
      <c r="C2205" s="103">
        <v>3.3528858847912887E-2</v>
      </c>
      <c r="D2205" s="103">
        <v>3.6822319463593003E-2</v>
      </c>
    </row>
    <row r="2206" spans="1:4" x14ac:dyDescent="0.25">
      <c r="A2206" s="86">
        <v>39</v>
      </c>
      <c r="B2206" s="86">
        <v>97</v>
      </c>
      <c r="C2206" s="103">
        <v>6.9257447665396306E-3</v>
      </c>
      <c r="D2206" s="103">
        <v>3.8021185678686728E-3</v>
      </c>
    </row>
    <row r="2207" spans="1:4" x14ac:dyDescent="0.25">
      <c r="A2207" s="86">
        <v>39</v>
      </c>
      <c r="B2207" s="86">
        <v>99</v>
      </c>
      <c r="C2207" s="103">
        <v>1.9116595427083907E-2</v>
      </c>
      <c r="D2207" s="103">
        <v>1.9610025946890226E-2</v>
      </c>
    </row>
    <row r="2208" spans="1:4" x14ac:dyDescent="0.25">
      <c r="A2208" s="86">
        <v>39</v>
      </c>
      <c r="B2208" s="86">
        <v>101</v>
      </c>
      <c r="C2208" s="103">
        <v>4.8249270332608148E-3</v>
      </c>
      <c r="D2208" s="103">
        <v>5.6004178905092608E-3</v>
      </c>
    </row>
    <row r="2209" spans="1:4" x14ac:dyDescent="0.25">
      <c r="A2209" s="86">
        <v>39</v>
      </c>
      <c r="B2209" s="86">
        <v>103</v>
      </c>
      <c r="C2209" s="103">
        <v>1.545606010938254E-2</v>
      </c>
      <c r="D2209" s="103">
        <v>1.5328360892984064E-2</v>
      </c>
    </row>
    <row r="2210" spans="1:4" x14ac:dyDescent="0.25">
      <c r="A2210" s="86">
        <v>39</v>
      </c>
      <c r="B2210" s="86">
        <v>105</v>
      </c>
      <c r="C2210" s="103">
        <v>1.7410291640182819E-3</v>
      </c>
      <c r="D2210" s="103">
        <v>1.9781292549046472E-3</v>
      </c>
    </row>
    <row r="2211" spans="1:4" x14ac:dyDescent="0.25">
      <c r="A2211" s="86">
        <v>39</v>
      </c>
      <c r="B2211" s="86">
        <v>107</v>
      </c>
      <c r="C2211" s="103">
        <v>2.8659819847325942E-3</v>
      </c>
      <c r="D2211" s="103">
        <v>3.5109653442030537E-3</v>
      </c>
    </row>
    <row r="2212" spans="1:4" x14ac:dyDescent="0.25">
      <c r="A2212" s="86">
        <v>39</v>
      </c>
      <c r="B2212" s="86">
        <v>109</v>
      </c>
      <c r="C2212" s="103">
        <v>9.6315796817543764E-3</v>
      </c>
      <c r="D2212" s="103">
        <v>9.0771299142810655E-3</v>
      </c>
    </row>
    <row r="2213" spans="1:4" x14ac:dyDescent="0.25">
      <c r="A2213" s="86">
        <v>39</v>
      </c>
      <c r="B2213" s="86">
        <v>111</v>
      </c>
      <c r="C2213" s="103">
        <v>1.0826781548283833E-3</v>
      </c>
      <c r="D2213" s="103">
        <v>1.1817395548781009E-3</v>
      </c>
    </row>
    <row r="2214" spans="1:4" x14ac:dyDescent="0.25">
      <c r="A2214" s="86">
        <v>39</v>
      </c>
      <c r="B2214" s="86">
        <v>113</v>
      </c>
      <c r="C2214" s="103">
        <v>4.5592979932387742E-2</v>
      </c>
      <c r="D2214" s="103">
        <v>4.5556916173561578E-2</v>
      </c>
    </row>
    <row r="2215" spans="1:4" x14ac:dyDescent="0.25">
      <c r="A2215" s="86">
        <v>39</v>
      </c>
      <c r="B2215" s="86">
        <v>115</v>
      </c>
      <c r="C2215" s="103">
        <v>8.1559791856701156E-4</v>
      </c>
      <c r="D2215" s="103">
        <v>1.2502461957405995E-3</v>
      </c>
    </row>
    <row r="2216" spans="1:4" x14ac:dyDescent="0.25">
      <c r="A2216" s="86">
        <v>39</v>
      </c>
      <c r="B2216" s="86">
        <v>117</v>
      </c>
      <c r="C2216" s="103">
        <v>5.4918672812404885E-3</v>
      </c>
      <c r="D2216" s="103">
        <v>3.0057288678421263E-3</v>
      </c>
    </row>
    <row r="2217" spans="1:4" x14ac:dyDescent="0.25">
      <c r="A2217" s="86">
        <v>39</v>
      </c>
      <c r="B2217" s="86">
        <v>119</v>
      </c>
      <c r="C2217" s="103">
        <v>8.4408581477756327E-3</v>
      </c>
      <c r="D2217" s="103">
        <v>7.3730272228264126E-3</v>
      </c>
    </row>
    <row r="2218" spans="1:4" x14ac:dyDescent="0.25">
      <c r="A2218" s="86">
        <v>39</v>
      </c>
      <c r="B2218" s="86">
        <v>121</v>
      </c>
      <c r="C2218" s="103">
        <v>1.6957318157419584E-3</v>
      </c>
      <c r="D2218" s="103">
        <v>1.2245562054171626E-3</v>
      </c>
    </row>
    <row r="2219" spans="1:4" x14ac:dyDescent="0.25">
      <c r="A2219" s="86">
        <v>39</v>
      </c>
      <c r="B2219" s="86">
        <v>123</v>
      </c>
      <c r="C2219" s="103">
        <v>4.0197722138578928E-3</v>
      </c>
      <c r="D2219" s="103">
        <v>3.4938386839874292E-3</v>
      </c>
    </row>
    <row r="2220" spans="1:4" x14ac:dyDescent="0.25">
      <c r="A2220" s="86">
        <v>39</v>
      </c>
      <c r="B2220" s="86">
        <v>125</v>
      </c>
      <c r="C2220" s="103">
        <v>1.9560108721638171E-3</v>
      </c>
      <c r="D2220" s="103">
        <v>1.601342730160905E-3</v>
      </c>
    </row>
    <row r="2221" spans="1:4" x14ac:dyDescent="0.25">
      <c r="A2221" s="86">
        <v>39</v>
      </c>
      <c r="B2221" s="86">
        <v>127</v>
      </c>
      <c r="C2221" s="103">
        <v>1.7061544997975147E-3</v>
      </c>
      <c r="D2221" s="103">
        <v>3.0827988388124374E-3</v>
      </c>
    </row>
    <row r="2222" spans="1:4" x14ac:dyDescent="0.25">
      <c r="A2222" s="86">
        <v>39</v>
      </c>
      <c r="B2222" s="86">
        <v>129</v>
      </c>
      <c r="C2222" s="103">
        <v>5.2707679984987186E-3</v>
      </c>
      <c r="D2222" s="103">
        <v>4.9752947926389613E-3</v>
      </c>
    </row>
    <row r="2223" spans="1:4" x14ac:dyDescent="0.25">
      <c r="A2223" s="86">
        <v>39</v>
      </c>
      <c r="B2223" s="86">
        <v>131</v>
      </c>
      <c r="C2223" s="103">
        <v>2.557155485456025E-3</v>
      </c>
      <c r="D2223" s="103">
        <v>2.389169100079639E-3</v>
      </c>
    </row>
    <row r="2224" spans="1:4" x14ac:dyDescent="0.25">
      <c r="A2224" s="86">
        <v>39</v>
      </c>
      <c r="B2224" s="86">
        <v>133</v>
      </c>
      <c r="C2224" s="103">
        <v>1.4934127423922658E-2</v>
      </c>
      <c r="D2224" s="103">
        <v>1.3958228075734092E-2</v>
      </c>
    </row>
    <row r="2225" spans="1:4" x14ac:dyDescent="0.25">
      <c r="A2225" s="86">
        <v>39</v>
      </c>
      <c r="B2225" s="86">
        <v>135</v>
      </c>
      <c r="C2225" s="103">
        <v>4.3440300079945005E-3</v>
      </c>
      <c r="D2225" s="103">
        <v>3.5109653442030537E-3</v>
      </c>
    </row>
    <row r="2226" spans="1:4" x14ac:dyDescent="0.25">
      <c r="A2226" s="86">
        <v>39</v>
      </c>
      <c r="B2226" s="86">
        <v>137</v>
      </c>
      <c r="C2226" s="103">
        <v>1.9670803946377747E-3</v>
      </c>
      <c r="D2226" s="103">
        <v>2.8944055764405664E-3</v>
      </c>
    </row>
    <row r="2227" spans="1:4" x14ac:dyDescent="0.25">
      <c r="A2227" s="86">
        <v>39</v>
      </c>
      <c r="B2227" s="86">
        <v>139</v>
      </c>
      <c r="C2227" s="103">
        <v>1.1850362655794594E-2</v>
      </c>
      <c r="D2227" s="103">
        <v>1.0361629430452915E-2</v>
      </c>
    </row>
    <row r="2228" spans="1:4" x14ac:dyDescent="0.25">
      <c r="A2228" s="86">
        <v>39</v>
      </c>
      <c r="B2228" s="86">
        <v>141</v>
      </c>
      <c r="C2228" s="103">
        <v>7.2759585247762597E-3</v>
      </c>
      <c r="D2228" s="103">
        <v>6.5852008529076788E-3</v>
      </c>
    </row>
    <row r="2229" spans="1:4" x14ac:dyDescent="0.25">
      <c r="A2229" s="86">
        <v>39</v>
      </c>
      <c r="B2229" s="86">
        <v>143</v>
      </c>
      <c r="C2229" s="103">
        <v>7.9134187441904091E-3</v>
      </c>
      <c r="D2229" s="103">
        <v>5.0266747732858356E-3</v>
      </c>
    </row>
    <row r="2230" spans="1:4" x14ac:dyDescent="0.25">
      <c r="A2230" s="86">
        <v>39</v>
      </c>
      <c r="B2230" s="86">
        <v>145</v>
      </c>
      <c r="C2230" s="103">
        <v>5.152726297208126E-3</v>
      </c>
      <c r="D2230" s="103">
        <v>6.4653142313983065E-3</v>
      </c>
    </row>
    <row r="2231" spans="1:4" x14ac:dyDescent="0.25">
      <c r="A2231" s="86">
        <v>39</v>
      </c>
      <c r="B2231" s="86">
        <v>147</v>
      </c>
      <c r="C2231" s="103">
        <v>3.3583959983090311E-3</v>
      </c>
      <c r="D2231" s="103">
        <v>4.7269582195124038E-3</v>
      </c>
    </row>
    <row r="2232" spans="1:4" x14ac:dyDescent="0.25">
      <c r="A2232" s="86">
        <v>39</v>
      </c>
      <c r="B2232" s="86">
        <v>149</v>
      </c>
      <c r="C2232" s="103">
        <v>5.5571423608702115E-3</v>
      </c>
      <c r="D2232" s="103">
        <v>4.1617784323967908E-3</v>
      </c>
    </row>
    <row r="2233" spans="1:4" x14ac:dyDescent="0.25">
      <c r="A2233" s="86">
        <v>39</v>
      </c>
      <c r="B2233" s="86">
        <v>151</v>
      </c>
      <c r="C2233" s="103">
        <v>2.6078384638588928E-2</v>
      </c>
      <c r="D2233" s="103">
        <v>3.1769954699983727E-2</v>
      </c>
    </row>
    <row r="2234" spans="1:4" x14ac:dyDescent="0.25">
      <c r="A2234" s="86">
        <v>39</v>
      </c>
      <c r="B2234" s="86">
        <v>153</v>
      </c>
      <c r="C2234" s="103">
        <v>4.9168497728953278E-2</v>
      </c>
      <c r="D2234" s="103">
        <v>4.6327615883264686E-2</v>
      </c>
    </row>
    <row r="2235" spans="1:4" x14ac:dyDescent="0.25">
      <c r="A2235" s="86">
        <v>39</v>
      </c>
      <c r="B2235" s="86">
        <v>155</v>
      </c>
      <c r="C2235" s="103">
        <v>1.6237990710395486E-2</v>
      </c>
      <c r="D2235" s="103">
        <v>1.704102691454653E-2</v>
      </c>
    </row>
    <row r="2236" spans="1:4" x14ac:dyDescent="0.25">
      <c r="A2236" s="86">
        <v>39</v>
      </c>
      <c r="B2236" s="86">
        <v>157</v>
      </c>
      <c r="C2236" s="103">
        <v>8.2061874083226068E-3</v>
      </c>
      <c r="D2236" s="103">
        <v>7.8868270292951521E-3</v>
      </c>
    </row>
    <row r="2237" spans="1:4" x14ac:dyDescent="0.25">
      <c r="A2237" s="86">
        <v>39</v>
      </c>
      <c r="B2237" s="86">
        <v>159</v>
      </c>
      <c r="C2237" s="103">
        <v>7.2042223007314568E-3</v>
      </c>
      <c r="D2237" s="103">
        <v>4.9496048023155246E-3</v>
      </c>
    </row>
    <row r="2238" spans="1:4" x14ac:dyDescent="0.25">
      <c r="A2238" s="86">
        <v>39</v>
      </c>
      <c r="B2238" s="86">
        <v>161</v>
      </c>
      <c r="C2238" s="103">
        <v>2.6562607381757485E-3</v>
      </c>
      <c r="D2238" s="103">
        <v>2.4234224205108884E-3</v>
      </c>
    </row>
    <row r="2239" spans="1:4" x14ac:dyDescent="0.25">
      <c r="A2239" s="86">
        <v>39</v>
      </c>
      <c r="B2239" s="86">
        <v>163</v>
      </c>
      <c r="C2239" s="103">
        <v>8.6525158747390062E-4</v>
      </c>
      <c r="D2239" s="103">
        <v>1.1217962441234146E-3</v>
      </c>
    </row>
    <row r="2240" spans="1:4" x14ac:dyDescent="0.25">
      <c r="A2240" s="86">
        <v>39</v>
      </c>
      <c r="B2240" s="86">
        <v>165</v>
      </c>
      <c r="C2240" s="103">
        <v>2.0171301802867605E-2</v>
      </c>
      <c r="D2240" s="103">
        <v>1.9866925850124596E-2</v>
      </c>
    </row>
    <row r="2241" spans="1:4" x14ac:dyDescent="0.25">
      <c r="A2241" s="86">
        <v>39</v>
      </c>
      <c r="B2241" s="86">
        <v>167</v>
      </c>
      <c r="C2241" s="103">
        <v>5.1505724916346947E-3</v>
      </c>
      <c r="D2241" s="103">
        <v>5.1465613947952078E-3</v>
      </c>
    </row>
    <row r="2242" spans="1:4" x14ac:dyDescent="0.25">
      <c r="A2242" s="86">
        <v>39</v>
      </c>
      <c r="B2242" s="86">
        <v>169</v>
      </c>
      <c r="C2242" s="103">
        <v>8.9149609077008429E-3</v>
      </c>
      <c r="D2242" s="103">
        <v>9.9334629250622981E-3</v>
      </c>
    </row>
    <row r="2243" spans="1:4" x14ac:dyDescent="0.25">
      <c r="A2243" s="86">
        <v>39</v>
      </c>
      <c r="B2243" s="86">
        <v>171</v>
      </c>
      <c r="C2243" s="103">
        <v>3.9548862301830969E-3</v>
      </c>
      <c r="D2243" s="103">
        <v>3.1427421495671235E-3</v>
      </c>
    </row>
    <row r="2244" spans="1:4" x14ac:dyDescent="0.25">
      <c r="A2244" s="86">
        <v>39</v>
      </c>
      <c r="B2244" s="86">
        <v>173</v>
      </c>
      <c r="C2244" s="103">
        <v>1.6306267886778039E-2</v>
      </c>
      <c r="D2244" s="103">
        <v>1.1132329140156024E-2</v>
      </c>
    </row>
    <row r="2245" spans="1:4" x14ac:dyDescent="0.25">
      <c r="A2245" s="86">
        <v>39</v>
      </c>
      <c r="B2245" s="86">
        <v>175</v>
      </c>
      <c r="C2245" s="103">
        <v>3.0482114913982171E-3</v>
      </c>
      <c r="D2245" s="103">
        <v>1.8753692936108995E-3</v>
      </c>
    </row>
    <row r="2246" spans="1:4" x14ac:dyDescent="0.25">
      <c r="A2246" s="86">
        <v>40</v>
      </c>
      <c r="B2246" s="86">
        <v>1</v>
      </c>
      <c r="C2246" s="103">
        <v>2.3381729059875679E-3</v>
      </c>
      <c r="D2246" s="103">
        <v>5.6336598487539968E-3</v>
      </c>
    </row>
    <row r="2247" spans="1:4" x14ac:dyDescent="0.25">
      <c r="A2247" s="86">
        <v>40</v>
      </c>
      <c r="B2247" s="86">
        <v>3</v>
      </c>
      <c r="C2247" s="103">
        <v>1.1044608216113025E-3</v>
      </c>
      <c r="D2247" s="103">
        <v>1.464244023752728E-3</v>
      </c>
    </row>
    <row r="2248" spans="1:4" x14ac:dyDescent="0.25">
      <c r="A2248" s="86">
        <v>40</v>
      </c>
      <c r="B2248" s="86">
        <v>5</v>
      </c>
      <c r="C2248" s="103">
        <v>5.2164825391095319E-3</v>
      </c>
      <c r="D2248" s="103">
        <v>3.5020047708470793E-3</v>
      </c>
    </row>
    <row r="2249" spans="1:4" x14ac:dyDescent="0.25">
      <c r="A2249" s="86">
        <v>40</v>
      </c>
      <c r="B2249" s="86">
        <v>7</v>
      </c>
      <c r="C2249" s="103">
        <v>1.8207209769467892E-3</v>
      </c>
      <c r="D2249" s="103">
        <v>1.3500482160077145E-3</v>
      </c>
    </row>
    <row r="2250" spans="1:4" x14ac:dyDescent="0.25">
      <c r="A2250" s="86">
        <v>40</v>
      </c>
      <c r="B2250" s="86">
        <v>9</v>
      </c>
      <c r="C2250" s="103">
        <v>1.0179705751715836E-2</v>
      </c>
      <c r="D2250" s="103">
        <v>5.5067756179262043E-3</v>
      </c>
    </row>
    <row r="2251" spans="1:4" x14ac:dyDescent="0.25">
      <c r="A2251" s="86">
        <v>40</v>
      </c>
      <c r="B2251" s="86">
        <v>11</v>
      </c>
      <c r="C2251" s="103">
        <v>3.4564898289430575E-3</v>
      </c>
      <c r="D2251" s="103">
        <v>2.3981119626452826E-3</v>
      </c>
    </row>
    <row r="2252" spans="1:4" x14ac:dyDescent="0.25">
      <c r="A2252" s="86">
        <v>40</v>
      </c>
      <c r="B2252" s="86">
        <v>13</v>
      </c>
      <c r="C2252" s="103">
        <v>1.2061231644941398E-2</v>
      </c>
      <c r="D2252" s="103">
        <v>1.1977871390143634E-2</v>
      </c>
    </row>
    <row r="2253" spans="1:4" x14ac:dyDescent="0.25">
      <c r="A2253" s="86">
        <v>40</v>
      </c>
      <c r="B2253" s="86">
        <v>15</v>
      </c>
      <c r="C2253" s="103">
        <v>9.3127431582553672E-3</v>
      </c>
      <c r="D2253" s="103">
        <v>7.3592853880119777E-3</v>
      </c>
    </row>
    <row r="2254" spans="1:4" x14ac:dyDescent="0.25">
      <c r="A2254" s="86">
        <v>40</v>
      </c>
      <c r="B2254" s="86">
        <v>17</v>
      </c>
      <c r="C2254" s="103">
        <v>3.703604569879472E-2</v>
      </c>
      <c r="D2254" s="103">
        <v>3.6542658478404301E-2</v>
      </c>
    </row>
    <row r="2255" spans="1:4" x14ac:dyDescent="0.25">
      <c r="A2255" s="86">
        <v>40</v>
      </c>
      <c r="B2255" s="86">
        <v>19</v>
      </c>
      <c r="C2255" s="103">
        <v>1.4481078180522926E-2</v>
      </c>
      <c r="D2255" s="103">
        <v>1.2231639851799219E-2</v>
      </c>
    </row>
    <row r="2256" spans="1:4" x14ac:dyDescent="0.25">
      <c r="A2256" s="86">
        <v>40</v>
      </c>
      <c r="B2256" s="86">
        <v>21</v>
      </c>
      <c r="C2256" s="103">
        <v>7.1212435354626475E-3</v>
      </c>
      <c r="D2256" s="103">
        <v>1.2333147236461452E-2</v>
      </c>
    </row>
    <row r="2257" spans="1:4" x14ac:dyDescent="0.25">
      <c r="A2257" s="86">
        <v>40</v>
      </c>
      <c r="B2257" s="86">
        <v>23</v>
      </c>
      <c r="C2257" s="103">
        <v>3.4182318935451761E-3</v>
      </c>
      <c r="D2257" s="103">
        <v>3.7303963863371059E-3</v>
      </c>
    </row>
    <row r="2258" spans="1:4" x14ac:dyDescent="0.25">
      <c r="A2258" s="86">
        <v>40</v>
      </c>
      <c r="B2258" s="86">
        <v>25</v>
      </c>
      <c r="C2258" s="103">
        <v>1.3203580426419861E-3</v>
      </c>
      <c r="D2258" s="103">
        <v>5.5067756179262041E-4</v>
      </c>
    </row>
    <row r="2259" spans="1:4" x14ac:dyDescent="0.25">
      <c r="A2259" s="86">
        <v>40</v>
      </c>
      <c r="B2259" s="86">
        <v>27</v>
      </c>
      <c r="C2259" s="103">
        <v>5.2205828592035972E-2</v>
      </c>
      <c r="D2259" s="103">
        <v>7.1308937725219512E-2</v>
      </c>
    </row>
    <row r="2260" spans="1:4" x14ac:dyDescent="0.25">
      <c r="A2260" s="86">
        <v>40</v>
      </c>
      <c r="B2260" s="86">
        <v>29</v>
      </c>
      <c r="C2260" s="103">
        <v>1.0006011792604711E-3</v>
      </c>
      <c r="D2260" s="103">
        <v>1.4008019083388316E-3</v>
      </c>
    </row>
    <row r="2261" spans="1:4" x14ac:dyDescent="0.25">
      <c r="A2261" s="86">
        <v>40</v>
      </c>
      <c r="B2261" s="86">
        <v>31</v>
      </c>
      <c r="C2261" s="103">
        <v>2.1479758947327499E-2</v>
      </c>
      <c r="D2261" s="103">
        <v>3.0705983860325838E-2</v>
      </c>
    </row>
    <row r="2262" spans="1:4" x14ac:dyDescent="0.25">
      <c r="A2262" s="86">
        <v>40</v>
      </c>
      <c r="B2262" s="86">
        <v>33</v>
      </c>
      <c r="C2262" s="103">
        <v>2.8471591332702986E-3</v>
      </c>
      <c r="D2262" s="103">
        <v>1.4769324468355072E-3</v>
      </c>
    </row>
    <row r="2263" spans="1:4" x14ac:dyDescent="0.25">
      <c r="A2263" s="86">
        <v>40</v>
      </c>
      <c r="B2263" s="86">
        <v>35</v>
      </c>
      <c r="C2263" s="103">
        <v>7.3651422507403893E-3</v>
      </c>
      <c r="D2263" s="103">
        <v>3.6288890016748718E-3</v>
      </c>
    </row>
    <row r="2264" spans="1:4" x14ac:dyDescent="0.25">
      <c r="A2264" s="86">
        <v>40</v>
      </c>
      <c r="B2264" s="86">
        <v>37</v>
      </c>
      <c r="C2264" s="103">
        <v>2.3194298528446181E-2</v>
      </c>
      <c r="D2264" s="103">
        <v>1.8195198700705476E-2</v>
      </c>
    </row>
    <row r="2265" spans="1:4" x14ac:dyDescent="0.25">
      <c r="A2265" s="86">
        <v>40</v>
      </c>
      <c r="B2265" s="86">
        <v>39</v>
      </c>
      <c r="C2265" s="103">
        <v>1.2297195973375984E-2</v>
      </c>
      <c r="D2265" s="103">
        <v>7.3592853880119777E-3</v>
      </c>
    </row>
    <row r="2266" spans="1:4" x14ac:dyDescent="0.25">
      <c r="A2266" s="86">
        <v>40</v>
      </c>
      <c r="B2266" s="86">
        <v>41</v>
      </c>
      <c r="C2266" s="103">
        <v>7.3096579336150184E-3</v>
      </c>
      <c r="D2266" s="103">
        <v>1.0861290158859057E-2</v>
      </c>
    </row>
    <row r="2267" spans="1:4" x14ac:dyDescent="0.25">
      <c r="A2267" s="86">
        <v>40</v>
      </c>
      <c r="B2267" s="86">
        <v>43</v>
      </c>
      <c r="C2267" s="103">
        <v>1.8548963602004779E-3</v>
      </c>
      <c r="D2267" s="103">
        <v>1.2510785159620362E-3</v>
      </c>
    </row>
    <row r="2268" spans="1:4" x14ac:dyDescent="0.25">
      <c r="A2268" s="86">
        <v>40</v>
      </c>
      <c r="B2268" s="86">
        <v>45</v>
      </c>
      <c r="C2268" s="103">
        <v>1.3173996816510972E-3</v>
      </c>
      <c r="D2268" s="103">
        <v>9.9984773892300666E-4</v>
      </c>
    </row>
    <row r="2269" spans="1:4" x14ac:dyDescent="0.25">
      <c r="A2269" s="86">
        <v>40</v>
      </c>
      <c r="B2269" s="86">
        <v>47</v>
      </c>
      <c r="C2269" s="103">
        <v>1.0854792060217186E-2</v>
      </c>
      <c r="D2269" s="103">
        <v>1.550525300715627E-2</v>
      </c>
    </row>
    <row r="2270" spans="1:4" x14ac:dyDescent="0.25">
      <c r="A2270" s="86">
        <v>40</v>
      </c>
      <c r="B2270" s="86">
        <v>49</v>
      </c>
      <c r="C2270" s="103">
        <v>1.2437153457852379E-2</v>
      </c>
      <c r="D2270" s="103">
        <v>7.0293863878597169E-3</v>
      </c>
    </row>
    <row r="2271" spans="1:4" x14ac:dyDescent="0.25">
      <c r="A2271" s="86">
        <v>40</v>
      </c>
      <c r="B2271" s="86">
        <v>51</v>
      </c>
      <c r="C2271" s="103">
        <v>1.5187624729906682E-2</v>
      </c>
      <c r="D2271" s="103">
        <v>1.4058772775719434E-2</v>
      </c>
    </row>
    <row r="2272" spans="1:4" x14ac:dyDescent="0.25">
      <c r="A2272" s="86">
        <v>40</v>
      </c>
      <c r="B2272" s="86">
        <v>53</v>
      </c>
      <c r="C2272" s="103">
        <v>1.219154524109322E-3</v>
      </c>
      <c r="D2272" s="103">
        <v>1.0962797543521291E-3</v>
      </c>
    </row>
    <row r="2273" spans="1:4" x14ac:dyDescent="0.25">
      <c r="A2273" s="86">
        <v>40</v>
      </c>
      <c r="B2273" s="86">
        <v>55</v>
      </c>
      <c r="C2273" s="103">
        <v>7.0753955516497148E-4</v>
      </c>
      <c r="D2273" s="103">
        <v>1.4743947622189513E-3</v>
      </c>
    </row>
    <row r="2274" spans="1:4" x14ac:dyDescent="0.25">
      <c r="A2274" s="86">
        <v>40</v>
      </c>
      <c r="B2274" s="86">
        <v>57</v>
      </c>
      <c r="C2274" s="103">
        <v>3.486822748208294E-4</v>
      </c>
      <c r="D2274" s="103">
        <v>6.8263716185352488E-4</v>
      </c>
    </row>
    <row r="2275" spans="1:4" x14ac:dyDescent="0.25">
      <c r="A2275" s="86">
        <v>40</v>
      </c>
      <c r="B2275" s="86">
        <v>59</v>
      </c>
      <c r="C2275" s="103">
        <v>9.9839705516907421E-4</v>
      </c>
      <c r="D2275" s="103">
        <v>9.4655636197533369E-4</v>
      </c>
    </row>
    <row r="2276" spans="1:4" x14ac:dyDescent="0.25">
      <c r="A2276" s="86">
        <v>40</v>
      </c>
      <c r="B2276" s="86">
        <v>61</v>
      </c>
      <c r="C2276" s="103">
        <v>1.6614671270844851E-3</v>
      </c>
      <c r="D2276" s="103">
        <v>3.1974826168603768E-3</v>
      </c>
    </row>
    <row r="2277" spans="1:4" x14ac:dyDescent="0.25">
      <c r="A2277" s="86">
        <v>40</v>
      </c>
      <c r="B2277" s="86">
        <v>63</v>
      </c>
      <c r="C2277" s="103">
        <v>2.2863660420100718E-3</v>
      </c>
      <c r="D2277" s="103">
        <v>3.3751205400192863E-3</v>
      </c>
    </row>
    <row r="2278" spans="1:4" x14ac:dyDescent="0.25">
      <c r="A2278" s="86">
        <v>40</v>
      </c>
      <c r="B2278" s="86">
        <v>65</v>
      </c>
      <c r="C2278" s="103">
        <v>3.977564327832305E-3</v>
      </c>
      <c r="D2278" s="103">
        <v>6.2934578490585194E-3</v>
      </c>
    </row>
    <row r="2279" spans="1:4" x14ac:dyDescent="0.25">
      <c r="A2279" s="86">
        <v>40</v>
      </c>
      <c r="B2279" s="86">
        <v>67</v>
      </c>
      <c r="C2279" s="103">
        <v>1.0643969077815964E-3</v>
      </c>
      <c r="D2279" s="103">
        <v>1.550525300715627E-3</v>
      </c>
    </row>
    <row r="2280" spans="1:4" x14ac:dyDescent="0.25">
      <c r="A2280" s="86">
        <v>40</v>
      </c>
      <c r="B2280" s="86">
        <v>69</v>
      </c>
      <c r="C2280" s="103">
        <v>1.8998729187349635E-3</v>
      </c>
      <c r="D2280" s="103">
        <v>2.7914530782114401E-3</v>
      </c>
    </row>
    <row r="2281" spans="1:4" x14ac:dyDescent="0.25">
      <c r="A2281" s="86">
        <v>40</v>
      </c>
      <c r="B2281" s="86">
        <v>71</v>
      </c>
      <c r="C2281" s="103">
        <v>1.2977458505750416E-2</v>
      </c>
      <c r="D2281" s="103">
        <v>1.11404354666802E-2</v>
      </c>
    </row>
    <row r="2282" spans="1:4" x14ac:dyDescent="0.25">
      <c r="A2282" s="86">
        <v>40</v>
      </c>
      <c r="B2282" s="86">
        <v>73</v>
      </c>
      <c r="C2282" s="103">
        <v>3.0026226150108659E-3</v>
      </c>
      <c r="D2282" s="103">
        <v>4.0095416941582501E-3</v>
      </c>
    </row>
    <row r="2283" spans="1:4" x14ac:dyDescent="0.25">
      <c r="A2283" s="86">
        <v>40</v>
      </c>
      <c r="B2283" s="86">
        <v>75</v>
      </c>
      <c r="C2283" s="103">
        <v>1.5913597736677001E-3</v>
      </c>
      <c r="D2283" s="103">
        <v>2.2153986702532608E-3</v>
      </c>
    </row>
    <row r="2284" spans="1:4" x14ac:dyDescent="0.25">
      <c r="A2284" s="86">
        <v>40</v>
      </c>
      <c r="B2284" s="86">
        <v>77</v>
      </c>
      <c r="C2284" s="103">
        <v>1.3836857889405474E-3</v>
      </c>
      <c r="D2284" s="103">
        <v>2.5884383088869713E-3</v>
      </c>
    </row>
    <row r="2285" spans="1:4" x14ac:dyDescent="0.25">
      <c r="A2285" s="86">
        <v>40</v>
      </c>
      <c r="B2285" s="86">
        <v>79</v>
      </c>
      <c r="C2285" s="103">
        <v>8.4929385195258826E-3</v>
      </c>
      <c r="D2285" s="103">
        <v>1.271379992894483E-2</v>
      </c>
    </row>
    <row r="2286" spans="1:4" x14ac:dyDescent="0.25">
      <c r="A2286" s="86">
        <v>40</v>
      </c>
      <c r="B2286" s="86">
        <v>81</v>
      </c>
      <c r="C2286" s="103">
        <v>1.2384741174341726E-2</v>
      </c>
      <c r="D2286" s="103">
        <v>8.8311424656143736E-3</v>
      </c>
    </row>
    <row r="2287" spans="1:4" x14ac:dyDescent="0.25">
      <c r="A2287" s="86">
        <v>40</v>
      </c>
      <c r="B2287" s="86">
        <v>83</v>
      </c>
      <c r="C2287" s="103">
        <v>1.1464605923520799E-2</v>
      </c>
      <c r="D2287" s="103">
        <v>1.1977871390143634E-2</v>
      </c>
    </row>
    <row r="2288" spans="1:4" x14ac:dyDescent="0.25">
      <c r="A2288" s="86">
        <v>40</v>
      </c>
      <c r="B2288" s="86">
        <v>85</v>
      </c>
      <c r="C2288" s="103">
        <v>8.9493180385436348E-3</v>
      </c>
      <c r="D2288" s="103">
        <v>2.5884383088869713E-3</v>
      </c>
    </row>
    <row r="2289" spans="1:4" x14ac:dyDescent="0.25">
      <c r="A2289" s="86">
        <v>40</v>
      </c>
      <c r="B2289" s="86">
        <v>87</v>
      </c>
      <c r="C2289" s="103">
        <v>2.046448257420962E-2</v>
      </c>
      <c r="D2289" s="103">
        <v>1.0125361620057859E-2</v>
      </c>
    </row>
    <row r="2290" spans="1:4" x14ac:dyDescent="0.25">
      <c r="A2290" s="86">
        <v>40</v>
      </c>
      <c r="B2290" s="86">
        <v>89</v>
      </c>
      <c r="C2290" s="103">
        <v>5.9898250733844407E-3</v>
      </c>
      <c r="D2290" s="103">
        <v>8.3743592346343203E-3</v>
      </c>
    </row>
    <row r="2291" spans="1:4" x14ac:dyDescent="0.25">
      <c r="A2291" s="86">
        <v>40</v>
      </c>
      <c r="B2291" s="86">
        <v>91</v>
      </c>
      <c r="C2291" s="103">
        <v>9.4719194743102322E-3</v>
      </c>
      <c r="D2291" s="103">
        <v>4.9992386946150335E-3</v>
      </c>
    </row>
    <row r="2292" spans="1:4" x14ac:dyDescent="0.25">
      <c r="A2292" s="86">
        <v>40</v>
      </c>
      <c r="B2292" s="86">
        <v>93</v>
      </c>
      <c r="C2292" s="103">
        <v>2.1907043723504126E-3</v>
      </c>
      <c r="D2292" s="103">
        <v>1.9362533624321168E-3</v>
      </c>
    </row>
    <row r="2293" spans="1:4" x14ac:dyDescent="0.25">
      <c r="A2293" s="86">
        <v>40</v>
      </c>
      <c r="B2293" s="86">
        <v>95</v>
      </c>
      <c r="C2293" s="103">
        <v>2.184577482252177E-3</v>
      </c>
      <c r="D2293" s="103">
        <v>4.2379333096482768E-3</v>
      </c>
    </row>
    <row r="2294" spans="1:4" x14ac:dyDescent="0.25">
      <c r="A2294" s="86">
        <v>40</v>
      </c>
      <c r="B2294" s="86">
        <v>97</v>
      </c>
      <c r="C2294" s="103">
        <v>1.148016942693347E-2</v>
      </c>
      <c r="D2294" s="103">
        <v>1.045526062021012E-2</v>
      </c>
    </row>
    <row r="2295" spans="1:4" x14ac:dyDescent="0.25">
      <c r="A2295" s="86">
        <v>40</v>
      </c>
      <c r="B2295" s="86">
        <v>99</v>
      </c>
      <c r="C2295" s="103">
        <v>5.2100401721537383E-3</v>
      </c>
      <c r="D2295" s="103">
        <v>3.5527584631781964E-3</v>
      </c>
    </row>
    <row r="2296" spans="1:4" x14ac:dyDescent="0.25">
      <c r="A2296" s="86">
        <v>40</v>
      </c>
      <c r="B2296" s="86">
        <v>101</v>
      </c>
      <c r="C2296" s="103">
        <v>1.7469687435590631E-2</v>
      </c>
      <c r="D2296" s="103">
        <v>1.7332385931076486E-2</v>
      </c>
    </row>
    <row r="2297" spans="1:4" x14ac:dyDescent="0.25">
      <c r="A2297" s="86">
        <v>40</v>
      </c>
      <c r="B2297" s="86">
        <v>103</v>
      </c>
      <c r="C2297" s="103">
        <v>9.7774001544288849E-3</v>
      </c>
      <c r="D2297" s="103">
        <v>2.8675836167081155E-3</v>
      </c>
    </row>
    <row r="2298" spans="1:4" x14ac:dyDescent="0.25">
      <c r="A2298" s="86">
        <v>40</v>
      </c>
      <c r="B2298" s="86">
        <v>105</v>
      </c>
      <c r="C2298" s="103">
        <v>1.6699722431240619E-3</v>
      </c>
      <c r="D2298" s="103">
        <v>2.6138151550525301E-3</v>
      </c>
    </row>
    <row r="2299" spans="1:4" x14ac:dyDescent="0.25">
      <c r="A2299" s="86">
        <v>40</v>
      </c>
      <c r="B2299" s="86">
        <v>107</v>
      </c>
      <c r="C2299" s="103">
        <v>5.0808095514048232E-3</v>
      </c>
      <c r="D2299" s="103">
        <v>3.0705983860325838E-3</v>
      </c>
    </row>
    <row r="2300" spans="1:4" x14ac:dyDescent="0.25">
      <c r="A2300" s="86">
        <v>40</v>
      </c>
      <c r="B2300" s="86">
        <v>109</v>
      </c>
      <c r="C2300" s="103">
        <v>0.22215269782613686</v>
      </c>
      <c r="D2300" s="103">
        <v>0.2007308531695681</v>
      </c>
    </row>
    <row r="2301" spans="1:4" x14ac:dyDescent="0.25">
      <c r="A2301" s="86">
        <v>40</v>
      </c>
      <c r="B2301" s="86">
        <v>111</v>
      </c>
      <c r="C2301" s="103">
        <v>9.5341262992943189E-3</v>
      </c>
      <c r="D2301" s="103">
        <v>9.7193320814089219E-3</v>
      </c>
    </row>
    <row r="2302" spans="1:4" x14ac:dyDescent="0.25">
      <c r="A2302" s="86">
        <v>40</v>
      </c>
      <c r="B2302" s="86">
        <v>113</v>
      </c>
      <c r="C2302" s="103">
        <v>6.050040947608153E-3</v>
      </c>
      <c r="D2302" s="103">
        <v>1.1952494543978074E-2</v>
      </c>
    </row>
    <row r="2303" spans="1:4" x14ac:dyDescent="0.25">
      <c r="A2303" s="86">
        <v>40</v>
      </c>
      <c r="B2303" s="86">
        <v>115</v>
      </c>
      <c r="C2303" s="103">
        <v>1.1820116674026862E-2</v>
      </c>
      <c r="D2303" s="103">
        <v>7.9429528498198235E-3</v>
      </c>
    </row>
    <row r="2304" spans="1:4" x14ac:dyDescent="0.25">
      <c r="A2304" s="86">
        <v>40</v>
      </c>
      <c r="B2304" s="86">
        <v>117</v>
      </c>
      <c r="C2304" s="103">
        <v>3.0411563521942843E-3</v>
      </c>
      <c r="D2304" s="103">
        <v>4.1618027711516009E-3</v>
      </c>
    </row>
    <row r="2305" spans="1:4" x14ac:dyDescent="0.25">
      <c r="A2305" s="86">
        <v>40</v>
      </c>
      <c r="B2305" s="86">
        <v>119</v>
      </c>
      <c r="C2305" s="103">
        <v>1.5691644185292807E-2</v>
      </c>
      <c r="D2305" s="103">
        <v>2.0859767548089124E-2</v>
      </c>
    </row>
    <row r="2306" spans="1:4" x14ac:dyDescent="0.25">
      <c r="A2306" s="86">
        <v>40</v>
      </c>
      <c r="B2306" s="86">
        <v>121</v>
      </c>
      <c r="C2306" s="103">
        <v>1.1325786584946868E-2</v>
      </c>
      <c r="D2306" s="103">
        <v>1.11404354666802E-2</v>
      </c>
    </row>
    <row r="2307" spans="1:4" x14ac:dyDescent="0.25">
      <c r="A2307" s="86">
        <v>40</v>
      </c>
      <c r="B2307" s="86">
        <v>123</v>
      </c>
      <c r="C2307" s="103">
        <v>7.0108186141970242E-3</v>
      </c>
      <c r="D2307" s="103">
        <v>9.7193320814089219E-3</v>
      </c>
    </row>
    <row r="2308" spans="1:4" x14ac:dyDescent="0.25">
      <c r="A2308" s="86">
        <v>40</v>
      </c>
      <c r="B2308" s="86">
        <v>125</v>
      </c>
      <c r="C2308" s="103">
        <v>1.8052223006044629E-2</v>
      </c>
      <c r="D2308" s="103">
        <v>1.8398213470029946E-2</v>
      </c>
    </row>
    <row r="2309" spans="1:4" x14ac:dyDescent="0.25">
      <c r="A2309" s="86">
        <v>40</v>
      </c>
      <c r="B2309" s="86">
        <v>127</v>
      </c>
      <c r="C2309" s="103">
        <v>2.1423643959564394E-3</v>
      </c>
      <c r="D2309" s="103">
        <v>2.8422067705425572E-3</v>
      </c>
    </row>
    <row r="2310" spans="1:4" x14ac:dyDescent="0.25">
      <c r="A2310" s="86">
        <v>40</v>
      </c>
      <c r="B2310" s="86">
        <v>129</v>
      </c>
      <c r="C2310" s="103">
        <v>6.429063766185115E-4</v>
      </c>
      <c r="D2310" s="103">
        <v>9.262548850428869E-4</v>
      </c>
    </row>
    <row r="2311" spans="1:4" x14ac:dyDescent="0.25">
      <c r="A2311" s="86">
        <v>40</v>
      </c>
      <c r="B2311" s="86">
        <v>131</v>
      </c>
      <c r="C2311" s="103">
        <v>2.4510228972232657E-2</v>
      </c>
      <c r="D2311" s="103">
        <v>2.3295944779982744E-2</v>
      </c>
    </row>
    <row r="2312" spans="1:4" x14ac:dyDescent="0.25">
      <c r="A2312" s="86">
        <v>40</v>
      </c>
      <c r="B2312" s="86">
        <v>133</v>
      </c>
      <c r="C2312" s="103">
        <v>8.136103557026729E-3</v>
      </c>
      <c r="D2312" s="103">
        <v>6.2173273105618435E-3</v>
      </c>
    </row>
    <row r="2313" spans="1:4" x14ac:dyDescent="0.25">
      <c r="A2313" s="86">
        <v>40</v>
      </c>
      <c r="B2313" s="86">
        <v>135</v>
      </c>
      <c r="C2313" s="103">
        <v>1.4529884046015275E-2</v>
      </c>
      <c r="D2313" s="103">
        <v>1.0556768004872354E-2</v>
      </c>
    </row>
    <row r="2314" spans="1:4" x14ac:dyDescent="0.25">
      <c r="A2314" s="86">
        <v>40</v>
      </c>
      <c r="B2314" s="86">
        <v>137</v>
      </c>
      <c r="C2314" s="103">
        <v>7.1831547788061088E-3</v>
      </c>
      <c r="D2314" s="103">
        <v>1.0962797543521292E-2</v>
      </c>
    </row>
    <row r="2315" spans="1:4" x14ac:dyDescent="0.25">
      <c r="A2315" s="86">
        <v>40</v>
      </c>
      <c r="B2315" s="86">
        <v>139</v>
      </c>
      <c r="C2315" s="103">
        <v>4.9513872948029128E-3</v>
      </c>
      <c r="D2315" s="103">
        <v>5.2022534639395018E-3</v>
      </c>
    </row>
    <row r="2316" spans="1:4" x14ac:dyDescent="0.25">
      <c r="A2316" s="86">
        <v>40</v>
      </c>
      <c r="B2316" s="86">
        <v>141</v>
      </c>
      <c r="C2316" s="103">
        <v>1.0032003975463839E-3</v>
      </c>
      <c r="D2316" s="103">
        <v>1.8575851393188853E-3</v>
      </c>
    </row>
    <row r="2317" spans="1:4" x14ac:dyDescent="0.25">
      <c r="A2317" s="86">
        <v>40</v>
      </c>
      <c r="B2317" s="86">
        <v>143</v>
      </c>
      <c r="C2317" s="103">
        <v>0.15215461860108251</v>
      </c>
      <c r="D2317" s="103">
        <v>0.16444196315281936</v>
      </c>
    </row>
    <row r="2318" spans="1:4" x14ac:dyDescent="0.25">
      <c r="A2318" s="86">
        <v>40</v>
      </c>
      <c r="B2318" s="86">
        <v>145</v>
      </c>
      <c r="C2318" s="103">
        <v>1.7417490871001504E-2</v>
      </c>
      <c r="D2318" s="103">
        <v>2.0326853778612396E-2</v>
      </c>
    </row>
    <row r="2319" spans="1:4" x14ac:dyDescent="0.25">
      <c r="A2319" s="86">
        <v>40</v>
      </c>
      <c r="B2319" s="86">
        <v>147</v>
      </c>
      <c r="C2319" s="103">
        <v>8.1864293168400198E-3</v>
      </c>
      <c r="D2319" s="103">
        <v>1.3145206313759325E-2</v>
      </c>
    </row>
    <row r="2320" spans="1:4" x14ac:dyDescent="0.25">
      <c r="A2320" s="86">
        <v>40</v>
      </c>
      <c r="B2320" s="86">
        <v>149</v>
      </c>
      <c r="C2320" s="103">
        <v>4.4859700733130932E-3</v>
      </c>
      <c r="D2320" s="103">
        <v>2.7914530782114401E-3</v>
      </c>
    </row>
    <row r="2321" spans="1:4" x14ac:dyDescent="0.25">
      <c r="A2321" s="86">
        <v>40</v>
      </c>
      <c r="B2321" s="86">
        <v>151</v>
      </c>
      <c r="C2321" s="103">
        <v>1.6027827826970284E-3</v>
      </c>
      <c r="D2321" s="103">
        <v>2.2560016241181544E-3</v>
      </c>
    </row>
    <row r="2322" spans="1:4" x14ac:dyDescent="0.25">
      <c r="A2322" s="86">
        <v>40</v>
      </c>
      <c r="B2322" s="86">
        <v>153</v>
      </c>
      <c r="C2322" s="103">
        <v>4.756635207789431E-3</v>
      </c>
      <c r="D2322" s="103">
        <v>5.1514997716083843E-3</v>
      </c>
    </row>
    <row r="2323" spans="1:4" x14ac:dyDescent="0.25">
      <c r="A2323" s="86">
        <v>41</v>
      </c>
      <c r="B2323" s="86">
        <v>1</v>
      </c>
      <c r="C2323" s="103">
        <v>1.1282471874404672E-2</v>
      </c>
      <c r="D2323" s="103">
        <v>3.8274581850193286E-3</v>
      </c>
    </row>
    <row r="2324" spans="1:4" x14ac:dyDescent="0.25">
      <c r="A2324" s="86">
        <v>41</v>
      </c>
      <c r="B2324" s="86">
        <v>3</v>
      </c>
      <c r="C2324" s="103">
        <v>1.3145722088544479E-2</v>
      </c>
      <c r="D2324" s="103">
        <v>2.2103571018486624E-2</v>
      </c>
    </row>
    <row r="2325" spans="1:4" x14ac:dyDescent="0.25">
      <c r="A2325" s="86">
        <v>41</v>
      </c>
      <c r="B2325" s="86">
        <v>5</v>
      </c>
      <c r="C2325" s="103">
        <v>8.7310029554138954E-2</v>
      </c>
      <c r="D2325" s="103">
        <v>9.9274696673938831E-2</v>
      </c>
    </row>
    <row r="2326" spans="1:4" x14ac:dyDescent="0.25">
      <c r="A2326" s="86">
        <v>41</v>
      </c>
      <c r="B2326" s="86">
        <v>7</v>
      </c>
      <c r="C2326" s="103">
        <v>1.0331420281161701E-2</v>
      </c>
      <c r="D2326" s="103">
        <v>9.4968806215792092E-3</v>
      </c>
    </row>
    <row r="2327" spans="1:4" x14ac:dyDescent="0.25">
      <c r="A2327" s="86">
        <v>41</v>
      </c>
      <c r="B2327" s="86">
        <v>9</v>
      </c>
      <c r="C2327" s="103">
        <v>1.008894760495503E-2</v>
      </c>
      <c r="D2327" s="103">
        <v>1.2487082328625559E-2</v>
      </c>
    </row>
    <row r="2328" spans="1:4" x14ac:dyDescent="0.25">
      <c r="A2328" s="86">
        <v>41</v>
      </c>
      <c r="B2328" s="86">
        <v>11</v>
      </c>
      <c r="C2328" s="103">
        <v>1.0652924110886775E-2</v>
      </c>
      <c r="D2328" s="103">
        <v>1.5381597581046427E-2</v>
      </c>
    </row>
    <row r="2329" spans="1:4" x14ac:dyDescent="0.25">
      <c r="A2329" s="86">
        <v>41</v>
      </c>
      <c r="B2329" s="86">
        <v>13</v>
      </c>
      <c r="C2329" s="103">
        <v>4.387982954170473E-3</v>
      </c>
      <c r="D2329" s="103">
        <v>5.6933440502162517E-3</v>
      </c>
    </row>
    <row r="2330" spans="1:4" x14ac:dyDescent="0.25">
      <c r="A2330" s="86">
        <v>41</v>
      </c>
      <c r="B2330" s="86">
        <v>15</v>
      </c>
      <c r="C2330" s="103">
        <v>4.2333655473386867E-3</v>
      </c>
      <c r="D2330" s="103">
        <v>5.454127913652543E-3</v>
      </c>
    </row>
    <row r="2331" spans="1:4" x14ac:dyDescent="0.25">
      <c r="A2331" s="86">
        <v>41</v>
      </c>
      <c r="B2331" s="86">
        <v>17</v>
      </c>
      <c r="C2331" s="103">
        <v>3.7526829312873052E-2</v>
      </c>
      <c r="D2331" s="103">
        <v>4.5929498220231943E-2</v>
      </c>
    </row>
    <row r="2332" spans="1:4" x14ac:dyDescent="0.25">
      <c r="A2332" s="86">
        <v>41</v>
      </c>
      <c r="B2332" s="86">
        <v>19</v>
      </c>
      <c r="C2332" s="103">
        <v>4.5840403150252694E-2</v>
      </c>
      <c r="D2332" s="103">
        <v>2.6313775022007886E-2</v>
      </c>
    </row>
    <row r="2333" spans="1:4" x14ac:dyDescent="0.25">
      <c r="A2333" s="86">
        <v>41</v>
      </c>
      <c r="B2333" s="86">
        <v>21</v>
      </c>
      <c r="C2333" s="103">
        <v>6.0169799196718547E-3</v>
      </c>
      <c r="D2333" s="103">
        <v>4.5211849810540821E-4</v>
      </c>
    </row>
    <row r="2334" spans="1:4" x14ac:dyDescent="0.25">
      <c r="A2334" s="86">
        <v>41</v>
      </c>
      <c r="B2334" s="86">
        <v>23</v>
      </c>
      <c r="C2334" s="103">
        <v>1.1788131615476363E-3</v>
      </c>
      <c r="D2334" s="103">
        <v>1.7199640218930608E-3</v>
      </c>
    </row>
    <row r="2335" spans="1:4" x14ac:dyDescent="0.25">
      <c r="A2335" s="86">
        <v>41</v>
      </c>
      <c r="B2335" s="86">
        <v>25</v>
      </c>
      <c r="C2335" s="103">
        <v>1.7130564220670579E-3</v>
      </c>
      <c r="D2335" s="103">
        <v>1.7438856355494316E-3</v>
      </c>
    </row>
    <row r="2336" spans="1:4" x14ac:dyDescent="0.25">
      <c r="A2336" s="86">
        <v>41</v>
      </c>
      <c r="B2336" s="86">
        <v>27</v>
      </c>
      <c r="C2336" s="103">
        <v>1.1973323692520283E-2</v>
      </c>
      <c r="D2336" s="103">
        <v>5.5737359819343973E-3</v>
      </c>
    </row>
    <row r="2337" spans="1:4" x14ac:dyDescent="0.25">
      <c r="A2337" s="86">
        <v>41</v>
      </c>
      <c r="B2337" s="86">
        <v>29</v>
      </c>
      <c r="C2337" s="103">
        <v>5.7089789917864064E-2</v>
      </c>
      <c r="D2337" s="103">
        <v>5.238833390745206E-2</v>
      </c>
    </row>
    <row r="2338" spans="1:4" x14ac:dyDescent="0.25">
      <c r="A2338" s="86">
        <v>41</v>
      </c>
      <c r="B2338" s="86">
        <v>31</v>
      </c>
      <c r="C2338" s="103">
        <v>4.9062095890388601E-3</v>
      </c>
      <c r="D2338" s="103">
        <v>5.789030504841735E-3</v>
      </c>
    </row>
    <row r="2339" spans="1:4" x14ac:dyDescent="0.25">
      <c r="A2339" s="86">
        <v>41</v>
      </c>
      <c r="B2339" s="86">
        <v>33</v>
      </c>
      <c r="C2339" s="103">
        <v>2.3047237424706643E-2</v>
      </c>
      <c r="D2339" s="103">
        <v>2.0859647108355341E-2</v>
      </c>
    </row>
    <row r="2340" spans="1:4" x14ac:dyDescent="0.25">
      <c r="A2340" s="86">
        <v>41</v>
      </c>
      <c r="B2340" s="86">
        <v>35</v>
      </c>
      <c r="C2340" s="103">
        <v>1.503711004577765E-2</v>
      </c>
      <c r="D2340" s="103">
        <v>1.6194932445363033E-2</v>
      </c>
    </row>
    <row r="2341" spans="1:4" x14ac:dyDescent="0.25">
      <c r="A2341" s="86">
        <v>41</v>
      </c>
      <c r="B2341" s="86">
        <v>37</v>
      </c>
      <c r="C2341" s="103">
        <v>1.5488381124195529E-3</v>
      </c>
      <c r="D2341" s="103">
        <v>1.875454510659471E-3</v>
      </c>
    </row>
    <row r="2342" spans="1:4" x14ac:dyDescent="0.25">
      <c r="A2342" s="86">
        <v>41</v>
      </c>
      <c r="B2342" s="86">
        <v>39</v>
      </c>
      <c r="C2342" s="103">
        <v>8.1978216445084809E-2</v>
      </c>
      <c r="D2342" s="103">
        <v>9.0662915757645346E-2</v>
      </c>
    </row>
    <row r="2343" spans="1:4" x14ac:dyDescent="0.25">
      <c r="A2343" s="86">
        <v>41</v>
      </c>
      <c r="B2343" s="86">
        <v>41</v>
      </c>
      <c r="C2343" s="103">
        <v>1.0713311099335517E-2</v>
      </c>
      <c r="D2343" s="103">
        <v>1.1769433918934435E-2</v>
      </c>
    </row>
    <row r="2344" spans="1:4" x14ac:dyDescent="0.25">
      <c r="A2344" s="86">
        <v>41</v>
      </c>
      <c r="B2344" s="86">
        <v>43</v>
      </c>
      <c r="C2344" s="103">
        <v>4.2341902537622808E-2</v>
      </c>
      <c r="D2344" s="103">
        <v>3.038044934359092E-2</v>
      </c>
    </row>
    <row r="2345" spans="1:4" x14ac:dyDescent="0.25">
      <c r="A2345" s="86">
        <v>41</v>
      </c>
      <c r="B2345" s="86">
        <v>45</v>
      </c>
      <c r="C2345" s="103">
        <v>1.0324848764155445E-2</v>
      </c>
      <c r="D2345" s="103">
        <v>7.320013778849466E-3</v>
      </c>
    </row>
    <row r="2346" spans="1:4" x14ac:dyDescent="0.25">
      <c r="A2346" s="86">
        <v>41</v>
      </c>
      <c r="B2346" s="86">
        <v>47</v>
      </c>
      <c r="C2346" s="103">
        <v>9.2828108740429072E-2</v>
      </c>
      <c r="D2346" s="103">
        <v>8.2529567114479271E-2</v>
      </c>
    </row>
    <row r="2347" spans="1:4" x14ac:dyDescent="0.25">
      <c r="A2347" s="86">
        <v>41</v>
      </c>
      <c r="B2347" s="86">
        <v>49</v>
      </c>
      <c r="C2347" s="103">
        <v>6.986020196717015E-3</v>
      </c>
      <c r="D2347" s="103">
        <v>2.7270639568262715E-3</v>
      </c>
    </row>
    <row r="2348" spans="1:4" x14ac:dyDescent="0.25">
      <c r="A2348" s="86">
        <v>41</v>
      </c>
      <c r="B2348" s="86">
        <v>51</v>
      </c>
      <c r="C2348" s="103">
        <v>0.19072619938556823</v>
      </c>
      <c r="D2348" s="103">
        <v>0.19352585448003981</v>
      </c>
    </row>
    <row r="2349" spans="1:4" x14ac:dyDescent="0.25">
      <c r="A2349" s="86">
        <v>41</v>
      </c>
      <c r="B2349" s="86">
        <v>53</v>
      </c>
      <c r="C2349" s="103">
        <v>1.3335599383046608E-2</v>
      </c>
      <c r="D2349" s="103">
        <v>2.0333371607915183E-2</v>
      </c>
    </row>
    <row r="2350" spans="1:4" x14ac:dyDescent="0.25">
      <c r="A2350" s="86">
        <v>41</v>
      </c>
      <c r="B2350" s="86">
        <v>55</v>
      </c>
      <c r="C2350" s="103">
        <v>3.7090346814773944E-3</v>
      </c>
      <c r="D2350" s="103">
        <v>4.0666743215830365E-4</v>
      </c>
    </row>
    <row r="2351" spans="1:4" x14ac:dyDescent="0.25">
      <c r="A2351" s="86">
        <v>41</v>
      </c>
      <c r="B2351" s="86">
        <v>57</v>
      </c>
      <c r="C2351" s="103">
        <v>6.2326038542158983E-3</v>
      </c>
      <c r="D2351" s="103">
        <v>6.3870708462510049E-3</v>
      </c>
    </row>
    <row r="2352" spans="1:4" x14ac:dyDescent="0.25">
      <c r="A2352" s="86">
        <v>41</v>
      </c>
      <c r="B2352" s="86">
        <v>59</v>
      </c>
      <c r="C2352" s="103">
        <v>2.6559298164152954E-2</v>
      </c>
      <c r="D2352" s="103">
        <v>1.8515328970031001E-2</v>
      </c>
    </row>
    <row r="2353" spans="1:4" x14ac:dyDescent="0.25">
      <c r="A2353" s="86">
        <v>41</v>
      </c>
      <c r="B2353" s="86">
        <v>61</v>
      </c>
      <c r="C2353" s="103">
        <v>9.9440861355529122E-3</v>
      </c>
      <c r="D2353" s="103">
        <v>6.3870708462510049E-3</v>
      </c>
    </row>
    <row r="2354" spans="1:4" x14ac:dyDescent="0.25">
      <c r="A2354" s="86">
        <v>41</v>
      </c>
      <c r="B2354" s="86">
        <v>63</v>
      </c>
      <c r="C2354" s="103">
        <v>9.7103211321332016E-4</v>
      </c>
      <c r="D2354" s="103">
        <v>1.6888659241397787E-3</v>
      </c>
    </row>
    <row r="2355" spans="1:4" x14ac:dyDescent="0.25">
      <c r="A2355" s="86">
        <v>41</v>
      </c>
      <c r="B2355" s="86">
        <v>65</v>
      </c>
      <c r="C2355" s="103">
        <v>1.3851404228556189E-2</v>
      </c>
      <c r="D2355" s="103">
        <v>6.3153060052818927E-3</v>
      </c>
    </row>
    <row r="2356" spans="1:4" x14ac:dyDescent="0.25">
      <c r="A2356" s="86">
        <v>41</v>
      </c>
      <c r="B2356" s="86">
        <v>67</v>
      </c>
      <c r="C2356" s="103">
        <v>0.1155121936381822</v>
      </c>
      <c r="D2356" s="103">
        <v>0.14281203352853369</v>
      </c>
    </row>
    <row r="2357" spans="1:4" x14ac:dyDescent="0.25">
      <c r="A2357" s="86">
        <v>41</v>
      </c>
      <c r="B2357" s="86">
        <v>69</v>
      </c>
      <c r="C2357" s="103">
        <v>3.5044249779757347E-4</v>
      </c>
      <c r="D2357" s="103">
        <v>3.2294178436100587E-4</v>
      </c>
    </row>
    <row r="2358" spans="1:4" x14ac:dyDescent="0.25">
      <c r="A2358" s="86">
        <v>41</v>
      </c>
      <c r="B2358" s="86">
        <v>71</v>
      </c>
      <c r="C2358" s="103">
        <v>1.6324243370552025E-2</v>
      </c>
      <c r="D2358" s="103">
        <v>2.5356910475753051E-2</v>
      </c>
    </row>
    <row r="2359" spans="1:4" x14ac:dyDescent="0.25">
      <c r="A2359" s="86">
        <v>42</v>
      </c>
      <c r="B2359" s="86">
        <v>1</v>
      </c>
      <c r="C2359" s="103">
        <v>8.3596077056053101E-3</v>
      </c>
      <c r="D2359" s="103">
        <v>8.0460829637082603E-3</v>
      </c>
    </row>
    <row r="2360" spans="1:4" x14ac:dyDescent="0.25">
      <c r="A2360" s="86">
        <v>42</v>
      </c>
      <c r="B2360" s="86">
        <v>3</v>
      </c>
      <c r="C2360" s="103">
        <v>8.35253113164445E-2</v>
      </c>
      <c r="D2360" s="103">
        <v>9.5303118599262882E-2</v>
      </c>
    </row>
    <row r="2361" spans="1:4" x14ac:dyDescent="0.25">
      <c r="A2361" s="86">
        <v>42</v>
      </c>
      <c r="B2361" s="86">
        <v>5</v>
      </c>
      <c r="C2361" s="103">
        <v>5.3373181778078567E-3</v>
      </c>
      <c r="D2361" s="103">
        <v>5.1088720954031086E-3</v>
      </c>
    </row>
    <row r="2362" spans="1:4" x14ac:dyDescent="0.25">
      <c r="A2362" s="86">
        <v>42</v>
      </c>
      <c r="B2362" s="86">
        <v>7</v>
      </c>
      <c r="C2362" s="103">
        <v>1.2601094124268285E-2</v>
      </c>
      <c r="D2362" s="103">
        <v>1.2889356203998668E-2</v>
      </c>
    </row>
    <row r="2363" spans="1:4" x14ac:dyDescent="0.25">
      <c r="A2363" s="86">
        <v>42</v>
      </c>
      <c r="B2363" s="86">
        <v>9</v>
      </c>
      <c r="C2363" s="103">
        <v>8.8522742547806482E-3</v>
      </c>
      <c r="D2363" s="103">
        <v>3.7574426267414302E-3</v>
      </c>
    </row>
    <row r="2364" spans="1:4" x14ac:dyDescent="0.25">
      <c r="A2364" s="86">
        <v>42</v>
      </c>
      <c r="B2364" s="86">
        <v>11</v>
      </c>
      <c r="C2364" s="103">
        <v>3.3336791175177877E-2</v>
      </c>
      <c r="D2364" s="103">
        <v>3.2887387647778425E-2</v>
      </c>
    </row>
    <row r="2365" spans="1:4" x14ac:dyDescent="0.25">
      <c r="A2365" s="86">
        <v>42</v>
      </c>
      <c r="B2365" s="86">
        <v>13</v>
      </c>
      <c r="C2365" s="103">
        <v>9.9542263105060775E-3</v>
      </c>
      <c r="D2365" s="103">
        <v>9.6084291702535525E-3</v>
      </c>
    </row>
    <row r="2366" spans="1:4" x14ac:dyDescent="0.25">
      <c r="A2366" s="86">
        <v>42</v>
      </c>
      <c r="B2366" s="86">
        <v>15</v>
      </c>
      <c r="C2366" s="103">
        <v>4.4345010840709147E-3</v>
      </c>
      <c r="D2366" s="103">
        <v>4.749532467897691E-3</v>
      </c>
    </row>
    <row r="2367" spans="1:4" x14ac:dyDescent="0.25">
      <c r="A2367" s="86">
        <v>42</v>
      </c>
      <c r="B2367" s="86">
        <v>17</v>
      </c>
      <c r="C2367" s="103">
        <v>4.7292432558082367E-2</v>
      </c>
      <c r="D2367" s="103">
        <v>4.9057670885522209E-2</v>
      </c>
    </row>
    <row r="2368" spans="1:4" x14ac:dyDescent="0.25">
      <c r="A2368" s="86">
        <v>42</v>
      </c>
      <c r="B2368" s="86">
        <v>19</v>
      </c>
      <c r="C2368" s="103">
        <v>1.7347205103310802E-2</v>
      </c>
      <c r="D2368" s="103">
        <v>1.4686054341525756E-2</v>
      </c>
    </row>
    <row r="2369" spans="1:4" x14ac:dyDescent="0.25">
      <c r="A2369" s="86">
        <v>42</v>
      </c>
      <c r="B2369" s="86">
        <v>21</v>
      </c>
      <c r="C2369" s="103">
        <v>1.0093863667731819E-2</v>
      </c>
      <c r="D2369" s="103">
        <v>1.023336765287167E-2</v>
      </c>
    </row>
    <row r="2370" spans="1:4" x14ac:dyDescent="0.25">
      <c r="A2370" s="86">
        <v>42</v>
      </c>
      <c r="B2370" s="86">
        <v>23</v>
      </c>
      <c r="C2370" s="103">
        <v>3.6639590113086458E-4</v>
      </c>
      <c r="D2370" s="103">
        <v>3.5152789647269097E-4</v>
      </c>
    </row>
    <row r="2371" spans="1:4" x14ac:dyDescent="0.25">
      <c r="A2371" s="86">
        <v>42</v>
      </c>
      <c r="B2371" s="86">
        <v>25</v>
      </c>
      <c r="C2371" s="103">
        <v>7.3763645356984403E-3</v>
      </c>
      <c r="D2371" s="103">
        <v>5.0151313230103909E-3</v>
      </c>
    </row>
    <row r="2372" spans="1:4" x14ac:dyDescent="0.25">
      <c r="A2372" s="86">
        <v>42</v>
      </c>
      <c r="B2372" s="86">
        <v>27</v>
      </c>
      <c r="C2372" s="103">
        <v>1.4429896618488338E-2</v>
      </c>
      <c r="D2372" s="103">
        <v>1.273312158334414E-2</v>
      </c>
    </row>
    <row r="2373" spans="1:4" x14ac:dyDescent="0.25">
      <c r="A2373" s="86">
        <v>42</v>
      </c>
      <c r="B2373" s="86">
        <v>29</v>
      </c>
      <c r="C2373" s="103">
        <v>4.1680232858030367E-2</v>
      </c>
      <c r="D2373" s="103">
        <v>4.0777235990832154E-2</v>
      </c>
    </row>
    <row r="2374" spans="1:4" x14ac:dyDescent="0.25">
      <c r="A2374" s="86">
        <v>42</v>
      </c>
      <c r="B2374" s="86">
        <v>31</v>
      </c>
      <c r="C2374" s="103">
        <v>5.2189842551671334E-3</v>
      </c>
      <c r="D2374" s="103">
        <v>3.0231399096651425E-3</v>
      </c>
    </row>
    <row r="2375" spans="1:4" x14ac:dyDescent="0.25">
      <c r="A2375" s="86">
        <v>42</v>
      </c>
      <c r="B2375" s="86">
        <v>33</v>
      </c>
      <c r="C2375" s="103">
        <v>9.2382921733900406E-3</v>
      </c>
      <c r="D2375" s="103">
        <v>6.2181379020502673E-3</v>
      </c>
    </row>
    <row r="2376" spans="1:4" x14ac:dyDescent="0.25">
      <c r="A2376" s="86">
        <v>42</v>
      </c>
      <c r="B2376" s="86">
        <v>35</v>
      </c>
      <c r="C2376" s="103">
        <v>4.8460903168926692E-3</v>
      </c>
      <c r="D2376" s="103">
        <v>3.0231399096651425E-3</v>
      </c>
    </row>
    <row r="2377" spans="1:4" x14ac:dyDescent="0.25">
      <c r="A2377" s="86">
        <v>42</v>
      </c>
      <c r="B2377" s="86">
        <v>37</v>
      </c>
      <c r="C2377" s="103">
        <v>5.9559077600656709E-3</v>
      </c>
      <c r="D2377" s="103">
        <v>5.0932486333376556E-3</v>
      </c>
    </row>
    <row r="2378" spans="1:4" x14ac:dyDescent="0.25">
      <c r="A2378" s="86">
        <v>42</v>
      </c>
      <c r="B2378" s="86">
        <v>39</v>
      </c>
      <c r="C2378" s="103">
        <v>7.0537369017952605E-3</v>
      </c>
      <c r="D2378" s="103">
        <v>6.6477831088502222E-3</v>
      </c>
    </row>
    <row r="2379" spans="1:4" x14ac:dyDescent="0.25">
      <c r="A2379" s="86">
        <v>42</v>
      </c>
      <c r="B2379" s="86">
        <v>41</v>
      </c>
      <c r="C2379" s="103">
        <v>2.7855986463355232E-2</v>
      </c>
      <c r="D2379" s="103">
        <v>1.960744489214343E-2</v>
      </c>
    </row>
    <row r="2380" spans="1:4" x14ac:dyDescent="0.25">
      <c r="A2380" s="86">
        <v>42</v>
      </c>
      <c r="B2380" s="86">
        <v>43</v>
      </c>
      <c r="C2380" s="103">
        <v>2.8355882526904491E-2</v>
      </c>
      <c r="D2380" s="103">
        <v>2.1638494960652312E-2</v>
      </c>
    </row>
    <row r="2381" spans="1:4" x14ac:dyDescent="0.25">
      <c r="A2381" s="86">
        <v>42</v>
      </c>
      <c r="B2381" s="86">
        <v>45</v>
      </c>
      <c r="C2381" s="103">
        <v>3.48399849103928E-2</v>
      </c>
      <c r="D2381" s="103">
        <v>4.4136280334904535E-2</v>
      </c>
    </row>
    <row r="2382" spans="1:4" x14ac:dyDescent="0.25">
      <c r="A2382" s="86">
        <v>42</v>
      </c>
      <c r="B2382" s="86">
        <v>47</v>
      </c>
      <c r="C2382" s="103">
        <v>2.6036721032125939E-3</v>
      </c>
      <c r="D2382" s="103">
        <v>2.3513310408506661E-3</v>
      </c>
    </row>
    <row r="2383" spans="1:4" x14ac:dyDescent="0.25">
      <c r="A2383" s="86">
        <v>42</v>
      </c>
      <c r="B2383" s="86">
        <v>49</v>
      </c>
      <c r="C2383" s="103">
        <v>2.0027793589792425E-2</v>
      </c>
      <c r="D2383" s="103">
        <v>2.1247908409015987E-2</v>
      </c>
    </row>
    <row r="2384" spans="1:4" x14ac:dyDescent="0.25">
      <c r="A2384" s="86">
        <v>42</v>
      </c>
      <c r="B2384" s="86">
        <v>51</v>
      </c>
      <c r="C2384" s="103">
        <v>1.0037980559783683E-2</v>
      </c>
      <c r="D2384" s="103">
        <v>1.0155250342544405E-2</v>
      </c>
    </row>
    <row r="2385" spans="1:4" x14ac:dyDescent="0.25">
      <c r="A2385" s="86">
        <v>42</v>
      </c>
      <c r="B2385" s="86">
        <v>53</v>
      </c>
      <c r="C2385" s="103">
        <v>5.3792308132132765E-4</v>
      </c>
      <c r="D2385" s="103">
        <v>5.6869401918248678E-4</v>
      </c>
    </row>
    <row r="2386" spans="1:4" x14ac:dyDescent="0.25">
      <c r="A2386" s="86">
        <v>42</v>
      </c>
      <c r="B2386" s="86">
        <v>55</v>
      </c>
      <c r="C2386" s="103">
        <v>1.4449154171640517E-2</v>
      </c>
      <c r="D2386" s="103">
        <v>1.2108183100726023E-2</v>
      </c>
    </row>
    <row r="2387" spans="1:4" x14ac:dyDescent="0.25">
      <c r="A2387" s="86">
        <v>42</v>
      </c>
      <c r="B2387" s="86">
        <v>57</v>
      </c>
      <c r="C2387" s="103">
        <v>3.9420843284841732E-3</v>
      </c>
      <c r="D2387" s="103">
        <v>1.1327009997453377E-3</v>
      </c>
    </row>
    <row r="2388" spans="1:4" x14ac:dyDescent="0.25">
      <c r="A2388" s="86">
        <v>42</v>
      </c>
      <c r="B2388" s="86">
        <v>59</v>
      </c>
      <c r="C2388" s="103">
        <v>4.9721026678741977E-3</v>
      </c>
      <c r="D2388" s="103">
        <v>2.8669052890106131E-3</v>
      </c>
    </row>
    <row r="2389" spans="1:4" x14ac:dyDescent="0.25">
      <c r="A2389" s="86">
        <v>42</v>
      </c>
      <c r="B2389" s="86">
        <v>61</v>
      </c>
      <c r="C2389" s="103">
        <v>3.6433709335411558E-3</v>
      </c>
      <c r="D2389" s="103">
        <v>3.5465258888578155E-3</v>
      </c>
    </row>
    <row r="2390" spans="1:4" x14ac:dyDescent="0.25">
      <c r="A2390" s="86">
        <v>42</v>
      </c>
      <c r="B2390" s="86">
        <v>63</v>
      </c>
      <c r="C2390" s="103">
        <v>6.9385986436513863E-3</v>
      </c>
      <c r="D2390" s="103">
        <v>6.5931009916211369E-3</v>
      </c>
    </row>
    <row r="2391" spans="1:4" x14ac:dyDescent="0.25">
      <c r="A2391" s="86">
        <v>42</v>
      </c>
      <c r="B2391" s="86">
        <v>65</v>
      </c>
      <c r="C2391" s="103">
        <v>4.8924522371135695E-3</v>
      </c>
      <c r="D2391" s="103">
        <v>3.405914730268739E-3</v>
      </c>
    </row>
    <row r="2392" spans="1:4" x14ac:dyDescent="0.25">
      <c r="A2392" s="86">
        <v>42</v>
      </c>
      <c r="B2392" s="86">
        <v>67</v>
      </c>
      <c r="C2392" s="103">
        <v>2.4097369802266286E-3</v>
      </c>
      <c r="D2392" s="103">
        <v>1.9294975650834371E-3</v>
      </c>
    </row>
    <row r="2393" spans="1:4" x14ac:dyDescent="0.25">
      <c r="A2393" s="86">
        <v>42</v>
      </c>
      <c r="B2393" s="86">
        <v>69</v>
      </c>
      <c r="C2393" s="103">
        <v>1.6933391745476544E-2</v>
      </c>
      <c r="D2393" s="103">
        <v>1.6404635168725579E-2</v>
      </c>
    </row>
    <row r="2394" spans="1:4" x14ac:dyDescent="0.25">
      <c r="A2394" s="86">
        <v>42</v>
      </c>
      <c r="B2394" s="86">
        <v>71</v>
      </c>
      <c r="C2394" s="103">
        <v>4.19194858858674E-2</v>
      </c>
      <c r="D2394" s="103">
        <v>4.2495816818031974E-2</v>
      </c>
    </row>
    <row r="2395" spans="1:4" x14ac:dyDescent="0.25">
      <c r="A2395" s="86">
        <v>42</v>
      </c>
      <c r="B2395" s="86">
        <v>73</v>
      </c>
      <c r="C2395" s="103">
        <v>7.1677783138905868E-3</v>
      </c>
      <c r="D2395" s="103">
        <v>6.7259004191774869E-3</v>
      </c>
    </row>
    <row r="2396" spans="1:4" x14ac:dyDescent="0.25">
      <c r="A2396" s="86">
        <v>42</v>
      </c>
      <c r="B2396" s="86">
        <v>75</v>
      </c>
      <c r="C2396" s="103">
        <v>1.2145342578575793E-2</v>
      </c>
      <c r="D2396" s="103">
        <v>1.1014540756144317E-2</v>
      </c>
    </row>
    <row r="2397" spans="1:4" x14ac:dyDescent="0.25">
      <c r="A2397" s="86">
        <v>42</v>
      </c>
      <c r="B2397" s="86">
        <v>77</v>
      </c>
      <c r="C2397" s="103">
        <v>2.9734079958451037E-2</v>
      </c>
      <c r="D2397" s="103">
        <v>2.8747170200433395E-2</v>
      </c>
    </row>
    <row r="2398" spans="1:4" x14ac:dyDescent="0.25">
      <c r="A2398" s="86">
        <v>42</v>
      </c>
      <c r="B2398" s="86">
        <v>79</v>
      </c>
      <c r="C2398" s="103">
        <v>2.8085638515256518E-2</v>
      </c>
      <c r="D2398" s="103">
        <v>2.4841304684070163E-2</v>
      </c>
    </row>
    <row r="2399" spans="1:4" x14ac:dyDescent="0.25">
      <c r="A2399" s="86">
        <v>42</v>
      </c>
      <c r="B2399" s="86">
        <v>81</v>
      </c>
      <c r="C2399" s="103">
        <v>1.0055298849973094E-2</v>
      </c>
      <c r="D2399" s="103">
        <v>8.905373377308172E-3</v>
      </c>
    </row>
    <row r="2400" spans="1:4" x14ac:dyDescent="0.25">
      <c r="A2400" s="86">
        <v>42</v>
      </c>
      <c r="B2400" s="86">
        <v>83</v>
      </c>
      <c r="C2400" s="103">
        <v>3.0211049664413728E-3</v>
      </c>
      <c r="D2400" s="103">
        <v>3.2028097234178513E-3</v>
      </c>
    </row>
    <row r="2401" spans="1:4" x14ac:dyDescent="0.25">
      <c r="A2401" s="86">
        <v>42</v>
      </c>
      <c r="B2401" s="86">
        <v>85</v>
      </c>
      <c r="C2401" s="103">
        <v>1.1681976963595716E-2</v>
      </c>
      <c r="D2401" s="103">
        <v>8.5929041359991132E-3</v>
      </c>
    </row>
    <row r="2402" spans="1:4" x14ac:dyDescent="0.25">
      <c r="A2402" s="86">
        <v>42</v>
      </c>
      <c r="B2402" s="86">
        <v>87</v>
      </c>
      <c r="C2402" s="103">
        <v>3.7964348193144678E-3</v>
      </c>
      <c r="D2402" s="103">
        <v>3.6090197371196273E-3</v>
      </c>
    </row>
    <row r="2403" spans="1:4" x14ac:dyDescent="0.25">
      <c r="A2403" s="86">
        <v>42</v>
      </c>
      <c r="B2403" s="86">
        <v>89</v>
      </c>
      <c r="C2403" s="103">
        <v>1.5204219350594942E-2</v>
      </c>
      <c r="D2403" s="103">
        <v>1.3201825445307727E-2</v>
      </c>
    </row>
    <row r="2404" spans="1:4" x14ac:dyDescent="0.25">
      <c r="A2404" s="86">
        <v>42</v>
      </c>
      <c r="B2404" s="86">
        <v>91</v>
      </c>
      <c r="C2404" s="103">
        <v>6.7645518660076717E-2</v>
      </c>
      <c r="D2404" s="103">
        <v>6.4603015640647868E-2</v>
      </c>
    </row>
    <row r="2405" spans="1:4" x14ac:dyDescent="0.25">
      <c r="A2405" s="86">
        <v>42</v>
      </c>
      <c r="B2405" s="86">
        <v>93</v>
      </c>
      <c r="C2405" s="103">
        <v>2.5826178490339926E-3</v>
      </c>
      <c r="D2405" s="103">
        <v>1.4217350479562168E-3</v>
      </c>
    </row>
    <row r="2406" spans="1:4" x14ac:dyDescent="0.25">
      <c r="A2406" s="86">
        <v>42</v>
      </c>
      <c r="B2406" s="86">
        <v>95</v>
      </c>
      <c r="C2406" s="103">
        <v>2.1930830765204499E-2</v>
      </c>
      <c r="D2406" s="103">
        <v>2.382577964981572E-2</v>
      </c>
    </row>
    <row r="2407" spans="1:4" x14ac:dyDescent="0.25">
      <c r="A2407" s="86">
        <v>42</v>
      </c>
      <c r="B2407" s="86">
        <v>97</v>
      </c>
      <c r="C2407" s="103">
        <v>7.1212795262969881E-3</v>
      </c>
      <c r="D2407" s="103">
        <v>7.1164869708138104E-3</v>
      </c>
    </row>
    <row r="2408" spans="1:4" x14ac:dyDescent="0.25">
      <c r="A2408" s="86">
        <v>42</v>
      </c>
      <c r="B2408" s="86">
        <v>99</v>
      </c>
      <c r="C2408" s="103">
        <v>4.5660625815963267E-3</v>
      </c>
      <c r="D2408" s="103">
        <v>3.6090197371196273E-3</v>
      </c>
    </row>
    <row r="2409" spans="1:4" x14ac:dyDescent="0.25">
      <c r="A2409" s="86">
        <v>42</v>
      </c>
      <c r="B2409" s="86">
        <v>101</v>
      </c>
      <c r="C2409" s="103">
        <v>6.6014330913721608E-2</v>
      </c>
      <c r="D2409" s="103">
        <v>0.12342535031707816</v>
      </c>
    </row>
    <row r="2410" spans="1:4" x14ac:dyDescent="0.25">
      <c r="A2410" s="86">
        <v>42</v>
      </c>
      <c r="B2410" s="86">
        <v>103</v>
      </c>
      <c r="C2410" s="103">
        <v>4.9844646234237658E-3</v>
      </c>
      <c r="D2410" s="103">
        <v>4.3589459162613683E-3</v>
      </c>
    </row>
    <row r="2411" spans="1:4" x14ac:dyDescent="0.25">
      <c r="A2411" s="86">
        <v>42</v>
      </c>
      <c r="B2411" s="86">
        <v>105</v>
      </c>
      <c r="C2411" s="103">
        <v>1.2150610528151235E-3</v>
      </c>
      <c r="D2411" s="103">
        <v>1.2967473514325933E-3</v>
      </c>
    </row>
    <row r="2412" spans="1:4" x14ac:dyDescent="0.25">
      <c r="A2412" s="86">
        <v>42</v>
      </c>
      <c r="B2412" s="86">
        <v>107</v>
      </c>
      <c r="C2412" s="103">
        <v>1.3162548705651077E-2</v>
      </c>
      <c r="D2412" s="103">
        <v>1.1092658066471582E-2</v>
      </c>
    </row>
    <row r="2413" spans="1:4" x14ac:dyDescent="0.25">
      <c r="A2413" s="86">
        <v>42</v>
      </c>
      <c r="B2413" s="86">
        <v>109</v>
      </c>
      <c r="C2413" s="103">
        <v>3.7560512885543816E-3</v>
      </c>
      <c r="D2413" s="103">
        <v>3.1637510682542189E-3</v>
      </c>
    </row>
    <row r="2414" spans="1:4" x14ac:dyDescent="0.25">
      <c r="A2414" s="86">
        <v>42</v>
      </c>
      <c r="B2414" s="86">
        <v>111</v>
      </c>
      <c r="C2414" s="103">
        <v>9.0697824946436058E-3</v>
      </c>
      <c r="D2414" s="103">
        <v>5.7728692331848585E-3</v>
      </c>
    </row>
    <row r="2415" spans="1:4" x14ac:dyDescent="0.25">
      <c r="A2415" s="86">
        <v>42</v>
      </c>
      <c r="B2415" s="86">
        <v>113</v>
      </c>
      <c r="C2415" s="103">
        <v>6.1208105421673429E-4</v>
      </c>
      <c r="D2415" s="103">
        <v>4.7495324678976914E-4</v>
      </c>
    </row>
    <row r="2416" spans="1:4" x14ac:dyDescent="0.25">
      <c r="A2416" s="86">
        <v>42</v>
      </c>
      <c r="B2416" s="86">
        <v>115</v>
      </c>
      <c r="C2416" s="103">
        <v>5.329443540818833E-3</v>
      </c>
      <c r="D2416" s="103">
        <v>3.1715627992869454E-3</v>
      </c>
    </row>
    <row r="2417" spans="1:4" x14ac:dyDescent="0.25">
      <c r="A2417" s="86">
        <v>42</v>
      </c>
      <c r="B2417" s="86">
        <v>117</v>
      </c>
      <c r="C2417" s="103">
        <v>4.4981757666317946E-3</v>
      </c>
      <c r="D2417" s="103">
        <v>3.1793745303196719E-3</v>
      </c>
    </row>
    <row r="2418" spans="1:4" x14ac:dyDescent="0.25">
      <c r="A2418" s="86">
        <v>42</v>
      </c>
      <c r="B2418" s="86">
        <v>119</v>
      </c>
      <c r="C2418" s="103">
        <v>4.7414800092574439E-3</v>
      </c>
      <c r="D2418" s="103">
        <v>3.5152789647269096E-3</v>
      </c>
    </row>
    <row r="2419" spans="1:4" x14ac:dyDescent="0.25">
      <c r="A2419" s="86">
        <v>42</v>
      </c>
      <c r="B2419" s="86">
        <v>121</v>
      </c>
      <c r="C2419" s="103">
        <v>5.2334087133477777E-3</v>
      </c>
      <c r="D2419" s="103">
        <v>3.9996062887559507E-3</v>
      </c>
    </row>
    <row r="2420" spans="1:4" x14ac:dyDescent="0.25">
      <c r="A2420" s="86">
        <v>42</v>
      </c>
      <c r="B2420" s="86">
        <v>123</v>
      </c>
      <c r="C2420" s="103">
        <v>3.026153038288076E-3</v>
      </c>
      <c r="D2420" s="103">
        <v>3.0934454889596807E-3</v>
      </c>
    </row>
    <row r="2421" spans="1:4" x14ac:dyDescent="0.25">
      <c r="A2421" s="86">
        <v>42</v>
      </c>
      <c r="B2421" s="86">
        <v>125</v>
      </c>
      <c r="C2421" s="103">
        <v>2.2001814799658726E-2</v>
      </c>
      <c r="D2421" s="103">
        <v>1.6170283237743784E-2</v>
      </c>
    </row>
    <row r="2422" spans="1:4" x14ac:dyDescent="0.25">
      <c r="A2422" s="86">
        <v>42</v>
      </c>
      <c r="B2422" s="86">
        <v>127</v>
      </c>
      <c r="C2422" s="103">
        <v>3.4291728230318942E-3</v>
      </c>
      <c r="D2422" s="103">
        <v>4.0152297508214037E-3</v>
      </c>
    </row>
    <row r="2423" spans="1:4" x14ac:dyDescent="0.25">
      <c r="A2423" s="86">
        <v>42</v>
      </c>
      <c r="B2423" s="86">
        <v>129</v>
      </c>
      <c r="C2423" s="103">
        <v>3.1512897324291314E-2</v>
      </c>
      <c r="D2423" s="103">
        <v>2.734105861454263E-2</v>
      </c>
    </row>
    <row r="2424" spans="1:4" x14ac:dyDescent="0.25">
      <c r="A2424" s="86">
        <v>42</v>
      </c>
      <c r="B2424" s="86">
        <v>131</v>
      </c>
      <c r="C2424" s="103">
        <v>2.4066070544910253E-3</v>
      </c>
      <c r="D2424" s="103">
        <v>2.1169791098688724E-3</v>
      </c>
    </row>
    <row r="2425" spans="1:4" x14ac:dyDescent="0.25">
      <c r="A2425" s="86">
        <v>42</v>
      </c>
      <c r="B2425" s="86">
        <v>133</v>
      </c>
      <c r="C2425" s="103">
        <v>3.2608215471771007E-2</v>
      </c>
      <c r="D2425" s="103">
        <v>3.499655502661457E-2</v>
      </c>
    </row>
    <row r="2426" spans="1:4" x14ac:dyDescent="0.25">
      <c r="A2426" s="86">
        <v>44</v>
      </c>
      <c r="B2426" s="86">
        <v>1</v>
      </c>
      <c r="C2426" s="103">
        <v>2.655833454496043E-2</v>
      </c>
      <c r="D2426" s="103">
        <v>4.5931386447405728E-2</v>
      </c>
    </row>
    <row r="2427" spans="1:4" x14ac:dyDescent="0.25">
      <c r="A2427" s="86">
        <v>44</v>
      </c>
      <c r="B2427" s="86">
        <v>3</v>
      </c>
      <c r="C2427" s="103">
        <v>0.19339078722035258</v>
      </c>
      <c r="D2427" s="103">
        <v>0.15499480200359134</v>
      </c>
    </row>
    <row r="2428" spans="1:4" x14ac:dyDescent="0.25">
      <c r="A2428" s="86">
        <v>44</v>
      </c>
      <c r="B2428" s="86">
        <v>5</v>
      </c>
      <c r="C2428" s="103">
        <v>7.7345434398346277E-2</v>
      </c>
      <c r="D2428" s="103">
        <v>7.7969946129855403E-2</v>
      </c>
    </row>
    <row r="2429" spans="1:4" x14ac:dyDescent="0.25">
      <c r="A2429" s="86">
        <v>44</v>
      </c>
      <c r="B2429" s="86">
        <v>7</v>
      </c>
      <c r="C2429" s="103">
        <v>0.5357030970677098</v>
      </c>
      <c r="D2429" s="103">
        <v>0.60202249314809564</v>
      </c>
    </row>
    <row r="2430" spans="1:4" x14ac:dyDescent="0.25">
      <c r="A2430" s="86">
        <v>44</v>
      </c>
      <c r="B2430" s="86">
        <v>9</v>
      </c>
      <c r="C2430" s="103">
        <v>0.16700234676863099</v>
      </c>
      <c r="D2430" s="103">
        <v>0.11908137227105188</v>
      </c>
    </row>
    <row r="2431" spans="1:4" x14ac:dyDescent="0.25">
      <c r="A2431" s="86">
        <v>45</v>
      </c>
      <c r="B2431" s="86">
        <v>1</v>
      </c>
      <c r="C2431" s="103">
        <v>3.2627143708734911E-3</v>
      </c>
      <c r="D2431" s="103">
        <v>4.8403948660332178E-3</v>
      </c>
    </row>
    <row r="2432" spans="1:4" x14ac:dyDescent="0.25">
      <c r="A2432" s="86">
        <v>45</v>
      </c>
      <c r="B2432" s="86">
        <v>3</v>
      </c>
      <c r="C2432" s="103">
        <v>3.347056377907124E-2</v>
      </c>
      <c r="D2432" s="103">
        <v>3.3253119201610316E-2</v>
      </c>
    </row>
    <row r="2433" spans="1:4" x14ac:dyDescent="0.25">
      <c r="A2433" s="86">
        <v>45</v>
      </c>
      <c r="B2433" s="86">
        <v>5</v>
      </c>
      <c r="C2433" s="103">
        <v>1.4700643238279589E-3</v>
      </c>
      <c r="D2433" s="103">
        <v>1.7551350489844026E-3</v>
      </c>
    </row>
    <row r="2434" spans="1:4" x14ac:dyDescent="0.25">
      <c r="A2434" s="86">
        <v>45</v>
      </c>
      <c r="B2434" s="86">
        <v>7</v>
      </c>
      <c r="C2434" s="103">
        <v>4.187843670027977E-2</v>
      </c>
      <c r="D2434" s="103">
        <v>3.9352803788887947E-2</v>
      </c>
    </row>
    <row r="2435" spans="1:4" x14ac:dyDescent="0.25">
      <c r="A2435" s="86">
        <v>45</v>
      </c>
      <c r="B2435" s="86">
        <v>9</v>
      </c>
      <c r="C2435" s="103">
        <v>2.1403735723690138E-3</v>
      </c>
      <c r="D2435" s="103">
        <v>2.8137254709054882E-3</v>
      </c>
    </row>
    <row r="2436" spans="1:4" x14ac:dyDescent="0.25">
      <c r="A2436" s="86">
        <v>45</v>
      </c>
      <c r="B2436" s="86">
        <v>11</v>
      </c>
      <c r="C2436" s="103">
        <v>3.2469387104418664E-3</v>
      </c>
      <c r="D2436" s="103">
        <v>4.1517207997276784E-3</v>
      </c>
    </row>
    <row r="2437" spans="1:4" x14ac:dyDescent="0.25">
      <c r="A2437" s="86">
        <v>45</v>
      </c>
      <c r="B2437" s="86">
        <v>13</v>
      </c>
      <c r="C2437" s="103">
        <v>2.9147365153600995E-2</v>
      </c>
      <c r="D2437" s="103">
        <v>3.7188399580499111E-2</v>
      </c>
    </row>
    <row r="2438" spans="1:4" x14ac:dyDescent="0.25">
      <c r="A2438" s="86">
        <v>45</v>
      </c>
      <c r="B2438" s="86">
        <v>15</v>
      </c>
      <c r="C2438" s="103">
        <v>3.6415643840304976E-2</v>
      </c>
      <c r="D2438" s="103">
        <v>4.3484848186721187E-2</v>
      </c>
    </row>
    <row r="2439" spans="1:4" x14ac:dyDescent="0.25">
      <c r="A2439" s="86">
        <v>45</v>
      </c>
      <c r="B2439" s="86">
        <v>17</v>
      </c>
      <c r="C2439" s="103">
        <v>8.8513210466233377E-3</v>
      </c>
      <c r="D2439" s="103">
        <v>2.8727546765888201E-3</v>
      </c>
    </row>
    <row r="2440" spans="1:4" x14ac:dyDescent="0.25">
      <c r="A2440" s="86">
        <v>45</v>
      </c>
      <c r="B2440" s="86">
        <v>19</v>
      </c>
      <c r="C2440" s="103">
        <v>7.5649224878805543E-2</v>
      </c>
      <c r="D2440" s="103">
        <v>7.9886191691442537E-2</v>
      </c>
    </row>
    <row r="2441" spans="1:4" x14ac:dyDescent="0.25">
      <c r="A2441" s="86">
        <v>45</v>
      </c>
      <c r="B2441" s="86">
        <v>21</v>
      </c>
      <c r="C2441" s="103">
        <v>1.50254242337684E-2</v>
      </c>
      <c r="D2441" s="103">
        <v>1.123522548172751E-2</v>
      </c>
    </row>
    <row r="2442" spans="1:4" x14ac:dyDescent="0.25">
      <c r="A2442" s="86">
        <v>45</v>
      </c>
      <c r="B2442" s="86">
        <v>23</v>
      </c>
      <c r="C2442" s="103">
        <v>1.0687074260720473E-2</v>
      </c>
      <c r="D2442" s="103">
        <v>6.355477811905404E-3</v>
      </c>
    </row>
    <row r="2443" spans="1:4" x14ac:dyDescent="0.25">
      <c r="A2443" s="86">
        <v>45</v>
      </c>
      <c r="B2443" s="86">
        <v>25</v>
      </c>
      <c r="C2443" s="103">
        <v>7.1001513226228424E-3</v>
      </c>
      <c r="D2443" s="103">
        <v>9.0314684695497836E-3</v>
      </c>
    </row>
    <row r="2444" spans="1:4" x14ac:dyDescent="0.25">
      <c r="A2444" s="86">
        <v>45</v>
      </c>
      <c r="B2444" s="86">
        <v>27</v>
      </c>
      <c r="C2444" s="103">
        <v>1.1596889486737729E-2</v>
      </c>
      <c r="D2444" s="103">
        <v>6.6309474384276196E-3</v>
      </c>
    </row>
    <row r="2445" spans="1:4" x14ac:dyDescent="0.25">
      <c r="A2445" s="86">
        <v>45</v>
      </c>
      <c r="B2445" s="86">
        <v>29</v>
      </c>
      <c r="C2445" s="103">
        <v>1.6313603731284879E-2</v>
      </c>
      <c r="D2445" s="103">
        <v>7.4180035142053782E-3</v>
      </c>
    </row>
    <row r="2446" spans="1:4" x14ac:dyDescent="0.25">
      <c r="A2446" s="86">
        <v>45</v>
      </c>
      <c r="B2446" s="86">
        <v>31</v>
      </c>
      <c r="C2446" s="103">
        <v>1.301434587621518E-2</v>
      </c>
      <c r="D2446" s="103">
        <v>1.3143836465488576E-2</v>
      </c>
    </row>
    <row r="2447" spans="1:4" x14ac:dyDescent="0.25">
      <c r="A2447" s="86">
        <v>45</v>
      </c>
      <c r="B2447" s="86">
        <v>33</v>
      </c>
      <c r="C2447" s="103">
        <v>1.0148552222360212E-2</v>
      </c>
      <c r="D2447" s="103">
        <v>6.0209789796998566E-3</v>
      </c>
    </row>
    <row r="2448" spans="1:4" x14ac:dyDescent="0.25">
      <c r="A2448" s="86">
        <v>45</v>
      </c>
      <c r="B2448" s="86">
        <v>35</v>
      </c>
      <c r="C2448" s="103">
        <v>2.6319916955194977E-2</v>
      </c>
      <c r="D2448" s="103">
        <v>3.1679007050054796E-2</v>
      </c>
    </row>
    <row r="2449" spans="1:4" x14ac:dyDescent="0.25">
      <c r="A2449" s="86">
        <v>45</v>
      </c>
      <c r="B2449" s="86">
        <v>37</v>
      </c>
      <c r="C2449" s="103">
        <v>3.585153158346282E-3</v>
      </c>
      <c r="D2449" s="103">
        <v>5.3323049133943172E-3</v>
      </c>
    </row>
    <row r="2450" spans="1:4" x14ac:dyDescent="0.25">
      <c r="A2450" s="86">
        <v>45</v>
      </c>
      <c r="B2450" s="86">
        <v>39</v>
      </c>
      <c r="C2450" s="103">
        <v>9.480242229659085E-3</v>
      </c>
      <c r="D2450" s="103">
        <v>4.4075140243554503E-3</v>
      </c>
    </row>
    <row r="2451" spans="1:4" x14ac:dyDescent="0.25">
      <c r="A2451" s="86">
        <v>45</v>
      </c>
      <c r="B2451" s="86">
        <v>41</v>
      </c>
      <c r="C2451" s="103">
        <v>3.0437831769103103E-2</v>
      </c>
      <c r="D2451" s="103">
        <v>2.7153434614332686E-2</v>
      </c>
    </row>
    <row r="2452" spans="1:4" x14ac:dyDescent="0.25">
      <c r="A2452" s="86">
        <v>45</v>
      </c>
      <c r="B2452" s="86">
        <v>43</v>
      </c>
      <c r="C2452" s="103">
        <v>1.2484834052039406E-2</v>
      </c>
      <c r="D2452" s="103">
        <v>1.2238721978344152E-2</v>
      </c>
    </row>
    <row r="2453" spans="1:4" x14ac:dyDescent="0.25">
      <c r="A2453" s="86">
        <v>45</v>
      </c>
      <c r="B2453" s="86">
        <v>45</v>
      </c>
      <c r="C2453" s="103">
        <v>8.5490453035347524E-2</v>
      </c>
      <c r="D2453" s="103">
        <v>0.10133346975638646</v>
      </c>
    </row>
    <row r="2454" spans="1:4" x14ac:dyDescent="0.25">
      <c r="A2454" s="86">
        <v>45</v>
      </c>
      <c r="B2454" s="86">
        <v>47</v>
      </c>
      <c r="C2454" s="103">
        <v>1.0803553270876523E-2</v>
      </c>
      <c r="D2454" s="103">
        <v>1.3891539737477447E-2</v>
      </c>
    </row>
    <row r="2455" spans="1:4" x14ac:dyDescent="0.25">
      <c r="A2455" s="86">
        <v>45</v>
      </c>
      <c r="B2455" s="86">
        <v>49</v>
      </c>
      <c r="C2455" s="103">
        <v>4.9678514684054435E-3</v>
      </c>
      <c r="D2455" s="103">
        <v>3.7975455656276869E-3</v>
      </c>
    </row>
    <row r="2456" spans="1:4" x14ac:dyDescent="0.25">
      <c r="A2456" s="86">
        <v>45</v>
      </c>
      <c r="B2456" s="86">
        <v>51</v>
      </c>
      <c r="C2456" s="103">
        <v>6.1396884738039163E-2</v>
      </c>
      <c r="D2456" s="103">
        <v>6.7686822516887277E-2</v>
      </c>
    </row>
    <row r="2457" spans="1:4" x14ac:dyDescent="0.25">
      <c r="A2457" s="86">
        <v>45</v>
      </c>
      <c r="B2457" s="86">
        <v>53</v>
      </c>
      <c r="C2457" s="103">
        <v>1.8969954388621695E-2</v>
      </c>
      <c r="D2457" s="103">
        <v>5.7258329512831965E-3</v>
      </c>
    </row>
    <row r="2458" spans="1:4" x14ac:dyDescent="0.25">
      <c r="A2458" s="86">
        <v>45</v>
      </c>
      <c r="B2458" s="86">
        <v>55</v>
      </c>
      <c r="C2458" s="103">
        <v>1.4192771452939469E-2</v>
      </c>
      <c r="D2458" s="103">
        <v>1.2947072446544135E-2</v>
      </c>
    </row>
    <row r="2459" spans="1:4" x14ac:dyDescent="0.25">
      <c r="A2459" s="86">
        <v>45</v>
      </c>
      <c r="B2459" s="86">
        <v>57</v>
      </c>
      <c r="C2459" s="103">
        <v>1.3108870434014408E-2</v>
      </c>
      <c r="D2459" s="103">
        <v>1.8692581799721775E-2</v>
      </c>
    </row>
    <row r="2460" spans="1:4" x14ac:dyDescent="0.25">
      <c r="A2460" s="86">
        <v>45</v>
      </c>
      <c r="B2460" s="86">
        <v>59</v>
      </c>
      <c r="C2460" s="103">
        <v>1.725841076131715E-2</v>
      </c>
      <c r="D2460" s="103">
        <v>1.3163512867383018E-2</v>
      </c>
    </row>
    <row r="2461" spans="1:4" x14ac:dyDescent="0.25">
      <c r="A2461" s="86">
        <v>45</v>
      </c>
      <c r="B2461" s="86">
        <v>61</v>
      </c>
      <c r="C2461" s="103">
        <v>6.2704001720094897E-3</v>
      </c>
      <c r="D2461" s="103">
        <v>3.4040175277388076E-3</v>
      </c>
    </row>
    <row r="2462" spans="1:4" x14ac:dyDescent="0.25">
      <c r="A2462" s="86">
        <v>45</v>
      </c>
      <c r="B2462" s="86">
        <v>63</v>
      </c>
      <c r="C2462" s="103">
        <v>5.8453080546341657E-2</v>
      </c>
      <c r="D2462" s="103">
        <v>5.7848621569665283E-2</v>
      </c>
    </row>
    <row r="2463" spans="1:4" x14ac:dyDescent="0.25">
      <c r="A2463" s="86">
        <v>45</v>
      </c>
      <c r="B2463" s="86">
        <v>65</v>
      </c>
      <c r="C2463" s="103">
        <v>1.6050778622665801E-3</v>
      </c>
      <c r="D2463" s="103">
        <v>1.8515494182671779E-3</v>
      </c>
    </row>
    <row r="2464" spans="1:4" x14ac:dyDescent="0.25">
      <c r="A2464" s="86">
        <v>45</v>
      </c>
      <c r="B2464" s="86">
        <v>67</v>
      </c>
      <c r="C2464" s="103">
        <v>6.8950345387206319E-3</v>
      </c>
      <c r="D2464" s="103">
        <v>6.1193609891720758E-3</v>
      </c>
    </row>
    <row r="2465" spans="1:4" x14ac:dyDescent="0.25">
      <c r="A2465" s="86">
        <v>45</v>
      </c>
      <c r="B2465" s="86">
        <v>69</v>
      </c>
      <c r="C2465" s="103">
        <v>4.8564093114298974E-3</v>
      </c>
      <c r="D2465" s="103">
        <v>5.1945701001332089E-3</v>
      </c>
    </row>
    <row r="2466" spans="1:4" x14ac:dyDescent="0.25">
      <c r="A2466" s="86">
        <v>45</v>
      </c>
      <c r="B2466" s="86">
        <v>71</v>
      </c>
      <c r="C2466" s="103">
        <v>1.3505350749377825E-2</v>
      </c>
      <c r="D2466" s="103">
        <v>7.5557383274664864E-3</v>
      </c>
    </row>
    <row r="2467" spans="1:4" x14ac:dyDescent="0.25">
      <c r="A2467" s="86">
        <v>45</v>
      </c>
      <c r="B2467" s="86">
        <v>73</v>
      </c>
      <c r="C2467" s="103">
        <v>1.2358735617582824E-2</v>
      </c>
      <c r="D2467" s="103">
        <v>1.5406622683349632E-2</v>
      </c>
    </row>
    <row r="2468" spans="1:4" x14ac:dyDescent="0.25">
      <c r="A2468" s="86">
        <v>45</v>
      </c>
      <c r="B2468" s="86">
        <v>75</v>
      </c>
      <c r="C2468" s="103">
        <v>2.6661503975917159E-2</v>
      </c>
      <c r="D2468" s="103">
        <v>1.7118469648166258E-2</v>
      </c>
    </row>
    <row r="2469" spans="1:4" x14ac:dyDescent="0.25">
      <c r="A2469" s="86">
        <v>45</v>
      </c>
      <c r="B2469" s="86">
        <v>77</v>
      </c>
      <c r="C2469" s="103">
        <v>1.792439072242407E-2</v>
      </c>
      <c r="D2469" s="103">
        <v>2.4595502368054967E-2</v>
      </c>
    </row>
    <row r="2470" spans="1:4" x14ac:dyDescent="0.25">
      <c r="A2470" s="86">
        <v>45</v>
      </c>
      <c r="B2470" s="86">
        <v>79</v>
      </c>
      <c r="C2470" s="103">
        <v>7.8712402642584486E-2</v>
      </c>
      <c r="D2470" s="103">
        <v>8.1460303842998058E-2</v>
      </c>
    </row>
    <row r="2471" spans="1:4" x14ac:dyDescent="0.25">
      <c r="A2471" s="86">
        <v>45</v>
      </c>
      <c r="B2471" s="86">
        <v>81</v>
      </c>
      <c r="C2471" s="103">
        <v>3.2608609498603813E-3</v>
      </c>
      <c r="D2471" s="103">
        <v>4.0139859864665711E-3</v>
      </c>
    </row>
    <row r="2472" spans="1:4" x14ac:dyDescent="0.25">
      <c r="A2472" s="86">
        <v>45</v>
      </c>
      <c r="B2472" s="86">
        <v>83</v>
      </c>
      <c r="C2472" s="103">
        <v>6.7275701415268896E-2</v>
      </c>
      <c r="D2472" s="103">
        <v>6.1783901948554078E-2</v>
      </c>
    </row>
    <row r="2473" spans="1:4" x14ac:dyDescent="0.25">
      <c r="A2473" s="86">
        <v>45</v>
      </c>
      <c r="B2473" s="86">
        <v>85</v>
      </c>
      <c r="C2473" s="103">
        <v>1.8690102374839819E-2</v>
      </c>
      <c r="D2473" s="103">
        <v>2.0856986008110614E-2</v>
      </c>
    </row>
    <row r="2474" spans="1:4" x14ac:dyDescent="0.25">
      <c r="A2474" s="86">
        <v>45</v>
      </c>
      <c r="B2474" s="86">
        <v>87</v>
      </c>
      <c r="C2474" s="103">
        <v>3.9030563012202196E-3</v>
      </c>
      <c r="D2474" s="103">
        <v>5.3716577171832054E-3</v>
      </c>
    </row>
    <row r="2475" spans="1:4" x14ac:dyDescent="0.25">
      <c r="A2475" s="86">
        <v>45</v>
      </c>
      <c r="B2475" s="86">
        <v>89</v>
      </c>
      <c r="C2475" s="103">
        <v>5.780588076666579E-3</v>
      </c>
      <c r="D2475" s="103">
        <v>6.0209789796998566E-3</v>
      </c>
    </row>
    <row r="2476" spans="1:4" x14ac:dyDescent="0.25">
      <c r="A2476" s="86">
        <v>45</v>
      </c>
      <c r="B2476" s="86">
        <v>91</v>
      </c>
      <c r="C2476" s="103">
        <v>4.5931889519677208E-2</v>
      </c>
      <c r="D2476" s="103">
        <v>5.3913341190776488E-2</v>
      </c>
    </row>
    <row r="2477" spans="1:4" x14ac:dyDescent="0.25">
      <c r="A2477" s="86">
        <v>46</v>
      </c>
      <c r="B2477" s="86">
        <v>3</v>
      </c>
      <c r="C2477" s="103">
        <v>1.320459506400315E-2</v>
      </c>
      <c r="D2477" s="103">
        <v>3.1746465218845795E-3</v>
      </c>
    </row>
    <row r="2478" spans="1:4" x14ac:dyDescent="0.25">
      <c r="A2478" s="86">
        <v>46</v>
      </c>
      <c r="B2478" s="86">
        <v>5</v>
      </c>
      <c r="C2478" s="103">
        <v>1.1141376971624026E-2</v>
      </c>
      <c r="D2478" s="103">
        <v>2.0936736918521957E-2</v>
      </c>
    </row>
    <row r="2479" spans="1:4" x14ac:dyDescent="0.25">
      <c r="A2479" s="86">
        <v>46</v>
      </c>
      <c r="B2479" s="86">
        <v>7</v>
      </c>
      <c r="C2479" s="103">
        <v>1.3055845144289151E-3</v>
      </c>
      <c r="D2479" s="103">
        <v>3.9483954949603908E-3</v>
      </c>
    </row>
    <row r="2480" spans="1:4" x14ac:dyDescent="0.25">
      <c r="A2480" s="86">
        <v>46</v>
      </c>
      <c r="B2480" s="86">
        <v>9</v>
      </c>
      <c r="C2480" s="103">
        <v>2.4913454459181469E-3</v>
      </c>
      <c r="D2480" s="103">
        <v>7.8626550058144961E-3</v>
      </c>
    </row>
    <row r="2481" spans="1:4" x14ac:dyDescent="0.25">
      <c r="A2481" s="86">
        <v>46</v>
      </c>
      <c r="B2481" s="86">
        <v>11</v>
      </c>
      <c r="C2481" s="103">
        <v>3.1864347666342031E-2</v>
      </c>
      <c r="D2481" s="103">
        <v>3.9939101404354388E-2</v>
      </c>
    </row>
    <row r="2482" spans="1:4" x14ac:dyDescent="0.25">
      <c r="A2482" s="86">
        <v>46</v>
      </c>
      <c r="B2482" s="86">
        <v>13</v>
      </c>
      <c r="C2482" s="103">
        <v>3.02123032306734E-2</v>
      </c>
      <c r="D2482" s="103">
        <v>4.4490565951859157E-2</v>
      </c>
    </row>
    <row r="2483" spans="1:4" x14ac:dyDescent="0.25">
      <c r="A2483" s="86">
        <v>46</v>
      </c>
      <c r="B2483" s="86">
        <v>15</v>
      </c>
      <c r="C2483" s="103">
        <v>1.4966370263445449E-2</v>
      </c>
      <c r="D2483" s="103">
        <v>5.9510398958624909E-3</v>
      </c>
    </row>
    <row r="2484" spans="1:4" x14ac:dyDescent="0.25">
      <c r="A2484" s="86">
        <v>46</v>
      </c>
      <c r="B2484" s="86">
        <v>17</v>
      </c>
      <c r="C2484" s="103">
        <v>7.5585323674373607E-4</v>
      </c>
      <c r="D2484" s="103">
        <v>2.3098682578586724E-3</v>
      </c>
    </row>
    <row r="2485" spans="1:4" x14ac:dyDescent="0.25">
      <c r="A2485" s="86">
        <v>46</v>
      </c>
      <c r="B2485" s="86">
        <v>19</v>
      </c>
      <c r="C2485" s="103">
        <v>8.5289946371620885E-3</v>
      </c>
      <c r="D2485" s="103">
        <v>1.1720021209824792E-2</v>
      </c>
    </row>
    <row r="2486" spans="1:4" x14ac:dyDescent="0.25">
      <c r="A2486" s="86">
        <v>46</v>
      </c>
      <c r="B2486" s="86">
        <v>21</v>
      </c>
      <c r="C2486" s="103">
        <v>6.9240286219788433E-4</v>
      </c>
      <c r="D2486" s="103">
        <v>1.558876607520385E-3</v>
      </c>
    </row>
    <row r="2487" spans="1:4" x14ac:dyDescent="0.25">
      <c r="A2487" s="86">
        <v>46</v>
      </c>
      <c r="B2487" s="86">
        <v>23</v>
      </c>
      <c r="C2487" s="103">
        <v>3.0469950936894258E-3</v>
      </c>
      <c r="D2487" s="103">
        <v>1.0616291057054883E-2</v>
      </c>
    </row>
    <row r="2488" spans="1:4" x14ac:dyDescent="0.25">
      <c r="A2488" s="86">
        <v>46</v>
      </c>
      <c r="B2488" s="86">
        <v>25</v>
      </c>
      <c r="C2488" s="103">
        <v>1.9906093917032249E-3</v>
      </c>
      <c r="D2488" s="103">
        <v>4.2442406905482009E-3</v>
      </c>
    </row>
    <row r="2489" spans="1:4" x14ac:dyDescent="0.25">
      <c r="A2489" s="86">
        <v>46</v>
      </c>
      <c r="B2489" s="86">
        <v>27</v>
      </c>
      <c r="C2489" s="103">
        <v>1.2009749093502916E-2</v>
      </c>
      <c r="D2489" s="103">
        <v>1.5930125916266708E-2</v>
      </c>
    </row>
    <row r="2490" spans="1:4" x14ac:dyDescent="0.25">
      <c r="A2490" s="86">
        <v>46</v>
      </c>
      <c r="B2490" s="86">
        <v>29</v>
      </c>
      <c r="C2490" s="103">
        <v>3.0906098373583747E-2</v>
      </c>
      <c r="D2490" s="103">
        <v>3.1860251832533416E-2</v>
      </c>
    </row>
    <row r="2491" spans="1:4" x14ac:dyDescent="0.25">
      <c r="A2491" s="86">
        <v>46</v>
      </c>
      <c r="B2491" s="86">
        <v>31</v>
      </c>
      <c r="C2491" s="103">
        <v>1.7036071831425322E-3</v>
      </c>
      <c r="D2491" s="103">
        <v>4.7562804521424883E-3</v>
      </c>
    </row>
    <row r="2492" spans="1:4" x14ac:dyDescent="0.25">
      <c r="A2492" s="86">
        <v>46</v>
      </c>
      <c r="B2492" s="86">
        <v>33</v>
      </c>
      <c r="C2492" s="103">
        <v>1.1436974186212305E-2</v>
      </c>
      <c r="D2492" s="103">
        <v>1.0024600665879263E-2</v>
      </c>
    </row>
    <row r="2493" spans="1:4" x14ac:dyDescent="0.25">
      <c r="A2493" s="86">
        <v>46</v>
      </c>
      <c r="B2493" s="86">
        <v>35</v>
      </c>
      <c r="C2493" s="103">
        <v>2.4033889593576038E-2</v>
      </c>
      <c r="D2493" s="103">
        <v>2.2529749510148626E-2</v>
      </c>
    </row>
    <row r="2494" spans="1:4" x14ac:dyDescent="0.25">
      <c r="A2494" s="86">
        <v>46</v>
      </c>
      <c r="B2494" s="86">
        <v>37</v>
      </c>
      <c r="C2494" s="103">
        <v>9.4848691786216469E-3</v>
      </c>
      <c r="D2494" s="103">
        <v>6.2696424141878253E-3</v>
      </c>
    </row>
    <row r="2495" spans="1:4" x14ac:dyDescent="0.25">
      <c r="A2495" s="86">
        <v>46</v>
      </c>
      <c r="B2495" s="86">
        <v>39</v>
      </c>
      <c r="C2495" s="103">
        <v>9.8046669240669064E-3</v>
      </c>
      <c r="D2495" s="103">
        <v>4.9497176954114413E-3</v>
      </c>
    </row>
    <row r="2496" spans="1:4" x14ac:dyDescent="0.25">
      <c r="A2496" s="86">
        <v>46</v>
      </c>
      <c r="B2496" s="86">
        <v>41</v>
      </c>
      <c r="C2496" s="103">
        <v>1.9727416506389846E-3</v>
      </c>
      <c r="D2496" s="103">
        <v>6.7475461916758264E-3</v>
      </c>
    </row>
    <row r="2497" spans="1:4" x14ac:dyDescent="0.25">
      <c r="A2497" s="86">
        <v>46</v>
      </c>
      <c r="B2497" s="86">
        <v>43</v>
      </c>
      <c r="C2497" s="103">
        <v>1.4064774391664972E-3</v>
      </c>
      <c r="D2497" s="103">
        <v>3.3339477810472463E-3</v>
      </c>
    </row>
    <row r="2498" spans="1:4" x14ac:dyDescent="0.25">
      <c r="A2498" s="86">
        <v>46</v>
      </c>
      <c r="B2498" s="86">
        <v>45</v>
      </c>
      <c r="C2498" s="103">
        <v>2.4721321021709481E-3</v>
      </c>
      <c r="D2498" s="103">
        <v>4.4035419497108685E-3</v>
      </c>
    </row>
    <row r="2499" spans="1:4" x14ac:dyDescent="0.25">
      <c r="A2499" s="86">
        <v>46</v>
      </c>
      <c r="B2499" s="86">
        <v>47</v>
      </c>
      <c r="C2499" s="103">
        <v>7.5871418754606861E-3</v>
      </c>
      <c r="D2499" s="103">
        <v>7.6692177625455431E-3</v>
      </c>
    </row>
    <row r="2500" spans="1:4" x14ac:dyDescent="0.25">
      <c r="A2500" s="86">
        <v>46</v>
      </c>
      <c r="B2500" s="86">
        <v>49</v>
      </c>
      <c r="C2500" s="103">
        <v>1.0806321071016385E-3</v>
      </c>
      <c r="D2500" s="103">
        <v>2.6398494375527684E-3</v>
      </c>
    </row>
    <row r="2501" spans="1:4" x14ac:dyDescent="0.25">
      <c r="A2501" s="86">
        <v>46</v>
      </c>
      <c r="B2501" s="86">
        <v>51</v>
      </c>
      <c r="C2501" s="103">
        <v>6.6686039395988774E-3</v>
      </c>
      <c r="D2501" s="103">
        <v>8.0788495718209733E-3</v>
      </c>
    </row>
    <row r="2502" spans="1:4" x14ac:dyDescent="0.25">
      <c r="A2502" s="86">
        <v>46</v>
      </c>
      <c r="B2502" s="86">
        <v>53</v>
      </c>
      <c r="C2502" s="103">
        <v>1.7353898271785032E-3</v>
      </c>
      <c r="D2502" s="103">
        <v>4.7676591135112504E-3</v>
      </c>
    </row>
    <row r="2503" spans="1:4" x14ac:dyDescent="0.25">
      <c r="A2503" s="86">
        <v>46</v>
      </c>
      <c r="B2503" s="86">
        <v>55</v>
      </c>
      <c r="C2503" s="103">
        <v>1.0793420763560589E-3</v>
      </c>
      <c r="D2503" s="103">
        <v>2.1619456600647674E-3</v>
      </c>
    </row>
    <row r="2504" spans="1:4" x14ac:dyDescent="0.25">
      <c r="A2504" s="86">
        <v>46</v>
      </c>
      <c r="B2504" s="86">
        <v>57</v>
      </c>
      <c r="C2504" s="103">
        <v>4.858362450577575E-3</v>
      </c>
      <c r="D2504" s="103">
        <v>6.906847450838494E-3</v>
      </c>
    </row>
    <row r="2505" spans="1:4" x14ac:dyDescent="0.25">
      <c r="A2505" s="86">
        <v>46</v>
      </c>
      <c r="B2505" s="86">
        <v>59</v>
      </c>
      <c r="C2505" s="103">
        <v>1.6099687634805789E-3</v>
      </c>
      <c r="D2505" s="103">
        <v>3.6866862834788665E-3</v>
      </c>
    </row>
    <row r="2506" spans="1:4" x14ac:dyDescent="0.25">
      <c r="A2506" s="86">
        <v>46</v>
      </c>
      <c r="B2506" s="86">
        <v>61</v>
      </c>
      <c r="C2506" s="103">
        <v>1.4041911679137972E-2</v>
      </c>
      <c r="D2506" s="103">
        <v>3.8232302199040094E-3</v>
      </c>
    </row>
    <row r="2507" spans="1:4" x14ac:dyDescent="0.25">
      <c r="A2507" s="86">
        <v>46</v>
      </c>
      <c r="B2507" s="86">
        <v>63</v>
      </c>
      <c r="C2507" s="103">
        <v>1.5038444354725387E-3</v>
      </c>
      <c r="D2507" s="103">
        <v>1.4223326710952418E-3</v>
      </c>
    </row>
    <row r="2508" spans="1:4" x14ac:dyDescent="0.25">
      <c r="A2508" s="86">
        <v>46</v>
      </c>
      <c r="B2508" s="86">
        <v>65</v>
      </c>
      <c r="C2508" s="103">
        <v>1.1323708474299338E-2</v>
      </c>
      <c r="D2508" s="103">
        <v>2.0140230622708623E-2</v>
      </c>
    </row>
    <row r="2509" spans="1:4" x14ac:dyDescent="0.25">
      <c r="A2509" s="86">
        <v>46</v>
      </c>
      <c r="B2509" s="86">
        <v>67</v>
      </c>
      <c r="C2509" s="103">
        <v>3.2917855453676315E-3</v>
      </c>
      <c r="D2509" s="103">
        <v>8.317801460564973E-3</v>
      </c>
    </row>
    <row r="2510" spans="1:4" x14ac:dyDescent="0.25">
      <c r="A2510" s="86">
        <v>46</v>
      </c>
      <c r="B2510" s="86">
        <v>69</v>
      </c>
      <c r="C2510" s="103">
        <v>8.0746672833072251E-4</v>
      </c>
      <c r="D2510" s="103">
        <v>1.4450899938327655E-3</v>
      </c>
    </row>
    <row r="2511" spans="1:4" x14ac:dyDescent="0.25">
      <c r="A2511" s="86">
        <v>46</v>
      </c>
      <c r="B2511" s="86">
        <v>71</v>
      </c>
      <c r="C2511" s="103">
        <v>2.1536730505935818E-2</v>
      </c>
      <c r="D2511" s="103">
        <v>3.732200928953914E-3</v>
      </c>
    </row>
    <row r="2512" spans="1:4" x14ac:dyDescent="0.25">
      <c r="A2512" s="86">
        <v>46</v>
      </c>
      <c r="B2512" s="86">
        <v>73</v>
      </c>
      <c r="C2512" s="103">
        <v>9.441227731677935E-4</v>
      </c>
      <c r="D2512" s="103">
        <v>2.3098682578586724E-3</v>
      </c>
    </row>
    <row r="2513" spans="1:4" x14ac:dyDescent="0.25">
      <c r="A2513" s="86">
        <v>46</v>
      </c>
      <c r="B2513" s="86">
        <v>75</v>
      </c>
      <c r="C2513" s="103">
        <v>1.4437990733322041E-2</v>
      </c>
      <c r="D2513" s="103">
        <v>1.0559397750211075E-3</v>
      </c>
    </row>
    <row r="2514" spans="1:4" x14ac:dyDescent="0.25">
      <c r="A2514" s="86">
        <v>46</v>
      </c>
      <c r="B2514" s="86">
        <v>77</v>
      </c>
      <c r="C2514" s="103">
        <v>2.5456191479158864E-3</v>
      </c>
      <c r="D2514" s="103">
        <v>5.6096800547996333E-3</v>
      </c>
    </row>
    <row r="2515" spans="1:4" x14ac:dyDescent="0.25">
      <c r="A2515" s="86">
        <v>46</v>
      </c>
      <c r="B2515" s="86">
        <v>79</v>
      </c>
      <c r="C2515" s="103">
        <v>5.0376891168829206E-3</v>
      </c>
      <c r="D2515" s="103">
        <v>1.4906046393078133E-2</v>
      </c>
    </row>
    <row r="2516" spans="1:4" x14ac:dyDescent="0.25">
      <c r="A2516" s="86">
        <v>46</v>
      </c>
      <c r="B2516" s="86">
        <v>81</v>
      </c>
      <c r="C2516" s="103">
        <v>3.3033409134904219E-2</v>
      </c>
      <c r="D2516" s="103">
        <v>2.9243159717718167E-2</v>
      </c>
    </row>
    <row r="2517" spans="1:4" x14ac:dyDescent="0.25">
      <c r="A2517" s="86">
        <v>46</v>
      </c>
      <c r="B2517" s="86">
        <v>83</v>
      </c>
      <c r="C2517" s="103">
        <v>7.289396228595961E-2</v>
      </c>
      <c r="D2517" s="103">
        <v>6.6906528848320171E-2</v>
      </c>
    </row>
    <row r="2518" spans="1:4" x14ac:dyDescent="0.25">
      <c r="A2518" s="86">
        <v>46</v>
      </c>
      <c r="B2518" s="86">
        <v>85</v>
      </c>
      <c r="C2518" s="103">
        <v>2.7203056909228803E-2</v>
      </c>
      <c r="D2518" s="103">
        <v>4.3238913201295347E-3</v>
      </c>
    </row>
    <row r="2519" spans="1:4" x14ac:dyDescent="0.25">
      <c r="A2519" s="86">
        <v>46</v>
      </c>
      <c r="B2519" s="86">
        <v>87</v>
      </c>
      <c r="C2519" s="103">
        <v>1.894243478717041E-2</v>
      </c>
      <c r="D2519" s="103">
        <v>6.3720503665066824E-3</v>
      </c>
    </row>
    <row r="2520" spans="1:4" x14ac:dyDescent="0.25">
      <c r="A2520" s="86">
        <v>46</v>
      </c>
      <c r="B2520" s="86">
        <v>89</v>
      </c>
      <c r="C2520" s="103">
        <v>8.9936569141475743E-4</v>
      </c>
      <c r="D2520" s="103">
        <v>2.7308787285028639E-3</v>
      </c>
    </row>
    <row r="2521" spans="1:4" x14ac:dyDescent="0.25">
      <c r="A2521" s="86">
        <v>46</v>
      </c>
      <c r="B2521" s="86">
        <v>91</v>
      </c>
      <c r="C2521" s="103">
        <v>1.4132666277109867E-3</v>
      </c>
      <c r="D2521" s="103">
        <v>5.5983013934308712E-3</v>
      </c>
    </row>
    <row r="2522" spans="1:4" x14ac:dyDescent="0.25">
      <c r="A2522" s="86">
        <v>46</v>
      </c>
      <c r="B2522" s="86">
        <v>93</v>
      </c>
      <c r="C2522" s="103">
        <v>3.6811337923692421E-2</v>
      </c>
      <c r="D2522" s="103">
        <v>3.2087825059908655E-2</v>
      </c>
    </row>
    <row r="2523" spans="1:4" x14ac:dyDescent="0.25">
      <c r="A2523" s="86">
        <v>46</v>
      </c>
      <c r="B2523" s="86">
        <v>95</v>
      </c>
      <c r="C2523" s="103">
        <v>9.5276855202307677E-4</v>
      </c>
      <c r="D2523" s="103">
        <v>2.3098682578586724E-3</v>
      </c>
    </row>
    <row r="2524" spans="1:4" x14ac:dyDescent="0.25">
      <c r="A2524" s="86">
        <v>46</v>
      </c>
      <c r="B2524" s="86">
        <v>97</v>
      </c>
      <c r="C2524" s="103">
        <v>1.1614712466215256E-3</v>
      </c>
      <c r="D2524" s="103">
        <v>2.5033055011276254E-3</v>
      </c>
    </row>
    <row r="2525" spans="1:4" x14ac:dyDescent="0.25">
      <c r="A2525" s="86">
        <v>46</v>
      </c>
      <c r="B2525" s="86">
        <v>99</v>
      </c>
      <c r="C2525" s="103">
        <v>0.19646991552224655</v>
      </c>
      <c r="D2525" s="103">
        <v>0.21733243214335293</v>
      </c>
    </row>
    <row r="2526" spans="1:4" x14ac:dyDescent="0.25">
      <c r="A2526" s="86">
        <v>46</v>
      </c>
      <c r="B2526" s="86">
        <v>101</v>
      </c>
      <c r="C2526" s="103">
        <v>2.3653402206325329E-2</v>
      </c>
      <c r="D2526" s="103">
        <v>7.3961298896952571E-3</v>
      </c>
    </row>
    <row r="2527" spans="1:4" x14ac:dyDescent="0.25">
      <c r="A2527" s="86">
        <v>46</v>
      </c>
      <c r="B2527" s="86">
        <v>103</v>
      </c>
      <c r="C2527" s="103">
        <v>0.14824208013666204</v>
      </c>
      <c r="D2527" s="103">
        <v>0.12744100733013367</v>
      </c>
    </row>
    <row r="2528" spans="1:4" x14ac:dyDescent="0.25">
      <c r="A2528" s="86">
        <v>46</v>
      </c>
      <c r="B2528" s="86">
        <v>105</v>
      </c>
      <c r="C2528" s="103">
        <v>1.3242417167347754E-3</v>
      </c>
      <c r="D2528" s="103">
        <v>3.3111904583097225E-3</v>
      </c>
    </row>
    <row r="2529" spans="1:4" x14ac:dyDescent="0.25">
      <c r="A2529" s="86">
        <v>46</v>
      </c>
      <c r="B2529" s="86">
        <v>107</v>
      </c>
      <c r="C2529" s="103">
        <v>1.1877853334578844E-3</v>
      </c>
      <c r="D2529" s="103">
        <v>2.5146841624963871E-3</v>
      </c>
    </row>
    <row r="2530" spans="1:4" x14ac:dyDescent="0.25">
      <c r="A2530" s="86">
        <v>46</v>
      </c>
      <c r="B2530" s="86">
        <v>109</v>
      </c>
      <c r="C2530" s="103">
        <v>1.7264063551176559E-2</v>
      </c>
      <c r="D2530" s="103">
        <v>1.1833807823512411E-2</v>
      </c>
    </row>
    <row r="2531" spans="1:4" x14ac:dyDescent="0.25">
      <c r="A2531" s="86">
        <v>46</v>
      </c>
      <c r="B2531" s="86">
        <v>111</v>
      </c>
      <c r="C2531" s="103">
        <v>5.1990593508940549E-3</v>
      </c>
      <c r="D2531" s="103">
        <v>2.7308787285028639E-3</v>
      </c>
    </row>
    <row r="2532" spans="1:4" x14ac:dyDescent="0.25">
      <c r="A2532" s="86">
        <v>46</v>
      </c>
      <c r="B2532" s="86">
        <v>102</v>
      </c>
      <c r="C2532" s="103">
        <v>4.2288215927614326E-3</v>
      </c>
      <c r="D2532" s="103">
        <v>1.6271485757329566E-2</v>
      </c>
    </row>
    <row r="2533" spans="1:4" x14ac:dyDescent="0.25">
      <c r="A2533" s="86">
        <v>46</v>
      </c>
      <c r="B2533" s="86">
        <v>115</v>
      </c>
      <c r="C2533" s="103">
        <v>3.9782939605735729E-3</v>
      </c>
      <c r="D2533" s="103">
        <v>7.3733725669577329E-3</v>
      </c>
    </row>
    <row r="2534" spans="1:4" x14ac:dyDescent="0.25">
      <c r="A2534" s="86">
        <v>46</v>
      </c>
      <c r="B2534" s="86">
        <v>117</v>
      </c>
      <c r="C2534" s="103">
        <v>4.7071565924531565E-3</v>
      </c>
      <c r="D2534" s="103">
        <v>3.4363557333661038E-3</v>
      </c>
    </row>
    <row r="2535" spans="1:4" x14ac:dyDescent="0.25">
      <c r="A2535" s="86">
        <v>46</v>
      </c>
      <c r="B2535" s="86">
        <v>119</v>
      </c>
      <c r="C2535" s="103">
        <v>1.0058393530221171E-3</v>
      </c>
      <c r="D2535" s="103">
        <v>1.5702552688891468E-3</v>
      </c>
    </row>
    <row r="2536" spans="1:4" x14ac:dyDescent="0.25">
      <c r="A2536" s="86">
        <v>46</v>
      </c>
      <c r="B2536" s="86">
        <v>121</v>
      </c>
      <c r="C2536" s="103">
        <v>3.4590947258854557E-3</v>
      </c>
      <c r="D2536" s="103">
        <v>1.1606234596137173E-2</v>
      </c>
    </row>
    <row r="2537" spans="1:4" x14ac:dyDescent="0.25">
      <c r="A2537" s="86">
        <v>46</v>
      </c>
      <c r="B2537" s="86">
        <v>123</v>
      </c>
      <c r="C2537" s="103">
        <v>2.3575155796526112E-3</v>
      </c>
      <c r="D2537" s="103">
        <v>6.2468850914503011E-3</v>
      </c>
    </row>
    <row r="2538" spans="1:4" x14ac:dyDescent="0.25">
      <c r="A2538" s="86">
        <v>46</v>
      </c>
      <c r="B2538" s="86">
        <v>125</v>
      </c>
      <c r="C2538" s="103">
        <v>3.1006316622781611E-3</v>
      </c>
      <c r="D2538" s="103">
        <v>9.5808328724975474E-3</v>
      </c>
    </row>
    <row r="2539" spans="1:4" x14ac:dyDescent="0.25">
      <c r="A2539" s="86">
        <v>46</v>
      </c>
      <c r="B2539" s="86">
        <v>127</v>
      </c>
      <c r="C2539" s="103">
        <v>4.5510385563508109E-2</v>
      </c>
      <c r="D2539" s="103">
        <v>1.7750711735268616E-2</v>
      </c>
    </row>
    <row r="2540" spans="1:4" x14ac:dyDescent="0.25">
      <c r="A2540" s="86">
        <v>46</v>
      </c>
      <c r="B2540" s="86">
        <v>129</v>
      </c>
      <c r="C2540" s="103">
        <v>1.8472059488070325E-3</v>
      </c>
      <c r="D2540" s="103">
        <v>6.2355064300815399E-3</v>
      </c>
    </row>
    <row r="2541" spans="1:4" x14ac:dyDescent="0.25">
      <c r="A2541" s="86">
        <v>46</v>
      </c>
      <c r="B2541" s="86">
        <v>135</v>
      </c>
      <c r="C2541" s="103">
        <v>1.6562058817153672E-2</v>
      </c>
      <c r="D2541" s="103">
        <v>2.5943347920777207E-2</v>
      </c>
    </row>
    <row r="2542" spans="1:4" x14ac:dyDescent="0.25">
      <c r="A2542" s="86">
        <v>46</v>
      </c>
      <c r="B2542" s="86">
        <v>137</v>
      </c>
      <c r="C2542" s="103">
        <v>1.0690809454812445E-3</v>
      </c>
      <c r="D2542" s="103">
        <v>3.1177532150407699E-3</v>
      </c>
    </row>
    <row r="2543" spans="1:4" x14ac:dyDescent="0.25">
      <c r="A2543" s="86">
        <v>47</v>
      </c>
      <c r="B2543" s="86">
        <v>1</v>
      </c>
      <c r="C2543" s="103">
        <v>1.1827899272815759E-2</v>
      </c>
      <c r="D2543" s="103">
        <v>1.1268645694875203E-2</v>
      </c>
    </row>
    <row r="2544" spans="1:4" x14ac:dyDescent="0.25">
      <c r="A2544" s="86">
        <v>47</v>
      </c>
      <c r="B2544" s="86">
        <v>3</v>
      </c>
      <c r="C2544" s="103">
        <v>5.3842552746360076E-3</v>
      </c>
      <c r="D2544" s="103">
        <v>7.2515138088908582E-3</v>
      </c>
    </row>
    <row r="2545" spans="1:4" x14ac:dyDescent="0.25">
      <c r="A2545" s="86">
        <v>47</v>
      </c>
      <c r="B2545" s="86">
        <v>5</v>
      </c>
      <c r="C2545" s="103">
        <v>3.1000444030019115E-3</v>
      </c>
      <c r="D2545" s="103">
        <v>2.3925564909171465E-3</v>
      </c>
    </row>
    <row r="2546" spans="1:4" x14ac:dyDescent="0.25">
      <c r="A2546" s="86">
        <v>47</v>
      </c>
      <c r="B2546" s="86">
        <v>7</v>
      </c>
      <c r="C2546" s="103">
        <v>1.2634308169996705E-3</v>
      </c>
      <c r="D2546" s="103">
        <v>2.2005612169546597E-3</v>
      </c>
    </row>
    <row r="2547" spans="1:4" x14ac:dyDescent="0.25">
      <c r="A2547" s="86">
        <v>47</v>
      </c>
      <c r="B2547" s="86">
        <v>9</v>
      </c>
      <c r="C2547" s="103">
        <v>1.529044440228829E-2</v>
      </c>
      <c r="D2547" s="103">
        <v>1.9347216068527545E-2</v>
      </c>
    </row>
    <row r="2548" spans="1:4" x14ac:dyDescent="0.25">
      <c r="A2548" s="86">
        <v>47</v>
      </c>
      <c r="B2548" s="86">
        <v>11</v>
      </c>
      <c r="C2548" s="103">
        <v>1.4817855885495453E-2</v>
      </c>
      <c r="D2548" s="103">
        <v>1.5802687933835474E-2</v>
      </c>
    </row>
    <row r="2549" spans="1:4" x14ac:dyDescent="0.25">
      <c r="A2549" s="86">
        <v>47</v>
      </c>
      <c r="B2549" s="86">
        <v>13</v>
      </c>
      <c r="C2549" s="103">
        <v>7.5649612536137483E-3</v>
      </c>
      <c r="D2549" s="103">
        <v>5.8780091566976809E-3</v>
      </c>
    </row>
    <row r="2550" spans="1:4" x14ac:dyDescent="0.25">
      <c r="A2550" s="86">
        <v>47</v>
      </c>
      <c r="B2550" s="86">
        <v>15</v>
      </c>
      <c r="C2550" s="103">
        <v>1.551504678377768E-3</v>
      </c>
      <c r="D2550" s="103">
        <v>2.1267168808152413E-3</v>
      </c>
    </row>
    <row r="2551" spans="1:4" x14ac:dyDescent="0.25">
      <c r="A2551" s="86">
        <v>47</v>
      </c>
      <c r="B2551" s="86">
        <v>17</v>
      </c>
      <c r="C2551" s="103">
        <v>3.3717669385517155E-3</v>
      </c>
      <c r="D2551" s="103">
        <v>4.1352828238074143E-3</v>
      </c>
    </row>
    <row r="2552" spans="1:4" x14ac:dyDescent="0.25">
      <c r="A2552" s="86">
        <v>47</v>
      </c>
      <c r="B2552" s="86">
        <v>19</v>
      </c>
      <c r="C2552" s="103">
        <v>5.8539721577031585E-3</v>
      </c>
      <c r="D2552" s="103">
        <v>8.329641116526362E-3</v>
      </c>
    </row>
    <row r="2553" spans="1:4" x14ac:dyDescent="0.25">
      <c r="A2553" s="86">
        <v>47</v>
      </c>
      <c r="B2553" s="86">
        <v>21</v>
      </c>
      <c r="C2553" s="103">
        <v>6.5410844207650694E-3</v>
      </c>
      <c r="D2553" s="103">
        <v>5.9813912272928668E-3</v>
      </c>
    </row>
    <row r="2554" spans="1:4" x14ac:dyDescent="0.25">
      <c r="A2554" s="86">
        <v>47</v>
      </c>
      <c r="B2554" s="86">
        <v>23</v>
      </c>
      <c r="C2554" s="103">
        <v>2.0370041336905701E-3</v>
      </c>
      <c r="D2554" s="103">
        <v>2.5402451631959828E-3</v>
      </c>
    </row>
    <row r="2555" spans="1:4" x14ac:dyDescent="0.25">
      <c r="A2555" s="86">
        <v>47</v>
      </c>
      <c r="B2555" s="86">
        <v>25</v>
      </c>
      <c r="C2555" s="103">
        <v>3.4003020175572087E-3</v>
      </c>
      <c r="D2555" s="103">
        <v>4.7112686456948754E-3</v>
      </c>
    </row>
    <row r="2556" spans="1:4" x14ac:dyDescent="0.25">
      <c r="A2556" s="86">
        <v>47</v>
      </c>
      <c r="B2556" s="86">
        <v>27</v>
      </c>
      <c r="C2556" s="103">
        <v>7.583941605118831E-4</v>
      </c>
      <c r="D2556" s="103">
        <v>1.1342490031014622E-3</v>
      </c>
    </row>
    <row r="2557" spans="1:4" x14ac:dyDescent="0.25">
      <c r="A2557" s="86">
        <v>47</v>
      </c>
      <c r="B2557" s="86">
        <v>29</v>
      </c>
      <c r="C2557" s="103">
        <v>6.1531825887887956E-3</v>
      </c>
      <c r="D2557" s="103">
        <v>5.3020233348102198E-3</v>
      </c>
    </row>
    <row r="2558" spans="1:4" x14ac:dyDescent="0.25">
      <c r="A2558" s="86">
        <v>47</v>
      </c>
      <c r="B2558" s="86">
        <v>31</v>
      </c>
      <c r="C2558" s="103">
        <v>1.149588646143764E-2</v>
      </c>
      <c r="D2558" s="103">
        <v>8.2557967803869436E-3</v>
      </c>
    </row>
    <row r="2559" spans="1:4" x14ac:dyDescent="0.25">
      <c r="A2559" s="86">
        <v>47</v>
      </c>
      <c r="B2559" s="86">
        <v>33</v>
      </c>
      <c r="C2559" s="103">
        <v>2.3793368251454083E-3</v>
      </c>
      <c r="D2559" s="103">
        <v>2.111948013587358E-3</v>
      </c>
    </row>
    <row r="2560" spans="1:4" x14ac:dyDescent="0.25">
      <c r="A2560" s="86">
        <v>47</v>
      </c>
      <c r="B2560" s="86">
        <v>35</v>
      </c>
      <c r="C2560" s="103">
        <v>1.0970023178211066E-2</v>
      </c>
      <c r="D2560" s="103">
        <v>8.8170137350465222E-3</v>
      </c>
    </row>
    <row r="2561" spans="1:4" x14ac:dyDescent="0.25">
      <c r="A2561" s="86">
        <v>47</v>
      </c>
      <c r="B2561" s="86">
        <v>37</v>
      </c>
      <c r="C2561" s="103">
        <v>0.117596858455967</v>
      </c>
      <c r="D2561" s="103">
        <v>0.10205287254467582</v>
      </c>
    </row>
    <row r="2562" spans="1:4" x14ac:dyDescent="0.25">
      <c r="A2562" s="86">
        <v>47</v>
      </c>
      <c r="B2562" s="86">
        <v>39</v>
      </c>
      <c r="C2562" s="103">
        <v>2.1097238382822132E-3</v>
      </c>
      <c r="D2562" s="103">
        <v>1.7279574656623837E-3</v>
      </c>
    </row>
    <row r="2563" spans="1:4" x14ac:dyDescent="0.25">
      <c r="A2563" s="86">
        <v>47</v>
      </c>
      <c r="B2563" s="86">
        <v>41</v>
      </c>
      <c r="C2563" s="103">
        <v>2.0567289059191282E-3</v>
      </c>
      <c r="D2563" s="103">
        <v>2.968542312804608E-3</v>
      </c>
    </row>
    <row r="2564" spans="1:4" x14ac:dyDescent="0.25">
      <c r="A2564" s="86">
        <v>47</v>
      </c>
      <c r="B2564" s="86">
        <v>43</v>
      </c>
      <c r="C2564" s="103">
        <v>8.7570426207767126E-3</v>
      </c>
      <c r="D2564" s="103">
        <v>7.8865750996898534E-3</v>
      </c>
    </row>
    <row r="2565" spans="1:4" x14ac:dyDescent="0.25">
      <c r="A2565" s="86">
        <v>47</v>
      </c>
      <c r="B2565" s="86">
        <v>45</v>
      </c>
      <c r="C2565" s="103">
        <v>5.9024272648684172E-3</v>
      </c>
      <c r="D2565" s="103">
        <v>5.5087874760005907E-3</v>
      </c>
    </row>
    <row r="2566" spans="1:4" x14ac:dyDescent="0.25">
      <c r="A2566" s="86">
        <v>47</v>
      </c>
      <c r="B2566" s="86">
        <v>47</v>
      </c>
      <c r="C2566" s="103">
        <v>7.812130578606925E-3</v>
      </c>
      <c r="D2566" s="103">
        <v>5.9961600945207501E-3</v>
      </c>
    </row>
    <row r="2567" spans="1:4" x14ac:dyDescent="0.25">
      <c r="A2567" s="86">
        <v>47</v>
      </c>
      <c r="B2567" s="86">
        <v>49</v>
      </c>
      <c r="C2567" s="103">
        <v>1.8096705075684035E-3</v>
      </c>
      <c r="D2567" s="103">
        <v>2.7027027027027029E-3</v>
      </c>
    </row>
    <row r="2568" spans="1:4" x14ac:dyDescent="0.25">
      <c r="A2568" s="86">
        <v>47</v>
      </c>
      <c r="B2568" s="86">
        <v>51</v>
      </c>
      <c r="C2568" s="103">
        <v>4.5111077084073166E-3</v>
      </c>
      <c r="D2568" s="103">
        <v>6.1881553684832377E-3</v>
      </c>
    </row>
    <row r="2569" spans="1:4" x14ac:dyDescent="0.25">
      <c r="A2569" s="86">
        <v>47</v>
      </c>
      <c r="B2569" s="86">
        <v>53</v>
      </c>
      <c r="C2569" s="103">
        <v>5.1990943840855824E-3</v>
      </c>
      <c r="D2569" s="103">
        <v>7.2662826761187415E-3</v>
      </c>
    </row>
    <row r="2570" spans="1:4" x14ac:dyDescent="0.25">
      <c r="A2570" s="86">
        <v>47</v>
      </c>
      <c r="B2570" s="86">
        <v>55</v>
      </c>
      <c r="C2570" s="103">
        <v>6.0024966585489944E-3</v>
      </c>
      <c r="D2570" s="103">
        <v>4.3420469649977844E-3</v>
      </c>
    </row>
    <row r="2571" spans="1:4" x14ac:dyDescent="0.25">
      <c r="A2571" s="86">
        <v>47</v>
      </c>
      <c r="B2571" s="86">
        <v>57</v>
      </c>
      <c r="C2571" s="103">
        <v>2.8891565549788324E-3</v>
      </c>
      <c r="D2571" s="103">
        <v>3.4116083296411165E-3</v>
      </c>
    </row>
    <row r="2572" spans="1:4" x14ac:dyDescent="0.25">
      <c r="A2572" s="86">
        <v>47</v>
      </c>
      <c r="B2572" s="86">
        <v>59</v>
      </c>
      <c r="C2572" s="103">
        <v>1.3451871832184424E-2</v>
      </c>
      <c r="D2572" s="103">
        <v>1.0220056121695466E-2</v>
      </c>
    </row>
    <row r="2573" spans="1:4" x14ac:dyDescent="0.25">
      <c r="A2573" s="86">
        <v>47</v>
      </c>
      <c r="B2573" s="86">
        <v>61</v>
      </c>
      <c r="C2573" s="103">
        <v>2.4990899188723579E-3</v>
      </c>
      <c r="D2573" s="103">
        <v>1.9642593413085217E-3</v>
      </c>
    </row>
    <row r="2574" spans="1:4" x14ac:dyDescent="0.25">
      <c r="A2574" s="86">
        <v>47</v>
      </c>
      <c r="B2574" s="86">
        <v>63</v>
      </c>
      <c r="C2574" s="103">
        <v>9.6868474744787117E-3</v>
      </c>
      <c r="D2574" s="103">
        <v>9.5406882292128192E-3</v>
      </c>
    </row>
    <row r="2575" spans="1:4" x14ac:dyDescent="0.25">
      <c r="A2575" s="86">
        <v>47</v>
      </c>
      <c r="B2575" s="86">
        <v>65</v>
      </c>
      <c r="C2575" s="103">
        <v>4.9840767533425125E-2</v>
      </c>
      <c r="D2575" s="103">
        <v>5.3758676709496384E-2</v>
      </c>
    </row>
    <row r="2576" spans="1:4" x14ac:dyDescent="0.25">
      <c r="A2576" s="86">
        <v>47</v>
      </c>
      <c r="B2576" s="86">
        <v>67</v>
      </c>
      <c r="C2576" s="103">
        <v>4.7742015865780081E-4</v>
      </c>
      <c r="D2576" s="103">
        <v>9.6883769014916553E-4</v>
      </c>
    </row>
    <row r="2577" spans="1:4" x14ac:dyDescent="0.25">
      <c r="A2577" s="86">
        <v>47</v>
      </c>
      <c r="B2577" s="86">
        <v>69</v>
      </c>
      <c r="C2577" s="103">
        <v>2.9984178745580941E-3</v>
      </c>
      <c r="D2577" s="103">
        <v>3.7365234086545562E-3</v>
      </c>
    </row>
    <row r="2578" spans="1:4" x14ac:dyDescent="0.25">
      <c r="A2578" s="86">
        <v>47</v>
      </c>
      <c r="B2578" s="86">
        <v>71</v>
      </c>
      <c r="C2578" s="103">
        <v>3.4499633322875181E-3</v>
      </c>
      <c r="D2578" s="103">
        <v>3.7955988775660908E-3</v>
      </c>
    </row>
    <row r="2579" spans="1:4" x14ac:dyDescent="0.25">
      <c r="A2579" s="86">
        <v>47</v>
      </c>
      <c r="B2579" s="86">
        <v>73</v>
      </c>
      <c r="C2579" s="103">
        <v>5.4245300138225571E-3</v>
      </c>
      <c r="D2579" s="103">
        <v>8.3739477182100137E-3</v>
      </c>
    </row>
    <row r="2580" spans="1:4" x14ac:dyDescent="0.25">
      <c r="A2580" s="86">
        <v>47</v>
      </c>
      <c r="B2580" s="86">
        <v>75</v>
      </c>
      <c r="C2580" s="103">
        <v>5.9391451142861143E-3</v>
      </c>
      <c r="D2580" s="103">
        <v>2.5550140304238665E-3</v>
      </c>
    </row>
    <row r="2581" spans="1:4" x14ac:dyDescent="0.25">
      <c r="A2581" s="86">
        <v>47</v>
      </c>
      <c r="B2581" s="86">
        <v>77</v>
      </c>
      <c r="C2581" s="103">
        <v>6.9732003209544754E-3</v>
      </c>
      <c r="D2581" s="103">
        <v>4.1352828238074143E-3</v>
      </c>
    </row>
    <row r="2582" spans="1:4" x14ac:dyDescent="0.25">
      <c r="A2582" s="86">
        <v>47</v>
      </c>
      <c r="B2582" s="86">
        <v>79</v>
      </c>
      <c r="C2582" s="103">
        <v>4.0075813279589374E-3</v>
      </c>
      <c r="D2582" s="103">
        <v>4.7703441146064096E-3</v>
      </c>
    </row>
    <row r="2583" spans="1:4" x14ac:dyDescent="0.25">
      <c r="A2583" s="86">
        <v>47</v>
      </c>
      <c r="B2583" s="86">
        <v>81</v>
      </c>
      <c r="C2583" s="103">
        <v>4.7386880097243303E-3</v>
      </c>
      <c r="D2583" s="103">
        <v>3.6922168069709054E-3</v>
      </c>
    </row>
    <row r="2584" spans="1:4" x14ac:dyDescent="0.25">
      <c r="A2584" s="86">
        <v>47</v>
      </c>
      <c r="B2584" s="86">
        <v>83</v>
      </c>
      <c r="C2584" s="103">
        <v>7.215261542371749E-4</v>
      </c>
      <c r="D2584" s="103">
        <v>1.215477772854822E-3</v>
      </c>
    </row>
    <row r="2585" spans="1:4" x14ac:dyDescent="0.25">
      <c r="A2585" s="86">
        <v>47</v>
      </c>
      <c r="B2585" s="86">
        <v>85</v>
      </c>
      <c r="C2585" s="103">
        <v>4.1078057895734344E-3</v>
      </c>
      <c r="D2585" s="103">
        <v>2.7470093043863537E-3</v>
      </c>
    </row>
    <row r="2586" spans="1:4" x14ac:dyDescent="0.25">
      <c r="A2586" s="86">
        <v>47</v>
      </c>
      <c r="B2586" s="86">
        <v>87</v>
      </c>
      <c r="C2586" s="103">
        <v>1.1125512606213982E-3</v>
      </c>
      <c r="D2586" s="103">
        <v>1.7427263328902672E-3</v>
      </c>
    </row>
    <row r="2587" spans="1:4" x14ac:dyDescent="0.25">
      <c r="A2587" s="86">
        <v>47</v>
      </c>
      <c r="B2587" s="86">
        <v>89</v>
      </c>
      <c r="C2587" s="103">
        <v>1.1407339014890635E-2</v>
      </c>
      <c r="D2587" s="103">
        <v>7.9751883030571551E-3</v>
      </c>
    </row>
    <row r="2588" spans="1:4" x14ac:dyDescent="0.25">
      <c r="A2588" s="86">
        <v>47</v>
      </c>
      <c r="B2588" s="86">
        <v>91</v>
      </c>
      <c r="C2588" s="103">
        <v>1.6089202293735417E-3</v>
      </c>
      <c r="D2588" s="103">
        <v>2.6288583665632845E-3</v>
      </c>
    </row>
    <row r="2589" spans="1:4" x14ac:dyDescent="0.25">
      <c r="A2589" s="86">
        <v>47</v>
      </c>
      <c r="B2589" s="86">
        <v>93</v>
      </c>
      <c r="C2589" s="103">
        <v>7.3361489547867836E-2</v>
      </c>
      <c r="D2589" s="103">
        <v>6.8822921281937677E-2</v>
      </c>
    </row>
    <row r="2590" spans="1:4" x14ac:dyDescent="0.25">
      <c r="A2590" s="86">
        <v>47</v>
      </c>
      <c r="B2590" s="86">
        <v>95</v>
      </c>
      <c r="C2590" s="103">
        <v>5.1007228331270238E-4</v>
      </c>
      <c r="D2590" s="103">
        <v>1.0943730615861763E-3</v>
      </c>
    </row>
    <row r="2591" spans="1:4" x14ac:dyDescent="0.25">
      <c r="A2591" s="86">
        <v>47</v>
      </c>
      <c r="B2591" s="86">
        <v>97</v>
      </c>
      <c r="C2591" s="103">
        <v>2.6650504794890248E-3</v>
      </c>
      <c r="D2591" s="103">
        <v>3.8399054792497417E-3</v>
      </c>
    </row>
    <row r="2592" spans="1:4" x14ac:dyDescent="0.25">
      <c r="A2592" s="86">
        <v>47</v>
      </c>
      <c r="B2592" s="86">
        <v>99</v>
      </c>
      <c r="C2592" s="103">
        <v>4.7322271080530755E-3</v>
      </c>
      <c r="D2592" s="103">
        <v>6.4687638458130262E-3</v>
      </c>
    </row>
    <row r="2593" spans="1:4" x14ac:dyDescent="0.25">
      <c r="A2593" s="86">
        <v>47</v>
      </c>
      <c r="B2593" s="86">
        <v>101</v>
      </c>
      <c r="C2593" s="103">
        <v>1.0395199746405968E-3</v>
      </c>
      <c r="D2593" s="103">
        <v>1.7870329345739183E-3</v>
      </c>
    </row>
    <row r="2594" spans="1:4" x14ac:dyDescent="0.25">
      <c r="A2594" s="86">
        <v>47</v>
      </c>
      <c r="B2594" s="86">
        <v>103</v>
      </c>
      <c r="C2594" s="103">
        <v>3.9768056851842946E-3</v>
      </c>
      <c r="D2594" s="103">
        <v>5.0509525919361989E-3</v>
      </c>
    </row>
    <row r="2595" spans="1:4" x14ac:dyDescent="0.25">
      <c r="A2595" s="86">
        <v>47</v>
      </c>
      <c r="B2595" s="86">
        <v>105</v>
      </c>
      <c r="C2595" s="103">
        <v>1.1241615980230971E-2</v>
      </c>
      <c r="D2595" s="103">
        <v>7.8422684980062034E-3</v>
      </c>
    </row>
    <row r="2596" spans="1:4" x14ac:dyDescent="0.25">
      <c r="A2596" s="86">
        <v>47</v>
      </c>
      <c r="B2596" s="86">
        <v>107</v>
      </c>
      <c r="C2596" s="103">
        <v>1.0734619543974758E-2</v>
      </c>
      <c r="D2596" s="103">
        <v>7.8718062324619701E-3</v>
      </c>
    </row>
    <row r="2597" spans="1:4" x14ac:dyDescent="0.25">
      <c r="A2597" s="86">
        <v>47</v>
      </c>
      <c r="B2597" s="86">
        <v>109</v>
      </c>
      <c r="C2597" s="103">
        <v>3.5134791645660235E-3</v>
      </c>
      <c r="D2597" s="103">
        <v>3.8103677447939742E-3</v>
      </c>
    </row>
    <row r="2598" spans="1:4" x14ac:dyDescent="0.25">
      <c r="A2598" s="86">
        <v>47</v>
      </c>
      <c r="B2598" s="86">
        <v>111</v>
      </c>
      <c r="C2598" s="103">
        <v>2.0144610305785036E-3</v>
      </c>
      <c r="D2598" s="103">
        <v>3.5888347363757199E-3</v>
      </c>
    </row>
    <row r="2599" spans="1:4" x14ac:dyDescent="0.25">
      <c r="A2599" s="86">
        <v>47</v>
      </c>
      <c r="B2599" s="86">
        <v>113</v>
      </c>
      <c r="C2599" s="103">
        <v>1.7008394457276775E-2</v>
      </c>
      <c r="D2599" s="103">
        <v>1.4414414414414415E-2</v>
      </c>
    </row>
    <row r="2600" spans="1:4" x14ac:dyDescent="0.25">
      <c r="A2600" s="86">
        <v>47</v>
      </c>
      <c r="B2600" s="86">
        <v>115</v>
      </c>
      <c r="C2600" s="103">
        <v>9.5680786127563637E-3</v>
      </c>
      <c r="D2600" s="103">
        <v>4.223896027174716E-3</v>
      </c>
    </row>
    <row r="2601" spans="1:4" x14ac:dyDescent="0.25">
      <c r="A2601" s="86">
        <v>47</v>
      </c>
      <c r="B2601" s="86">
        <v>117</v>
      </c>
      <c r="C2601" s="103">
        <v>5.0083784139419631E-3</v>
      </c>
      <c r="D2601" s="103">
        <v>4.9918771230246638E-3</v>
      </c>
    </row>
    <row r="2602" spans="1:4" x14ac:dyDescent="0.25">
      <c r="A2602" s="86">
        <v>47</v>
      </c>
      <c r="B2602" s="86">
        <v>119</v>
      </c>
      <c r="C2602" s="103">
        <v>1.6567482524843163E-2</v>
      </c>
      <c r="D2602" s="103">
        <v>1.3927041795894254E-2</v>
      </c>
    </row>
    <row r="2603" spans="1:4" x14ac:dyDescent="0.25">
      <c r="A2603" s="86">
        <v>47</v>
      </c>
      <c r="B2603" s="86">
        <v>121</v>
      </c>
      <c r="C2603" s="103">
        <v>1.4150536746957198E-3</v>
      </c>
      <c r="D2603" s="103">
        <v>1.8165706690296854E-3</v>
      </c>
    </row>
    <row r="2604" spans="1:4" x14ac:dyDescent="0.25">
      <c r="A2604" s="86">
        <v>47</v>
      </c>
      <c r="B2604" s="86">
        <v>123</v>
      </c>
      <c r="C2604" s="103">
        <v>6.0698331067660649E-3</v>
      </c>
      <c r="D2604" s="103">
        <v>6.8379855265101163E-3</v>
      </c>
    </row>
    <row r="2605" spans="1:4" x14ac:dyDescent="0.25">
      <c r="A2605" s="86">
        <v>47</v>
      </c>
      <c r="B2605" s="86">
        <v>125</v>
      </c>
      <c r="C2605" s="103">
        <v>2.369125691992139E-2</v>
      </c>
      <c r="D2605" s="103">
        <v>3.0276177817161423E-2</v>
      </c>
    </row>
    <row r="2606" spans="1:4" x14ac:dyDescent="0.25">
      <c r="A2606" s="86">
        <v>47</v>
      </c>
      <c r="B2606" s="86">
        <v>127</v>
      </c>
      <c r="C2606" s="103">
        <v>6.9584219221716656E-4</v>
      </c>
      <c r="D2606" s="103">
        <v>9.5406882292128198E-4</v>
      </c>
    </row>
    <row r="2607" spans="1:4" x14ac:dyDescent="0.25">
      <c r="A2607" s="86">
        <v>47</v>
      </c>
      <c r="B2607" s="86">
        <v>129</v>
      </c>
      <c r="C2607" s="103">
        <v>1.8595042643994475E-3</v>
      </c>
      <c r="D2607" s="103">
        <v>3.1753064539949785E-3</v>
      </c>
    </row>
    <row r="2608" spans="1:4" x14ac:dyDescent="0.25">
      <c r="A2608" s="86">
        <v>47</v>
      </c>
      <c r="B2608" s="86">
        <v>131</v>
      </c>
      <c r="C2608" s="103">
        <v>4.2594356009692099E-3</v>
      </c>
      <c r="D2608" s="103">
        <v>4.4749667700487369E-3</v>
      </c>
    </row>
    <row r="2609" spans="1:4" x14ac:dyDescent="0.25">
      <c r="A2609" s="86">
        <v>47</v>
      </c>
      <c r="B2609" s="86">
        <v>133</v>
      </c>
      <c r="C2609" s="103">
        <v>2.5630472392727897E-3</v>
      </c>
      <c r="D2609" s="103">
        <v>3.2639196573622802E-3</v>
      </c>
    </row>
    <row r="2610" spans="1:4" x14ac:dyDescent="0.25">
      <c r="A2610" s="86">
        <v>47</v>
      </c>
      <c r="B2610" s="86">
        <v>135</v>
      </c>
      <c r="C2610" s="103">
        <v>8.8614568319511579E-4</v>
      </c>
      <c r="D2610" s="103">
        <v>1.1888938118446316E-3</v>
      </c>
    </row>
    <row r="2611" spans="1:4" x14ac:dyDescent="0.25">
      <c r="A2611" s="86">
        <v>47</v>
      </c>
      <c r="B2611" s="86">
        <v>137</v>
      </c>
      <c r="C2611" s="103">
        <v>5.0836830347924568E-4</v>
      </c>
      <c r="D2611" s="103">
        <v>7.4582779500812282E-4</v>
      </c>
    </row>
    <row r="2612" spans="1:4" x14ac:dyDescent="0.25">
      <c r="A2612" s="86">
        <v>47</v>
      </c>
      <c r="B2612" s="86">
        <v>139</v>
      </c>
      <c r="C2612" s="103">
        <v>2.2122211113871056E-3</v>
      </c>
      <c r="D2612" s="103">
        <v>2.4959385615123319E-3</v>
      </c>
    </row>
    <row r="2613" spans="1:4" x14ac:dyDescent="0.25">
      <c r="A2613" s="86">
        <v>47</v>
      </c>
      <c r="B2613" s="86">
        <v>141</v>
      </c>
      <c r="C2613" s="103">
        <v>1.5482704119530677E-2</v>
      </c>
      <c r="D2613" s="103">
        <v>1.1608329641116527E-2</v>
      </c>
    </row>
    <row r="2614" spans="1:4" x14ac:dyDescent="0.25">
      <c r="A2614" s="86">
        <v>47</v>
      </c>
      <c r="B2614" s="86">
        <v>143</v>
      </c>
      <c r="C2614" s="103">
        <v>3.8444028800846564E-3</v>
      </c>
      <c r="D2614" s="103">
        <v>4.8589573179737113E-3</v>
      </c>
    </row>
    <row r="2615" spans="1:4" x14ac:dyDescent="0.25">
      <c r="A2615" s="86">
        <v>47</v>
      </c>
      <c r="B2615" s="86">
        <v>145</v>
      </c>
      <c r="C2615" s="103">
        <v>9.9200371687782098E-3</v>
      </c>
      <c r="D2615" s="103">
        <v>7.8718062324619701E-3</v>
      </c>
    </row>
    <row r="2616" spans="1:4" x14ac:dyDescent="0.25">
      <c r="A2616" s="86">
        <v>47</v>
      </c>
      <c r="B2616" s="86">
        <v>147</v>
      </c>
      <c r="C2616" s="103">
        <v>1.3796487053288731E-2</v>
      </c>
      <c r="D2616" s="103">
        <v>1.0515433466253138E-2</v>
      </c>
    </row>
    <row r="2617" spans="1:4" x14ac:dyDescent="0.25">
      <c r="A2617" s="86">
        <v>47</v>
      </c>
      <c r="B2617" s="86">
        <v>149</v>
      </c>
      <c r="C2617" s="103">
        <v>4.5598317069681371E-2</v>
      </c>
      <c r="D2617" s="103">
        <v>4.7998818490621771E-2</v>
      </c>
    </row>
    <row r="2618" spans="1:4" x14ac:dyDescent="0.25">
      <c r="A2618" s="86">
        <v>47</v>
      </c>
      <c r="B2618" s="86">
        <v>151</v>
      </c>
      <c r="C2618" s="103">
        <v>2.2111901296696171E-3</v>
      </c>
      <c r="D2618" s="103">
        <v>3.2491507901343968E-3</v>
      </c>
    </row>
    <row r="2619" spans="1:4" x14ac:dyDescent="0.25">
      <c r="A2619" s="86">
        <v>47</v>
      </c>
      <c r="B2619" s="86">
        <v>153</v>
      </c>
      <c r="C2619" s="103">
        <v>1.8930132487721507E-3</v>
      </c>
      <c r="D2619" s="103">
        <v>2.2005612169546597E-3</v>
      </c>
    </row>
    <row r="2620" spans="1:4" x14ac:dyDescent="0.25">
      <c r="A2620" s="86">
        <v>47</v>
      </c>
      <c r="B2620" s="86">
        <v>155</v>
      </c>
      <c r="C2620" s="103">
        <v>1.6345111576717811E-2</v>
      </c>
      <c r="D2620" s="103">
        <v>1.4458721016098065E-2</v>
      </c>
    </row>
    <row r="2621" spans="1:4" x14ac:dyDescent="0.25">
      <c r="A2621" s="86">
        <v>47</v>
      </c>
      <c r="B2621" s="86">
        <v>157</v>
      </c>
      <c r="C2621" s="103">
        <v>0.12980076606252958</v>
      </c>
      <c r="D2621" s="103">
        <v>0.1382365972529907</v>
      </c>
    </row>
    <row r="2622" spans="1:4" x14ac:dyDescent="0.25">
      <c r="A2622" s="86">
        <v>47</v>
      </c>
      <c r="B2622" s="86">
        <v>159</v>
      </c>
      <c r="C2622" s="103">
        <v>5.2929850387311937E-3</v>
      </c>
      <c r="D2622" s="103">
        <v>2.9537734455767242E-3</v>
      </c>
    </row>
    <row r="2623" spans="1:4" x14ac:dyDescent="0.25">
      <c r="A2623" s="86">
        <v>47</v>
      </c>
      <c r="B2623" s="86">
        <v>161</v>
      </c>
      <c r="C2623" s="103">
        <v>1.6888498183011251E-3</v>
      </c>
      <c r="D2623" s="103">
        <v>2.0085659429921725E-3</v>
      </c>
    </row>
    <row r="2624" spans="1:4" x14ac:dyDescent="0.25">
      <c r="A2624" s="86">
        <v>47</v>
      </c>
      <c r="B2624" s="86">
        <v>163</v>
      </c>
      <c r="C2624" s="103">
        <v>2.1158350802604996E-2</v>
      </c>
      <c r="D2624" s="103">
        <v>2.333481022005612E-2</v>
      </c>
    </row>
    <row r="2625" spans="1:4" x14ac:dyDescent="0.25">
      <c r="A2625" s="86">
        <v>47</v>
      </c>
      <c r="B2625" s="86">
        <v>165</v>
      </c>
      <c r="C2625" s="103">
        <v>2.057025127129198E-2</v>
      </c>
      <c r="D2625" s="103">
        <v>2.7617781716142372E-2</v>
      </c>
    </row>
    <row r="2626" spans="1:4" x14ac:dyDescent="0.25">
      <c r="A2626" s="86">
        <v>47</v>
      </c>
      <c r="B2626" s="86">
        <v>167</v>
      </c>
      <c r="C2626" s="103">
        <v>4.8612713557022345E-3</v>
      </c>
      <c r="D2626" s="103">
        <v>9.0976222123763106E-3</v>
      </c>
    </row>
    <row r="2627" spans="1:4" x14ac:dyDescent="0.25">
      <c r="A2627" s="86">
        <v>47</v>
      </c>
      <c r="B2627" s="86">
        <v>169</v>
      </c>
      <c r="C2627" s="103">
        <v>1.0947216123366119E-3</v>
      </c>
      <c r="D2627" s="103">
        <v>1.6245753950671984E-3</v>
      </c>
    </row>
    <row r="2628" spans="1:4" x14ac:dyDescent="0.25">
      <c r="A2628" s="86">
        <v>47</v>
      </c>
      <c r="B2628" s="86">
        <v>171</v>
      </c>
      <c r="C2628" s="103">
        <v>2.8321265123919543E-3</v>
      </c>
      <c r="D2628" s="103">
        <v>2.6288583665632845E-3</v>
      </c>
    </row>
    <row r="2629" spans="1:4" x14ac:dyDescent="0.25">
      <c r="A2629" s="86">
        <v>47</v>
      </c>
      <c r="B2629" s="86">
        <v>173</v>
      </c>
      <c r="C2629" s="103">
        <v>1.7138621337080941E-3</v>
      </c>
      <c r="D2629" s="103">
        <v>2.9094668438930734E-3</v>
      </c>
    </row>
    <row r="2630" spans="1:4" x14ac:dyDescent="0.25">
      <c r="A2630" s="86">
        <v>47</v>
      </c>
      <c r="B2630" s="86">
        <v>175</v>
      </c>
      <c r="C2630" s="103">
        <v>7.6569172195088014E-4</v>
      </c>
      <c r="D2630" s="103">
        <v>8.5068675232609662E-4</v>
      </c>
    </row>
    <row r="2631" spans="1:4" x14ac:dyDescent="0.25">
      <c r="A2631" s="86">
        <v>47</v>
      </c>
      <c r="B2631" s="86">
        <v>177</v>
      </c>
      <c r="C2631" s="103">
        <v>4.3132553122449454E-3</v>
      </c>
      <c r="D2631" s="103">
        <v>6.0256978289765176E-3</v>
      </c>
    </row>
    <row r="2632" spans="1:4" x14ac:dyDescent="0.25">
      <c r="A2632" s="86">
        <v>47</v>
      </c>
      <c r="B2632" s="86">
        <v>179</v>
      </c>
      <c r="C2632" s="103">
        <v>1.5972045925457024E-2</v>
      </c>
      <c r="D2632" s="103">
        <v>1.9051838723969872E-2</v>
      </c>
    </row>
    <row r="2633" spans="1:4" x14ac:dyDescent="0.25">
      <c r="A2633" s="86">
        <v>47</v>
      </c>
      <c r="B2633" s="86">
        <v>181</v>
      </c>
      <c r="C2633" s="103">
        <v>1.5182781650436503E-3</v>
      </c>
      <c r="D2633" s="103">
        <v>2.4516319598286811E-3</v>
      </c>
    </row>
    <row r="2634" spans="1:4" x14ac:dyDescent="0.25">
      <c r="A2634" s="86">
        <v>47</v>
      </c>
      <c r="B2634" s="86">
        <v>183</v>
      </c>
      <c r="C2634" s="103">
        <v>3.699978935551526E-3</v>
      </c>
      <c r="D2634" s="103">
        <v>4.9328016541131297E-3</v>
      </c>
    </row>
    <row r="2635" spans="1:4" x14ac:dyDescent="0.25">
      <c r="A2635" s="86">
        <v>47</v>
      </c>
      <c r="B2635" s="86">
        <v>185</v>
      </c>
      <c r="C2635" s="103">
        <v>3.1388807508726515E-3</v>
      </c>
      <c r="D2635" s="103">
        <v>4.0023630187564618E-3</v>
      </c>
    </row>
    <row r="2636" spans="1:4" x14ac:dyDescent="0.25">
      <c r="A2636" s="86">
        <v>47</v>
      </c>
      <c r="B2636" s="86">
        <v>187</v>
      </c>
      <c r="C2636" s="103">
        <v>3.6147712171176453E-2</v>
      </c>
      <c r="D2636" s="103">
        <v>3.4263771968690002E-2</v>
      </c>
    </row>
    <row r="2637" spans="1:4" x14ac:dyDescent="0.25">
      <c r="A2637" s="86">
        <v>47</v>
      </c>
      <c r="B2637" s="86">
        <v>189</v>
      </c>
      <c r="C2637" s="103">
        <v>2.3383874553055458E-2</v>
      </c>
      <c r="D2637" s="103">
        <v>2.0824102791315906E-2</v>
      </c>
    </row>
    <row r="2638" spans="1:4" x14ac:dyDescent="0.25">
      <c r="A2638" s="86">
        <v>48</v>
      </c>
      <c r="B2638" s="86">
        <v>1</v>
      </c>
      <c r="C2638" s="103">
        <v>1.6175844271521169E-3</v>
      </c>
      <c r="D2638" s="103">
        <v>2.0261079378262928E-3</v>
      </c>
    </row>
    <row r="2639" spans="1:4" x14ac:dyDescent="0.25">
      <c r="A2639" s="86">
        <v>48</v>
      </c>
      <c r="B2639" s="86">
        <v>3</v>
      </c>
      <c r="C2639" s="103">
        <v>1.1271162514067653E-3</v>
      </c>
      <c r="D2639" s="103">
        <v>6.2879211863574606E-4</v>
      </c>
    </row>
    <row r="2640" spans="1:4" x14ac:dyDescent="0.25">
      <c r="A2640" s="86">
        <v>48</v>
      </c>
      <c r="B2640" s="86">
        <v>5</v>
      </c>
      <c r="C2640" s="103">
        <v>2.9506770770148256E-3</v>
      </c>
      <c r="D2640" s="103">
        <v>3.0321753276434868E-3</v>
      </c>
    </row>
    <row r="2641" spans="1:4" x14ac:dyDescent="0.25">
      <c r="A2641" s="86">
        <v>48</v>
      </c>
      <c r="B2641" s="86">
        <v>7</v>
      </c>
      <c r="C2641" s="103">
        <v>7.5952448782599935E-4</v>
      </c>
      <c r="D2641" s="103">
        <v>8.1742975422646985E-4</v>
      </c>
    </row>
    <row r="2642" spans="1:4" x14ac:dyDescent="0.25">
      <c r="A2642" s="86">
        <v>48</v>
      </c>
      <c r="B2642" s="86">
        <v>9</v>
      </c>
      <c r="C2642" s="103">
        <v>4.6364909851625885E-4</v>
      </c>
      <c r="D2642" s="103">
        <v>3.0391619067394391E-4</v>
      </c>
    </row>
    <row r="2643" spans="1:4" x14ac:dyDescent="0.25">
      <c r="A2643" s="86">
        <v>48</v>
      </c>
      <c r="B2643" s="86">
        <v>11</v>
      </c>
      <c r="C2643" s="103">
        <v>4.6701201095451306E-4</v>
      </c>
      <c r="D2643" s="103">
        <v>6.5673843501955694E-5</v>
      </c>
    </row>
    <row r="2644" spans="1:4" x14ac:dyDescent="0.25">
      <c r="A2644" s="86">
        <v>48</v>
      </c>
      <c r="B2644" s="86">
        <v>13</v>
      </c>
      <c r="C2644" s="103">
        <v>2.4991833182864361E-3</v>
      </c>
      <c r="D2644" s="103">
        <v>1.7571246426321126E-3</v>
      </c>
    </row>
    <row r="2645" spans="1:4" x14ac:dyDescent="0.25">
      <c r="A2645" s="86">
        <v>48</v>
      </c>
      <c r="B2645" s="86">
        <v>15</v>
      </c>
      <c r="C2645" s="103">
        <v>1.9450129684624403E-3</v>
      </c>
      <c r="D2645" s="103">
        <v>1.0479868643929102E-3</v>
      </c>
    </row>
    <row r="2646" spans="1:4" x14ac:dyDescent="0.25">
      <c r="A2646" s="86">
        <v>48</v>
      </c>
      <c r="B2646" s="86">
        <v>17</v>
      </c>
      <c r="C2646" s="103">
        <v>2.801929251599079E-4</v>
      </c>
      <c r="D2646" s="103">
        <v>2.4522892626794099E-4</v>
      </c>
    </row>
    <row r="2647" spans="1:4" x14ac:dyDescent="0.25">
      <c r="A2647" s="86">
        <v>48</v>
      </c>
      <c r="B2647" s="86">
        <v>19</v>
      </c>
      <c r="C2647" s="103">
        <v>5.5965066364687874E-4</v>
      </c>
      <c r="D2647" s="103">
        <v>7.9647001693861172E-4</v>
      </c>
    </row>
    <row r="2648" spans="1:4" x14ac:dyDescent="0.25">
      <c r="A2648" s="86">
        <v>48</v>
      </c>
      <c r="B2648" s="86">
        <v>21</v>
      </c>
      <c r="C2648" s="103">
        <v>3.0249447581300079E-3</v>
      </c>
      <c r="D2648" s="103">
        <v>3.0251887485475337E-3</v>
      </c>
    </row>
    <row r="2649" spans="1:4" x14ac:dyDescent="0.25">
      <c r="A2649" s="86">
        <v>48</v>
      </c>
      <c r="B2649" s="86">
        <v>23</v>
      </c>
      <c r="C2649" s="103">
        <v>2.8732243310053516E-4</v>
      </c>
      <c r="D2649" s="103">
        <v>1.247104368627563E-4</v>
      </c>
    </row>
    <row r="2650" spans="1:4" x14ac:dyDescent="0.25">
      <c r="A2650" s="86">
        <v>48</v>
      </c>
      <c r="B2650" s="86">
        <v>25</v>
      </c>
      <c r="C2650" s="103">
        <v>8.6668696988984604E-4</v>
      </c>
      <c r="D2650" s="103">
        <v>1.1353191030923193E-3</v>
      </c>
    </row>
    <row r="2651" spans="1:4" x14ac:dyDescent="0.25">
      <c r="A2651" s="86">
        <v>48</v>
      </c>
      <c r="B2651" s="86">
        <v>27</v>
      </c>
      <c r="C2651" s="103">
        <v>1.2294435469372438E-2</v>
      </c>
      <c r="D2651" s="103">
        <v>1.2401177895316104E-2</v>
      </c>
    </row>
    <row r="2652" spans="1:4" x14ac:dyDescent="0.25">
      <c r="A2652" s="86">
        <v>48</v>
      </c>
      <c r="B2652" s="86">
        <v>29</v>
      </c>
      <c r="C2652" s="103">
        <v>6.2044959917324963E-2</v>
      </c>
      <c r="D2652" s="103">
        <v>6.9167133049932064E-2</v>
      </c>
    </row>
    <row r="2653" spans="1:4" x14ac:dyDescent="0.25">
      <c r="A2653" s="86">
        <v>48</v>
      </c>
      <c r="B2653" s="86">
        <v>31</v>
      </c>
      <c r="C2653" s="103">
        <v>9.0811104977121511E-4</v>
      </c>
      <c r="D2653" s="103">
        <v>4.0522158756525859E-4</v>
      </c>
    </row>
    <row r="2654" spans="1:4" x14ac:dyDescent="0.25">
      <c r="A2654" s="86">
        <v>48</v>
      </c>
      <c r="B2654" s="86">
        <v>33</v>
      </c>
      <c r="C2654" s="103">
        <v>7.4767544280842223E-5</v>
      </c>
      <c r="D2654" s="103">
        <v>2.2601583375407093E-5</v>
      </c>
    </row>
    <row r="2655" spans="1:4" x14ac:dyDescent="0.25">
      <c r="A2655" s="86">
        <v>48</v>
      </c>
      <c r="B2655" s="86">
        <v>35</v>
      </c>
      <c r="C2655" s="103">
        <v>6.9391439238424837E-4</v>
      </c>
      <c r="D2655" s="103">
        <v>6.497518559236043E-4</v>
      </c>
    </row>
    <row r="2656" spans="1:4" x14ac:dyDescent="0.25">
      <c r="A2656" s="86">
        <v>48</v>
      </c>
      <c r="B2656" s="86">
        <v>37</v>
      </c>
      <c r="C2656" s="103">
        <v>4.7683600635834737E-3</v>
      </c>
      <c r="D2656" s="103">
        <v>3.273212306453856E-3</v>
      </c>
    </row>
    <row r="2657" spans="1:4" x14ac:dyDescent="0.25">
      <c r="A2657" s="86">
        <v>48</v>
      </c>
      <c r="B2657" s="86">
        <v>39</v>
      </c>
      <c r="C2657" s="103">
        <v>1.0746187980175058E-2</v>
      </c>
      <c r="D2657" s="103">
        <v>1.2890238432032795E-2</v>
      </c>
    </row>
    <row r="2658" spans="1:4" x14ac:dyDescent="0.25">
      <c r="A2658" s="86">
        <v>48</v>
      </c>
      <c r="B2658" s="86">
        <v>41</v>
      </c>
      <c r="C2658" s="103">
        <v>6.2086748999765264E-3</v>
      </c>
      <c r="D2658" s="103">
        <v>7.8948343784265903E-3</v>
      </c>
    </row>
    <row r="2659" spans="1:4" x14ac:dyDescent="0.25">
      <c r="A2659" s="86">
        <v>48</v>
      </c>
      <c r="B2659" s="86">
        <v>43</v>
      </c>
      <c r="C2659" s="103">
        <v>3.4525001163870797E-4</v>
      </c>
      <c r="D2659" s="103">
        <v>3.238279410974092E-4</v>
      </c>
    </row>
    <row r="2660" spans="1:4" x14ac:dyDescent="0.25">
      <c r="A2660" s="86">
        <v>48</v>
      </c>
      <c r="B2660" s="86">
        <v>45</v>
      </c>
      <c r="C2660" s="103">
        <v>6.5964670746555799E-5</v>
      </c>
      <c r="D2660" s="103">
        <v>5.2748672174443144E-5</v>
      </c>
    </row>
    <row r="2661" spans="1:4" x14ac:dyDescent="0.25">
      <c r="A2661" s="86">
        <v>48</v>
      </c>
      <c r="B2661" s="86">
        <v>47</v>
      </c>
      <c r="C2661" s="103">
        <v>6.7277303370959077E-4</v>
      </c>
      <c r="D2661" s="103">
        <v>2.4802355790632205E-4</v>
      </c>
    </row>
    <row r="2662" spans="1:4" x14ac:dyDescent="0.25">
      <c r="A2662" s="86">
        <v>48</v>
      </c>
      <c r="B2662" s="86">
        <v>49</v>
      </c>
      <c r="C2662" s="103">
        <v>1.1417045984534768E-3</v>
      </c>
      <c r="D2662" s="103">
        <v>1.3204634491350668E-3</v>
      </c>
    </row>
    <row r="2663" spans="1:4" x14ac:dyDescent="0.25">
      <c r="A2663" s="86">
        <v>48</v>
      </c>
      <c r="B2663" s="86">
        <v>51</v>
      </c>
      <c r="C2663" s="103">
        <v>8.7683705454566973E-4</v>
      </c>
      <c r="D2663" s="103">
        <v>6.3927198727967518E-4</v>
      </c>
    </row>
    <row r="2664" spans="1:4" x14ac:dyDescent="0.25">
      <c r="A2664" s="86">
        <v>48</v>
      </c>
      <c r="B2664" s="86">
        <v>53</v>
      </c>
      <c r="C2664" s="103">
        <v>2.1628918772452757E-3</v>
      </c>
      <c r="D2664" s="103">
        <v>1.6523259561928216E-3</v>
      </c>
    </row>
    <row r="2665" spans="1:4" x14ac:dyDescent="0.25">
      <c r="A2665" s="86">
        <v>48</v>
      </c>
      <c r="B2665" s="86">
        <v>55</v>
      </c>
      <c r="C2665" s="103">
        <v>1.6818696928967785E-3</v>
      </c>
      <c r="D2665" s="103">
        <v>1.5091010847257905E-3</v>
      </c>
    </row>
    <row r="2666" spans="1:4" x14ac:dyDescent="0.25">
      <c r="A2666" s="86">
        <v>48</v>
      </c>
      <c r="B2666" s="86">
        <v>57</v>
      </c>
      <c r="C2666" s="103">
        <v>7.754827408121798E-4</v>
      </c>
      <c r="D2666" s="103">
        <v>7.5105725281491892E-4</v>
      </c>
    </row>
    <row r="2667" spans="1:4" x14ac:dyDescent="0.25">
      <c r="A2667" s="86">
        <v>48</v>
      </c>
      <c r="B2667" s="86">
        <v>59</v>
      </c>
      <c r="C2667" s="103">
        <v>1.3394559963102375E-3</v>
      </c>
      <c r="D2667" s="103">
        <v>4.8906053671669142E-4</v>
      </c>
    </row>
    <row r="2668" spans="1:4" x14ac:dyDescent="0.25">
      <c r="A2668" s="86">
        <v>48</v>
      </c>
      <c r="B2668" s="86">
        <v>61</v>
      </c>
      <c r="C2668" s="103">
        <v>1.1124821767563039E-2</v>
      </c>
      <c r="D2668" s="103">
        <v>1.4741681892460268E-2</v>
      </c>
    </row>
    <row r="2669" spans="1:4" x14ac:dyDescent="0.25">
      <c r="A2669" s="86">
        <v>48</v>
      </c>
      <c r="B2669" s="86">
        <v>63</v>
      </c>
      <c r="C2669" s="103">
        <v>3.2729083612564744E-4</v>
      </c>
      <c r="D2669" s="103">
        <v>4.5412764123692773E-4</v>
      </c>
    </row>
    <row r="2670" spans="1:4" x14ac:dyDescent="0.25">
      <c r="A2670" s="86">
        <v>48</v>
      </c>
      <c r="B2670" s="86">
        <v>65</v>
      </c>
      <c r="C2670" s="103">
        <v>1.0266860184939385E-3</v>
      </c>
      <c r="D2670" s="103">
        <v>2.0994670183337966E-4</v>
      </c>
    </row>
    <row r="2671" spans="1:4" x14ac:dyDescent="0.25">
      <c r="A2671" s="86">
        <v>48</v>
      </c>
      <c r="B2671" s="86">
        <v>67</v>
      </c>
      <c r="C2671" s="103">
        <v>1.0931946075128673E-3</v>
      </c>
      <c r="D2671" s="103">
        <v>1.0514801539408865E-3</v>
      </c>
    </row>
    <row r="2672" spans="1:4" x14ac:dyDescent="0.25">
      <c r="A2672" s="86">
        <v>48</v>
      </c>
      <c r="B2672" s="86">
        <v>69</v>
      </c>
      <c r="C2672" s="103">
        <v>3.2822930703654954E-4</v>
      </c>
      <c r="D2672" s="103">
        <v>2.6514067669140628E-4</v>
      </c>
    </row>
    <row r="2673" spans="1:4" x14ac:dyDescent="0.25">
      <c r="A2673" s="86">
        <v>48</v>
      </c>
      <c r="B2673" s="86">
        <v>71</v>
      </c>
      <c r="C2673" s="103">
        <v>4.0805418097494871E-3</v>
      </c>
      <c r="D2673" s="103">
        <v>1.4741681892460269E-3</v>
      </c>
    </row>
    <row r="2674" spans="1:4" x14ac:dyDescent="0.25">
      <c r="A2674" s="86">
        <v>48</v>
      </c>
      <c r="B2674" s="86">
        <v>73</v>
      </c>
      <c r="C2674" s="103">
        <v>1.519436901262989E-3</v>
      </c>
      <c r="D2674" s="103">
        <v>1.8304837231396163E-3</v>
      </c>
    </row>
    <row r="2675" spans="1:4" x14ac:dyDescent="0.25">
      <c r="A2675" s="86">
        <v>48</v>
      </c>
      <c r="B2675" s="86">
        <v>75</v>
      </c>
      <c r="C2675" s="103">
        <v>5.170814878246166E-4</v>
      </c>
      <c r="D2675" s="103">
        <v>2.5570879491187005E-4</v>
      </c>
    </row>
    <row r="2676" spans="1:4" x14ac:dyDescent="0.25">
      <c r="A2676" s="86">
        <v>48</v>
      </c>
      <c r="B2676" s="86">
        <v>77</v>
      </c>
      <c r="C2676" s="103">
        <v>9.480650057769502E-4</v>
      </c>
      <c r="D2676" s="103">
        <v>3.6330211298954217E-4</v>
      </c>
    </row>
    <row r="2677" spans="1:4" x14ac:dyDescent="0.25">
      <c r="A2677" s="86">
        <v>48</v>
      </c>
      <c r="B2677" s="86">
        <v>79</v>
      </c>
      <c r="C2677" s="103">
        <v>1.0157171937778311E-4</v>
      </c>
      <c r="D2677" s="103">
        <v>9.8860094207731187E-5</v>
      </c>
    </row>
    <row r="2678" spans="1:4" x14ac:dyDescent="0.25">
      <c r="A2678" s="86">
        <v>48</v>
      </c>
      <c r="B2678" s="86">
        <v>81</v>
      </c>
      <c r="C2678" s="103">
        <v>2.0819201137242088E-4</v>
      </c>
      <c r="D2678" s="103">
        <v>1.1737452881200594E-4</v>
      </c>
    </row>
    <row r="2679" spans="1:4" x14ac:dyDescent="0.25">
      <c r="A2679" s="86">
        <v>48</v>
      </c>
      <c r="B2679" s="86">
        <v>83</v>
      </c>
      <c r="C2679" s="103">
        <v>4.3697895811435882E-4</v>
      </c>
      <c r="D2679" s="103">
        <v>2.9238833516562191E-4</v>
      </c>
    </row>
    <row r="2680" spans="1:4" x14ac:dyDescent="0.25">
      <c r="A2680" s="86">
        <v>48</v>
      </c>
      <c r="B2680" s="86">
        <v>85</v>
      </c>
      <c r="C2680" s="103">
        <v>3.0192362089166324E-2</v>
      </c>
      <c r="D2680" s="103">
        <v>3.4932895479763672E-2</v>
      </c>
    </row>
    <row r="2681" spans="1:4" x14ac:dyDescent="0.25">
      <c r="A2681" s="86">
        <v>48</v>
      </c>
      <c r="B2681" s="86">
        <v>87</v>
      </c>
      <c r="C2681" s="103">
        <v>9.807522414891438E-5</v>
      </c>
      <c r="D2681" s="103">
        <v>1.0270271271050519E-4</v>
      </c>
    </row>
    <row r="2682" spans="1:4" x14ac:dyDescent="0.25">
      <c r="A2682" s="86">
        <v>48</v>
      </c>
      <c r="B2682" s="86">
        <v>89</v>
      </c>
      <c r="C2682" s="103">
        <v>2.4731343995141328E-3</v>
      </c>
      <c r="D2682" s="103">
        <v>7.4407067371896614E-4</v>
      </c>
    </row>
    <row r="2683" spans="1:4" x14ac:dyDescent="0.25">
      <c r="A2683" s="86">
        <v>48</v>
      </c>
      <c r="B2683" s="86">
        <v>91</v>
      </c>
      <c r="C2683" s="103">
        <v>7.1930303475441501E-3</v>
      </c>
      <c r="D2683" s="103">
        <v>5.1700685310050228E-3</v>
      </c>
    </row>
    <row r="2684" spans="1:4" x14ac:dyDescent="0.25">
      <c r="A2684" s="86">
        <v>48</v>
      </c>
      <c r="B2684" s="86">
        <v>93</v>
      </c>
      <c r="C2684" s="103">
        <v>4.8733208555599468E-4</v>
      </c>
      <c r="D2684" s="103">
        <v>4.7159408897680957E-4</v>
      </c>
    </row>
    <row r="2685" spans="1:4" x14ac:dyDescent="0.25">
      <c r="A2685" s="86">
        <v>48</v>
      </c>
      <c r="B2685" s="86">
        <v>95</v>
      </c>
      <c r="C2685" s="103">
        <v>3.4325977695004028E-4</v>
      </c>
      <c r="D2685" s="103">
        <v>9.3620159885766642E-5</v>
      </c>
    </row>
    <row r="2686" spans="1:4" x14ac:dyDescent="0.25">
      <c r="A2686" s="86">
        <v>48</v>
      </c>
      <c r="B2686" s="86">
        <v>97</v>
      </c>
      <c r="C2686" s="103">
        <v>2.4963188643441704E-3</v>
      </c>
      <c r="D2686" s="103">
        <v>1.4147822669304286E-3</v>
      </c>
    </row>
    <row r="2687" spans="1:4" x14ac:dyDescent="0.25">
      <c r="A2687" s="86">
        <v>48</v>
      </c>
      <c r="B2687" s="86">
        <v>99</v>
      </c>
      <c r="C2687" s="103">
        <v>1.7925209861299079E-3</v>
      </c>
      <c r="D2687" s="103">
        <v>2.609487292338346E-3</v>
      </c>
    </row>
    <row r="2688" spans="1:4" x14ac:dyDescent="0.25">
      <c r="A2688" s="86">
        <v>48</v>
      </c>
      <c r="B2688" s="86">
        <v>101</v>
      </c>
      <c r="C2688" s="103">
        <v>6.9372255042457706E-5</v>
      </c>
      <c r="D2688" s="103">
        <v>4.8207395762073864E-5</v>
      </c>
    </row>
    <row r="2689" spans="1:4" x14ac:dyDescent="0.25">
      <c r="A2689" s="86">
        <v>48</v>
      </c>
      <c r="B2689" s="86">
        <v>103</v>
      </c>
      <c r="C2689" s="103">
        <v>3.7663014939546971E-4</v>
      </c>
      <c r="D2689" s="103">
        <v>1.6628058248367508E-4</v>
      </c>
    </row>
    <row r="2690" spans="1:4" x14ac:dyDescent="0.25">
      <c r="A2690" s="86">
        <v>48</v>
      </c>
      <c r="B2690" s="86">
        <v>105</v>
      </c>
      <c r="C2690" s="103">
        <v>8.7711216344329079E-4</v>
      </c>
      <c r="D2690" s="103">
        <v>1.2016916045038702E-4</v>
      </c>
    </row>
    <row r="2691" spans="1:4" x14ac:dyDescent="0.25">
      <c r="A2691" s="86">
        <v>48</v>
      </c>
      <c r="B2691" s="86">
        <v>107</v>
      </c>
      <c r="C2691" s="103">
        <v>2.1042973884345735E-4</v>
      </c>
      <c r="D2691" s="103">
        <v>2.0121347796343874E-4</v>
      </c>
    </row>
    <row r="2692" spans="1:4" x14ac:dyDescent="0.25">
      <c r="A2692" s="86">
        <v>48</v>
      </c>
      <c r="B2692" s="86">
        <v>109</v>
      </c>
      <c r="C2692" s="103">
        <v>1.1328985705866108E-3</v>
      </c>
      <c r="D2692" s="103">
        <v>7.6503041100682437E-5</v>
      </c>
    </row>
    <row r="2693" spans="1:4" x14ac:dyDescent="0.25">
      <c r="A2693" s="86">
        <v>48</v>
      </c>
      <c r="B2693" s="86">
        <v>111</v>
      </c>
      <c r="C2693" s="103">
        <v>5.3288799397620311E-4</v>
      </c>
      <c r="D2693" s="103">
        <v>2.5501013700227477E-4</v>
      </c>
    </row>
    <row r="2694" spans="1:4" x14ac:dyDescent="0.25">
      <c r="A2694" s="86">
        <v>48</v>
      </c>
      <c r="B2694" s="86">
        <v>113</v>
      </c>
      <c r="C2694" s="103">
        <v>9.4985422799453462E-2</v>
      </c>
      <c r="D2694" s="103">
        <v>9.187351511177845E-2</v>
      </c>
    </row>
    <row r="2695" spans="1:4" x14ac:dyDescent="0.25">
      <c r="A2695" s="86">
        <v>48</v>
      </c>
      <c r="B2695" s="86">
        <v>115</v>
      </c>
      <c r="C2695" s="103">
        <v>6.9014307800850259E-4</v>
      </c>
      <c r="D2695" s="103">
        <v>4.4015448304502222E-4</v>
      </c>
    </row>
    <row r="2696" spans="1:4" x14ac:dyDescent="0.25">
      <c r="A2696" s="86">
        <v>48</v>
      </c>
      <c r="B2696" s="86">
        <v>117</v>
      </c>
      <c r="C2696" s="103">
        <v>5.9977751086650168E-4</v>
      </c>
      <c r="D2696" s="103">
        <v>6.5324514547158063E-4</v>
      </c>
    </row>
    <row r="2697" spans="1:4" x14ac:dyDescent="0.25">
      <c r="A2697" s="86">
        <v>48</v>
      </c>
      <c r="B2697" s="86">
        <v>119</v>
      </c>
      <c r="C2697" s="103">
        <v>2.0009558511094148E-4</v>
      </c>
      <c r="D2697" s="103">
        <v>1.8619233290714037E-4</v>
      </c>
    </row>
    <row r="2698" spans="1:4" x14ac:dyDescent="0.25">
      <c r="A2698" s="86">
        <v>48</v>
      </c>
      <c r="B2698" s="86">
        <v>121</v>
      </c>
      <c r="C2698" s="103">
        <v>2.4262612578980255E-2</v>
      </c>
      <c r="D2698" s="103">
        <v>3.0007357217116993E-2</v>
      </c>
    </row>
    <row r="2699" spans="1:4" x14ac:dyDescent="0.25">
      <c r="A2699" s="86">
        <v>48</v>
      </c>
      <c r="B2699" s="86">
        <v>123</v>
      </c>
      <c r="C2699" s="103">
        <v>8.6769075027100218E-4</v>
      </c>
      <c r="D2699" s="103">
        <v>7.0215119914324978E-4</v>
      </c>
    </row>
    <row r="2700" spans="1:4" x14ac:dyDescent="0.25">
      <c r="A2700" s="86">
        <v>48</v>
      </c>
      <c r="B2700" s="86">
        <v>125</v>
      </c>
      <c r="C2700" s="103">
        <v>1.0848189805884924E-4</v>
      </c>
      <c r="D2700" s="103">
        <v>7.7551027965075354E-5</v>
      </c>
    </row>
    <row r="2701" spans="1:4" x14ac:dyDescent="0.25">
      <c r="A2701" s="86">
        <v>48</v>
      </c>
      <c r="B2701" s="86">
        <v>127</v>
      </c>
      <c r="C2701" s="103">
        <v>6.2808544333038934E-4</v>
      </c>
      <c r="D2701" s="103">
        <v>3.5631553389358945E-4</v>
      </c>
    </row>
    <row r="2702" spans="1:4" x14ac:dyDescent="0.25">
      <c r="A2702" s="86">
        <v>48</v>
      </c>
      <c r="B2702" s="86">
        <v>129</v>
      </c>
      <c r="C2702" s="103">
        <v>6.4468071994263406E-4</v>
      </c>
      <c r="D2702" s="103">
        <v>1.1597721299281539E-4</v>
      </c>
    </row>
    <row r="2703" spans="1:4" x14ac:dyDescent="0.25">
      <c r="A2703" s="86">
        <v>48</v>
      </c>
      <c r="B2703" s="86">
        <v>131</v>
      </c>
      <c r="C2703" s="103">
        <v>4.4246012203956269E-4</v>
      </c>
      <c r="D2703" s="103">
        <v>3.8775513982537674E-4</v>
      </c>
    </row>
    <row r="2704" spans="1:4" x14ac:dyDescent="0.25">
      <c r="A2704" s="86">
        <v>48</v>
      </c>
      <c r="B2704" s="86">
        <v>133</v>
      </c>
      <c r="C2704" s="103">
        <v>1.7598175946501528E-3</v>
      </c>
      <c r="D2704" s="103">
        <v>6.3927198727967518E-4</v>
      </c>
    </row>
    <row r="2705" spans="1:4" x14ac:dyDescent="0.25">
      <c r="A2705" s="86">
        <v>48</v>
      </c>
      <c r="B2705" s="86">
        <v>135</v>
      </c>
      <c r="C2705" s="103">
        <v>5.9080444076019829E-3</v>
      </c>
      <c r="D2705" s="103">
        <v>5.6591290677217142E-3</v>
      </c>
    </row>
    <row r="2706" spans="1:4" x14ac:dyDescent="0.25">
      <c r="A2706" s="86">
        <v>48</v>
      </c>
      <c r="B2706" s="86">
        <v>137</v>
      </c>
      <c r="C2706" s="103">
        <v>1.1229419391368415E-4</v>
      </c>
      <c r="D2706" s="103">
        <v>6.6721830366348611E-5</v>
      </c>
    </row>
    <row r="2707" spans="1:4" x14ac:dyDescent="0.25">
      <c r="A2707" s="86">
        <v>48</v>
      </c>
      <c r="B2707" s="86">
        <v>139</v>
      </c>
      <c r="C2707" s="103">
        <v>8.7423991680270242E-3</v>
      </c>
      <c r="D2707" s="103">
        <v>6.2529882908776971E-3</v>
      </c>
    </row>
    <row r="2708" spans="1:4" x14ac:dyDescent="0.25">
      <c r="A2708" s="86">
        <v>48</v>
      </c>
      <c r="B2708" s="86">
        <v>141</v>
      </c>
      <c r="C2708" s="103">
        <v>2.4892786315080993E-2</v>
      </c>
      <c r="D2708" s="103">
        <v>2.9238833516562191E-2</v>
      </c>
    </row>
    <row r="2709" spans="1:4" x14ac:dyDescent="0.25">
      <c r="A2709" s="86">
        <v>48</v>
      </c>
      <c r="B2709" s="86">
        <v>143</v>
      </c>
      <c r="C2709" s="103">
        <v>1.5410556465032168E-3</v>
      </c>
      <c r="D2709" s="103">
        <v>1.4741681892460269E-3</v>
      </c>
    </row>
    <row r="2710" spans="1:4" x14ac:dyDescent="0.25">
      <c r="A2710" s="86">
        <v>48</v>
      </c>
      <c r="B2710" s="86">
        <v>145</v>
      </c>
      <c r="C2710" s="103">
        <v>8.9985126381185508E-4</v>
      </c>
      <c r="D2710" s="103">
        <v>6.0084580225193516E-4</v>
      </c>
    </row>
    <row r="2711" spans="1:4" x14ac:dyDescent="0.25">
      <c r="A2711" s="86">
        <v>48</v>
      </c>
      <c r="B2711" s="86">
        <v>147</v>
      </c>
      <c r="C2711" s="103">
        <v>1.0809474344018195E-3</v>
      </c>
      <c r="D2711" s="103">
        <v>1.2296379208876812E-3</v>
      </c>
    </row>
    <row r="2712" spans="1:4" x14ac:dyDescent="0.25">
      <c r="A2712" s="86">
        <v>48</v>
      </c>
      <c r="B2712" s="86">
        <v>149</v>
      </c>
      <c r="C2712" s="103">
        <v>2.2180793638682215E-3</v>
      </c>
      <c r="D2712" s="103">
        <v>8.8380225563802089E-4</v>
      </c>
    </row>
    <row r="2713" spans="1:4" x14ac:dyDescent="0.25">
      <c r="A2713" s="86">
        <v>48</v>
      </c>
      <c r="B2713" s="86">
        <v>151</v>
      </c>
      <c r="C2713" s="103">
        <v>1.8450432666717722E-4</v>
      </c>
      <c r="D2713" s="103">
        <v>1.3344366073269722E-4</v>
      </c>
    </row>
    <row r="2714" spans="1:4" x14ac:dyDescent="0.25">
      <c r="A2714" s="86">
        <v>48</v>
      </c>
      <c r="B2714" s="86">
        <v>153</v>
      </c>
      <c r="C2714" s="103">
        <v>1.7695220806250938E-4</v>
      </c>
      <c r="D2714" s="103">
        <v>2.0191213587303402E-4</v>
      </c>
    </row>
    <row r="2715" spans="1:4" x14ac:dyDescent="0.25">
      <c r="A2715" s="86">
        <v>48</v>
      </c>
      <c r="B2715" s="86">
        <v>155</v>
      </c>
      <c r="C2715" s="103">
        <v>4.3843862845457701E-5</v>
      </c>
      <c r="D2715" s="103">
        <v>4.1570145620918769E-5</v>
      </c>
    </row>
    <row r="2716" spans="1:4" x14ac:dyDescent="0.25">
      <c r="A2716" s="86">
        <v>48</v>
      </c>
      <c r="B2716" s="86">
        <v>157</v>
      </c>
      <c r="C2716" s="103">
        <v>1.7939893838810669E-2</v>
      </c>
      <c r="D2716" s="103">
        <v>2.7527121638053771E-2</v>
      </c>
    </row>
    <row r="2717" spans="1:4" x14ac:dyDescent="0.25">
      <c r="A2717" s="86">
        <v>48</v>
      </c>
      <c r="B2717" s="86">
        <v>159</v>
      </c>
      <c r="C2717" s="103">
        <v>8.5933693141638742E-4</v>
      </c>
      <c r="D2717" s="103">
        <v>3.7727527118144763E-4</v>
      </c>
    </row>
    <row r="2718" spans="1:4" x14ac:dyDescent="0.25">
      <c r="A2718" s="86">
        <v>48</v>
      </c>
      <c r="B2718" s="86">
        <v>161</v>
      </c>
      <c r="C2718" s="103">
        <v>2.0957041236178298E-3</v>
      </c>
      <c r="D2718" s="103">
        <v>6.9167133049932066E-4</v>
      </c>
    </row>
    <row r="2719" spans="1:4" x14ac:dyDescent="0.25">
      <c r="A2719" s="86">
        <v>48</v>
      </c>
      <c r="B2719" s="86">
        <v>163</v>
      </c>
      <c r="C2719" s="103">
        <v>1.7584728392601788E-3</v>
      </c>
      <c r="D2719" s="103">
        <v>7.0564448869122611E-4</v>
      </c>
    </row>
    <row r="2720" spans="1:4" x14ac:dyDescent="0.25">
      <c r="A2720" s="86">
        <v>48</v>
      </c>
      <c r="B2720" s="86">
        <v>165</v>
      </c>
      <c r="C2720" s="103">
        <v>9.1575812895257846E-4</v>
      </c>
      <c r="D2720" s="103">
        <v>7.2660422597908435E-4</v>
      </c>
    </row>
    <row r="2721" spans="1:4" x14ac:dyDescent="0.25">
      <c r="A2721" s="86">
        <v>48</v>
      </c>
      <c r="B2721" s="86">
        <v>167</v>
      </c>
      <c r="C2721" s="103">
        <v>9.1568866535519846E-3</v>
      </c>
      <c r="D2721" s="103">
        <v>1.180731867216012E-2</v>
      </c>
    </row>
    <row r="2722" spans="1:4" x14ac:dyDescent="0.25">
      <c r="A2722" s="86">
        <v>48</v>
      </c>
      <c r="B2722" s="86">
        <v>169</v>
      </c>
      <c r="C2722" s="103">
        <v>5.796382218182369E-4</v>
      </c>
      <c r="D2722" s="103">
        <v>2.179812677937253E-4</v>
      </c>
    </row>
    <row r="2723" spans="1:4" x14ac:dyDescent="0.25">
      <c r="A2723" s="86">
        <v>48</v>
      </c>
      <c r="B2723" s="86">
        <v>171</v>
      </c>
      <c r="C2723" s="103">
        <v>1.2277690124709126E-3</v>
      </c>
      <c r="D2723" s="103">
        <v>9.3270830930969003E-4</v>
      </c>
    </row>
    <row r="2724" spans="1:4" x14ac:dyDescent="0.25">
      <c r="A2724" s="86">
        <v>48</v>
      </c>
      <c r="B2724" s="86">
        <v>173</v>
      </c>
      <c r="C2724" s="103">
        <v>2.8015953174970908E-4</v>
      </c>
      <c r="D2724" s="103">
        <v>4.8556724716871503E-5</v>
      </c>
    </row>
    <row r="2725" spans="1:4" x14ac:dyDescent="0.25">
      <c r="A2725" s="86">
        <v>48</v>
      </c>
      <c r="B2725" s="86">
        <v>175</v>
      </c>
      <c r="C2725" s="103">
        <v>3.6931254827490492E-4</v>
      </c>
      <c r="D2725" s="103">
        <v>2.6514067669140628E-4</v>
      </c>
    </row>
    <row r="2726" spans="1:4" x14ac:dyDescent="0.25">
      <c r="A2726" s="86">
        <v>48</v>
      </c>
      <c r="B2726" s="86">
        <v>177</v>
      </c>
      <c r="C2726" s="103">
        <v>1.8838609564103821E-3</v>
      </c>
      <c r="D2726" s="103">
        <v>7.2660422597908435E-4</v>
      </c>
    </row>
    <row r="2727" spans="1:4" x14ac:dyDescent="0.25">
      <c r="A2727" s="86">
        <v>48</v>
      </c>
      <c r="B2727" s="86">
        <v>179</v>
      </c>
      <c r="C2727" s="103">
        <v>9.2769359806206899E-4</v>
      </c>
      <c r="D2727" s="103">
        <v>7.7201699010277715E-4</v>
      </c>
    </row>
    <row r="2728" spans="1:4" x14ac:dyDescent="0.25">
      <c r="A2728" s="86">
        <v>48</v>
      </c>
      <c r="B2728" s="86">
        <v>181</v>
      </c>
      <c r="C2728" s="103">
        <v>5.4446617160311258E-3</v>
      </c>
      <c r="D2728" s="103">
        <v>4.6810079942883323E-3</v>
      </c>
    </row>
    <row r="2729" spans="1:4" x14ac:dyDescent="0.25">
      <c r="A2729" s="86">
        <v>48</v>
      </c>
      <c r="B2729" s="86">
        <v>183</v>
      </c>
      <c r="C2729" s="103">
        <v>4.9882240337341521E-3</v>
      </c>
      <c r="D2729" s="103">
        <v>4.2967461440109314E-3</v>
      </c>
    </row>
    <row r="2730" spans="1:4" x14ac:dyDescent="0.25">
      <c r="A2730" s="86">
        <v>48</v>
      </c>
      <c r="B2730" s="86">
        <v>185</v>
      </c>
      <c r="C2730" s="103">
        <v>1.344842442779265E-3</v>
      </c>
      <c r="D2730" s="103">
        <v>9.8860094207731185E-4</v>
      </c>
    </row>
    <row r="2731" spans="1:4" x14ac:dyDescent="0.25">
      <c r="A2731" s="86">
        <v>48</v>
      </c>
      <c r="B2731" s="86">
        <v>187</v>
      </c>
      <c r="C2731" s="103">
        <v>5.3999319780602224E-3</v>
      </c>
      <c r="D2731" s="103">
        <v>5.694061963201478E-3</v>
      </c>
    </row>
    <row r="2732" spans="1:4" x14ac:dyDescent="0.25">
      <c r="A2732" s="86">
        <v>48</v>
      </c>
      <c r="B2732" s="86">
        <v>189</v>
      </c>
      <c r="C2732" s="103">
        <v>1.5083162082524849E-3</v>
      </c>
      <c r="D2732" s="103">
        <v>1.1737452881200594E-3</v>
      </c>
    </row>
    <row r="2733" spans="1:4" x14ac:dyDescent="0.25">
      <c r="A2733" s="86">
        <v>48</v>
      </c>
      <c r="B2733" s="86">
        <v>191</v>
      </c>
      <c r="C2733" s="103">
        <v>2.8871988870839198E-4</v>
      </c>
      <c r="D2733" s="103">
        <v>1.0584667330368393E-4</v>
      </c>
    </row>
    <row r="2734" spans="1:4" x14ac:dyDescent="0.25">
      <c r="A2734" s="86">
        <v>48</v>
      </c>
      <c r="B2734" s="86">
        <v>193</v>
      </c>
      <c r="C2734" s="103">
        <v>3.9247170892386447E-4</v>
      </c>
      <c r="D2734" s="103">
        <v>2.9623095366839591E-4</v>
      </c>
    </row>
    <row r="2735" spans="1:4" x14ac:dyDescent="0.25">
      <c r="A2735" s="86">
        <v>48</v>
      </c>
      <c r="B2735" s="86">
        <v>195</v>
      </c>
      <c r="C2735" s="103">
        <v>1.6266790897308424E-4</v>
      </c>
      <c r="D2735" s="103">
        <v>1.9108293827430729E-4</v>
      </c>
    </row>
    <row r="2736" spans="1:4" x14ac:dyDescent="0.25">
      <c r="A2736" s="86">
        <v>48</v>
      </c>
      <c r="B2736" s="86">
        <v>197</v>
      </c>
      <c r="C2736" s="103">
        <v>4.6915412802569736E-4</v>
      </c>
      <c r="D2736" s="103">
        <v>1.3728627923547123E-4</v>
      </c>
    </row>
    <row r="2737" spans="1:4" x14ac:dyDescent="0.25">
      <c r="A2737" s="86">
        <v>48</v>
      </c>
      <c r="B2737" s="86">
        <v>199</v>
      </c>
      <c r="C2737" s="103">
        <v>1.6932095470568733E-3</v>
      </c>
      <c r="D2737" s="103">
        <v>1.9946683318945056E-3</v>
      </c>
    </row>
    <row r="2738" spans="1:4" x14ac:dyDescent="0.25">
      <c r="A2738" s="86">
        <v>48</v>
      </c>
      <c r="B2738" s="86">
        <v>201</v>
      </c>
      <c r="C2738" s="103">
        <v>0.15728933618218763</v>
      </c>
      <c r="D2738" s="103">
        <v>0.16348595084529396</v>
      </c>
    </row>
    <row r="2739" spans="1:4" x14ac:dyDescent="0.25">
      <c r="A2739" s="86">
        <v>48</v>
      </c>
      <c r="B2739" s="86">
        <v>203</v>
      </c>
      <c r="C2739" s="103">
        <v>3.7127428247618814E-3</v>
      </c>
      <c r="D2739" s="103">
        <v>2.3265308389522604E-3</v>
      </c>
    </row>
    <row r="2740" spans="1:4" x14ac:dyDescent="0.25">
      <c r="A2740" s="86">
        <v>48</v>
      </c>
      <c r="B2740" s="86">
        <v>205</v>
      </c>
      <c r="C2740" s="103">
        <v>5.152916179114042E-4</v>
      </c>
      <c r="D2740" s="103">
        <v>1.9597354364147418E-4</v>
      </c>
    </row>
    <row r="2741" spans="1:4" x14ac:dyDescent="0.25">
      <c r="A2741" s="86">
        <v>48</v>
      </c>
      <c r="B2741" s="86">
        <v>207</v>
      </c>
      <c r="C2741" s="103">
        <v>2.7541828750085487E-4</v>
      </c>
      <c r="D2741" s="103">
        <v>1.9911750423465293E-4</v>
      </c>
    </row>
    <row r="2742" spans="1:4" x14ac:dyDescent="0.25">
      <c r="A2742" s="86">
        <v>48</v>
      </c>
      <c r="B2742" s="86">
        <v>209</v>
      </c>
      <c r="C2742" s="103">
        <v>7.9489995972293198E-3</v>
      </c>
      <c r="D2742" s="103">
        <v>7.7900356919872989E-3</v>
      </c>
    </row>
    <row r="2743" spans="1:4" x14ac:dyDescent="0.25">
      <c r="A2743" s="86">
        <v>48</v>
      </c>
      <c r="B2743" s="86">
        <v>211</v>
      </c>
      <c r="C2743" s="103">
        <v>1.5039110560453083E-4</v>
      </c>
      <c r="D2743" s="103">
        <v>1.3449164759709014E-4</v>
      </c>
    </row>
    <row r="2744" spans="1:4" x14ac:dyDescent="0.25">
      <c r="A2744" s="86">
        <v>48</v>
      </c>
      <c r="B2744" s="86">
        <v>213</v>
      </c>
      <c r="C2744" s="103">
        <v>2.4539848369221602E-3</v>
      </c>
      <c r="D2744" s="103">
        <v>2.8679907188885975E-3</v>
      </c>
    </row>
    <row r="2745" spans="1:4" x14ac:dyDescent="0.25">
      <c r="A2745" s="86">
        <v>48</v>
      </c>
      <c r="B2745" s="86">
        <v>215</v>
      </c>
      <c r="C2745" s="103">
        <v>2.2006505673502152E-2</v>
      </c>
      <c r="D2745" s="103">
        <v>3.0112155903556283E-2</v>
      </c>
    </row>
    <row r="2746" spans="1:4" x14ac:dyDescent="0.25">
      <c r="A2746" s="86">
        <v>48</v>
      </c>
      <c r="B2746" s="86">
        <v>217</v>
      </c>
      <c r="C2746" s="103">
        <v>3.3646095124785767E-3</v>
      </c>
      <c r="D2746" s="103">
        <v>1.2645708163674448E-3</v>
      </c>
    </row>
    <row r="2747" spans="1:4" x14ac:dyDescent="0.25">
      <c r="A2747" s="86">
        <v>48</v>
      </c>
      <c r="B2747" s="86">
        <v>219</v>
      </c>
      <c r="C2747" s="103">
        <v>8.5226249482618535E-4</v>
      </c>
      <c r="D2747" s="103">
        <v>8.034565960345644E-4</v>
      </c>
    </row>
    <row r="2748" spans="1:4" x14ac:dyDescent="0.25">
      <c r="A2748" s="86">
        <v>48</v>
      </c>
      <c r="B2748" s="86">
        <v>221</v>
      </c>
      <c r="C2748" s="103">
        <v>1.603854842048979E-3</v>
      </c>
      <c r="D2748" s="103">
        <v>2.1029603078817731E-3</v>
      </c>
    </row>
    <row r="2749" spans="1:4" x14ac:dyDescent="0.25">
      <c r="A2749" s="86">
        <v>48</v>
      </c>
      <c r="B2749" s="86">
        <v>223</v>
      </c>
      <c r="C2749" s="103">
        <v>2.6170679242212358E-3</v>
      </c>
      <c r="D2749" s="103">
        <v>1.2820372641073267E-3</v>
      </c>
    </row>
    <row r="2750" spans="1:4" x14ac:dyDescent="0.25">
      <c r="A2750" s="86">
        <v>48</v>
      </c>
      <c r="B2750" s="86">
        <v>225</v>
      </c>
      <c r="C2750" s="103">
        <v>7.2141910554972309E-4</v>
      </c>
      <c r="D2750" s="103">
        <v>8.0694988558254084E-4</v>
      </c>
    </row>
    <row r="2751" spans="1:4" x14ac:dyDescent="0.25">
      <c r="A2751" s="86">
        <v>48</v>
      </c>
      <c r="B2751" s="86">
        <v>227</v>
      </c>
      <c r="C2751" s="103">
        <v>1.8798975067643008E-3</v>
      </c>
      <c r="D2751" s="103">
        <v>1.2540909477235158E-3</v>
      </c>
    </row>
    <row r="2752" spans="1:4" x14ac:dyDescent="0.25">
      <c r="A2752" s="86">
        <v>48</v>
      </c>
      <c r="B2752" s="86">
        <v>229</v>
      </c>
      <c r="C2752" s="103">
        <v>2.1825553199753059E-3</v>
      </c>
      <c r="D2752" s="103">
        <v>1.6732856934806799E-4</v>
      </c>
    </row>
    <row r="2753" spans="1:4" x14ac:dyDescent="0.25">
      <c r="A2753" s="86">
        <v>48</v>
      </c>
      <c r="B2753" s="86">
        <v>231</v>
      </c>
      <c r="C2753" s="103">
        <v>4.3063414774034995E-3</v>
      </c>
      <c r="D2753" s="103">
        <v>3.3745177033451708E-3</v>
      </c>
    </row>
    <row r="2754" spans="1:4" x14ac:dyDescent="0.25">
      <c r="A2754" s="86">
        <v>48</v>
      </c>
      <c r="B2754" s="86">
        <v>233</v>
      </c>
      <c r="C2754" s="103">
        <v>5.2266933032086248E-4</v>
      </c>
      <c r="D2754" s="103">
        <v>7.3708409462301346E-4</v>
      </c>
    </row>
    <row r="2755" spans="1:4" x14ac:dyDescent="0.25">
      <c r="A2755" s="86">
        <v>48</v>
      </c>
      <c r="B2755" s="86">
        <v>235</v>
      </c>
      <c r="C2755" s="103">
        <v>2.3173088433248057E-4</v>
      </c>
      <c r="D2755" s="103">
        <v>5.3098001129240777E-5</v>
      </c>
    </row>
    <row r="2756" spans="1:4" x14ac:dyDescent="0.25">
      <c r="A2756" s="86">
        <v>48</v>
      </c>
      <c r="B2756" s="86">
        <v>237</v>
      </c>
      <c r="C2756" s="103">
        <v>3.3880629469894405E-4</v>
      </c>
      <c r="D2756" s="103">
        <v>3.0845746708631319E-4</v>
      </c>
    </row>
    <row r="2757" spans="1:4" x14ac:dyDescent="0.25">
      <c r="A2757" s="86">
        <v>48</v>
      </c>
      <c r="B2757" s="86">
        <v>239</v>
      </c>
      <c r="C2757" s="103">
        <v>1.1501140205663761E-3</v>
      </c>
      <c r="D2757" s="103">
        <v>5.1700685310050233E-4</v>
      </c>
    </row>
    <row r="2758" spans="1:4" x14ac:dyDescent="0.25">
      <c r="A2758" s="86">
        <v>48</v>
      </c>
      <c r="B2758" s="86">
        <v>241</v>
      </c>
      <c r="C2758" s="103">
        <v>1.2775049516558115E-3</v>
      </c>
      <c r="D2758" s="103">
        <v>1.2505976581755395E-3</v>
      </c>
    </row>
    <row r="2759" spans="1:4" x14ac:dyDescent="0.25">
      <c r="A2759" s="86">
        <v>48</v>
      </c>
      <c r="B2759" s="86">
        <v>243</v>
      </c>
      <c r="C2759" s="103">
        <v>2.3772621894739172E-4</v>
      </c>
      <c r="D2759" s="103">
        <v>7.8249685874670619E-5</v>
      </c>
    </row>
    <row r="2760" spans="1:4" x14ac:dyDescent="0.25">
      <c r="A2760" s="86">
        <v>48</v>
      </c>
      <c r="B2760" s="86">
        <v>245</v>
      </c>
      <c r="C2760" s="103">
        <v>9.0879165811427309E-3</v>
      </c>
      <c r="D2760" s="103">
        <v>8.8380225563802085E-3</v>
      </c>
    </row>
    <row r="2761" spans="1:4" x14ac:dyDescent="0.25">
      <c r="A2761" s="86">
        <v>48</v>
      </c>
      <c r="B2761" s="86">
        <v>247</v>
      </c>
      <c r="C2761" s="103">
        <v>1.5350800853497604E-4</v>
      </c>
      <c r="D2761" s="103">
        <v>1.8130172753997345E-4</v>
      </c>
    </row>
    <row r="2762" spans="1:4" x14ac:dyDescent="0.25">
      <c r="A2762" s="86">
        <v>48</v>
      </c>
      <c r="B2762" s="86">
        <v>249</v>
      </c>
      <c r="C2762" s="103">
        <v>1.5394177770001248E-3</v>
      </c>
      <c r="D2762" s="103">
        <v>1.4252621355743578E-3</v>
      </c>
    </row>
    <row r="2763" spans="1:4" x14ac:dyDescent="0.25">
      <c r="A2763" s="86">
        <v>48</v>
      </c>
      <c r="B2763" s="86">
        <v>251</v>
      </c>
      <c r="C2763" s="103">
        <v>5.7436517856387162E-3</v>
      </c>
      <c r="D2763" s="103">
        <v>5.9735251270395875E-3</v>
      </c>
    </row>
    <row r="2764" spans="1:4" x14ac:dyDescent="0.25">
      <c r="A2764" s="86">
        <v>48</v>
      </c>
      <c r="B2764" s="86">
        <v>253</v>
      </c>
      <c r="C2764" s="103">
        <v>5.8596727901158181E-4</v>
      </c>
      <c r="D2764" s="103">
        <v>6.9516462004729699E-4</v>
      </c>
    </row>
    <row r="2765" spans="1:4" x14ac:dyDescent="0.25">
      <c r="A2765" s="86">
        <v>48</v>
      </c>
      <c r="B2765" s="86">
        <v>255</v>
      </c>
      <c r="C2765" s="103">
        <v>1.0470631242304174E-3</v>
      </c>
      <c r="D2765" s="103">
        <v>5.4844645903228968E-4</v>
      </c>
    </row>
    <row r="2766" spans="1:4" x14ac:dyDescent="0.25">
      <c r="A2766" s="86">
        <v>48</v>
      </c>
      <c r="B2766" s="86">
        <v>257</v>
      </c>
      <c r="C2766" s="103">
        <v>6.2126026771752354E-3</v>
      </c>
      <c r="D2766" s="103">
        <v>4.4714106214097495E-3</v>
      </c>
    </row>
    <row r="2767" spans="1:4" x14ac:dyDescent="0.25">
      <c r="A2767" s="86">
        <v>48</v>
      </c>
      <c r="B2767" s="86">
        <v>259</v>
      </c>
      <c r="C2767" s="103">
        <v>1.666569327487279E-3</v>
      </c>
      <c r="D2767" s="103">
        <v>1.5929400338772234E-3</v>
      </c>
    </row>
    <row r="2768" spans="1:4" x14ac:dyDescent="0.25">
      <c r="A2768" s="86">
        <v>48</v>
      </c>
      <c r="B2768" s="86">
        <v>261</v>
      </c>
      <c r="C2768" s="103">
        <v>4.558137686185391E-4</v>
      </c>
      <c r="D2768" s="103">
        <v>1.5265675324656724E-5</v>
      </c>
    </row>
    <row r="2769" spans="1:4" x14ac:dyDescent="0.25">
      <c r="A2769" s="86">
        <v>48</v>
      </c>
      <c r="B2769" s="86">
        <v>263</v>
      </c>
      <c r="C2769" s="103">
        <v>4.7403806297608114E-5</v>
      </c>
      <c r="D2769" s="103">
        <v>2.5361282118308424E-5</v>
      </c>
    </row>
    <row r="2770" spans="1:4" x14ac:dyDescent="0.25">
      <c r="A2770" s="86">
        <v>48</v>
      </c>
      <c r="B2770" s="86">
        <v>265</v>
      </c>
      <c r="C2770" s="103">
        <v>2.0069022618808782E-3</v>
      </c>
      <c r="D2770" s="103">
        <v>1.8304837231396163E-3</v>
      </c>
    </row>
    <row r="2771" spans="1:4" x14ac:dyDescent="0.25">
      <c r="A2771" s="86">
        <v>48</v>
      </c>
      <c r="B2771" s="86">
        <v>267</v>
      </c>
      <c r="C2771" s="103">
        <v>8.9643697257376764E-4</v>
      </c>
      <c r="D2771" s="103">
        <v>1.5160876638217432E-4</v>
      </c>
    </row>
    <row r="2772" spans="1:4" x14ac:dyDescent="0.25">
      <c r="A2772" s="86">
        <v>48</v>
      </c>
      <c r="B2772" s="86">
        <v>269</v>
      </c>
      <c r="C2772" s="103">
        <v>1.0074715205577669E-4</v>
      </c>
      <c r="D2772" s="103">
        <v>9.6414791524147731E-6</v>
      </c>
    </row>
    <row r="2773" spans="1:4" x14ac:dyDescent="0.25">
      <c r="A2773" s="86">
        <v>48</v>
      </c>
      <c r="B2773" s="86">
        <v>271</v>
      </c>
      <c r="C2773" s="103">
        <v>2.1665194284507E-4</v>
      </c>
      <c r="D2773" s="103">
        <v>1.2890238432032794E-4</v>
      </c>
    </row>
    <row r="2774" spans="1:4" x14ac:dyDescent="0.25">
      <c r="A2774" s="86">
        <v>48</v>
      </c>
      <c r="B2774" s="86">
        <v>273</v>
      </c>
      <c r="C2774" s="103">
        <v>1.1216780847563589E-3</v>
      </c>
      <c r="D2774" s="103">
        <v>1.0724398912287448E-3</v>
      </c>
    </row>
    <row r="2775" spans="1:4" x14ac:dyDescent="0.25">
      <c r="A2775" s="86">
        <v>48</v>
      </c>
      <c r="B2775" s="86">
        <v>275</v>
      </c>
      <c r="C2775" s="103">
        <v>1.8144483700911434E-4</v>
      </c>
      <c r="D2775" s="103">
        <v>1.2785439745593503E-4</v>
      </c>
    </row>
    <row r="2776" spans="1:4" x14ac:dyDescent="0.25">
      <c r="A2776" s="86">
        <v>48</v>
      </c>
      <c r="B2776" s="86">
        <v>277</v>
      </c>
      <c r="C2776" s="103">
        <v>1.8155736136632595E-3</v>
      </c>
      <c r="D2776" s="103">
        <v>1.7361649053442545E-3</v>
      </c>
    </row>
    <row r="2777" spans="1:4" x14ac:dyDescent="0.25">
      <c r="A2777" s="86">
        <v>48</v>
      </c>
      <c r="B2777" s="86">
        <v>279</v>
      </c>
      <c r="C2777" s="103">
        <v>5.5741898817758919E-4</v>
      </c>
      <c r="D2777" s="103">
        <v>4.5762093078490407E-4</v>
      </c>
    </row>
    <row r="2778" spans="1:4" x14ac:dyDescent="0.25">
      <c r="A2778" s="86">
        <v>48</v>
      </c>
      <c r="B2778" s="86">
        <v>281</v>
      </c>
      <c r="C2778" s="103">
        <v>8.4643391477985262E-4</v>
      </c>
      <c r="D2778" s="103">
        <v>7.3708409462301346E-4</v>
      </c>
    </row>
    <row r="2779" spans="1:4" x14ac:dyDescent="0.25">
      <c r="A2779" s="86">
        <v>48</v>
      </c>
      <c r="B2779" s="86">
        <v>283</v>
      </c>
      <c r="C2779" s="103">
        <v>1.6138891517481341E-3</v>
      </c>
      <c r="D2779" s="103">
        <v>2.6164738714342989E-4</v>
      </c>
    </row>
    <row r="2780" spans="1:4" x14ac:dyDescent="0.25">
      <c r="A2780" s="86">
        <v>48</v>
      </c>
      <c r="B2780" s="86">
        <v>285</v>
      </c>
      <c r="C2780" s="103">
        <v>7.2956834554316265E-4</v>
      </c>
      <c r="D2780" s="103">
        <v>7.0215119914324978E-4</v>
      </c>
    </row>
    <row r="2781" spans="1:4" x14ac:dyDescent="0.25">
      <c r="A2781" s="86">
        <v>48</v>
      </c>
      <c r="B2781" s="86">
        <v>287</v>
      </c>
      <c r="C2781" s="103">
        <v>8.5588861991336724E-4</v>
      </c>
      <c r="D2781" s="103">
        <v>5.9735251270395882E-4</v>
      </c>
    </row>
    <row r="2782" spans="1:4" x14ac:dyDescent="0.25">
      <c r="A2782" s="86">
        <v>48</v>
      </c>
      <c r="B2782" s="86">
        <v>289</v>
      </c>
      <c r="C2782" s="103">
        <v>2.0607392473888904E-3</v>
      </c>
      <c r="D2782" s="103">
        <v>6.0433909179991149E-4</v>
      </c>
    </row>
    <row r="2783" spans="1:4" x14ac:dyDescent="0.25">
      <c r="A2783" s="86">
        <v>48</v>
      </c>
      <c r="B2783" s="86">
        <v>291</v>
      </c>
      <c r="C2783" s="103">
        <v>2.8694963209111636E-3</v>
      </c>
      <c r="D2783" s="103">
        <v>2.997242432163723E-3</v>
      </c>
    </row>
    <row r="2784" spans="1:4" x14ac:dyDescent="0.25">
      <c r="A2784" s="86">
        <v>48</v>
      </c>
      <c r="B2784" s="86">
        <v>293</v>
      </c>
      <c r="C2784" s="103">
        <v>8.213926819535365E-4</v>
      </c>
      <c r="D2784" s="103">
        <v>8.1393646467849351E-4</v>
      </c>
    </row>
    <row r="2785" spans="1:4" x14ac:dyDescent="0.25">
      <c r="A2785" s="86">
        <v>48</v>
      </c>
      <c r="B2785" s="86">
        <v>295</v>
      </c>
      <c r="C2785" s="103">
        <v>1.1413143831655202E-4</v>
      </c>
      <c r="D2785" s="103">
        <v>1.1667587090241066E-4</v>
      </c>
    </row>
    <row r="2786" spans="1:4" x14ac:dyDescent="0.25">
      <c r="A2786" s="86">
        <v>48</v>
      </c>
      <c r="B2786" s="86">
        <v>297</v>
      </c>
      <c r="C2786" s="103">
        <v>2.0460256762798094E-3</v>
      </c>
      <c r="D2786" s="103">
        <v>4.2268803530514043E-4</v>
      </c>
    </row>
    <row r="2787" spans="1:4" x14ac:dyDescent="0.25">
      <c r="A2787" s="86">
        <v>48</v>
      </c>
      <c r="B2787" s="86">
        <v>299</v>
      </c>
      <c r="C2787" s="103">
        <v>7.9290721249398077E-4</v>
      </c>
      <c r="D2787" s="103">
        <v>7.5455054236289525E-4</v>
      </c>
    </row>
    <row r="2788" spans="1:4" x14ac:dyDescent="0.25">
      <c r="A2788" s="86">
        <v>48</v>
      </c>
      <c r="B2788" s="86">
        <v>301</v>
      </c>
      <c r="C2788" s="103">
        <v>2.0975526906594872E-4</v>
      </c>
      <c r="D2788" s="103">
        <v>5.1700685310050231E-6</v>
      </c>
    </row>
    <row r="2789" spans="1:4" x14ac:dyDescent="0.25">
      <c r="A2789" s="86">
        <v>48</v>
      </c>
      <c r="B2789" s="86">
        <v>303</v>
      </c>
      <c r="C2789" s="103">
        <v>9.1721545316013758E-3</v>
      </c>
      <c r="D2789" s="103">
        <v>1.0759331807767211E-2</v>
      </c>
    </row>
    <row r="2790" spans="1:4" x14ac:dyDescent="0.25">
      <c r="A2790" s="86">
        <v>48</v>
      </c>
      <c r="B2790" s="86">
        <v>305</v>
      </c>
      <c r="C2790" s="103">
        <v>5.0811313054056548E-4</v>
      </c>
      <c r="D2790" s="103">
        <v>2.0435743855661746E-4</v>
      </c>
    </row>
    <row r="2791" spans="1:4" x14ac:dyDescent="0.25">
      <c r="A2791" s="86">
        <v>48</v>
      </c>
      <c r="B2791" s="86">
        <v>307</v>
      </c>
      <c r="C2791" s="103">
        <v>3.6617981860146125E-4</v>
      </c>
      <c r="D2791" s="103">
        <v>2.7876450592851407E-4</v>
      </c>
    </row>
    <row r="2792" spans="1:4" x14ac:dyDescent="0.25">
      <c r="A2792" s="86">
        <v>48</v>
      </c>
      <c r="B2792" s="86">
        <v>309</v>
      </c>
      <c r="C2792" s="103">
        <v>1.0692046693076659E-2</v>
      </c>
      <c r="D2792" s="103">
        <v>8.8729554518599731E-3</v>
      </c>
    </row>
    <row r="2793" spans="1:4" x14ac:dyDescent="0.25">
      <c r="A2793" s="86">
        <v>48</v>
      </c>
      <c r="B2793" s="86">
        <v>311</v>
      </c>
      <c r="C2793" s="103">
        <v>2.7786157362962499E-4</v>
      </c>
      <c r="D2793" s="103">
        <v>2.5535946595707243E-5</v>
      </c>
    </row>
    <row r="2794" spans="1:4" x14ac:dyDescent="0.25">
      <c r="A2794" s="86">
        <v>48</v>
      </c>
      <c r="B2794" s="86">
        <v>313</v>
      </c>
      <c r="C2794" s="103">
        <v>1.3605322356013442E-3</v>
      </c>
      <c r="D2794" s="103">
        <v>5.0303369490859687E-4</v>
      </c>
    </row>
    <row r="2795" spans="1:4" x14ac:dyDescent="0.25">
      <c r="A2795" s="86">
        <v>48</v>
      </c>
      <c r="B2795" s="86">
        <v>315</v>
      </c>
      <c r="C2795" s="103">
        <v>3.3228690902404836E-4</v>
      </c>
      <c r="D2795" s="103">
        <v>3.4653432315925561E-4</v>
      </c>
    </row>
    <row r="2796" spans="1:4" x14ac:dyDescent="0.25">
      <c r="A2796" s="86">
        <v>48</v>
      </c>
      <c r="B2796" s="86">
        <v>317</v>
      </c>
      <c r="C2796" s="103">
        <v>1.1575920611731308E-3</v>
      </c>
      <c r="D2796" s="103">
        <v>1.9841884632505765E-4</v>
      </c>
    </row>
    <row r="2797" spans="1:4" x14ac:dyDescent="0.25">
      <c r="A2797" s="86">
        <v>48</v>
      </c>
      <c r="B2797" s="86">
        <v>319</v>
      </c>
      <c r="C2797" s="103">
        <v>2.4684693831550787E-4</v>
      </c>
      <c r="D2797" s="103">
        <v>1.4881413474379323E-4</v>
      </c>
    </row>
    <row r="2798" spans="1:4" x14ac:dyDescent="0.25">
      <c r="A2798" s="86">
        <v>48</v>
      </c>
      <c r="B2798" s="86">
        <v>321</v>
      </c>
      <c r="C2798" s="103">
        <v>1.2202164812740448E-3</v>
      </c>
      <c r="D2798" s="103">
        <v>1.2785439745593504E-3</v>
      </c>
    </row>
    <row r="2799" spans="1:4" x14ac:dyDescent="0.25">
      <c r="A2799" s="86">
        <v>48</v>
      </c>
      <c r="B2799" s="86">
        <v>323</v>
      </c>
      <c r="C2799" s="103">
        <v>1.4115598199828171E-3</v>
      </c>
      <c r="D2799" s="103">
        <v>2.0365878064702221E-3</v>
      </c>
    </row>
    <row r="2800" spans="1:4" x14ac:dyDescent="0.25">
      <c r="A2800" s="86">
        <v>48</v>
      </c>
      <c r="B2800" s="86">
        <v>325</v>
      </c>
      <c r="C2800" s="103">
        <v>1.8671982318782521E-3</v>
      </c>
      <c r="D2800" s="103">
        <v>1.7780843799199708E-3</v>
      </c>
    </row>
    <row r="2801" spans="1:4" x14ac:dyDescent="0.25">
      <c r="A2801" s="86">
        <v>48</v>
      </c>
      <c r="B2801" s="86">
        <v>327</v>
      </c>
      <c r="C2801" s="103">
        <v>1.7924452691830183E-4</v>
      </c>
      <c r="D2801" s="103">
        <v>7.4057738417098977E-5</v>
      </c>
    </row>
    <row r="2802" spans="1:4" x14ac:dyDescent="0.25">
      <c r="A2802" s="86">
        <v>48</v>
      </c>
      <c r="B2802" s="86">
        <v>329</v>
      </c>
      <c r="C2802" s="103">
        <v>7.1265722061172347E-3</v>
      </c>
      <c r="D2802" s="103">
        <v>6.0433909179991151E-3</v>
      </c>
    </row>
    <row r="2803" spans="1:4" x14ac:dyDescent="0.25">
      <c r="A2803" s="86">
        <v>48</v>
      </c>
      <c r="B2803" s="86">
        <v>331</v>
      </c>
      <c r="C2803" s="103">
        <v>1.0502547842618239E-3</v>
      </c>
      <c r="D2803" s="103">
        <v>8.7332238699409177E-4</v>
      </c>
    </row>
    <row r="2804" spans="1:4" x14ac:dyDescent="0.25">
      <c r="A2804" s="86">
        <v>48</v>
      </c>
      <c r="B2804" s="86">
        <v>333</v>
      </c>
      <c r="C2804" s="103">
        <v>2.5900237512448403E-4</v>
      </c>
      <c r="D2804" s="103">
        <v>1.7047252994124672E-4</v>
      </c>
    </row>
    <row r="2805" spans="1:4" x14ac:dyDescent="0.25">
      <c r="A2805" s="86">
        <v>48</v>
      </c>
      <c r="B2805" s="86">
        <v>335</v>
      </c>
      <c r="C2805" s="103">
        <v>1.0210748095624052E-3</v>
      </c>
      <c r="D2805" s="103">
        <v>2.9797759844238413E-4</v>
      </c>
    </row>
    <row r="2806" spans="1:4" x14ac:dyDescent="0.25">
      <c r="A2806" s="86">
        <v>48</v>
      </c>
      <c r="B2806" s="86">
        <v>337</v>
      </c>
      <c r="C2806" s="103">
        <v>9.4491747522279805E-4</v>
      </c>
      <c r="D2806" s="103">
        <v>6.8468475140336799E-4</v>
      </c>
    </row>
    <row r="2807" spans="1:4" x14ac:dyDescent="0.25">
      <c r="A2807" s="86">
        <v>48</v>
      </c>
      <c r="B2807" s="86">
        <v>339</v>
      </c>
      <c r="C2807" s="103">
        <v>1.9680332649990206E-2</v>
      </c>
      <c r="D2807" s="103">
        <v>2.0610408333060565E-2</v>
      </c>
    </row>
    <row r="2808" spans="1:4" x14ac:dyDescent="0.25">
      <c r="A2808" s="86">
        <v>48</v>
      </c>
      <c r="B2808" s="86">
        <v>341</v>
      </c>
      <c r="C2808" s="103">
        <v>7.4373903850651936E-4</v>
      </c>
      <c r="D2808" s="103">
        <v>7.3708409462301346E-4</v>
      </c>
    </row>
    <row r="2809" spans="1:4" x14ac:dyDescent="0.25">
      <c r="A2809" s="86">
        <v>48</v>
      </c>
      <c r="B2809" s="86">
        <v>343</v>
      </c>
      <c r="C2809" s="103">
        <v>6.8428605812361832E-4</v>
      </c>
      <c r="D2809" s="103">
        <v>4.2967461440109316E-4</v>
      </c>
    </row>
    <row r="2810" spans="1:4" x14ac:dyDescent="0.25">
      <c r="A2810" s="86">
        <v>48</v>
      </c>
      <c r="B2810" s="86">
        <v>345</v>
      </c>
      <c r="C2810" s="103">
        <v>5.4741469886226151E-5</v>
      </c>
      <c r="D2810" s="103">
        <v>4.2967461440109312E-5</v>
      </c>
    </row>
    <row r="2811" spans="1:4" x14ac:dyDescent="0.25">
      <c r="A2811" s="86">
        <v>48</v>
      </c>
      <c r="B2811" s="86">
        <v>347</v>
      </c>
      <c r="C2811" s="103">
        <v>2.2847043613323458E-3</v>
      </c>
      <c r="D2811" s="103">
        <v>2.2776247852805912E-3</v>
      </c>
    </row>
    <row r="2812" spans="1:4" x14ac:dyDescent="0.25">
      <c r="A2812" s="86">
        <v>48</v>
      </c>
      <c r="B2812" s="86">
        <v>349</v>
      </c>
      <c r="C2812" s="103">
        <v>3.1977426457837871E-3</v>
      </c>
      <c r="D2812" s="103">
        <v>1.7291783262483016E-3</v>
      </c>
    </row>
    <row r="2813" spans="1:4" x14ac:dyDescent="0.25">
      <c r="A2813" s="86">
        <v>48</v>
      </c>
      <c r="B2813" s="86">
        <v>351</v>
      </c>
      <c r="C2813" s="103">
        <v>4.333982968291956E-4</v>
      </c>
      <c r="D2813" s="103">
        <v>4.8207395762073864E-4</v>
      </c>
    </row>
    <row r="2814" spans="1:4" x14ac:dyDescent="0.25">
      <c r="A2814" s="86">
        <v>48</v>
      </c>
      <c r="B2814" s="86">
        <v>353</v>
      </c>
      <c r="C2814" s="103">
        <v>1.5498673770186835E-3</v>
      </c>
      <c r="D2814" s="103">
        <v>5.1700685310050233E-4</v>
      </c>
    </row>
    <row r="2815" spans="1:4" x14ac:dyDescent="0.25">
      <c r="A2815" s="86">
        <v>48</v>
      </c>
      <c r="B2815" s="86">
        <v>355</v>
      </c>
      <c r="C2815" s="103">
        <v>1.2456001844683989E-2</v>
      </c>
      <c r="D2815" s="103">
        <v>1.2645708163674449E-2</v>
      </c>
    </row>
    <row r="2816" spans="1:4" x14ac:dyDescent="0.25">
      <c r="A2816" s="86">
        <v>48</v>
      </c>
      <c r="B2816" s="86">
        <v>357</v>
      </c>
      <c r="C2816" s="103">
        <v>3.331311062695302E-4</v>
      </c>
      <c r="D2816" s="103">
        <v>3.4478767838526744E-4</v>
      </c>
    </row>
    <row r="2817" spans="1:4" x14ac:dyDescent="0.25">
      <c r="A2817" s="86">
        <v>48</v>
      </c>
      <c r="B2817" s="86">
        <v>359</v>
      </c>
      <c r="C2817" s="103">
        <v>1.1576174227213038E-3</v>
      </c>
      <c r="D2817" s="103">
        <v>7.4057738417098977E-5</v>
      </c>
    </row>
    <row r="2818" spans="1:4" x14ac:dyDescent="0.25">
      <c r="A2818" s="86">
        <v>48</v>
      </c>
      <c r="B2818" s="86">
        <v>361</v>
      </c>
      <c r="C2818" s="103">
        <v>4.1435321907794731E-3</v>
      </c>
      <c r="D2818" s="103">
        <v>2.9168967725602666E-3</v>
      </c>
    </row>
    <row r="2819" spans="1:4" x14ac:dyDescent="0.25">
      <c r="A2819" s="86">
        <v>48</v>
      </c>
      <c r="B2819" s="86">
        <v>363</v>
      </c>
      <c r="C2819" s="103">
        <v>1.4764086957631619E-3</v>
      </c>
      <c r="D2819" s="103">
        <v>1.0095606793651701E-3</v>
      </c>
    </row>
    <row r="2820" spans="1:4" x14ac:dyDescent="0.25">
      <c r="A2820" s="86">
        <v>48</v>
      </c>
      <c r="B2820" s="86">
        <v>365</v>
      </c>
      <c r="C2820" s="103">
        <v>1.2025536378752655E-3</v>
      </c>
      <c r="D2820" s="103">
        <v>8.0694988558254084E-4</v>
      </c>
    </row>
    <row r="2821" spans="1:4" x14ac:dyDescent="0.25">
      <c r="A2821" s="86">
        <v>48</v>
      </c>
      <c r="B2821" s="86">
        <v>367</v>
      </c>
      <c r="C2821" s="103">
        <v>5.6119837875031331E-3</v>
      </c>
      <c r="D2821" s="103">
        <v>4.8207395762073866E-3</v>
      </c>
    </row>
    <row r="2822" spans="1:4" x14ac:dyDescent="0.25">
      <c r="A2822" s="86">
        <v>48</v>
      </c>
      <c r="B2822" s="86">
        <v>369</v>
      </c>
      <c r="C2822" s="103">
        <v>5.1784409108361531E-4</v>
      </c>
      <c r="D2822" s="103">
        <v>3.3954774406330288E-4</v>
      </c>
    </row>
    <row r="2823" spans="1:4" x14ac:dyDescent="0.25">
      <c r="A2823" s="86">
        <v>48</v>
      </c>
      <c r="B2823" s="86">
        <v>371</v>
      </c>
      <c r="C2823" s="103">
        <v>1.7005144938171742E-3</v>
      </c>
      <c r="D2823" s="103">
        <v>5.4844645903228968E-4</v>
      </c>
    </row>
    <row r="2824" spans="1:4" x14ac:dyDescent="0.25">
      <c r="A2824" s="86">
        <v>48</v>
      </c>
      <c r="B2824" s="86">
        <v>373</v>
      </c>
      <c r="C2824" s="103">
        <v>2.1963514155314552E-3</v>
      </c>
      <c r="D2824" s="103">
        <v>1.7466447739881835E-3</v>
      </c>
    </row>
    <row r="2825" spans="1:4" x14ac:dyDescent="0.25">
      <c r="A2825" s="86">
        <v>48</v>
      </c>
      <c r="B2825" s="86">
        <v>375</v>
      </c>
      <c r="C2825" s="103">
        <v>4.7798892750695781E-3</v>
      </c>
      <c r="D2825" s="103">
        <v>4.1570145620918771E-3</v>
      </c>
    </row>
    <row r="2826" spans="1:4" x14ac:dyDescent="0.25">
      <c r="A2826" s="86">
        <v>48</v>
      </c>
      <c r="B2826" s="86">
        <v>377</v>
      </c>
      <c r="C2826" s="103">
        <v>2.3056582449963023E-4</v>
      </c>
      <c r="D2826" s="103">
        <v>2.3963966299117879E-4</v>
      </c>
    </row>
    <row r="2827" spans="1:4" x14ac:dyDescent="0.25">
      <c r="A2827" s="86">
        <v>48</v>
      </c>
      <c r="B2827" s="86">
        <v>379</v>
      </c>
      <c r="C2827" s="103">
        <v>3.9660725710539074E-4</v>
      </c>
      <c r="D2827" s="103">
        <v>4.2268803530514043E-4</v>
      </c>
    </row>
    <row r="2828" spans="1:4" x14ac:dyDescent="0.25">
      <c r="A2828" s="86">
        <v>48</v>
      </c>
      <c r="B2828" s="86">
        <v>381</v>
      </c>
      <c r="C2828" s="103">
        <v>3.5434551275877108E-3</v>
      </c>
      <c r="D2828" s="103">
        <v>4.750873785247859E-3</v>
      </c>
    </row>
    <row r="2829" spans="1:4" x14ac:dyDescent="0.25">
      <c r="A2829" s="86">
        <v>48</v>
      </c>
      <c r="B2829" s="86">
        <v>383</v>
      </c>
      <c r="C2829" s="103">
        <v>2.3488506073422255E-4</v>
      </c>
      <c r="D2829" s="103">
        <v>1.3064902909431614E-4</v>
      </c>
    </row>
    <row r="2830" spans="1:4" x14ac:dyDescent="0.25">
      <c r="A2830" s="86">
        <v>48</v>
      </c>
      <c r="B2830" s="86">
        <v>385</v>
      </c>
      <c r="C2830" s="103">
        <v>1.2086215650913259E-4</v>
      </c>
      <c r="D2830" s="103">
        <v>1.2156647626957758E-4</v>
      </c>
    </row>
    <row r="2831" spans="1:4" x14ac:dyDescent="0.25">
      <c r="A2831" s="86">
        <v>48</v>
      </c>
      <c r="B2831" s="86">
        <v>387</v>
      </c>
      <c r="C2831" s="103">
        <v>4.8589718062381842E-4</v>
      </c>
      <c r="D2831" s="103">
        <v>4.2268803530514043E-4</v>
      </c>
    </row>
    <row r="2832" spans="1:4" x14ac:dyDescent="0.25">
      <c r="A2832" s="86">
        <v>48</v>
      </c>
      <c r="B2832" s="86">
        <v>389</v>
      </c>
      <c r="C2832" s="103">
        <v>2.1552372350715347E-3</v>
      </c>
      <c r="D2832" s="103">
        <v>5.414598799363369E-4</v>
      </c>
    </row>
    <row r="2833" spans="1:4" x14ac:dyDescent="0.25">
      <c r="A2833" s="86">
        <v>48</v>
      </c>
      <c r="B2833" s="86">
        <v>391</v>
      </c>
      <c r="C2833" s="103">
        <v>8.6271983764576272E-4</v>
      </c>
      <c r="D2833" s="103">
        <v>2.4453026835834571E-4</v>
      </c>
    </row>
    <row r="2834" spans="1:4" x14ac:dyDescent="0.25">
      <c r="A2834" s="86">
        <v>48</v>
      </c>
      <c r="B2834" s="86">
        <v>393</v>
      </c>
      <c r="C2834" s="103">
        <v>9.0303570017762313E-5</v>
      </c>
      <c r="D2834" s="103">
        <v>3.1369740140827774E-5</v>
      </c>
    </row>
    <row r="2835" spans="1:4" x14ac:dyDescent="0.25">
      <c r="A2835" s="86">
        <v>48</v>
      </c>
      <c r="B2835" s="86">
        <v>395</v>
      </c>
      <c r="C2835" s="103">
        <v>9.9192437205586326E-4</v>
      </c>
      <c r="D2835" s="103">
        <v>6.0084580225193516E-4</v>
      </c>
    </row>
    <row r="2836" spans="1:4" x14ac:dyDescent="0.25">
      <c r="A2836" s="86">
        <v>48</v>
      </c>
      <c r="B2836" s="86">
        <v>397</v>
      </c>
      <c r="C2836" s="103">
        <v>3.6492277805730113E-3</v>
      </c>
      <c r="D2836" s="103">
        <v>3.5282224434561309E-3</v>
      </c>
    </row>
    <row r="2837" spans="1:4" x14ac:dyDescent="0.25">
      <c r="A2837" s="86">
        <v>48</v>
      </c>
      <c r="B2837" s="86">
        <v>399</v>
      </c>
      <c r="C2837" s="103">
        <v>4.8099507590532522E-4</v>
      </c>
      <c r="D2837" s="103">
        <v>3.5631553389358945E-4</v>
      </c>
    </row>
    <row r="2838" spans="1:4" x14ac:dyDescent="0.25">
      <c r="A2838" s="86">
        <v>48</v>
      </c>
      <c r="B2838" s="86">
        <v>401</v>
      </c>
      <c r="C2838" s="103">
        <v>1.6469613146505905E-3</v>
      </c>
      <c r="D2838" s="103">
        <v>1.8968562245511673E-3</v>
      </c>
    </row>
    <row r="2839" spans="1:4" x14ac:dyDescent="0.25">
      <c r="A2839" s="86">
        <v>48</v>
      </c>
      <c r="B2839" s="86">
        <v>403</v>
      </c>
      <c r="C2839" s="103">
        <v>3.3575148796417229E-4</v>
      </c>
      <c r="D2839" s="103">
        <v>3.702886920854949E-4</v>
      </c>
    </row>
    <row r="2840" spans="1:4" x14ac:dyDescent="0.25">
      <c r="A2840" s="86">
        <v>48</v>
      </c>
      <c r="B2840" s="86">
        <v>405</v>
      </c>
      <c r="C2840" s="103">
        <v>3.5869114722250037E-4</v>
      </c>
      <c r="D2840" s="103">
        <v>2.8819638770805029E-4</v>
      </c>
    </row>
    <row r="2841" spans="1:4" x14ac:dyDescent="0.25">
      <c r="A2841" s="86">
        <v>48</v>
      </c>
      <c r="B2841" s="86">
        <v>407</v>
      </c>
      <c r="C2841" s="103">
        <v>9.5026957222592117E-4</v>
      </c>
      <c r="D2841" s="103">
        <v>1.0025741002692174E-3</v>
      </c>
    </row>
    <row r="2842" spans="1:4" x14ac:dyDescent="0.25">
      <c r="A2842" s="86">
        <v>48</v>
      </c>
      <c r="B2842" s="86">
        <v>409</v>
      </c>
      <c r="C2842" s="103">
        <v>3.2064494756087474E-3</v>
      </c>
      <c r="D2842" s="103">
        <v>2.3300241285002369E-3</v>
      </c>
    </row>
    <row r="2843" spans="1:4" x14ac:dyDescent="0.25">
      <c r="A2843" s="86">
        <v>48</v>
      </c>
      <c r="B2843" s="86">
        <v>411</v>
      </c>
      <c r="C2843" s="103">
        <v>2.144155978965493E-4</v>
      </c>
      <c r="D2843" s="103">
        <v>2.1169334660736786E-4</v>
      </c>
    </row>
    <row r="2844" spans="1:4" x14ac:dyDescent="0.25">
      <c r="A2844" s="86">
        <v>48</v>
      </c>
      <c r="B2844" s="86">
        <v>413</v>
      </c>
      <c r="C2844" s="103">
        <v>1.575723558852499E-4</v>
      </c>
      <c r="D2844" s="103">
        <v>1.0060673898171937E-4</v>
      </c>
    </row>
    <row r="2845" spans="1:4" x14ac:dyDescent="0.25">
      <c r="A2845" s="86">
        <v>48</v>
      </c>
      <c r="B2845" s="86">
        <v>415</v>
      </c>
      <c r="C2845" s="103">
        <v>6.9513229872805228E-4</v>
      </c>
      <c r="D2845" s="103">
        <v>5.868726440600297E-4</v>
      </c>
    </row>
    <row r="2846" spans="1:4" x14ac:dyDescent="0.25">
      <c r="A2846" s="86">
        <v>48</v>
      </c>
      <c r="B2846" s="86">
        <v>417</v>
      </c>
      <c r="C2846" s="103">
        <v>1.658369525899812E-4</v>
      </c>
      <c r="D2846" s="103">
        <v>1.1388123926402957E-4</v>
      </c>
    </row>
    <row r="2847" spans="1:4" x14ac:dyDescent="0.25">
      <c r="A2847" s="86">
        <v>48</v>
      </c>
      <c r="B2847" s="86">
        <v>419</v>
      </c>
      <c r="C2847" s="103">
        <v>9.3510187755344498E-4</v>
      </c>
      <c r="D2847" s="103">
        <v>8.8380225563802089E-4</v>
      </c>
    </row>
    <row r="2848" spans="1:4" x14ac:dyDescent="0.25">
      <c r="A2848" s="86">
        <v>48</v>
      </c>
      <c r="B2848" s="86">
        <v>421</v>
      </c>
      <c r="C2848" s="103">
        <v>3.2567367938757919E-4</v>
      </c>
      <c r="D2848" s="103">
        <v>1.0829197598726737E-4</v>
      </c>
    </row>
    <row r="2849" spans="1:4" x14ac:dyDescent="0.25">
      <c r="A2849" s="86">
        <v>48</v>
      </c>
      <c r="B2849" s="86">
        <v>423</v>
      </c>
      <c r="C2849" s="103">
        <v>8.7214968210678531E-3</v>
      </c>
      <c r="D2849" s="103">
        <v>8.0345659603456437E-3</v>
      </c>
    </row>
    <row r="2850" spans="1:4" x14ac:dyDescent="0.25">
      <c r="A2850" s="86">
        <v>48</v>
      </c>
      <c r="B2850" s="86">
        <v>425</v>
      </c>
      <c r="C2850" s="103">
        <v>2.8245990482155615E-4</v>
      </c>
      <c r="D2850" s="103">
        <v>3.1544404618226592E-4</v>
      </c>
    </row>
    <row r="2851" spans="1:4" x14ac:dyDescent="0.25">
      <c r="A2851" s="86">
        <v>48</v>
      </c>
      <c r="B2851" s="86">
        <v>427</v>
      </c>
      <c r="C2851" s="103">
        <v>1.5466085264689696E-3</v>
      </c>
      <c r="D2851" s="103">
        <v>2.2426918898008279E-3</v>
      </c>
    </row>
    <row r="2852" spans="1:4" x14ac:dyDescent="0.25">
      <c r="A2852" s="86">
        <v>48</v>
      </c>
      <c r="B2852" s="86">
        <v>429</v>
      </c>
      <c r="C2852" s="103">
        <v>2.99510304495124E-4</v>
      </c>
      <c r="D2852" s="103">
        <v>3.2871854646457615E-4</v>
      </c>
    </row>
    <row r="2853" spans="1:4" x14ac:dyDescent="0.25">
      <c r="A2853" s="86">
        <v>48</v>
      </c>
      <c r="B2853" s="86">
        <v>431</v>
      </c>
      <c r="C2853" s="103">
        <v>2.4383282535412289E-4</v>
      </c>
      <c r="D2853" s="103">
        <v>4.5412764123692772E-5</v>
      </c>
    </row>
    <row r="2854" spans="1:4" x14ac:dyDescent="0.25">
      <c r="A2854" s="86">
        <v>48</v>
      </c>
      <c r="B2854" s="86">
        <v>433</v>
      </c>
      <c r="C2854" s="103">
        <v>8.0984926612133752E-5</v>
      </c>
      <c r="D2854" s="103">
        <v>4.7159408897680953E-5</v>
      </c>
    </row>
    <row r="2855" spans="1:4" x14ac:dyDescent="0.25">
      <c r="A2855" s="86">
        <v>48</v>
      </c>
      <c r="B2855" s="86">
        <v>435</v>
      </c>
      <c r="C2855" s="103">
        <v>9.0262228440168954E-4</v>
      </c>
      <c r="D2855" s="103">
        <v>1.3099835804911378E-4</v>
      </c>
    </row>
    <row r="2856" spans="1:4" x14ac:dyDescent="0.25">
      <c r="A2856" s="86">
        <v>48</v>
      </c>
      <c r="B2856" s="86">
        <v>437</v>
      </c>
      <c r="C2856" s="103">
        <v>5.7511022469403171E-4</v>
      </c>
      <c r="D2856" s="103">
        <v>2.5885275550504877E-4</v>
      </c>
    </row>
    <row r="2857" spans="1:4" x14ac:dyDescent="0.25">
      <c r="A2857" s="86">
        <v>48</v>
      </c>
      <c r="B2857" s="86">
        <v>439</v>
      </c>
      <c r="C2857" s="103">
        <v>6.5833482485042491E-2</v>
      </c>
      <c r="D2857" s="103">
        <v>7.2660422597908433E-2</v>
      </c>
    </row>
    <row r="2858" spans="1:4" x14ac:dyDescent="0.25">
      <c r="A2858" s="86">
        <v>48</v>
      </c>
      <c r="B2858" s="86">
        <v>441</v>
      </c>
      <c r="C2858" s="103">
        <v>4.7820993770169113E-3</v>
      </c>
      <c r="D2858" s="103">
        <v>4.7858066807276228E-3</v>
      </c>
    </row>
    <row r="2859" spans="1:4" x14ac:dyDescent="0.25">
      <c r="A2859" s="86">
        <v>48</v>
      </c>
      <c r="B2859" s="86">
        <v>443</v>
      </c>
      <c r="C2859" s="103">
        <v>7.6381691342915315E-5</v>
      </c>
      <c r="D2859" s="103">
        <v>2.8295645338608573E-5</v>
      </c>
    </row>
    <row r="2860" spans="1:4" x14ac:dyDescent="0.25">
      <c r="A2860" s="86">
        <v>48</v>
      </c>
      <c r="B2860" s="86">
        <v>445</v>
      </c>
      <c r="C2860" s="103">
        <v>6.5873942182955846E-4</v>
      </c>
      <c r="D2860" s="103">
        <v>4.2967461440109316E-4</v>
      </c>
    </row>
    <row r="2861" spans="1:4" x14ac:dyDescent="0.25">
      <c r="A2861" s="86">
        <v>48</v>
      </c>
      <c r="B2861" s="86">
        <v>447</v>
      </c>
      <c r="C2861" s="103">
        <v>7.2895560060107339E-5</v>
      </c>
      <c r="D2861" s="103">
        <v>5.2399343219645505E-5</v>
      </c>
    </row>
    <row r="2862" spans="1:4" x14ac:dyDescent="0.25">
      <c r="A2862" s="86">
        <v>48</v>
      </c>
      <c r="B2862" s="86">
        <v>449</v>
      </c>
      <c r="C2862" s="103">
        <v>1.9354300820257008E-3</v>
      </c>
      <c r="D2862" s="103">
        <v>1.1423056821882719E-3</v>
      </c>
    </row>
    <row r="2863" spans="1:4" x14ac:dyDescent="0.25">
      <c r="A2863" s="86">
        <v>48</v>
      </c>
      <c r="B2863" s="86">
        <v>451</v>
      </c>
      <c r="C2863" s="103">
        <v>3.216936615210777E-3</v>
      </c>
      <c r="D2863" s="103">
        <v>4.1220816666121133E-3</v>
      </c>
    </row>
    <row r="2864" spans="1:4" x14ac:dyDescent="0.25">
      <c r="A2864" s="86">
        <v>48</v>
      </c>
      <c r="B2864" s="86">
        <v>453</v>
      </c>
      <c r="C2864" s="103">
        <v>3.6622226040353562E-2</v>
      </c>
      <c r="D2864" s="103">
        <v>4.3666119349704588E-2</v>
      </c>
    </row>
    <row r="2865" spans="1:4" x14ac:dyDescent="0.25">
      <c r="A2865" s="86">
        <v>48</v>
      </c>
      <c r="B2865" s="86">
        <v>455</v>
      </c>
      <c r="C2865" s="103">
        <v>4.2659476657889501E-4</v>
      </c>
      <c r="D2865" s="103">
        <v>5.1351356355252599E-4</v>
      </c>
    </row>
    <row r="2866" spans="1:4" x14ac:dyDescent="0.25">
      <c r="A2866" s="86">
        <v>48</v>
      </c>
      <c r="B2866" s="86">
        <v>457</v>
      </c>
      <c r="C2866" s="103">
        <v>5.5593878644944546E-4</v>
      </c>
      <c r="D2866" s="103">
        <v>7.5455054236289525E-4</v>
      </c>
    </row>
    <row r="2867" spans="1:4" x14ac:dyDescent="0.25">
      <c r="A2867" s="86">
        <v>48</v>
      </c>
      <c r="B2867" s="86">
        <v>459</v>
      </c>
      <c r="C2867" s="103">
        <v>1.3080859214520777E-3</v>
      </c>
      <c r="D2867" s="103">
        <v>1.4392352937662631E-3</v>
      </c>
    </row>
    <row r="2868" spans="1:4" x14ac:dyDescent="0.25">
      <c r="A2868" s="86">
        <v>48</v>
      </c>
      <c r="B2868" s="86">
        <v>461</v>
      </c>
      <c r="C2868" s="103">
        <v>3.1896794957031406E-4</v>
      </c>
      <c r="D2868" s="103">
        <v>1.2715573954633977E-4</v>
      </c>
    </row>
    <row r="2869" spans="1:4" x14ac:dyDescent="0.25">
      <c r="A2869" s="86">
        <v>48</v>
      </c>
      <c r="B2869" s="86">
        <v>463</v>
      </c>
      <c r="C2869" s="103">
        <v>9.8340144137600157E-4</v>
      </c>
      <c r="D2869" s="103">
        <v>9.3620159885766637E-4</v>
      </c>
    </row>
    <row r="2870" spans="1:4" x14ac:dyDescent="0.25">
      <c r="A2870" s="86">
        <v>48</v>
      </c>
      <c r="B2870" s="86">
        <v>465</v>
      </c>
      <c r="C2870" s="103">
        <v>9.989914324927227E-4</v>
      </c>
      <c r="D2870" s="103">
        <v>1.71171187850842E-3</v>
      </c>
    </row>
    <row r="2871" spans="1:4" x14ac:dyDescent="0.25">
      <c r="A2871" s="86">
        <v>48</v>
      </c>
      <c r="B2871" s="86">
        <v>467</v>
      </c>
      <c r="C2871" s="103">
        <v>3.1933652415398503E-3</v>
      </c>
      <c r="D2871" s="103">
        <v>1.9562421468667657E-3</v>
      </c>
    </row>
    <row r="2872" spans="1:4" x14ac:dyDescent="0.25">
      <c r="A2872" s="86">
        <v>48</v>
      </c>
      <c r="B2872" s="86">
        <v>469</v>
      </c>
      <c r="C2872" s="103">
        <v>3.7185862424307368E-3</v>
      </c>
      <c r="D2872" s="103">
        <v>3.2103330945902815E-3</v>
      </c>
    </row>
    <row r="2873" spans="1:4" x14ac:dyDescent="0.25">
      <c r="A2873" s="86">
        <v>48</v>
      </c>
      <c r="B2873" s="86">
        <v>471</v>
      </c>
      <c r="C2873" s="103">
        <v>3.5166708462149674E-3</v>
      </c>
      <c r="D2873" s="103">
        <v>2.5535946595707242E-3</v>
      </c>
    </row>
    <row r="2874" spans="1:4" x14ac:dyDescent="0.25">
      <c r="A2874" s="86">
        <v>48</v>
      </c>
      <c r="B2874" s="86">
        <v>473</v>
      </c>
      <c r="C2874" s="103">
        <v>2.7300101411325806E-3</v>
      </c>
      <c r="D2874" s="103">
        <v>1.8689099081673564E-3</v>
      </c>
    </row>
    <row r="2875" spans="1:4" x14ac:dyDescent="0.25">
      <c r="A2875" s="86">
        <v>48</v>
      </c>
      <c r="B2875" s="86">
        <v>475</v>
      </c>
      <c r="C2875" s="103">
        <v>1.7037118949816184E-3</v>
      </c>
      <c r="D2875" s="103">
        <v>4.0871487711323492E-4</v>
      </c>
    </row>
    <row r="2876" spans="1:4" x14ac:dyDescent="0.25">
      <c r="A2876" s="86">
        <v>48</v>
      </c>
      <c r="B2876" s="86">
        <v>477</v>
      </c>
      <c r="C2876" s="103">
        <v>1.7049241175797374E-3</v>
      </c>
      <c r="D2876" s="103">
        <v>1.2401177895316102E-3</v>
      </c>
    </row>
    <row r="2877" spans="1:4" x14ac:dyDescent="0.25">
      <c r="A2877" s="86">
        <v>48</v>
      </c>
      <c r="B2877" s="86">
        <v>479</v>
      </c>
      <c r="C2877" s="103">
        <v>7.3958660261817825E-3</v>
      </c>
      <c r="D2877" s="103">
        <v>9.6065462569350103E-3</v>
      </c>
    </row>
    <row r="2878" spans="1:4" x14ac:dyDescent="0.25">
      <c r="A2878" s="86">
        <v>48</v>
      </c>
      <c r="B2878" s="86">
        <v>481</v>
      </c>
      <c r="C2878" s="103">
        <v>2.1343780857276309E-3</v>
      </c>
      <c r="D2878" s="103">
        <v>1.4497151624101924E-3</v>
      </c>
    </row>
    <row r="2879" spans="1:4" x14ac:dyDescent="0.25">
      <c r="A2879" s="86">
        <v>48</v>
      </c>
      <c r="B2879" s="86">
        <v>483</v>
      </c>
      <c r="C2879" s="103">
        <v>7.5488549207424144E-4</v>
      </c>
      <c r="D2879" s="103">
        <v>1.8025374067558053E-4</v>
      </c>
    </row>
    <row r="2880" spans="1:4" x14ac:dyDescent="0.25">
      <c r="A2880" s="86">
        <v>48</v>
      </c>
      <c r="B2880" s="86">
        <v>485</v>
      </c>
      <c r="C2880" s="103">
        <v>3.9224907232380006E-3</v>
      </c>
      <c r="D2880" s="103">
        <v>4.6111422033288047E-3</v>
      </c>
    </row>
    <row r="2881" spans="1:4" x14ac:dyDescent="0.25">
      <c r="A2881" s="86">
        <v>48</v>
      </c>
      <c r="B2881" s="86">
        <v>487</v>
      </c>
      <c r="C2881" s="103">
        <v>7.8541384164495468E-4</v>
      </c>
      <c r="D2881" s="103">
        <v>4.47141062140975E-4</v>
      </c>
    </row>
    <row r="2882" spans="1:4" x14ac:dyDescent="0.25">
      <c r="A2882" s="86">
        <v>48</v>
      </c>
      <c r="B2882" s="86">
        <v>489</v>
      </c>
      <c r="C2882" s="103">
        <v>6.2359496900832008E-4</v>
      </c>
      <c r="D2882" s="103">
        <v>7.5105725281491892E-4</v>
      </c>
    </row>
    <row r="2883" spans="1:4" x14ac:dyDescent="0.25">
      <c r="A2883" s="86">
        <v>48</v>
      </c>
      <c r="B2883" s="86">
        <v>491</v>
      </c>
      <c r="C2883" s="103">
        <v>1.7309188131683237E-2</v>
      </c>
      <c r="D2883" s="103">
        <v>1.9772018841546238E-2</v>
      </c>
    </row>
    <row r="2884" spans="1:4" x14ac:dyDescent="0.25">
      <c r="A2884" s="86">
        <v>48</v>
      </c>
      <c r="B2884" s="86">
        <v>493</v>
      </c>
      <c r="C2884" s="103">
        <v>1.4383484404774166E-3</v>
      </c>
      <c r="D2884" s="103">
        <v>1.7536313530841362E-3</v>
      </c>
    </row>
    <row r="2885" spans="1:4" x14ac:dyDescent="0.25">
      <c r="A2885" s="86">
        <v>48</v>
      </c>
      <c r="B2885" s="86">
        <v>495</v>
      </c>
      <c r="C2885" s="103">
        <v>7.5246761021550534E-4</v>
      </c>
      <c r="D2885" s="103">
        <v>2.7177792683256134E-4</v>
      </c>
    </row>
    <row r="2886" spans="1:4" x14ac:dyDescent="0.25">
      <c r="A2886" s="86">
        <v>48</v>
      </c>
      <c r="B2886" s="86">
        <v>497</v>
      </c>
      <c r="C2886" s="103">
        <v>2.9895197840789198E-3</v>
      </c>
      <c r="D2886" s="103">
        <v>2.3859167612678587E-3</v>
      </c>
    </row>
    <row r="2887" spans="1:4" x14ac:dyDescent="0.25">
      <c r="A2887" s="86">
        <v>48</v>
      </c>
      <c r="B2887" s="86">
        <v>499</v>
      </c>
      <c r="C2887" s="103">
        <v>1.2328884757513163E-3</v>
      </c>
      <c r="D2887" s="103">
        <v>1.5789668756853179E-3</v>
      </c>
    </row>
    <row r="2888" spans="1:4" x14ac:dyDescent="0.25">
      <c r="A2888" s="86">
        <v>48</v>
      </c>
      <c r="B2888" s="86">
        <v>501</v>
      </c>
      <c r="C2888" s="103">
        <v>3.0858275136663314E-4</v>
      </c>
      <c r="D2888" s="103">
        <v>3.0007357217116991E-4</v>
      </c>
    </row>
    <row r="2889" spans="1:4" x14ac:dyDescent="0.25">
      <c r="A2889" s="86">
        <v>48</v>
      </c>
      <c r="B2889" s="86">
        <v>503</v>
      </c>
      <c r="C2889" s="103">
        <v>5.0349929876827046E-4</v>
      </c>
      <c r="D2889" s="103">
        <v>6.2879211863574606E-4</v>
      </c>
    </row>
    <row r="2890" spans="1:4" x14ac:dyDescent="0.25">
      <c r="A2890" s="86">
        <v>48</v>
      </c>
      <c r="B2890" s="86">
        <v>505</v>
      </c>
      <c r="C2890" s="103">
        <v>3.8018662244311259E-4</v>
      </c>
      <c r="D2890" s="103">
        <v>4.9255382626466775E-4</v>
      </c>
    </row>
    <row r="2891" spans="1:4" x14ac:dyDescent="0.25">
      <c r="A2891" s="86">
        <v>48</v>
      </c>
      <c r="B2891" s="86">
        <v>507</v>
      </c>
      <c r="C2891" s="103">
        <v>4.752016262620417E-4</v>
      </c>
      <c r="D2891" s="103">
        <v>4.1919474575716404E-4</v>
      </c>
    </row>
    <row r="2892" spans="1:4" x14ac:dyDescent="0.25">
      <c r="A2892" s="86">
        <v>49</v>
      </c>
      <c r="B2892" s="86">
        <v>1</v>
      </c>
      <c r="C2892" s="103">
        <v>9.9706633102027153E-3</v>
      </c>
      <c r="D2892" s="103">
        <v>2.1009974509165166E-3</v>
      </c>
    </row>
    <row r="2893" spans="1:4" x14ac:dyDescent="0.25">
      <c r="A2893" s="86">
        <v>49</v>
      </c>
      <c r="B2893" s="86">
        <v>3</v>
      </c>
      <c r="C2893" s="103">
        <v>3.4712857186297449E-2</v>
      </c>
      <c r="D2893" s="103">
        <v>1.7397399706684278E-2</v>
      </c>
    </row>
    <row r="2894" spans="1:4" x14ac:dyDescent="0.25">
      <c r="A2894" s="86">
        <v>49</v>
      </c>
      <c r="B2894" s="86">
        <v>5</v>
      </c>
      <c r="C2894" s="103">
        <v>2.4763566945665328E-2</v>
      </c>
      <c r="D2894" s="103">
        <v>3.9928458343209815E-2</v>
      </c>
    </row>
    <row r="2895" spans="1:4" x14ac:dyDescent="0.25">
      <c r="A2895" s="86">
        <v>49</v>
      </c>
      <c r="B2895" s="86">
        <v>7</v>
      </c>
      <c r="C2895" s="103">
        <v>6.6541321298234681E-3</v>
      </c>
      <c r="D2895" s="103">
        <v>6.4012290359749075E-3</v>
      </c>
    </row>
    <row r="2896" spans="1:4" x14ac:dyDescent="0.25">
      <c r="A2896" s="86">
        <v>49</v>
      </c>
      <c r="B2896" s="86">
        <v>9</v>
      </c>
      <c r="C2896" s="103">
        <v>4.3030436032293946E-4</v>
      </c>
      <c r="D2896" s="103">
        <v>3.0865332084354253E-4</v>
      </c>
    </row>
    <row r="2897" spans="1:4" x14ac:dyDescent="0.25">
      <c r="A2897" s="86">
        <v>49</v>
      </c>
      <c r="B2897" s="86">
        <v>11</v>
      </c>
      <c r="C2897" s="103">
        <v>0.10129129693187384</v>
      </c>
      <c r="D2897" s="103">
        <v>0.11122927681322735</v>
      </c>
    </row>
    <row r="2898" spans="1:4" x14ac:dyDescent="0.25">
      <c r="A2898" s="86">
        <v>49</v>
      </c>
      <c r="B2898" s="86">
        <v>13</v>
      </c>
      <c r="C2898" s="103">
        <v>6.0705719843164854E-3</v>
      </c>
      <c r="D2898" s="103">
        <v>6.3061612780148839E-3</v>
      </c>
    </row>
    <row r="2899" spans="1:4" x14ac:dyDescent="0.25">
      <c r="A2899" s="86">
        <v>49</v>
      </c>
      <c r="B2899" s="86">
        <v>15</v>
      </c>
      <c r="C2899" s="103">
        <v>8.3590392099036487E-3</v>
      </c>
      <c r="D2899" s="103">
        <v>3.1689252653341123E-3</v>
      </c>
    </row>
    <row r="2900" spans="1:4" x14ac:dyDescent="0.25">
      <c r="A2900" s="86">
        <v>49</v>
      </c>
      <c r="B2900" s="86">
        <v>17</v>
      </c>
      <c r="C2900" s="103">
        <v>1.8968424419230656E-3</v>
      </c>
      <c r="D2900" s="103">
        <v>1.5844626326670561E-3</v>
      </c>
    </row>
    <row r="2901" spans="1:4" x14ac:dyDescent="0.25">
      <c r="A2901" s="86">
        <v>49</v>
      </c>
      <c r="B2901" s="86">
        <v>19</v>
      </c>
      <c r="C2901" s="103">
        <v>1.2620800523543833E-2</v>
      </c>
      <c r="D2901" s="103">
        <v>3.0706885821087551E-3</v>
      </c>
    </row>
    <row r="2902" spans="1:4" x14ac:dyDescent="0.25">
      <c r="A2902" s="86">
        <v>49</v>
      </c>
      <c r="B2902" s="86">
        <v>21</v>
      </c>
      <c r="C2902" s="103">
        <v>2.9885621346934187E-2</v>
      </c>
      <c r="D2902" s="103">
        <v>1.6700236148310774E-2</v>
      </c>
    </row>
    <row r="2903" spans="1:4" x14ac:dyDescent="0.25">
      <c r="A2903" s="86">
        <v>49</v>
      </c>
      <c r="B2903" s="86">
        <v>23</v>
      </c>
      <c r="C2903" s="103">
        <v>1.5860570797364661E-2</v>
      </c>
      <c r="D2903" s="103">
        <v>3.6759533077875706E-3</v>
      </c>
    </row>
    <row r="2904" spans="1:4" x14ac:dyDescent="0.25">
      <c r="A2904" s="86">
        <v>49</v>
      </c>
      <c r="B2904" s="86">
        <v>25</v>
      </c>
      <c r="C2904" s="103">
        <v>2.2240783817609401E-3</v>
      </c>
      <c r="D2904" s="103">
        <v>2.4337346037765985E-3</v>
      </c>
    </row>
    <row r="2905" spans="1:4" x14ac:dyDescent="0.25">
      <c r="A2905" s="86">
        <v>49</v>
      </c>
      <c r="B2905" s="86">
        <v>27</v>
      </c>
      <c r="C2905" s="103">
        <v>1.6984959296960433E-2</v>
      </c>
      <c r="D2905" s="103">
        <v>4.1196028449343464E-3</v>
      </c>
    </row>
    <row r="2906" spans="1:4" x14ac:dyDescent="0.25">
      <c r="A2906" s="86">
        <v>49</v>
      </c>
      <c r="B2906" s="86">
        <v>29</v>
      </c>
      <c r="C2906" s="103">
        <v>5.0718178685505207E-3</v>
      </c>
      <c r="D2906" s="103">
        <v>3.8027103184009349E-3</v>
      </c>
    </row>
    <row r="2907" spans="1:4" x14ac:dyDescent="0.25">
      <c r="A2907" s="86">
        <v>49</v>
      </c>
      <c r="B2907" s="86">
        <v>31</v>
      </c>
      <c r="C2907" s="103">
        <v>3.8356365799754085E-4</v>
      </c>
      <c r="D2907" s="103">
        <v>4.5632523820811219E-4</v>
      </c>
    </row>
    <row r="2908" spans="1:4" x14ac:dyDescent="0.25">
      <c r="A2908" s="86">
        <v>49</v>
      </c>
      <c r="B2908" s="86">
        <v>33</v>
      </c>
      <c r="C2908" s="103">
        <v>8.8604579014577999E-4</v>
      </c>
      <c r="D2908" s="103">
        <v>7.7955561527219162E-4</v>
      </c>
    </row>
    <row r="2909" spans="1:4" x14ac:dyDescent="0.25">
      <c r="A2909" s="86">
        <v>49</v>
      </c>
      <c r="B2909" s="86">
        <v>35</v>
      </c>
      <c r="C2909" s="103">
        <v>0.3382268840810066</v>
      </c>
      <c r="D2909" s="103">
        <v>0.36442640551342292</v>
      </c>
    </row>
    <row r="2910" spans="1:4" x14ac:dyDescent="0.25">
      <c r="A2910" s="86">
        <v>49</v>
      </c>
      <c r="B2910" s="86">
        <v>37</v>
      </c>
      <c r="C2910" s="103">
        <v>4.5618735844601254E-3</v>
      </c>
      <c r="D2910" s="103">
        <v>4.8801449086145329E-3</v>
      </c>
    </row>
    <row r="2911" spans="1:4" x14ac:dyDescent="0.25">
      <c r="A2911" s="86">
        <v>49</v>
      </c>
      <c r="B2911" s="86">
        <v>39</v>
      </c>
      <c r="C2911" s="103">
        <v>4.4050481521860051E-3</v>
      </c>
      <c r="D2911" s="103">
        <v>9.6652220592690439E-3</v>
      </c>
    </row>
    <row r="2912" spans="1:4" x14ac:dyDescent="0.25">
      <c r="A2912" s="86">
        <v>49</v>
      </c>
      <c r="B2912" s="86">
        <v>41</v>
      </c>
      <c r="C2912" s="103">
        <v>1.044925060780613E-2</v>
      </c>
      <c r="D2912" s="103">
        <v>6.8131893204683418E-3</v>
      </c>
    </row>
    <row r="2913" spans="1:4" x14ac:dyDescent="0.25">
      <c r="A2913" s="86">
        <v>49</v>
      </c>
      <c r="B2913" s="86">
        <v>43</v>
      </c>
      <c r="C2913" s="103">
        <v>2.8336158756264981E-2</v>
      </c>
      <c r="D2913" s="103">
        <v>1.3277796861749932E-2</v>
      </c>
    </row>
    <row r="2914" spans="1:4" x14ac:dyDescent="0.25">
      <c r="A2914" s="86">
        <v>49</v>
      </c>
      <c r="B2914" s="86">
        <v>45</v>
      </c>
      <c r="C2914" s="103">
        <v>2.7011930176606042E-2</v>
      </c>
      <c r="D2914" s="103">
        <v>2.2182476857338786E-2</v>
      </c>
    </row>
    <row r="2915" spans="1:4" x14ac:dyDescent="0.25">
      <c r="A2915" s="86">
        <v>49</v>
      </c>
      <c r="B2915" s="86">
        <v>47</v>
      </c>
      <c r="C2915" s="103">
        <v>7.7388618023392416E-3</v>
      </c>
      <c r="D2915" s="103">
        <v>1.1217995439282757E-2</v>
      </c>
    </row>
    <row r="2916" spans="1:4" x14ac:dyDescent="0.25">
      <c r="A2916" s="86">
        <v>49</v>
      </c>
      <c r="B2916" s="86">
        <v>49</v>
      </c>
      <c r="C2916" s="103">
        <v>0.1682665371008035</v>
      </c>
      <c r="D2916" s="103">
        <v>0.1971071515037818</v>
      </c>
    </row>
    <row r="2917" spans="1:4" x14ac:dyDescent="0.25">
      <c r="A2917" s="86">
        <v>49</v>
      </c>
      <c r="B2917" s="86">
        <v>51</v>
      </c>
      <c r="C2917" s="103">
        <v>1.066363143365421E-2</v>
      </c>
      <c r="D2917" s="103">
        <v>1.0489142628255912E-2</v>
      </c>
    </row>
    <row r="2918" spans="1:4" x14ac:dyDescent="0.25">
      <c r="A2918" s="86">
        <v>49</v>
      </c>
      <c r="B2918" s="86">
        <v>53</v>
      </c>
      <c r="C2918" s="103">
        <v>5.9787845276347951E-2</v>
      </c>
      <c r="D2918" s="103">
        <v>5.4505514563746735E-2</v>
      </c>
    </row>
    <row r="2919" spans="1:4" x14ac:dyDescent="0.25">
      <c r="A2919" s="86">
        <v>49</v>
      </c>
      <c r="B2919" s="86">
        <v>55</v>
      </c>
      <c r="C2919" s="103">
        <v>6.5539840888772214E-4</v>
      </c>
      <c r="D2919" s="103">
        <v>8.4610304584420805E-4</v>
      </c>
    </row>
    <row r="2920" spans="1:4" x14ac:dyDescent="0.25">
      <c r="A2920" s="86">
        <v>49</v>
      </c>
      <c r="B2920" s="86">
        <v>57</v>
      </c>
      <c r="C2920" s="103">
        <v>6.1829848456050655E-2</v>
      </c>
      <c r="D2920" s="103">
        <v>8.1124486792553283E-2</v>
      </c>
    </row>
    <row r="2921" spans="1:4" x14ac:dyDescent="0.25">
      <c r="A2921" s="86">
        <v>50</v>
      </c>
      <c r="B2921" s="86">
        <v>1</v>
      </c>
      <c r="C2921" s="103">
        <v>4.1454428031267421E-2</v>
      </c>
      <c r="D2921" s="103">
        <v>5.905511811023622E-2</v>
      </c>
    </row>
    <row r="2922" spans="1:4" x14ac:dyDescent="0.25">
      <c r="A2922" s="86">
        <v>50</v>
      </c>
      <c r="B2922" s="86">
        <v>3</v>
      </c>
      <c r="C2922" s="103">
        <v>4.8277760698098297E-2</v>
      </c>
      <c r="D2922" s="103">
        <v>5.6814544523397993E-2</v>
      </c>
    </row>
    <row r="2923" spans="1:4" x14ac:dyDescent="0.25">
      <c r="A2923" s="86">
        <v>50</v>
      </c>
      <c r="B2923" s="86">
        <v>5</v>
      </c>
      <c r="C2923" s="103">
        <v>5.3522590729886799E-2</v>
      </c>
      <c r="D2923" s="103">
        <v>4.83323730875104E-2</v>
      </c>
    </row>
    <row r="2924" spans="1:4" x14ac:dyDescent="0.25">
      <c r="A2924" s="86">
        <v>50</v>
      </c>
      <c r="B2924" s="86">
        <v>7</v>
      </c>
      <c r="C2924" s="103">
        <v>0.26330010589054598</v>
      </c>
      <c r="D2924" s="103">
        <v>0.26246719160104987</v>
      </c>
    </row>
    <row r="2925" spans="1:4" x14ac:dyDescent="0.25">
      <c r="A2925" s="86">
        <v>50</v>
      </c>
      <c r="B2925" s="86">
        <v>9</v>
      </c>
      <c r="C2925" s="103">
        <v>6.3206602318426038E-3</v>
      </c>
      <c r="D2925" s="103">
        <v>9.9705524614301256E-3</v>
      </c>
    </row>
    <row r="2926" spans="1:4" x14ac:dyDescent="0.25">
      <c r="A2926" s="86">
        <v>50</v>
      </c>
      <c r="B2926" s="86">
        <v>11</v>
      </c>
      <c r="C2926" s="103">
        <v>6.3742002667214082E-2</v>
      </c>
      <c r="D2926" s="103">
        <v>7.8900198450803399E-2</v>
      </c>
    </row>
    <row r="2927" spans="1:4" x14ac:dyDescent="0.25">
      <c r="A2927" s="86">
        <v>50</v>
      </c>
      <c r="B2927" s="86">
        <v>13</v>
      </c>
      <c r="C2927" s="103">
        <v>8.1702367220010882E-3</v>
      </c>
      <c r="D2927" s="103">
        <v>1.1378913001728443E-2</v>
      </c>
    </row>
    <row r="2928" spans="1:4" x14ac:dyDescent="0.25">
      <c r="A2928" s="86">
        <v>50</v>
      </c>
      <c r="B2928" s="86">
        <v>15</v>
      </c>
      <c r="C2928" s="103">
        <v>2.7800279451455422E-2</v>
      </c>
      <c r="D2928" s="103">
        <v>4.0490365533576593E-2</v>
      </c>
    </row>
    <row r="2929" spans="1:4" x14ac:dyDescent="0.25">
      <c r="A2929" s="86">
        <v>50</v>
      </c>
      <c r="B2929" s="86">
        <v>17</v>
      </c>
      <c r="C2929" s="103">
        <v>5.84519903684141E-2</v>
      </c>
      <c r="D2929" s="103">
        <v>4.625184047116062E-2</v>
      </c>
    </row>
    <row r="2930" spans="1:4" x14ac:dyDescent="0.25">
      <c r="A2930" s="86">
        <v>50</v>
      </c>
      <c r="B2930" s="86">
        <v>19</v>
      </c>
      <c r="C2930" s="103">
        <v>3.1761887124366624E-2</v>
      </c>
      <c r="D2930" s="103">
        <v>4.3051021061391713E-2</v>
      </c>
    </row>
    <row r="2931" spans="1:4" x14ac:dyDescent="0.25">
      <c r="A2931" s="86">
        <v>50</v>
      </c>
      <c r="B2931" s="86">
        <v>21</v>
      </c>
      <c r="C2931" s="103">
        <v>7.4273195893863803E-2</v>
      </c>
      <c r="D2931" s="103">
        <v>9.37840087062288E-2</v>
      </c>
    </row>
    <row r="2932" spans="1:4" x14ac:dyDescent="0.25">
      <c r="A2932" s="86">
        <v>50</v>
      </c>
      <c r="B2932" s="86">
        <v>23</v>
      </c>
      <c r="C2932" s="103">
        <v>0.10172639156093809</v>
      </c>
      <c r="D2932" s="103">
        <v>9.2983803853786573E-2</v>
      </c>
    </row>
    <row r="2933" spans="1:4" x14ac:dyDescent="0.25">
      <c r="A2933" s="86">
        <v>50</v>
      </c>
      <c r="B2933" s="86">
        <v>25</v>
      </c>
      <c r="C2933" s="103">
        <v>8.6602328569075709E-2</v>
      </c>
      <c r="D2933" s="103">
        <v>6.8177453428077586E-2</v>
      </c>
    </row>
    <row r="2934" spans="1:4" x14ac:dyDescent="0.25">
      <c r="A2934" s="86">
        <v>50</v>
      </c>
      <c r="B2934" s="86">
        <v>27</v>
      </c>
      <c r="C2934" s="103">
        <v>0.13459614206102991</v>
      </c>
      <c r="D2934" s="103">
        <v>8.8342615709621666E-2</v>
      </c>
    </row>
    <row r="2935" spans="1:4" x14ac:dyDescent="0.25">
      <c r="A2935" s="86">
        <v>51</v>
      </c>
      <c r="B2935" s="86">
        <v>1</v>
      </c>
      <c r="C2935" s="103">
        <v>4.3220179318222886E-3</v>
      </c>
      <c r="D2935" s="103">
        <v>3.833904890933638E-3</v>
      </c>
    </row>
    <row r="2936" spans="1:4" x14ac:dyDescent="0.25">
      <c r="A2936" s="86">
        <v>51</v>
      </c>
      <c r="B2936" s="86">
        <v>3</v>
      </c>
      <c r="C2936" s="103">
        <v>1.5591316718120755E-2</v>
      </c>
      <c r="D2936" s="103">
        <v>1.2701280006774016E-2</v>
      </c>
    </row>
    <row r="2937" spans="1:4" x14ac:dyDescent="0.25">
      <c r="A2937" s="86">
        <v>51</v>
      </c>
      <c r="B2937" s="86">
        <v>5</v>
      </c>
      <c r="C2937" s="103">
        <v>2.8308952900769069E-3</v>
      </c>
      <c r="D2937" s="103">
        <v>1.7640666676075022E-3</v>
      </c>
    </row>
    <row r="2938" spans="1:4" x14ac:dyDescent="0.25">
      <c r="A2938" s="86">
        <v>51</v>
      </c>
      <c r="B2938" s="86">
        <v>7</v>
      </c>
      <c r="C2938" s="103">
        <v>1.7596478704301538E-3</v>
      </c>
      <c r="D2938" s="103">
        <v>1.5406182230438853E-3</v>
      </c>
    </row>
    <row r="2939" spans="1:4" x14ac:dyDescent="0.25">
      <c r="A2939" s="86">
        <v>51</v>
      </c>
      <c r="B2939" s="86">
        <v>9</v>
      </c>
      <c r="C2939" s="103">
        <v>4.3098916355995302E-3</v>
      </c>
      <c r="D2939" s="103">
        <v>3.728060890877188E-3</v>
      </c>
    </row>
    <row r="2940" spans="1:4" x14ac:dyDescent="0.25">
      <c r="A2940" s="86">
        <v>51</v>
      </c>
      <c r="B2940" s="86">
        <v>11</v>
      </c>
      <c r="C2940" s="103">
        <v>1.7604927746251698E-3</v>
      </c>
      <c r="D2940" s="103">
        <v>1.8699106676639524E-3</v>
      </c>
    </row>
    <row r="2941" spans="1:4" x14ac:dyDescent="0.25">
      <c r="A2941" s="86">
        <v>51</v>
      </c>
      <c r="B2941" s="86">
        <v>13</v>
      </c>
      <c r="C2941" s="103">
        <v>1.9276216336130841E-2</v>
      </c>
      <c r="D2941" s="103">
        <v>2.7754648903691368E-2</v>
      </c>
    </row>
    <row r="2942" spans="1:4" x14ac:dyDescent="0.25">
      <c r="A2942" s="86">
        <v>51</v>
      </c>
      <c r="B2942" s="86">
        <v>15</v>
      </c>
      <c r="C2942" s="103">
        <v>1.5445522188672874E-2</v>
      </c>
      <c r="D2942" s="103">
        <v>8.8791355602910946E-3</v>
      </c>
    </row>
    <row r="2943" spans="1:4" x14ac:dyDescent="0.25">
      <c r="A2943" s="86">
        <v>51</v>
      </c>
      <c r="B2943" s="86">
        <v>17</v>
      </c>
      <c r="C2943" s="103">
        <v>4.5326215252467693E-4</v>
      </c>
      <c r="D2943" s="103">
        <v>4.9981888915545897E-4</v>
      </c>
    </row>
    <row r="2944" spans="1:4" x14ac:dyDescent="0.25">
      <c r="A2944" s="86">
        <v>51</v>
      </c>
      <c r="B2944" s="86">
        <v>19</v>
      </c>
      <c r="C2944" s="103">
        <v>7.2569665526778585E-3</v>
      </c>
      <c r="D2944" s="103">
        <v>9.278990671615462E-3</v>
      </c>
    </row>
    <row r="2945" spans="1:4" x14ac:dyDescent="0.25">
      <c r="A2945" s="86">
        <v>51</v>
      </c>
      <c r="B2945" s="86">
        <v>21</v>
      </c>
      <c r="C2945" s="103">
        <v>3.0102309264416439E-3</v>
      </c>
      <c r="D2945" s="103">
        <v>7.409080003951509E-4</v>
      </c>
    </row>
    <row r="2946" spans="1:4" x14ac:dyDescent="0.25">
      <c r="A2946" s="86">
        <v>51</v>
      </c>
      <c r="B2946" s="86">
        <v>23</v>
      </c>
      <c r="C2946" s="103">
        <v>8.519107205752512E-3</v>
      </c>
      <c r="D2946" s="103">
        <v>3.9279884465393718E-3</v>
      </c>
    </row>
    <row r="2947" spans="1:4" x14ac:dyDescent="0.25">
      <c r="A2947" s="86">
        <v>51</v>
      </c>
      <c r="B2947" s="86">
        <v>25</v>
      </c>
      <c r="C2947" s="103">
        <v>3.9360321062264633E-3</v>
      </c>
      <c r="D2947" s="103">
        <v>1.916952445466819E-3</v>
      </c>
    </row>
    <row r="2948" spans="1:4" x14ac:dyDescent="0.25">
      <c r="A2948" s="86">
        <v>51</v>
      </c>
      <c r="B2948" s="86">
        <v>27</v>
      </c>
      <c r="C2948" s="103">
        <v>1.7970038930958251E-3</v>
      </c>
      <c r="D2948" s="103">
        <v>2.5167351124533699E-3</v>
      </c>
    </row>
    <row r="2949" spans="1:4" x14ac:dyDescent="0.25">
      <c r="A2949" s="86">
        <v>51</v>
      </c>
      <c r="B2949" s="86">
        <v>29</v>
      </c>
      <c r="C2949" s="103">
        <v>1.7096377508773436E-3</v>
      </c>
      <c r="D2949" s="103">
        <v>1.9992755566218359E-3</v>
      </c>
    </row>
    <row r="2950" spans="1:4" x14ac:dyDescent="0.25">
      <c r="A2950" s="86">
        <v>51</v>
      </c>
      <c r="B2950" s="86">
        <v>31</v>
      </c>
      <c r="C2950" s="103">
        <v>6.9655861403239714E-3</v>
      </c>
      <c r="D2950" s="103">
        <v>6.4800048923448917E-3</v>
      </c>
    </row>
    <row r="2951" spans="1:4" x14ac:dyDescent="0.25">
      <c r="A2951" s="86">
        <v>51</v>
      </c>
      <c r="B2951" s="86">
        <v>33</v>
      </c>
      <c r="C2951" s="103">
        <v>9.6510419700473506E-3</v>
      </c>
      <c r="D2951" s="103">
        <v>3.6222168908207381E-3</v>
      </c>
    </row>
    <row r="2952" spans="1:4" x14ac:dyDescent="0.25">
      <c r="A2952" s="86">
        <v>51</v>
      </c>
      <c r="B2952" s="86">
        <v>35</v>
      </c>
      <c r="C2952" s="103">
        <v>6.5560565615527793E-3</v>
      </c>
      <c r="D2952" s="103">
        <v>3.4928520018628543E-3</v>
      </c>
    </row>
    <row r="2953" spans="1:4" x14ac:dyDescent="0.25">
      <c r="A2953" s="86">
        <v>51</v>
      </c>
      <c r="B2953" s="86">
        <v>36</v>
      </c>
      <c r="C2953" s="103">
        <v>8.2724172160132843E-4</v>
      </c>
      <c r="D2953" s="103">
        <v>8.2323111155016766E-4</v>
      </c>
    </row>
    <row r="2954" spans="1:4" x14ac:dyDescent="0.25">
      <c r="A2954" s="86">
        <v>51</v>
      </c>
      <c r="B2954" s="86">
        <v>37</v>
      </c>
      <c r="C2954" s="103">
        <v>1.4249184142799502E-3</v>
      </c>
      <c r="D2954" s="103">
        <v>1.3994928896352852E-3</v>
      </c>
    </row>
    <row r="2955" spans="1:4" x14ac:dyDescent="0.25">
      <c r="A2955" s="86">
        <v>51</v>
      </c>
      <c r="B2955" s="86">
        <v>41</v>
      </c>
      <c r="C2955" s="103">
        <v>4.1157626812580977E-2</v>
      </c>
      <c r="D2955" s="103">
        <v>4.0926346688494049E-2</v>
      </c>
    </row>
    <row r="2956" spans="1:4" x14ac:dyDescent="0.25">
      <c r="A2956" s="86">
        <v>51</v>
      </c>
      <c r="B2956" s="86">
        <v>43</v>
      </c>
      <c r="C2956" s="103">
        <v>3.147020840700448E-3</v>
      </c>
      <c r="D2956" s="103">
        <v>1.7052644453539188E-3</v>
      </c>
    </row>
    <row r="2957" spans="1:4" x14ac:dyDescent="0.25">
      <c r="A2957" s="86">
        <v>51</v>
      </c>
      <c r="B2957" s="86">
        <v>45</v>
      </c>
      <c r="C2957" s="103">
        <v>3.791528070143147E-4</v>
      </c>
      <c r="D2957" s="103">
        <v>5.9978266698655072E-4</v>
      </c>
    </row>
    <row r="2958" spans="1:4" x14ac:dyDescent="0.25">
      <c r="A2958" s="86">
        <v>51</v>
      </c>
      <c r="B2958" s="86">
        <v>47</v>
      </c>
      <c r="C2958" s="103">
        <v>6.5234642036715515E-3</v>
      </c>
      <c r="D2958" s="103">
        <v>6.0919102254712414E-3</v>
      </c>
    </row>
    <row r="2959" spans="1:4" x14ac:dyDescent="0.25">
      <c r="A2959" s="86">
        <v>51</v>
      </c>
      <c r="B2959" s="86">
        <v>49</v>
      </c>
      <c r="C2959" s="103">
        <v>9.1276664946368148E-4</v>
      </c>
      <c r="D2959" s="103">
        <v>1.1595798228406647E-3</v>
      </c>
    </row>
    <row r="2960" spans="1:4" x14ac:dyDescent="0.25">
      <c r="A2960" s="86">
        <v>51</v>
      </c>
      <c r="B2960" s="86">
        <v>51</v>
      </c>
      <c r="C2960" s="103">
        <v>9.2321077812817023E-4</v>
      </c>
      <c r="D2960" s="103">
        <v>1.7052644453539188E-3</v>
      </c>
    </row>
    <row r="2961" spans="1:4" x14ac:dyDescent="0.25">
      <c r="A2961" s="86">
        <v>51</v>
      </c>
      <c r="B2961" s="86">
        <v>53</v>
      </c>
      <c r="C2961" s="103">
        <v>5.5723781283363609E-3</v>
      </c>
      <c r="D2961" s="103">
        <v>3.363487112904971E-3</v>
      </c>
    </row>
    <row r="2962" spans="1:4" x14ac:dyDescent="0.25">
      <c r="A2962" s="86">
        <v>51</v>
      </c>
      <c r="B2962" s="86">
        <v>57</v>
      </c>
      <c r="C2962" s="103">
        <v>1.5882885392419306E-3</v>
      </c>
      <c r="D2962" s="103">
        <v>1.2818884451281183E-3</v>
      </c>
    </row>
    <row r="2963" spans="1:4" x14ac:dyDescent="0.25">
      <c r="A2963" s="86">
        <v>51</v>
      </c>
      <c r="B2963" s="86">
        <v>59</v>
      </c>
      <c r="C2963" s="103">
        <v>0.12584000501038706</v>
      </c>
      <c r="D2963" s="103">
        <v>0.13524511118324184</v>
      </c>
    </row>
    <row r="2964" spans="1:4" x14ac:dyDescent="0.25">
      <c r="A2964" s="86">
        <v>51</v>
      </c>
      <c r="B2964" s="86">
        <v>61</v>
      </c>
      <c r="C2964" s="103">
        <v>1.7198071402619992E-2</v>
      </c>
      <c r="D2964" s="103">
        <v>8.3028737822059776E-3</v>
      </c>
    </row>
    <row r="2965" spans="1:4" x14ac:dyDescent="0.25">
      <c r="A2965" s="86">
        <v>51</v>
      </c>
      <c r="B2965" s="86">
        <v>63</v>
      </c>
      <c r="C2965" s="103">
        <v>1.4148156679583302E-3</v>
      </c>
      <c r="D2965" s="103">
        <v>1.8581502232132357E-3</v>
      </c>
    </row>
    <row r="2966" spans="1:4" x14ac:dyDescent="0.25">
      <c r="A2966" s="86">
        <v>51</v>
      </c>
      <c r="B2966" s="86">
        <v>65</v>
      </c>
      <c r="C2966" s="103">
        <v>1.9724704436063401E-3</v>
      </c>
      <c r="D2966" s="103">
        <v>3.1635595572427873E-3</v>
      </c>
    </row>
    <row r="2967" spans="1:4" x14ac:dyDescent="0.25">
      <c r="A2967" s="86">
        <v>51</v>
      </c>
      <c r="B2967" s="86">
        <v>67</v>
      </c>
      <c r="C2967" s="103">
        <v>5.7040881204051767E-3</v>
      </c>
      <c r="D2967" s="103">
        <v>6.6093697813027746E-3</v>
      </c>
    </row>
    <row r="2968" spans="1:4" x14ac:dyDescent="0.25">
      <c r="A2968" s="86">
        <v>51</v>
      </c>
      <c r="B2968" s="86">
        <v>69</v>
      </c>
      <c r="C2968" s="103">
        <v>1.4259944843671159E-2</v>
      </c>
      <c r="D2968" s="103">
        <v>1.0372712005532114E-2</v>
      </c>
    </row>
    <row r="2969" spans="1:4" x14ac:dyDescent="0.25">
      <c r="A2969" s="86">
        <v>51</v>
      </c>
      <c r="B2969" s="86">
        <v>71</v>
      </c>
      <c r="C2969" s="103">
        <v>2.3489365162477583E-3</v>
      </c>
      <c r="D2969" s="103">
        <v>1.9757546677204025E-3</v>
      </c>
    </row>
    <row r="2970" spans="1:4" x14ac:dyDescent="0.25">
      <c r="A2970" s="86">
        <v>51</v>
      </c>
      <c r="B2970" s="86">
        <v>73</v>
      </c>
      <c r="C2970" s="103">
        <v>4.0011858629010865E-3</v>
      </c>
      <c r="D2970" s="103">
        <v>4.3866457801173221E-3</v>
      </c>
    </row>
    <row r="2971" spans="1:4" x14ac:dyDescent="0.25">
      <c r="A2971" s="86">
        <v>51</v>
      </c>
      <c r="B2971" s="86">
        <v>75</v>
      </c>
      <c r="C2971" s="103">
        <v>7.8010019351010765E-3</v>
      </c>
      <c r="D2971" s="103">
        <v>2.7284231125662699E-3</v>
      </c>
    </row>
    <row r="2972" spans="1:4" x14ac:dyDescent="0.25">
      <c r="A2972" s="86">
        <v>51</v>
      </c>
      <c r="B2972" s="86">
        <v>77</v>
      </c>
      <c r="C2972" s="103">
        <v>1.1470593759836255E-3</v>
      </c>
      <c r="D2972" s="103">
        <v>1.8346293343118024E-3</v>
      </c>
    </row>
    <row r="2973" spans="1:4" x14ac:dyDescent="0.25">
      <c r="A2973" s="86">
        <v>51</v>
      </c>
      <c r="B2973" s="86">
        <v>79</v>
      </c>
      <c r="C2973" s="103">
        <v>1.6593221067226676E-3</v>
      </c>
      <c r="D2973" s="103">
        <v>2.3168075567911862E-3</v>
      </c>
    </row>
    <row r="2974" spans="1:4" x14ac:dyDescent="0.25">
      <c r="A2974" s="86">
        <v>51</v>
      </c>
      <c r="B2974" s="86">
        <v>81</v>
      </c>
      <c r="C2974" s="103">
        <v>3.760455427263379E-3</v>
      </c>
      <c r="D2974" s="103">
        <v>1.3406906673817016E-3</v>
      </c>
    </row>
    <row r="2975" spans="1:4" x14ac:dyDescent="0.25">
      <c r="A2975" s="86">
        <v>51</v>
      </c>
      <c r="B2975" s="86">
        <v>83</v>
      </c>
      <c r="C2975" s="103">
        <v>3.9309123363173706E-3</v>
      </c>
      <c r="D2975" s="103">
        <v>4.0220720021451051E-3</v>
      </c>
    </row>
    <row r="2976" spans="1:4" x14ac:dyDescent="0.25">
      <c r="A2976" s="86">
        <v>51</v>
      </c>
      <c r="B2976" s="86">
        <v>85</v>
      </c>
      <c r="C2976" s="103">
        <v>2.0142647309609473E-2</v>
      </c>
      <c r="D2976" s="103">
        <v>1.2583675562266848E-2</v>
      </c>
    </row>
    <row r="2977" spans="1:4" x14ac:dyDescent="0.25">
      <c r="A2977" s="86">
        <v>51</v>
      </c>
      <c r="B2977" s="86">
        <v>87</v>
      </c>
      <c r="C2977" s="103">
        <v>3.7179524895868801E-2</v>
      </c>
      <c r="D2977" s="103">
        <v>3.869186224285788E-2</v>
      </c>
    </row>
    <row r="2978" spans="1:4" x14ac:dyDescent="0.25">
      <c r="A2978" s="86">
        <v>51</v>
      </c>
      <c r="B2978" s="86">
        <v>89</v>
      </c>
      <c r="C2978" s="103">
        <v>5.968797103189376E-3</v>
      </c>
      <c r="D2978" s="103">
        <v>6.0095871143162243E-3</v>
      </c>
    </row>
    <row r="2979" spans="1:4" x14ac:dyDescent="0.25">
      <c r="A2979" s="86">
        <v>51</v>
      </c>
      <c r="B2979" s="86">
        <v>91</v>
      </c>
      <c r="C2979" s="103">
        <v>2.3542100447665988E-4</v>
      </c>
      <c r="D2979" s="103">
        <v>2.5990582236083866E-4</v>
      </c>
    </row>
    <row r="2980" spans="1:4" x14ac:dyDescent="0.25">
      <c r="A2980" s="86">
        <v>51</v>
      </c>
      <c r="B2980" s="86">
        <v>93</v>
      </c>
      <c r="C2980" s="103">
        <v>4.4419212164216572E-3</v>
      </c>
      <c r="D2980" s="103">
        <v>4.3513644467651725E-3</v>
      </c>
    </row>
    <row r="2981" spans="1:4" x14ac:dyDescent="0.25">
      <c r="A2981" s="86">
        <v>51</v>
      </c>
      <c r="B2981" s="86">
        <v>95</v>
      </c>
      <c r="C2981" s="103">
        <v>8.6613613081042186E-3</v>
      </c>
      <c r="D2981" s="103">
        <v>8.9379377825446783E-3</v>
      </c>
    </row>
    <row r="2982" spans="1:4" x14ac:dyDescent="0.25">
      <c r="A2982" s="86">
        <v>51</v>
      </c>
      <c r="B2982" s="86">
        <v>97</v>
      </c>
      <c r="C2982" s="103">
        <v>1.0668873311303027E-3</v>
      </c>
      <c r="D2982" s="103">
        <v>8.291113337755261E-4</v>
      </c>
    </row>
    <row r="2983" spans="1:4" x14ac:dyDescent="0.25">
      <c r="A2983" s="86">
        <v>51</v>
      </c>
      <c r="B2983" s="86">
        <v>99</v>
      </c>
      <c r="C2983" s="103">
        <v>3.0915167001226251E-3</v>
      </c>
      <c r="D2983" s="103">
        <v>3.1282782238906373E-3</v>
      </c>
    </row>
    <row r="2984" spans="1:4" x14ac:dyDescent="0.25">
      <c r="A2984" s="86">
        <v>51</v>
      </c>
      <c r="B2984" s="86">
        <v>101</v>
      </c>
      <c r="C2984" s="103">
        <v>1.5661274598811725E-3</v>
      </c>
      <c r="D2984" s="103">
        <v>1.9875151121711192E-3</v>
      </c>
    </row>
    <row r="2985" spans="1:4" x14ac:dyDescent="0.25">
      <c r="A2985" s="86">
        <v>51</v>
      </c>
      <c r="B2985" s="86">
        <v>103</v>
      </c>
      <c r="C2985" s="103">
        <v>1.2366276946282168E-3</v>
      </c>
      <c r="D2985" s="103">
        <v>1.258367556226685E-3</v>
      </c>
    </row>
    <row r="2986" spans="1:4" x14ac:dyDescent="0.25">
      <c r="A2986" s="86">
        <v>51</v>
      </c>
      <c r="B2986" s="86">
        <v>105</v>
      </c>
      <c r="C2986" s="103">
        <v>2.118952263307391E-3</v>
      </c>
      <c r="D2986" s="103">
        <v>2.7872253348198536E-3</v>
      </c>
    </row>
    <row r="2987" spans="1:4" x14ac:dyDescent="0.25">
      <c r="A2987" s="86">
        <v>51</v>
      </c>
      <c r="B2987" s="86">
        <v>107</v>
      </c>
      <c r="C2987" s="103">
        <v>3.6093436282718751E-2</v>
      </c>
      <c r="D2987" s="103">
        <v>4.7747404469909729E-2</v>
      </c>
    </row>
    <row r="2988" spans="1:4" x14ac:dyDescent="0.25">
      <c r="A2988" s="86">
        <v>51</v>
      </c>
      <c r="B2988" s="86">
        <v>109</v>
      </c>
      <c r="C2988" s="103">
        <v>6.2332695653223085E-3</v>
      </c>
      <c r="D2988" s="103">
        <v>4.3278435578637392E-3</v>
      </c>
    </row>
    <row r="2989" spans="1:4" x14ac:dyDescent="0.25">
      <c r="A2989" s="86">
        <v>51</v>
      </c>
      <c r="B2989" s="86">
        <v>111</v>
      </c>
      <c r="C2989" s="103">
        <v>8.8955935349505847E-4</v>
      </c>
      <c r="D2989" s="103">
        <v>1.4347742229874351E-3</v>
      </c>
    </row>
    <row r="2990" spans="1:4" x14ac:dyDescent="0.25">
      <c r="A2990" s="86">
        <v>51</v>
      </c>
      <c r="B2990" s="86">
        <v>113</v>
      </c>
      <c r="C2990" s="103">
        <v>1.8768828952997281E-3</v>
      </c>
      <c r="D2990" s="103">
        <v>1.552378667494602E-3</v>
      </c>
    </row>
    <row r="2991" spans="1:4" x14ac:dyDescent="0.25">
      <c r="A2991" s="86">
        <v>51</v>
      </c>
      <c r="B2991" s="86">
        <v>115</v>
      </c>
      <c r="C2991" s="103">
        <v>6.9829516265385071E-4</v>
      </c>
      <c r="D2991" s="103">
        <v>1.0337430672179963E-3</v>
      </c>
    </row>
    <row r="2992" spans="1:4" x14ac:dyDescent="0.25">
      <c r="A2992" s="86">
        <v>51</v>
      </c>
      <c r="B2992" s="86">
        <v>117</v>
      </c>
      <c r="C2992" s="103">
        <v>5.476624119807677E-3</v>
      </c>
      <c r="D2992" s="103">
        <v>3.5986960019193047E-3</v>
      </c>
    </row>
    <row r="2993" spans="1:4" x14ac:dyDescent="0.25">
      <c r="A2993" s="86">
        <v>51</v>
      </c>
      <c r="B2993" s="86">
        <v>119</v>
      </c>
      <c r="C2993" s="103">
        <v>1.285985712680863E-3</v>
      </c>
      <c r="D2993" s="103">
        <v>1.258367556226685E-3</v>
      </c>
    </row>
    <row r="2994" spans="1:4" x14ac:dyDescent="0.25">
      <c r="A2994" s="86">
        <v>51</v>
      </c>
      <c r="B2994" s="86">
        <v>121</v>
      </c>
      <c r="C2994" s="103">
        <v>1.2601297228539372E-2</v>
      </c>
      <c r="D2994" s="103">
        <v>1.1584037783955932E-2</v>
      </c>
    </row>
    <row r="2995" spans="1:4" x14ac:dyDescent="0.25">
      <c r="A2995" s="86">
        <v>51</v>
      </c>
      <c r="B2995" s="86">
        <v>125</v>
      </c>
      <c r="C2995" s="103">
        <v>2.4989101472126488E-3</v>
      </c>
      <c r="D2995" s="103">
        <v>1.7523062231567855E-3</v>
      </c>
    </row>
    <row r="2996" spans="1:4" x14ac:dyDescent="0.25">
      <c r="A2996" s="86">
        <v>51</v>
      </c>
      <c r="B2996" s="86">
        <v>127</v>
      </c>
      <c r="C2996" s="103">
        <v>7.7017738032677009E-3</v>
      </c>
      <c r="D2996" s="103">
        <v>2.6225791125098199E-3</v>
      </c>
    </row>
    <row r="2997" spans="1:4" x14ac:dyDescent="0.25">
      <c r="A2997" s="86">
        <v>51</v>
      </c>
      <c r="B2997" s="86">
        <v>131</v>
      </c>
      <c r="C2997" s="103">
        <v>2.7440412770460458E-3</v>
      </c>
      <c r="D2997" s="103">
        <v>1.3877324451845685E-3</v>
      </c>
    </row>
    <row r="2998" spans="1:4" x14ac:dyDescent="0.25">
      <c r="A2998" s="86">
        <v>51</v>
      </c>
      <c r="B2998" s="86">
        <v>133</v>
      </c>
      <c r="C2998" s="103">
        <v>1.1717216330526224E-3</v>
      </c>
      <c r="D2998" s="103">
        <v>1.4347742229874351E-3</v>
      </c>
    </row>
    <row r="2999" spans="1:4" x14ac:dyDescent="0.25">
      <c r="A2999" s="86">
        <v>51</v>
      </c>
      <c r="B2999" s="86">
        <v>135</v>
      </c>
      <c r="C2999" s="103">
        <v>1.8542285239659631E-3</v>
      </c>
      <c r="D2999" s="103">
        <v>1.811108445410369E-3</v>
      </c>
    </row>
    <row r="3000" spans="1:4" x14ac:dyDescent="0.25">
      <c r="A3000" s="86">
        <v>51</v>
      </c>
      <c r="B3000" s="86">
        <v>137</v>
      </c>
      <c r="C3000" s="103">
        <v>2.862579177085291E-3</v>
      </c>
      <c r="D3000" s="103">
        <v>4.304322668962305E-3</v>
      </c>
    </row>
    <row r="3001" spans="1:4" x14ac:dyDescent="0.25">
      <c r="A3001" s="86">
        <v>51</v>
      </c>
      <c r="B3001" s="86">
        <v>139</v>
      </c>
      <c r="C3001" s="103">
        <v>1.7966954628666387E-3</v>
      </c>
      <c r="D3001" s="103">
        <v>2.8225066681720036E-3</v>
      </c>
    </row>
    <row r="3002" spans="1:4" x14ac:dyDescent="0.25">
      <c r="A3002" s="86">
        <v>51</v>
      </c>
      <c r="B3002" s="86">
        <v>141</v>
      </c>
      <c r="C3002" s="103">
        <v>1.5206495637934807E-3</v>
      </c>
      <c r="D3002" s="103">
        <v>2.0815986677768525E-3</v>
      </c>
    </row>
    <row r="3003" spans="1:4" x14ac:dyDescent="0.25">
      <c r="A3003" s="86">
        <v>51</v>
      </c>
      <c r="B3003" s="86">
        <v>143</v>
      </c>
      <c r="C3003" s="103">
        <v>7.6164264648573426E-3</v>
      </c>
      <c r="D3003" s="103">
        <v>7.1621106704864591E-3</v>
      </c>
    </row>
    <row r="3004" spans="1:4" x14ac:dyDescent="0.25">
      <c r="A3004" s="86">
        <v>51</v>
      </c>
      <c r="B3004" s="86">
        <v>145</v>
      </c>
      <c r="C3004" s="103">
        <v>3.8527660872862365E-3</v>
      </c>
      <c r="D3004" s="103">
        <v>3.434049779609271E-3</v>
      </c>
    </row>
    <row r="3005" spans="1:4" x14ac:dyDescent="0.25">
      <c r="A3005" s="86">
        <v>51</v>
      </c>
      <c r="B3005" s="86">
        <v>147</v>
      </c>
      <c r="C3005" s="103">
        <v>3.2180377652621201E-3</v>
      </c>
      <c r="D3005" s="103">
        <v>2.6931417792141199E-3</v>
      </c>
    </row>
    <row r="3006" spans="1:4" x14ac:dyDescent="0.25">
      <c r="A3006" s="86">
        <v>51</v>
      </c>
      <c r="B3006" s="86">
        <v>149</v>
      </c>
      <c r="C3006" s="103">
        <v>7.0282862178966772E-3</v>
      </c>
      <c r="D3006" s="103">
        <v>4.4689688912723392E-3</v>
      </c>
    </row>
    <row r="3007" spans="1:4" x14ac:dyDescent="0.25">
      <c r="A3007" s="86">
        <v>51</v>
      </c>
      <c r="B3007" s="86">
        <v>153</v>
      </c>
      <c r="C3007" s="103">
        <v>4.5021263773291395E-2</v>
      </c>
      <c r="D3007" s="103">
        <v>5.4803671140339738E-2</v>
      </c>
    </row>
    <row r="3008" spans="1:4" x14ac:dyDescent="0.25">
      <c r="A3008" s="86">
        <v>51</v>
      </c>
      <c r="B3008" s="86">
        <v>155</v>
      </c>
      <c r="C3008" s="103">
        <v>5.9244024301157916E-3</v>
      </c>
      <c r="D3008" s="103">
        <v>4.010311557694388E-3</v>
      </c>
    </row>
    <row r="3009" spans="1:4" x14ac:dyDescent="0.25">
      <c r="A3009" s="86">
        <v>51</v>
      </c>
      <c r="B3009" s="86">
        <v>157</v>
      </c>
      <c r="C3009" s="103">
        <v>8.5024732947077699E-4</v>
      </c>
      <c r="D3009" s="103">
        <v>8.6439266712767609E-4</v>
      </c>
    </row>
    <row r="3010" spans="1:4" x14ac:dyDescent="0.25">
      <c r="A3010" s="86">
        <v>51</v>
      </c>
      <c r="B3010" s="86">
        <v>159</v>
      </c>
      <c r="C3010" s="103">
        <v>1.1166055748945798E-3</v>
      </c>
      <c r="D3010" s="103">
        <v>1.0549118672292864E-3</v>
      </c>
    </row>
    <row r="3011" spans="1:4" x14ac:dyDescent="0.25">
      <c r="A3011" s="86">
        <v>51</v>
      </c>
      <c r="B3011" s="86">
        <v>161</v>
      </c>
      <c r="C3011" s="103">
        <v>1.1072089145631361E-2</v>
      </c>
      <c r="D3011" s="103">
        <v>1.1066578228124397E-2</v>
      </c>
    </row>
    <row r="3012" spans="1:4" x14ac:dyDescent="0.25">
      <c r="A3012" s="86">
        <v>51</v>
      </c>
      <c r="B3012" s="86">
        <v>163</v>
      </c>
      <c r="C3012" s="103">
        <v>8.3566869467398899E-3</v>
      </c>
      <c r="D3012" s="103">
        <v>2.6813813347634032E-3</v>
      </c>
    </row>
    <row r="3013" spans="1:4" x14ac:dyDescent="0.25">
      <c r="A3013" s="86">
        <v>51</v>
      </c>
      <c r="B3013" s="86">
        <v>165</v>
      </c>
      <c r="C3013" s="103">
        <v>1.1680561735966863E-2</v>
      </c>
      <c r="D3013" s="103">
        <v>9.5612413384326619E-3</v>
      </c>
    </row>
    <row r="3014" spans="1:4" x14ac:dyDescent="0.25">
      <c r="A3014" s="86">
        <v>51</v>
      </c>
      <c r="B3014" s="86">
        <v>167</v>
      </c>
      <c r="C3014" s="103">
        <v>2.8299683020255669E-3</v>
      </c>
      <c r="D3014" s="103">
        <v>3.1517991127920707E-3</v>
      </c>
    </row>
    <row r="3015" spans="1:4" x14ac:dyDescent="0.25">
      <c r="A3015" s="86">
        <v>51</v>
      </c>
      <c r="B3015" s="86">
        <v>169</v>
      </c>
      <c r="C3015" s="103">
        <v>2.6165288657860491E-3</v>
      </c>
      <c r="D3015" s="103">
        <v>2.5520164458055199E-3</v>
      </c>
    </row>
    <row r="3016" spans="1:4" x14ac:dyDescent="0.25">
      <c r="A3016" s="86">
        <v>51</v>
      </c>
      <c r="B3016" s="86">
        <v>171</v>
      </c>
      <c r="C3016" s="103">
        <v>1.099232598901973E-2</v>
      </c>
      <c r="D3016" s="103">
        <v>5.1157933360617561E-3</v>
      </c>
    </row>
    <row r="3017" spans="1:4" x14ac:dyDescent="0.25">
      <c r="A3017" s="86">
        <v>51</v>
      </c>
      <c r="B3017" s="86">
        <v>173</v>
      </c>
      <c r="C3017" s="103">
        <v>4.8312850927127058E-3</v>
      </c>
      <c r="D3017" s="103">
        <v>3.5869355574685876E-3</v>
      </c>
    </row>
    <row r="3018" spans="1:4" x14ac:dyDescent="0.25">
      <c r="A3018" s="86">
        <v>51</v>
      </c>
      <c r="B3018" s="86">
        <v>175</v>
      </c>
      <c r="C3018" s="103">
        <v>3.7576259506767644E-3</v>
      </c>
      <c r="D3018" s="103">
        <v>2.0815986677768525E-3</v>
      </c>
    </row>
    <row r="3019" spans="1:4" x14ac:dyDescent="0.25">
      <c r="A3019" s="86">
        <v>51</v>
      </c>
      <c r="B3019" s="86">
        <v>177</v>
      </c>
      <c r="C3019" s="103">
        <v>1.7257340502740536E-2</v>
      </c>
      <c r="D3019" s="103">
        <v>1.5758995563960352E-2</v>
      </c>
    </row>
    <row r="3020" spans="1:4" x14ac:dyDescent="0.25">
      <c r="A3020" s="86">
        <v>51</v>
      </c>
      <c r="B3020" s="86">
        <v>179</v>
      </c>
      <c r="C3020" s="103">
        <v>1.9775542518448101E-2</v>
      </c>
      <c r="D3020" s="103">
        <v>1.7640666676075022E-2</v>
      </c>
    </row>
    <row r="3021" spans="1:4" x14ac:dyDescent="0.25">
      <c r="A3021" s="86">
        <v>51</v>
      </c>
      <c r="B3021" s="86">
        <v>181</v>
      </c>
      <c r="C3021" s="103">
        <v>6.3688235525973273E-4</v>
      </c>
      <c r="D3021" s="103">
        <v>7.5972471151629763E-4</v>
      </c>
    </row>
    <row r="3022" spans="1:4" x14ac:dyDescent="0.25">
      <c r="A3022" s="86">
        <v>51</v>
      </c>
      <c r="B3022" s="86">
        <v>183</v>
      </c>
      <c r="C3022" s="103">
        <v>4.3848352385817456E-3</v>
      </c>
      <c r="D3022" s="103">
        <v>1.3171697784802683E-3</v>
      </c>
    </row>
    <row r="3023" spans="1:4" x14ac:dyDescent="0.25">
      <c r="A3023" s="86">
        <v>51</v>
      </c>
      <c r="B3023" s="86">
        <v>185</v>
      </c>
      <c r="C3023" s="103">
        <v>3.9222860308307794E-3</v>
      </c>
      <c r="D3023" s="103">
        <v>4.8335426692445562E-3</v>
      </c>
    </row>
    <row r="3024" spans="1:4" x14ac:dyDescent="0.25">
      <c r="A3024" s="86">
        <v>51</v>
      </c>
      <c r="B3024" s="86">
        <v>187</v>
      </c>
      <c r="C3024" s="103">
        <v>6.6298385397219346E-3</v>
      </c>
      <c r="D3024" s="103">
        <v>4.7041777802866724E-3</v>
      </c>
    </row>
    <row r="3025" spans="1:4" x14ac:dyDescent="0.25">
      <c r="A3025" s="86">
        <v>51</v>
      </c>
      <c r="B3025" s="86">
        <v>191</v>
      </c>
      <c r="C3025" s="103">
        <v>9.1541741768617017E-3</v>
      </c>
      <c r="D3025" s="103">
        <v>6.3624004478377251E-3</v>
      </c>
    </row>
    <row r="3026" spans="1:4" x14ac:dyDescent="0.25">
      <c r="A3026" s="86">
        <v>51</v>
      </c>
      <c r="B3026" s="86">
        <v>193</v>
      </c>
      <c r="C3026" s="103">
        <v>1.4498200546587884E-3</v>
      </c>
      <c r="D3026" s="103">
        <v>2.0933591122275692E-3</v>
      </c>
    </row>
    <row r="3027" spans="1:4" x14ac:dyDescent="0.25">
      <c r="A3027" s="86">
        <v>51</v>
      </c>
      <c r="B3027" s="86">
        <v>195</v>
      </c>
      <c r="C3027" s="103">
        <v>3.7970085030838798E-3</v>
      </c>
      <c r="D3027" s="103">
        <v>4.4572084468216221E-3</v>
      </c>
    </row>
    <row r="3028" spans="1:4" x14ac:dyDescent="0.25">
      <c r="A3028" s="86">
        <v>51</v>
      </c>
      <c r="B3028" s="86">
        <v>197</v>
      </c>
      <c r="C3028" s="103">
        <v>8.9515334189311704E-3</v>
      </c>
      <c r="D3028" s="103">
        <v>3.3752475573556877E-3</v>
      </c>
    </row>
    <row r="3029" spans="1:4" x14ac:dyDescent="0.25">
      <c r="A3029" s="86">
        <v>51</v>
      </c>
      <c r="B3029" s="86">
        <v>199</v>
      </c>
      <c r="C3029" s="103">
        <v>9.9878614487849491E-3</v>
      </c>
      <c r="D3029" s="103">
        <v>7.9971022264873435E-3</v>
      </c>
    </row>
    <row r="3030" spans="1:4" x14ac:dyDescent="0.25">
      <c r="A3030" s="86">
        <v>51</v>
      </c>
      <c r="B3030" s="86">
        <v>510</v>
      </c>
      <c r="C3030" s="103">
        <v>1.0282516498969729E-2</v>
      </c>
      <c r="D3030" s="103">
        <v>1.8699106676639522E-2</v>
      </c>
    </row>
    <row r="3031" spans="1:4" x14ac:dyDescent="0.25">
      <c r="A3031" s="86">
        <v>51</v>
      </c>
      <c r="B3031" s="86">
        <v>515</v>
      </c>
      <c r="C3031" s="103">
        <v>0</v>
      </c>
      <c r="D3031" s="103">
        <v>0</v>
      </c>
    </row>
    <row r="3032" spans="1:4" x14ac:dyDescent="0.25">
      <c r="A3032" s="86">
        <v>51</v>
      </c>
      <c r="B3032" s="86">
        <v>520</v>
      </c>
      <c r="C3032" s="103">
        <v>2.8630947751176073E-3</v>
      </c>
      <c r="D3032" s="103">
        <v>1.9639942232696859E-3</v>
      </c>
    </row>
    <row r="3033" spans="1:4" x14ac:dyDescent="0.25">
      <c r="A3033" s="86">
        <v>51</v>
      </c>
      <c r="B3033" s="86">
        <v>530</v>
      </c>
      <c r="C3033" s="103">
        <v>2.6226825359365597E-4</v>
      </c>
      <c r="D3033" s="103">
        <v>7.632528448515126E-4</v>
      </c>
    </row>
    <row r="3034" spans="1:4" x14ac:dyDescent="0.25">
      <c r="A3034" s="86">
        <v>51</v>
      </c>
      <c r="B3034" s="86">
        <v>540</v>
      </c>
      <c r="C3034" s="103">
        <v>2.8425497141757478E-3</v>
      </c>
      <c r="D3034" s="103">
        <v>5.5862111140904235E-3</v>
      </c>
    </row>
    <row r="3035" spans="1:4" x14ac:dyDescent="0.25">
      <c r="A3035" s="86">
        <v>51</v>
      </c>
      <c r="B3035" s="86">
        <v>550</v>
      </c>
      <c r="C3035" s="103">
        <v>2.8503376511648259E-2</v>
      </c>
      <c r="D3035" s="103">
        <v>2.846027557073437E-2</v>
      </c>
    </row>
    <row r="3036" spans="1:4" x14ac:dyDescent="0.25">
      <c r="A3036" s="86">
        <v>51</v>
      </c>
      <c r="B3036" s="86">
        <v>570</v>
      </c>
      <c r="C3036" s="103">
        <v>2.7938328683067845E-3</v>
      </c>
      <c r="D3036" s="103">
        <v>2.0580777788754192E-3</v>
      </c>
    </row>
    <row r="3037" spans="1:4" x14ac:dyDescent="0.25">
      <c r="A3037" s="86">
        <v>51</v>
      </c>
      <c r="B3037" s="86">
        <v>580</v>
      </c>
      <c r="C3037" s="103">
        <v>4.3449375183499383E-4</v>
      </c>
      <c r="D3037" s="103">
        <v>6.5623280034999079E-4</v>
      </c>
    </row>
    <row r="3038" spans="1:4" x14ac:dyDescent="0.25">
      <c r="A3038" s="86">
        <v>51</v>
      </c>
      <c r="B3038" s="86">
        <v>590</v>
      </c>
      <c r="C3038" s="103">
        <v>4.585043763239342E-3</v>
      </c>
      <c r="D3038" s="103">
        <v>4.7747404469909724E-3</v>
      </c>
    </row>
    <row r="3039" spans="1:4" x14ac:dyDescent="0.25">
      <c r="A3039" s="86">
        <v>51</v>
      </c>
      <c r="B3039" s="86">
        <v>595</v>
      </c>
      <c r="C3039" s="103">
        <v>8.8041746156530495E-4</v>
      </c>
      <c r="D3039" s="103">
        <v>6.3035982255841411E-4</v>
      </c>
    </row>
    <row r="3040" spans="1:4" x14ac:dyDescent="0.25">
      <c r="A3040" s="86">
        <v>51</v>
      </c>
      <c r="B3040" s="86">
        <v>600</v>
      </c>
      <c r="C3040" s="103">
        <v>1.9485530840202922E-3</v>
      </c>
      <c r="D3040" s="103">
        <v>2.7872253348198536E-3</v>
      </c>
    </row>
    <row r="3041" spans="1:4" x14ac:dyDescent="0.25">
      <c r="A3041" s="86">
        <v>51</v>
      </c>
      <c r="B3041" s="86">
        <v>610</v>
      </c>
      <c r="C3041" s="103">
        <v>6.3884916486606593E-4</v>
      </c>
      <c r="D3041" s="103">
        <v>1.7052644453539188E-3</v>
      </c>
    </row>
    <row r="3042" spans="1:4" x14ac:dyDescent="0.25">
      <c r="A3042" s="86">
        <v>51</v>
      </c>
      <c r="B3042" s="86">
        <v>620</v>
      </c>
      <c r="C3042" s="103">
        <v>4.3578771354404089E-4</v>
      </c>
      <c r="D3042" s="103">
        <v>9.5141995606297955E-4</v>
      </c>
    </row>
    <row r="3043" spans="1:4" x14ac:dyDescent="0.25">
      <c r="A3043" s="86">
        <v>51</v>
      </c>
      <c r="B3043" s="86">
        <v>630</v>
      </c>
      <c r="C3043" s="103">
        <v>4.4629608619744694E-3</v>
      </c>
      <c r="D3043" s="103">
        <v>3.434049779609271E-3</v>
      </c>
    </row>
    <row r="3044" spans="1:4" x14ac:dyDescent="0.25">
      <c r="A3044" s="86">
        <v>51</v>
      </c>
      <c r="B3044" s="86">
        <v>640</v>
      </c>
      <c r="C3044" s="103">
        <v>6.2681791210782839E-4</v>
      </c>
      <c r="D3044" s="103">
        <v>7.4678822262050923E-4</v>
      </c>
    </row>
    <row r="3045" spans="1:4" x14ac:dyDescent="0.25">
      <c r="A3045" s="86">
        <v>51</v>
      </c>
      <c r="B3045" s="86">
        <v>650</v>
      </c>
      <c r="C3045" s="103">
        <v>1.5045219372860963E-2</v>
      </c>
      <c r="D3045" s="103">
        <v>1.5758995563960352E-2</v>
      </c>
    </row>
    <row r="3046" spans="1:4" x14ac:dyDescent="0.25">
      <c r="A3046" s="86">
        <v>51</v>
      </c>
      <c r="B3046" s="86">
        <v>660</v>
      </c>
      <c r="C3046" s="103">
        <v>4.2696255917410381E-3</v>
      </c>
      <c r="D3046" s="103">
        <v>6.2918377811334242E-3</v>
      </c>
    </row>
    <row r="3047" spans="1:4" x14ac:dyDescent="0.25">
      <c r="A3047" s="86">
        <v>51</v>
      </c>
      <c r="B3047" s="86">
        <v>670</v>
      </c>
      <c r="C3047" s="103">
        <v>1.6627559831737671E-3</v>
      </c>
      <c r="D3047" s="103">
        <v>2.6461000014112532E-3</v>
      </c>
    </row>
    <row r="3048" spans="1:4" x14ac:dyDescent="0.25">
      <c r="A3048" s="86">
        <v>51</v>
      </c>
      <c r="B3048" s="86">
        <v>678</v>
      </c>
      <c r="C3048" s="103">
        <v>2.7990043982967379E-4</v>
      </c>
      <c r="D3048" s="103">
        <v>8.5851244490231775E-4</v>
      </c>
    </row>
    <row r="3049" spans="1:4" x14ac:dyDescent="0.25">
      <c r="A3049" s="86">
        <v>51</v>
      </c>
      <c r="B3049" s="86">
        <v>680</v>
      </c>
      <c r="C3049" s="103">
        <v>7.9553244533380491E-3</v>
      </c>
      <c r="D3049" s="103">
        <v>9.5612413384326619E-3</v>
      </c>
    </row>
    <row r="3050" spans="1:4" x14ac:dyDescent="0.25">
      <c r="A3050" s="86">
        <v>51</v>
      </c>
      <c r="B3050" s="86">
        <v>683</v>
      </c>
      <c r="C3050" s="103">
        <v>2.328804061522487E-3</v>
      </c>
      <c r="D3050" s="103">
        <v>4.8217822247938391E-3</v>
      </c>
    </row>
    <row r="3051" spans="1:4" x14ac:dyDescent="0.25">
      <c r="A3051" s="86">
        <v>51</v>
      </c>
      <c r="B3051" s="86">
        <v>685</v>
      </c>
      <c r="C3051" s="103">
        <v>4.8126914911730308E-4</v>
      </c>
      <c r="D3051" s="103">
        <v>2.0815986677768525E-3</v>
      </c>
    </row>
    <row r="3052" spans="1:4" x14ac:dyDescent="0.25">
      <c r="A3052" s="86">
        <v>51</v>
      </c>
      <c r="B3052" s="86">
        <v>690</v>
      </c>
      <c r="C3052" s="103">
        <v>9.6262253076431694E-4</v>
      </c>
      <c r="D3052" s="103">
        <v>1.4818160007903018E-3</v>
      </c>
    </row>
    <row r="3053" spans="1:4" x14ac:dyDescent="0.25">
      <c r="A3053" s="86">
        <v>51</v>
      </c>
      <c r="B3053" s="86">
        <v>700</v>
      </c>
      <c r="C3053" s="103">
        <v>1.8813129259424983E-2</v>
      </c>
      <c r="D3053" s="103">
        <v>2.1051195566782858E-2</v>
      </c>
    </row>
    <row r="3054" spans="1:4" x14ac:dyDescent="0.25">
      <c r="A3054" s="86">
        <v>51</v>
      </c>
      <c r="B3054" s="86">
        <v>710</v>
      </c>
      <c r="C3054" s="103">
        <v>2.4713017895134543E-2</v>
      </c>
      <c r="D3054" s="103">
        <v>2.8695484459748701E-2</v>
      </c>
    </row>
    <row r="3055" spans="1:4" x14ac:dyDescent="0.25">
      <c r="A3055" s="86">
        <v>51</v>
      </c>
      <c r="B3055" s="86">
        <v>720</v>
      </c>
      <c r="C3055" s="103">
        <v>4.5440251067277611E-4</v>
      </c>
      <c r="D3055" s="103">
        <v>4.6688964469345228E-4</v>
      </c>
    </row>
    <row r="3056" spans="1:4" x14ac:dyDescent="0.25">
      <c r="A3056" s="86">
        <v>51</v>
      </c>
      <c r="B3056" s="86">
        <v>730</v>
      </c>
      <c r="C3056" s="103">
        <v>4.6781015660957099E-3</v>
      </c>
      <c r="D3056" s="103">
        <v>3.6574982241728881E-3</v>
      </c>
    </row>
    <row r="3057" spans="1:4" x14ac:dyDescent="0.25">
      <c r="A3057" s="86">
        <v>51</v>
      </c>
      <c r="B3057" s="86">
        <v>735</v>
      </c>
      <c r="C3057" s="103">
        <v>4.626970717019015E-4</v>
      </c>
      <c r="D3057" s="103">
        <v>1.4347742229874351E-3</v>
      </c>
    </row>
    <row r="3058" spans="1:4" x14ac:dyDescent="0.25">
      <c r="A3058" s="86">
        <v>51</v>
      </c>
      <c r="B3058" s="86">
        <v>740</v>
      </c>
      <c r="C3058" s="103">
        <v>7.8817895046263062E-3</v>
      </c>
      <c r="D3058" s="103">
        <v>1.1148901339279415E-2</v>
      </c>
    </row>
    <row r="3059" spans="1:4" x14ac:dyDescent="0.25">
      <c r="A3059" s="86">
        <v>51</v>
      </c>
      <c r="B3059" s="86">
        <v>750</v>
      </c>
      <c r="C3059" s="103">
        <v>7.1086271304211085E-4</v>
      </c>
      <c r="D3059" s="103">
        <v>2.1286404455797192E-3</v>
      </c>
    </row>
    <row r="3060" spans="1:4" x14ac:dyDescent="0.25">
      <c r="A3060" s="86">
        <v>51</v>
      </c>
      <c r="B3060" s="86">
        <v>760</v>
      </c>
      <c r="C3060" s="103">
        <v>2.2938533960497342E-2</v>
      </c>
      <c r="D3060" s="103">
        <v>2.6931417792141199E-2</v>
      </c>
    </row>
    <row r="3061" spans="1:4" x14ac:dyDescent="0.25">
      <c r="A3061" s="86">
        <v>51</v>
      </c>
      <c r="B3061" s="86">
        <v>770</v>
      </c>
      <c r="C3061" s="103">
        <v>9.2841701491865394E-3</v>
      </c>
      <c r="D3061" s="103">
        <v>1.1642840006209515E-2</v>
      </c>
    </row>
    <row r="3062" spans="1:4" x14ac:dyDescent="0.25">
      <c r="A3062" s="86">
        <v>51</v>
      </c>
      <c r="B3062" s="86">
        <v>775</v>
      </c>
      <c r="C3062" s="103">
        <v>1.8100764855748898E-3</v>
      </c>
      <c r="D3062" s="103">
        <v>2.9753924460313203E-3</v>
      </c>
    </row>
    <row r="3063" spans="1:4" x14ac:dyDescent="0.25">
      <c r="A3063" s="86">
        <v>51</v>
      </c>
      <c r="B3063" s="86">
        <v>790</v>
      </c>
      <c r="C3063" s="103">
        <v>1.5745316518838129E-3</v>
      </c>
      <c r="D3063" s="103">
        <v>2.8930693348763036E-3</v>
      </c>
    </row>
    <row r="3064" spans="1:4" x14ac:dyDescent="0.25">
      <c r="A3064" s="86">
        <v>51</v>
      </c>
      <c r="B3064" s="86">
        <v>800</v>
      </c>
      <c r="C3064" s="103">
        <v>1.3647074408752846E-2</v>
      </c>
      <c r="D3064" s="103">
        <v>1.070200445015218E-2</v>
      </c>
    </row>
    <row r="3065" spans="1:4" x14ac:dyDescent="0.25">
      <c r="A3065" s="86">
        <v>51</v>
      </c>
      <c r="B3065" s="86">
        <v>810</v>
      </c>
      <c r="C3065" s="103">
        <v>3.5561763127215144E-2</v>
      </c>
      <c r="D3065" s="103">
        <v>5.2922000028225065E-2</v>
      </c>
    </row>
    <row r="3066" spans="1:4" x14ac:dyDescent="0.25">
      <c r="A3066" s="86">
        <v>51</v>
      </c>
      <c r="B3066" s="86">
        <v>820</v>
      </c>
      <c r="C3066" s="103">
        <v>1.8681759229533621E-3</v>
      </c>
      <c r="D3066" s="103">
        <v>2.6461000014112532E-3</v>
      </c>
    </row>
    <row r="3067" spans="1:4" x14ac:dyDescent="0.25">
      <c r="A3067" s="86">
        <v>51</v>
      </c>
      <c r="B3067" s="86">
        <v>830</v>
      </c>
      <c r="C3067" s="103">
        <v>1.0729393591032688E-3</v>
      </c>
      <c r="D3067" s="103">
        <v>1.7640666676075022E-3</v>
      </c>
    </row>
    <row r="3068" spans="1:4" x14ac:dyDescent="0.25">
      <c r="A3068" s="86">
        <v>51</v>
      </c>
      <c r="B3068" s="86">
        <v>840</v>
      </c>
      <c r="C3068" s="103">
        <v>1.6094218925350832E-3</v>
      </c>
      <c r="D3068" s="103">
        <v>3.2929244462006706E-3</v>
      </c>
    </row>
    <row r="3069" spans="1:4" x14ac:dyDescent="0.25">
      <c r="A3069" s="86">
        <v>53</v>
      </c>
      <c r="B3069" s="86">
        <v>1</v>
      </c>
      <c r="C3069" s="103">
        <v>9.3975175960787933E-3</v>
      </c>
      <c r="D3069" s="103">
        <v>2.6177175628916611E-3</v>
      </c>
    </row>
    <row r="3070" spans="1:4" x14ac:dyDescent="0.25">
      <c r="A3070" s="86">
        <v>53</v>
      </c>
      <c r="B3070" s="86">
        <v>3</v>
      </c>
      <c r="C3070" s="103">
        <v>1.8067036817404109E-3</v>
      </c>
      <c r="D3070" s="103">
        <v>3.0030668487995705E-3</v>
      </c>
    </row>
    <row r="3071" spans="1:4" x14ac:dyDescent="0.25">
      <c r="A3071" s="86">
        <v>53</v>
      </c>
      <c r="B3071" s="86">
        <v>5</v>
      </c>
      <c r="C3071" s="103">
        <v>2.9638698342929398E-2</v>
      </c>
      <c r="D3071" s="103">
        <v>2.6708691885341314E-2</v>
      </c>
    </row>
    <row r="3072" spans="1:4" x14ac:dyDescent="0.25">
      <c r="A3072" s="86">
        <v>53</v>
      </c>
      <c r="B3072" s="86">
        <v>7</v>
      </c>
      <c r="C3072" s="103">
        <v>1.0140178494207222E-2</v>
      </c>
      <c r="D3072" s="103">
        <v>1.0205112123354293E-2</v>
      </c>
    </row>
    <row r="3073" spans="1:4" x14ac:dyDescent="0.25">
      <c r="A3073" s="86">
        <v>53</v>
      </c>
      <c r="B3073" s="86">
        <v>9</v>
      </c>
      <c r="C3073" s="103">
        <v>7.9997966582113153E-3</v>
      </c>
      <c r="D3073" s="103">
        <v>1.0178536310533058E-2</v>
      </c>
    </row>
    <row r="3074" spans="1:4" x14ac:dyDescent="0.25">
      <c r="A3074" s="86">
        <v>53</v>
      </c>
      <c r="B3074" s="86">
        <v>11</v>
      </c>
      <c r="C3074" s="103">
        <v>5.5921360570803526E-2</v>
      </c>
      <c r="D3074" s="103">
        <v>6.3914829835070505E-2</v>
      </c>
    </row>
    <row r="3075" spans="1:4" x14ac:dyDescent="0.25">
      <c r="A3075" s="86">
        <v>53</v>
      </c>
      <c r="B3075" s="86">
        <v>13</v>
      </c>
      <c r="C3075" s="103">
        <v>5.4454260219920941E-4</v>
      </c>
      <c r="D3075" s="103">
        <v>5.3683141898894975E-4</v>
      </c>
    </row>
    <row r="3076" spans="1:4" x14ac:dyDescent="0.25">
      <c r="A3076" s="86">
        <v>53</v>
      </c>
      <c r="B3076" s="86">
        <v>15</v>
      </c>
      <c r="C3076" s="103">
        <v>2.2613577130113794E-2</v>
      </c>
      <c r="D3076" s="103">
        <v>1.448381798757315E-2</v>
      </c>
    </row>
    <row r="3077" spans="1:4" x14ac:dyDescent="0.25">
      <c r="A3077" s="86">
        <v>53</v>
      </c>
      <c r="B3077" s="86">
        <v>17</v>
      </c>
      <c r="C3077" s="103">
        <v>5.9312887033347939E-3</v>
      </c>
      <c r="D3077" s="103">
        <v>5.6739360373337022E-3</v>
      </c>
    </row>
    <row r="3078" spans="1:4" x14ac:dyDescent="0.25">
      <c r="A3078" s="86">
        <v>53</v>
      </c>
      <c r="B3078" s="86">
        <v>19</v>
      </c>
      <c r="C3078" s="103">
        <v>8.1460404411082331E-4</v>
      </c>
      <c r="D3078" s="103">
        <v>1.0151960497711823E-3</v>
      </c>
    </row>
    <row r="3079" spans="1:4" x14ac:dyDescent="0.25">
      <c r="A3079" s="86">
        <v>53</v>
      </c>
      <c r="B3079" s="86">
        <v>21</v>
      </c>
      <c r="C3079" s="103">
        <v>1.34161105611633E-2</v>
      </c>
      <c r="D3079" s="103">
        <v>1.2490632025980514E-2</v>
      </c>
    </row>
    <row r="3080" spans="1:4" x14ac:dyDescent="0.25">
      <c r="A3080" s="86">
        <v>53</v>
      </c>
      <c r="B3080" s="86">
        <v>23</v>
      </c>
      <c r="C3080" s="103">
        <v>4.6380510780851984E-4</v>
      </c>
      <c r="D3080" s="103">
        <v>2.9764910359783353E-4</v>
      </c>
    </row>
    <row r="3081" spans="1:4" x14ac:dyDescent="0.25">
      <c r="A3081" s="86">
        <v>53</v>
      </c>
      <c r="B3081" s="86">
        <v>25</v>
      </c>
      <c r="C3081" s="103">
        <v>1.5824397914534428E-2</v>
      </c>
      <c r="D3081" s="103">
        <v>1.2849405499067188E-2</v>
      </c>
    </row>
    <row r="3082" spans="1:4" x14ac:dyDescent="0.25">
      <c r="A3082" s="86">
        <v>53</v>
      </c>
      <c r="B3082" s="86">
        <v>27</v>
      </c>
      <c r="C3082" s="103">
        <v>1.082214067617784E-2</v>
      </c>
      <c r="D3082" s="103">
        <v>9.8064749310357649E-3</v>
      </c>
    </row>
    <row r="3083" spans="1:4" x14ac:dyDescent="0.25">
      <c r="A3083" s="86">
        <v>53</v>
      </c>
      <c r="B3083" s="86">
        <v>29</v>
      </c>
      <c r="C3083" s="103">
        <v>6.2246365453699718E-3</v>
      </c>
      <c r="D3083" s="103">
        <v>1.1188417197739994E-2</v>
      </c>
    </row>
    <row r="3084" spans="1:4" x14ac:dyDescent="0.25">
      <c r="A3084" s="86">
        <v>53</v>
      </c>
      <c r="B3084" s="86">
        <v>31</v>
      </c>
      <c r="C3084" s="103">
        <v>4.1921342827471201E-3</v>
      </c>
      <c r="D3084" s="103">
        <v>4.2122663321657689E-3</v>
      </c>
    </row>
    <row r="3085" spans="1:4" x14ac:dyDescent="0.25">
      <c r="A3085" s="86">
        <v>53</v>
      </c>
      <c r="B3085" s="86">
        <v>33</v>
      </c>
      <c r="C3085" s="103">
        <v>0.28994625285793496</v>
      </c>
      <c r="D3085" s="103">
        <v>0.2963203129567718</v>
      </c>
    </row>
    <row r="3086" spans="1:4" x14ac:dyDescent="0.25">
      <c r="A3086" s="86">
        <v>53</v>
      </c>
      <c r="B3086" s="86">
        <v>35</v>
      </c>
      <c r="C3086" s="103">
        <v>3.0961343661736689E-2</v>
      </c>
      <c r="D3086" s="103">
        <v>3.5744468244561262E-2</v>
      </c>
    </row>
    <row r="3087" spans="1:4" x14ac:dyDescent="0.25">
      <c r="A3087" s="86">
        <v>53</v>
      </c>
      <c r="B3087" s="86">
        <v>37</v>
      </c>
      <c r="C3087" s="103">
        <v>2.0521412295355892E-2</v>
      </c>
      <c r="D3087" s="103">
        <v>6.2984676386327277E-3</v>
      </c>
    </row>
    <row r="3088" spans="1:4" x14ac:dyDescent="0.25">
      <c r="A3088" s="86">
        <v>53</v>
      </c>
      <c r="B3088" s="86">
        <v>39</v>
      </c>
      <c r="C3088" s="103">
        <v>2.4204866983074374E-3</v>
      </c>
      <c r="D3088" s="103">
        <v>2.9366273167464826E-3</v>
      </c>
    </row>
    <row r="3089" spans="1:4" x14ac:dyDescent="0.25">
      <c r="A3089" s="86">
        <v>53</v>
      </c>
      <c r="B3089" s="86">
        <v>41</v>
      </c>
      <c r="C3089" s="103">
        <v>1.7171350059403276E-2</v>
      </c>
      <c r="D3089" s="103">
        <v>1.0577173502851586E-2</v>
      </c>
    </row>
    <row r="3090" spans="1:4" x14ac:dyDescent="0.25">
      <c r="A3090" s="86">
        <v>53</v>
      </c>
      <c r="B3090" s="86">
        <v>43</v>
      </c>
      <c r="C3090" s="103">
        <v>3.9433101643660375E-3</v>
      </c>
      <c r="D3090" s="103">
        <v>1.4218059859360799E-3</v>
      </c>
    </row>
    <row r="3091" spans="1:4" x14ac:dyDescent="0.25">
      <c r="A3091" s="86">
        <v>53</v>
      </c>
      <c r="B3091" s="86">
        <v>45</v>
      </c>
      <c r="C3091" s="103">
        <v>6.7845631672076344E-3</v>
      </c>
      <c r="D3091" s="103">
        <v>8.6902907925438897E-3</v>
      </c>
    </row>
    <row r="3092" spans="1:4" x14ac:dyDescent="0.25">
      <c r="A3092" s="86">
        <v>53</v>
      </c>
      <c r="B3092" s="86">
        <v>47</v>
      </c>
      <c r="C3092" s="103">
        <v>5.2831387015518771E-3</v>
      </c>
      <c r="D3092" s="103">
        <v>5.5942085988699968E-3</v>
      </c>
    </row>
    <row r="3093" spans="1:4" x14ac:dyDescent="0.25">
      <c r="A3093" s="86">
        <v>53</v>
      </c>
      <c r="B3093" s="86">
        <v>49</v>
      </c>
      <c r="C3093" s="103">
        <v>2.3692388713939003E-3</v>
      </c>
      <c r="D3093" s="103">
        <v>2.9366273167464826E-3</v>
      </c>
    </row>
    <row r="3094" spans="1:4" x14ac:dyDescent="0.25">
      <c r="A3094" s="86">
        <v>53</v>
      </c>
      <c r="B3094" s="86">
        <v>51</v>
      </c>
      <c r="C3094" s="103">
        <v>1.3778532925348066E-3</v>
      </c>
      <c r="D3094" s="103">
        <v>1.8071552718439893E-3</v>
      </c>
    </row>
    <row r="3095" spans="1:4" x14ac:dyDescent="0.25">
      <c r="A3095" s="86">
        <v>53</v>
      </c>
      <c r="B3095" s="86">
        <v>53</v>
      </c>
      <c r="C3095" s="103">
        <v>0.11778020678078714</v>
      </c>
      <c r="D3095" s="103">
        <v>0.11879388331092107</v>
      </c>
    </row>
    <row r="3096" spans="1:4" x14ac:dyDescent="0.25">
      <c r="A3096" s="86">
        <v>53</v>
      </c>
      <c r="B3096" s="86">
        <v>55</v>
      </c>
      <c r="C3096" s="103">
        <v>5.7540881736258443E-4</v>
      </c>
      <c r="D3096" s="103">
        <v>2.2722319962156044E-3</v>
      </c>
    </row>
    <row r="3097" spans="1:4" x14ac:dyDescent="0.25">
      <c r="A3097" s="86">
        <v>53</v>
      </c>
      <c r="B3097" s="86">
        <v>57</v>
      </c>
      <c r="C3097" s="103">
        <v>2.2055165653943398E-2</v>
      </c>
      <c r="D3097" s="103">
        <v>1.7008520205590488E-2</v>
      </c>
    </row>
    <row r="3098" spans="1:4" x14ac:dyDescent="0.25">
      <c r="A3098" s="86">
        <v>53</v>
      </c>
      <c r="B3098" s="86">
        <v>59</v>
      </c>
      <c r="C3098" s="103">
        <v>1.3151084743628549E-3</v>
      </c>
      <c r="D3098" s="103">
        <v>1.5812608628634906E-3</v>
      </c>
    </row>
    <row r="3099" spans="1:4" x14ac:dyDescent="0.25">
      <c r="A3099" s="86">
        <v>53</v>
      </c>
      <c r="B3099" s="86">
        <v>61</v>
      </c>
      <c r="C3099" s="103">
        <v>0.10111609226794675</v>
      </c>
      <c r="D3099" s="103">
        <v>0.10803067911832083</v>
      </c>
    </row>
    <row r="3100" spans="1:4" x14ac:dyDescent="0.25">
      <c r="A3100" s="86">
        <v>53</v>
      </c>
      <c r="B3100" s="86">
        <v>63</v>
      </c>
      <c r="C3100" s="103">
        <v>6.5626453657706321E-2</v>
      </c>
      <c r="D3100" s="103">
        <v>6.8299838950574301E-2</v>
      </c>
    </row>
    <row r="3101" spans="1:4" x14ac:dyDescent="0.25">
      <c r="A3101" s="86">
        <v>53</v>
      </c>
      <c r="B3101" s="86">
        <v>65</v>
      </c>
      <c r="C3101" s="103">
        <v>4.0933015913706744E-3</v>
      </c>
      <c r="D3101" s="103">
        <v>6.0061336975991411E-3</v>
      </c>
    </row>
    <row r="3102" spans="1:4" x14ac:dyDescent="0.25">
      <c r="A3102" s="86">
        <v>53</v>
      </c>
      <c r="B3102" s="86">
        <v>67</v>
      </c>
      <c r="C3102" s="103">
        <v>4.1750753593608386E-2</v>
      </c>
      <c r="D3102" s="103">
        <v>3.8003412334366243E-2</v>
      </c>
    </row>
    <row r="3103" spans="1:4" x14ac:dyDescent="0.25">
      <c r="A3103" s="86">
        <v>53</v>
      </c>
      <c r="B3103" s="86">
        <v>69</v>
      </c>
      <c r="C3103" s="103">
        <v>4.012042228197943E-4</v>
      </c>
      <c r="D3103" s="103">
        <v>5.8732546334929652E-4</v>
      </c>
    </row>
    <row r="3104" spans="1:4" x14ac:dyDescent="0.25">
      <c r="A3104" s="86">
        <v>53</v>
      </c>
      <c r="B3104" s="86">
        <v>71</v>
      </c>
      <c r="C3104" s="103">
        <v>7.2064109227272617E-3</v>
      </c>
      <c r="D3104" s="103">
        <v>8.0524712848342467E-3</v>
      </c>
    </row>
    <row r="3105" spans="1:4" x14ac:dyDescent="0.25">
      <c r="A3105" s="86">
        <v>53</v>
      </c>
      <c r="B3105" s="86">
        <v>73</v>
      </c>
      <c r="C3105" s="103">
        <v>2.4422190052419843E-2</v>
      </c>
      <c r="D3105" s="103">
        <v>2.9897789423889529E-2</v>
      </c>
    </row>
    <row r="3106" spans="1:4" x14ac:dyDescent="0.25">
      <c r="A3106" s="86">
        <v>53</v>
      </c>
      <c r="B3106" s="86">
        <v>75</v>
      </c>
      <c r="C3106" s="103">
        <v>5.3996344329189996E-3</v>
      </c>
      <c r="D3106" s="103">
        <v>6.6040894860769318E-3</v>
      </c>
    </row>
    <row r="3107" spans="1:4" x14ac:dyDescent="0.25">
      <c r="A3107" s="86">
        <v>53</v>
      </c>
      <c r="B3107" s="86">
        <v>77</v>
      </c>
      <c r="C3107" s="103">
        <v>3.1727626850703065E-2</v>
      </c>
      <c r="D3107" s="103">
        <v>3.3352645090650099E-2</v>
      </c>
    </row>
    <row r="3108" spans="1:4" x14ac:dyDescent="0.25">
      <c r="A3108" s="86">
        <v>54</v>
      </c>
      <c r="B3108" s="86">
        <v>1</v>
      </c>
      <c r="C3108" s="103">
        <v>5.8651896422921542E-3</v>
      </c>
      <c r="D3108" s="103">
        <v>9.1446686581722857E-3</v>
      </c>
    </row>
    <row r="3109" spans="1:4" x14ac:dyDescent="0.25">
      <c r="A3109" s="86">
        <v>54</v>
      </c>
      <c r="B3109" s="86">
        <v>3</v>
      </c>
      <c r="C3109" s="103">
        <v>6.5939126886350216E-2</v>
      </c>
      <c r="D3109" s="103">
        <v>6.4844014121585303E-2</v>
      </c>
    </row>
    <row r="3110" spans="1:4" x14ac:dyDescent="0.25">
      <c r="A3110" s="86">
        <v>54</v>
      </c>
      <c r="B3110" s="86">
        <v>5</v>
      </c>
      <c r="C3110" s="103">
        <v>1.1038437415700982E-2</v>
      </c>
      <c r="D3110" s="103">
        <v>1.2192891544229714E-2</v>
      </c>
    </row>
    <row r="3111" spans="1:4" x14ac:dyDescent="0.25">
      <c r="A3111" s="86">
        <v>54</v>
      </c>
      <c r="B3111" s="86">
        <v>7</v>
      </c>
      <c r="C3111" s="103">
        <v>1.8186664534683539E-2</v>
      </c>
      <c r="D3111" s="103">
        <v>7.814535035165408E-3</v>
      </c>
    </row>
    <row r="3112" spans="1:4" x14ac:dyDescent="0.25">
      <c r="A3112" s="86">
        <v>54</v>
      </c>
      <c r="B3112" s="86">
        <v>9</v>
      </c>
      <c r="C3112" s="103">
        <v>1.1257584036199744E-2</v>
      </c>
      <c r="D3112" s="103">
        <v>1.2248313778521668E-2</v>
      </c>
    </row>
    <row r="3113" spans="1:4" x14ac:dyDescent="0.25">
      <c r="A3113" s="86">
        <v>54</v>
      </c>
      <c r="B3113" s="86">
        <v>11</v>
      </c>
      <c r="C3113" s="103">
        <v>5.2091550741206055E-2</v>
      </c>
      <c r="D3113" s="103">
        <v>5.1542677891516515E-2</v>
      </c>
    </row>
    <row r="3114" spans="1:4" x14ac:dyDescent="0.25">
      <c r="A3114" s="86">
        <v>54</v>
      </c>
      <c r="B3114" s="86">
        <v>13</v>
      </c>
      <c r="C3114" s="103">
        <v>1.9695077073122054E-3</v>
      </c>
      <c r="D3114" s="103">
        <v>4.0014853158790243E-3</v>
      </c>
    </row>
    <row r="3115" spans="1:4" x14ac:dyDescent="0.25">
      <c r="A3115" s="86">
        <v>54</v>
      </c>
      <c r="B3115" s="86">
        <v>15</v>
      </c>
      <c r="C3115" s="103">
        <v>3.9010315903659971E-3</v>
      </c>
      <c r="D3115" s="103">
        <v>4.78848104282476E-3</v>
      </c>
    </row>
    <row r="3116" spans="1:4" x14ac:dyDescent="0.25">
      <c r="A3116" s="86">
        <v>54</v>
      </c>
      <c r="B3116" s="86">
        <v>17</v>
      </c>
      <c r="C3116" s="103">
        <v>4.8099685700031935E-3</v>
      </c>
      <c r="D3116" s="103">
        <v>4.7441432553911979E-3</v>
      </c>
    </row>
    <row r="3117" spans="1:4" x14ac:dyDescent="0.25">
      <c r="A3117" s="86">
        <v>54</v>
      </c>
      <c r="B3117" s="86">
        <v>19</v>
      </c>
      <c r="C3117" s="103">
        <v>2.9464488653821109E-2</v>
      </c>
      <c r="D3117" s="103">
        <v>2.3831560745539895E-2</v>
      </c>
    </row>
    <row r="3118" spans="1:4" x14ac:dyDescent="0.25">
      <c r="A3118" s="86">
        <v>54</v>
      </c>
      <c r="B3118" s="86">
        <v>21</v>
      </c>
      <c r="C3118" s="103">
        <v>2.6047099894599161E-3</v>
      </c>
      <c r="D3118" s="103">
        <v>4.3783565090643062E-3</v>
      </c>
    </row>
    <row r="3119" spans="1:4" x14ac:dyDescent="0.25">
      <c r="A3119" s="86">
        <v>54</v>
      </c>
      <c r="B3119" s="86">
        <v>23</v>
      </c>
      <c r="C3119" s="103">
        <v>5.5689285046286703E-3</v>
      </c>
      <c r="D3119" s="103">
        <v>6.4289791778665761E-3</v>
      </c>
    </row>
    <row r="3120" spans="1:4" x14ac:dyDescent="0.25">
      <c r="A3120" s="86">
        <v>54</v>
      </c>
      <c r="B3120" s="86">
        <v>25</v>
      </c>
      <c r="C3120" s="103">
        <v>2.0991480868177696E-2</v>
      </c>
      <c r="D3120" s="103">
        <v>1.9286937533599731E-2</v>
      </c>
    </row>
    <row r="3121" spans="1:4" x14ac:dyDescent="0.25">
      <c r="A3121" s="86">
        <v>54</v>
      </c>
      <c r="B3121" s="86">
        <v>27</v>
      </c>
      <c r="C3121" s="103">
        <v>8.7109253999766191E-3</v>
      </c>
      <c r="D3121" s="103">
        <v>1.2968802824317059E-2</v>
      </c>
    </row>
    <row r="3122" spans="1:4" x14ac:dyDescent="0.25">
      <c r="A3122" s="86">
        <v>54</v>
      </c>
      <c r="B3122" s="86">
        <v>29</v>
      </c>
      <c r="C3122" s="103">
        <v>8.3844177134535323E-3</v>
      </c>
      <c r="D3122" s="103">
        <v>1.6127870178958396E-2</v>
      </c>
    </row>
    <row r="3123" spans="1:4" x14ac:dyDescent="0.25">
      <c r="A3123" s="86">
        <v>54</v>
      </c>
      <c r="B3123" s="86">
        <v>31</v>
      </c>
      <c r="C3123" s="103">
        <v>7.6406508962988343E-3</v>
      </c>
      <c r="D3123" s="103">
        <v>7.648268332289548E-3</v>
      </c>
    </row>
    <row r="3124" spans="1:4" x14ac:dyDescent="0.25">
      <c r="A3124" s="86">
        <v>54</v>
      </c>
      <c r="B3124" s="86">
        <v>33</v>
      </c>
      <c r="C3124" s="103">
        <v>4.6868762384022773E-2</v>
      </c>
      <c r="D3124" s="103">
        <v>3.7410008147068442E-2</v>
      </c>
    </row>
    <row r="3125" spans="1:4" x14ac:dyDescent="0.25">
      <c r="A3125" s="86">
        <v>54</v>
      </c>
      <c r="B3125" s="86">
        <v>35</v>
      </c>
      <c r="C3125" s="103">
        <v>2.2845549998888055E-2</v>
      </c>
      <c r="D3125" s="103">
        <v>1.5906181241790582E-2</v>
      </c>
    </row>
    <row r="3126" spans="1:4" x14ac:dyDescent="0.25">
      <c r="A3126" s="86">
        <v>54</v>
      </c>
      <c r="B3126" s="86">
        <v>37</v>
      </c>
      <c r="C3126" s="103">
        <v>2.1505034906453321E-2</v>
      </c>
      <c r="D3126" s="103">
        <v>3.1535251312121398E-2</v>
      </c>
    </row>
    <row r="3127" spans="1:4" x14ac:dyDescent="0.25">
      <c r="A3127" s="86">
        <v>54</v>
      </c>
      <c r="B3127" s="86">
        <v>39</v>
      </c>
      <c r="C3127" s="103">
        <v>0.13345708046164825</v>
      </c>
      <c r="D3127" s="103">
        <v>9.9760021725515846E-2</v>
      </c>
    </row>
    <row r="3128" spans="1:4" x14ac:dyDescent="0.25">
      <c r="A3128" s="86">
        <v>54</v>
      </c>
      <c r="B3128" s="86">
        <v>41</v>
      </c>
      <c r="C3128" s="103">
        <v>1.8423213581326054E-2</v>
      </c>
      <c r="D3128" s="103">
        <v>8.8675574867125191E-3</v>
      </c>
    </row>
    <row r="3129" spans="1:4" x14ac:dyDescent="0.25">
      <c r="A3129" s="86">
        <v>54</v>
      </c>
      <c r="B3129" s="86">
        <v>43</v>
      </c>
      <c r="C3129" s="103">
        <v>5.9127067728700052E-3</v>
      </c>
      <c r="D3129" s="103">
        <v>1.1416980264142368E-2</v>
      </c>
    </row>
    <row r="3130" spans="1:4" x14ac:dyDescent="0.25">
      <c r="A3130" s="86">
        <v>54</v>
      </c>
      <c r="B3130" s="86">
        <v>45</v>
      </c>
      <c r="C3130" s="103">
        <v>1.5689005894882074E-2</v>
      </c>
      <c r="D3130" s="103">
        <v>1.8067648379176758E-2</v>
      </c>
    </row>
    <row r="3131" spans="1:4" x14ac:dyDescent="0.25">
      <c r="A3131" s="86">
        <v>54</v>
      </c>
      <c r="B3131" s="86">
        <v>47</v>
      </c>
      <c r="C3131" s="103">
        <v>7.0028492945513159E-3</v>
      </c>
      <c r="D3131" s="103">
        <v>1.008684664113549E-2</v>
      </c>
    </row>
    <row r="3132" spans="1:4" x14ac:dyDescent="0.25">
      <c r="A3132" s="86">
        <v>54</v>
      </c>
      <c r="B3132" s="86">
        <v>49</v>
      </c>
      <c r="C3132" s="103">
        <v>2.9752820349072971E-2</v>
      </c>
      <c r="D3132" s="103">
        <v>3.1091873437785772E-2</v>
      </c>
    </row>
    <row r="3133" spans="1:4" x14ac:dyDescent="0.25">
      <c r="A3133" s="86">
        <v>54</v>
      </c>
      <c r="B3133" s="86">
        <v>51</v>
      </c>
      <c r="C3133" s="103">
        <v>1.0618110911624649E-2</v>
      </c>
      <c r="D3133" s="103">
        <v>1.7070048161921599E-2</v>
      </c>
    </row>
    <row r="3134" spans="1:4" x14ac:dyDescent="0.25">
      <c r="A3134" s="86">
        <v>54</v>
      </c>
      <c r="B3134" s="86">
        <v>53</v>
      </c>
      <c r="C3134" s="103">
        <v>1.3457020952685894E-2</v>
      </c>
      <c r="D3134" s="103">
        <v>1.485315879024347E-2</v>
      </c>
    </row>
    <row r="3135" spans="1:4" x14ac:dyDescent="0.25">
      <c r="A3135" s="86">
        <v>54</v>
      </c>
      <c r="B3135" s="86">
        <v>55</v>
      </c>
      <c r="C3135" s="103">
        <v>4.3869586392785549E-2</v>
      </c>
      <c r="D3135" s="103">
        <v>3.2809962700836325E-2</v>
      </c>
    </row>
    <row r="3136" spans="1:4" x14ac:dyDescent="0.25">
      <c r="A3136" s="86">
        <v>54</v>
      </c>
      <c r="B3136" s="86">
        <v>57</v>
      </c>
      <c r="C3136" s="103">
        <v>8.8790322115452104E-3</v>
      </c>
      <c r="D3136" s="103">
        <v>1.4964003258827376E-2</v>
      </c>
    </row>
    <row r="3137" spans="1:4" x14ac:dyDescent="0.25">
      <c r="A3137" s="86">
        <v>54</v>
      </c>
      <c r="B3137" s="86">
        <v>59</v>
      </c>
      <c r="C3137" s="103">
        <v>1.074338180214502E-2</v>
      </c>
      <c r="D3137" s="103">
        <v>1.3245913995776825E-2</v>
      </c>
    </row>
    <row r="3138" spans="1:4" x14ac:dyDescent="0.25">
      <c r="A3138" s="86">
        <v>54</v>
      </c>
      <c r="B3138" s="86">
        <v>61</v>
      </c>
      <c r="C3138" s="103">
        <v>5.6976606931527847E-2</v>
      </c>
      <c r="D3138" s="103">
        <v>5.8747568349470439E-2</v>
      </c>
    </row>
    <row r="3139" spans="1:4" x14ac:dyDescent="0.25">
      <c r="A3139" s="86">
        <v>54</v>
      </c>
      <c r="B3139" s="86">
        <v>63</v>
      </c>
      <c r="C3139" s="103">
        <v>3.2698634753442726E-3</v>
      </c>
      <c r="D3139" s="103">
        <v>7.3711571608297815E-3</v>
      </c>
    </row>
    <row r="3140" spans="1:4" x14ac:dyDescent="0.25">
      <c r="A3140" s="86">
        <v>54</v>
      </c>
      <c r="B3140" s="86">
        <v>65</v>
      </c>
      <c r="C3140" s="103">
        <v>5.5216904916289156E-3</v>
      </c>
      <c r="D3140" s="103">
        <v>9.865157703967677E-3</v>
      </c>
    </row>
    <row r="3141" spans="1:4" x14ac:dyDescent="0.25">
      <c r="A3141" s="86">
        <v>54</v>
      </c>
      <c r="B3141" s="86">
        <v>67</v>
      </c>
      <c r="C3141" s="103">
        <v>1.443459905052708E-2</v>
      </c>
      <c r="D3141" s="103">
        <v>1.3744714104404405E-2</v>
      </c>
    </row>
    <row r="3142" spans="1:4" x14ac:dyDescent="0.25">
      <c r="A3142" s="86">
        <v>54</v>
      </c>
      <c r="B3142" s="86">
        <v>69</v>
      </c>
      <c r="C3142" s="103">
        <v>2.8034352420209189E-2</v>
      </c>
      <c r="D3142" s="103">
        <v>2.3111071699744502E-2</v>
      </c>
    </row>
    <row r="3143" spans="1:4" x14ac:dyDescent="0.25">
      <c r="A3143" s="86">
        <v>54</v>
      </c>
      <c r="B3143" s="86">
        <v>71</v>
      </c>
      <c r="C3143" s="103">
        <v>3.2868716739134552E-3</v>
      </c>
      <c r="D3143" s="103">
        <v>3.8684719535783366E-3</v>
      </c>
    </row>
    <row r="3144" spans="1:4" x14ac:dyDescent="0.25">
      <c r="A3144" s="86">
        <v>54</v>
      </c>
      <c r="B3144" s="86">
        <v>73</v>
      </c>
      <c r="C3144" s="103">
        <v>3.3045998612985482E-3</v>
      </c>
      <c r="D3144" s="103">
        <v>4.162209795325689E-3</v>
      </c>
    </row>
    <row r="3145" spans="1:4" x14ac:dyDescent="0.25">
      <c r="A3145" s="86">
        <v>54</v>
      </c>
      <c r="B3145" s="86">
        <v>75</v>
      </c>
      <c r="C3145" s="103">
        <v>3.498611585758551E-3</v>
      </c>
      <c r="D3145" s="103">
        <v>4.661009903953268E-3</v>
      </c>
    </row>
    <row r="3146" spans="1:4" x14ac:dyDescent="0.25">
      <c r="A3146" s="86">
        <v>54</v>
      </c>
      <c r="B3146" s="86">
        <v>77</v>
      </c>
      <c r="C3146" s="103">
        <v>1.443286249530143E-2</v>
      </c>
      <c r="D3146" s="103">
        <v>1.8621870722096291E-2</v>
      </c>
    </row>
    <row r="3147" spans="1:4" x14ac:dyDescent="0.25">
      <c r="A3147" s="86">
        <v>54</v>
      </c>
      <c r="B3147" s="86">
        <v>79</v>
      </c>
      <c r="C3147" s="103">
        <v>3.4143098283232871E-2</v>
      </c>
      <c r="D3147" s="103">
        <v>3.1368984609245538E-2</v>
      </c>
    </row>
    <row r="3148" spans="1:4" x14ac:dyDescent="0.25">
      <c r="A3148" s="86">
        <v>54</v>
      </c>
      <c r="B3148" s="86">
        <v>81</v>
      </c>
      <c r="C3148" s="103">
        <v>5.3181580007791156E-2</v>
      </c>
      <c r="D3148" s="103">
        <v>4.1123297844629307E-2</v>
      </c>
    </row>
    <row r="3149" spans="1:4" x14ac:dyDescent="0.25">
      <c r="A3149" s="86">
        <v>54</v>
      </c>
      <c r="B3149" s="86">
        <v>83</v>
      </c>
      <c r="C3149" s="103">
        <v>1.1905724590494765E-2</v>
      </c>
      <c r="D3149" s="103">
        <v>1.5961603476082536E-2</v>
      </c>
    </row>
    <row r="3150" spans="1:4" x14ac:dyDescent="0.25">
      <c r="A3150" s="86">
        <v>54</v>
      </c>
      <c r="B3150" s="86">
        <v>85</v>
      </c>
      <c r="C3150" s="103">
        <v>6.5552456848663922E-3</v>
      </c>
      <c r="D3150" s="103">
        <v>5.4036678434654416E-3</v>
      </c>
    </row>
    <row r="3151" spans="1:4" x14ac:dyDescent="0.25">
      <c r="A3151" s="86">
        <v>54</v>
      </c>
      <c r="B3151" s="86">
        <v>87</v>
      </c>
      <c r="C3151" s="103">
        <v>7.0440800848511299E-3</v>
      </c>
      <c r="D3151" s="103">
        <v>7.7036905665815014E-3</v>
      </c>
    </row>
    <row r="3152" spans="1:4" x14ac:dyDescent="0.25">
      <c r="A3152" s="86">
        <v>54</v>
      </c>
      <c r="B3152" s="86">
        <v>89</v>
      </c>
      <c r="C3152" s="103">
        <v>5.904264441899427E-3</v>
      </c>
      <c r="D3152" s="103">
        <v>7.0386237550780625E-3</v>
      </c>
    </row>
    <row r="3153" spans="1:4" x14ac:dyDescent="0.25">
      <c r="A3153" s="86">
        <v>54</v>
      </c>
      <c r="B3153" s="86">
        <v>91</v>
      </c>
      <c r="C3153" s="103">
        <v>5.78979488483416E-3</v>
      </c>
      <c r="D3153" s="103">
        <v>9.3109353610481456E-3</v>
      </c>
    </row>
    <row r="3154" spans="1:4" x14ac:dyDescent="0.25">
      <c r="A3154" s="86">
        <v>54</v>
      </c>
      <c r="B3154" s="86">
        <v>93</v>
      </c>
      <c r="C3154" s="103">
        <v>2.9895830959699109E-3</v>
      </c>
      <c r="D3154" s="103">
        <v>3.8463030598615551E-3</v>
      </c>
    </row>
    <row r="3155" spans="1:4" x14ac:dyDescent="0.25">
      <c r="A3155" s="86">
        <v>54</v>
      </c>
      <c r="B3155" s="86">
        <v>95</v>
      </c>
      <c r="C3155" s="103">
        <v>2.9906612666277905E-3</v>
      </c>
      <c r="D3155" s="103">
        <v>4.8439032771167134E-3</v>
      </c>
    </row>
    <row r="3156" spans="1:4" x14ac:dyDescent="0.25">
      <c r="A3156" s="86">
        <v>54</v>
      </c>
      <c r="B3156" s="86">
        <v>97</v>
      </c>
      <c r="C3156" s="103">
        <v>8.974835206046021E-3</v>
      </c>
      <c r="D3156" s="103">
        <v>1.3523025167236592E-2</v>
      </c>
    </row>
    <row r="3157" spans="1:4" x14ac:dyDescent="0.25">
      <c r="A3157" s="86">
        <v>54</v>
      </c>
      <c r="B3157" s="86">
        <v>99</v>
      </c>
      <c r="C3157" s="103">
        <v>1.66052871936994E-2</v>
      </c>
      <c r="D3157" s="103">
        <v>2.21688937167813E-2</v>
      </c>
    </row>
    <row r="3158" spans="1:4" x14ac:dyDescent="0.25">
      <c r="A3158" s="86">
        <v>54</v>
      </c>
      <c r="B3158" s="86">
        <v>101</v>
      </c>
      <c r="C3158" s="103">
        <v>2.248319760154566E-3</v>
      </c>
      <c r="D3158" s="103">
        <v>4.5834187759445331E-3</v>
      </c>
    </row>
    <row r="3159" spans="1:4" x14ac:dyDescent="0.25">
      <c r="A3159" s="86">
        <v>54</v>
      </c>
      <c r="B3159" s="86">
        <v>103</v>
      </c>
      <c r="C3159" s="103">
        <v>6.6673020570163196E-3</v>
      </c>
      <c r="D3159" s="103">
        <v>8.4796018466688459E-3</v>
      </c>
    </row>
    <row r="3160" spans="1:4" x14ac:dyDescent="0.25">
      <c r="A3160" s="86">
        <v>54</v>
      </c>
      <c r="B3160" s="86">
        <v>105</v>
      </c>
      <c r="C3160" s="103">
        <v>1.951615909692963E-3</v>
      </c>
      <c r="D3160" s="103">
        <v>3.2200318123624836E-3</v>
      </c>
    </row>
    <row r="3161" spans="1:4" x14ac:dyDescent="0.25">
      <c r="A3161" s="86">
        <v>54</v>
      </c>
      <c r="B3161" s="86">
        <v>107</v>
      </c>
      <c r="C3161" s="103">
        <v>4.508621964665039E-2</v>
      </c>
      <c r="D3161" s="103">
        <v>4.6665521273824631E-2</v>
      </c>
    </row>
    <row r="3162" spans="1:4" x14ac:dyDescent="0.25">
      <c r="A3162" s="86">
        <v>54</v>
      </c>
      <c r="B3162" s="86">
        <v>109</v>
      </c>
      <c r="C3162" s="103">
        <v>7.7535108362319673E-3</v>
      </c>
      <c r="D3162" s="103">
        <v>1.1527824732726275E-2</v>
      </c>
    </row>
    <row r="3163" spans="1:4" x14ac:dyDescent="0.25">
      <c r="A3163" s="86">
        <v>55</v>
      </c>
      <c r="B3163" s="86">
        <v>1</v>
      </c>
      <c r="C3163" s="103">
        <v>2.7803007424870873E-3</v>
      </c>
      <c r="D3163" s="103">
        <v>3.495925438626704E-3</v>
      </c>
    </row>
    <row r="3164" spans="1:4" x14ac:dyDescent="0.25">
      <c r="A3164" s="86">
        <v>55</v>
      </c>
      <c r="B3164" s="86">
        <v>3</v>
      </c>
      <c r="C3164" s="103">
        <v>2.6005241004844579E-3</v>
      </c>
      <c r="D3164" s="103">
        <v>2.6865239823929349E-3</v>
      </c>
    </row>
    <row r="3165" spans="1:4" x14ac:dyDescent="0.25">
      <c r="A3165" s="86">
        <v>55</v>
      </c>
      <c r="B3165" s="86">
        <v>5</v>
      </c>
      <c r="C3165" s="103">
        <v>8.4488001869036846E-3</v>
      </c>
      <c r="D3165" s="103">
        <v>7.7840310259077354E-3</v>
      </c>
    </row>
    <row r="3166" spans="1:4" x14ac:dyDescent="0.25">
      <c r="A3166" s="86">
        <v>55</v>
      </c>
      <c r="B3166" s="86">
        <v>7</v>
      </c>
      <c r="C3166" s="103">
        <v>3.2233435160501814E-3</v>
      </c>
      <c r="D3166" s="103">
        <v>2.5831961369162837E-3</v>
      </c>
    </row>
    <row r="3167" spans="1:4" x14ac:dyDescent="0.25">
      <c r="A3167" s="86">
        <v>55</v>
      </c>
      <c r="B3167" s="86">
        <v>9</v>
      </c>
      <c r="C3167" s="103">
        <v>4.3584977119253757E-2</v>
      </c>
      <c r="D3167" s="103">
        <v>4.5292038933932174E-2</v>
      </c>
    </row>
    <row r="3168" spans="1:4" x14ac:dyDescent="0.25">
      <c r="A3168" s="86">
        <v>55</v>
      </c>
      <c r="B3168" s="86">
        <v>11</v>
      </c>
      <c r="C3168" s="103">
        <v>2.7521062319551468E-3</v>
      </c>
      <c r="D3168" s="103">
        <v>2.2559912929068877E-3</v>
      </c>
    </row>
    <row r="3169" spans="1:4" x14ac:dyDescent="0.25">
      <c r="A3169" s="86">
        <v>55</v>
      </c>
      <c r="B3169" s="86">
        <v>13</v>
      </c>
      <c r="C3169" s="103">
        <v>2.1538665662134103E-3</v>
      </c>
      <c r="D3169" s="103">
        <v>2.6520813672340515E-3</v>
      </c>
    </row>
    <row r="3170" spans="1:4" x14ac:dyDescent="0.25">
      <c r="A3170" s="86">
        <v>55</v>
      </c>
      <c r="B3170" s="86">
        <v>15</v>
      </c>
      <c r="C3170" s="103">
        <v>6.749194446777791E-3</v>
      </c>
      <c r="D3170" s="103">
        <v>8.6278750973003884E-3</v>
      </c>
    </row>
    <row r="3171" spans="1:4" x14ac:dyDescent="0.25">
      <c r="A3171" s="86">
        <v>55</v>
      </c>
      <c r="B3171" s="86">
        <v>17</v>
      </c>
      <c r="C3171" s="103">
        <v>1.3813525071238408E-2</v>
      </c>
      <c r="D3171" s="103">
        <v>1.1038858158422253E-2</v>
      </c>
    </row>
    <row r="3172" spans="1:4" x14ac:dyDescent="0.25">
      <c r="A3172" s="86">
        <v>55</v>
      </c>
      <c r="B3172" s="86">
        <v>19</v>
      </c>
      <c r="C3172" s="103">
        <v>5.3490853489667582E-3</v>
      </c>
      <c r="D3172" s="103">
        <v>5.9757937300663365E-3</v>
      </c>
    </row>
    <row r="3173" spans="1:4" x14ac:dyDescent="0.25">
      <c r="A3173" s="86">
        <v>55</v>
      </c>
      <c r="B3173" s="86">
        <v>21</v>
      </c>
      <c r="C3173" s="103">
        <v>1.5488229240092273E-2</v>
      </c>
      <c r="D3173" s="103">
        <v>9.8678092430202046E-3</v>
      </c>
    </row>
    <row r="3174" spans="1:4" x14ac:dyDescent="0.25">
      <c r="A3174" s="86">
        <v>55</v>
      </c>
      <c r="B3174" s="86">
        <v>23</v>
      </c>
      <c r="C3174" s="103">
        <v>3.0111904281126542E-3</v>
      </c>
      <c r="D3174" s="103">
        <v>2.8070731354490285E-3</v>
      </c>
    </row>
    <row r="3175" spans="1:4" x14ac:dyDescent="0.25">
      <c r="A3175" s="86">
        <v>55</v>
      </c>
      <c r="B3175" s="86">
        <v>25</v>
      </c>
      <c r="C3175" s="103">
        <v>8.9784086525248261E-2</v>
      </c>
      <c r="D3175" s="103">
        <v>9.3339487080575059E-2</v>
      </c>
    </row>
    <row r="3176" spans="1:4" x14ac:dyDescent="0.25">
      <c r="A3176" s="86">
        <v>55</v>
      </c>
      <c r="B3176" s="86">
        <v>27</v>
      </c>
      <c r="C3176" s="103">
        <v>1.4512302108369842E-2</v>
      </c>
      <c r="D3176" s="103">
        <v>1.5120308054749981E-2</v>
      </c>
    </row>
    <row r="3177" spans="1:4" x14ac:dyDescent="0.25">
      <c r="A3177" s="86">
        <v>55</v>
      </c>
      <c r="B3177" s="86">
        <v>29</v>
      </c>
      <c r="C3177" s="103">
        <v>6.0660080728851202E-3</v>
      </c>
      <c r="D3177" s="103">
        <v>4.7530808919259626E-3</v>
      </c>
    </row>
    <row r="3178" spans="1:4" x14ac:dyDescent="0.25">
      <c r="A3178" s="86">
        <v>55</v>
      </c>
      <c r="B3178" s="86">
        <v>31</v>
      </c>
      <c r="C3178" s="103">
        <v>7.5253344594419964E-3</v>
      </c>
      <c r="D3178" s="103">
        <v>7.4223835667394551E-3</v>
      </c>
    </row>
    <row r="3179" spans="1:4" x14ac:dyDescent="0.25">
      <c r="A3179" s="86">
        <v>55</v>
      </c>
      <c r="B3179" s="86">
        <v>33</v>
      </c>
      <c r="C3179" s="103">
        <v>1.0140111206567349E-2</v>
      </c>
      <c r="D3179" s="103">
        <v>7.7668097183282931E-3</v>
      </c>
    </row>
    <row r="3180" spans="1:4" x14ac:dyDescent="0.25">
      <c r="A3180" s="86">
        <v>55</v>
      </c>
      <c r="B3180" s="86">
        <v>35</v>
      </c>
      <c r="C3180" s="103">
        <v>1.7846517991753911E-2</v>
      </c>
      <c r="D3180" s="103">
        <v>1.7910159882619566E-2</v>
      </c>
    </row>
    <row r="3181" spans="1:4" x14ac:dyDescent="0.25">
      <c r="A3181" s="86">
        <v>55</v>
      </c>
      <c r="B3181" s="86">
        <v>37</v>
      </c>
      <c r="C3181" s="103">
        <v>1.0363256013650518E-3</v>
      </c>
      <c r="D3181" s="103">
        <v>7.3879409515805719E-4</v>
      </c>
    </row>
    <row r="3182" spans="1:4" x14ac:dyDescent="0.25">
      <c r="A3182" s="86">
        <v>55</v>
      </c>
      <c r="B3182" s="86">
        <v>39</v>
      </c>
      <c r="C3182" s="103">
        <v>1.9538431467545334E-2</v>
      </c>
      <c r="D3182" s="103">
        <v>1.7737946806825149E-2</v>
      </c>
    </row>
    <row r="3183" spans="1:4" x14ac:dyDescent="0.25">
      <c r="A3183" s="86">
        <v>55</v>
      </c>
      <c r="B3183" s="86">
        <v>41</v>
      </c>
      <c r="C3183" s="103">
        <v>1.6672485129714087E-3</v>
      </c>
      <c r="D3183" s="103">
        <v>1.5464734206338819E-3</v>
      </c>
    </row>
    <row r="3184" spans="1:4" x14ac:dyDescent="0.25">
      <c r="A3184" s="86">
        <v>55</v>
      </c>
      <c r="B3184" s="86">
        <v>43</v>
      </c>
      <c r="C3184" s="103">
        <v>7.1766772731251278E-3</v>
      </c>
      <c r="D3184" s="103">
        <v>8.8517520958331323E-3</v>
      </c>
    </row>
    <row r="3185" spans="1:4" x14ac:dyDescent="0.25">
      <c r="A3185" s="86">
        <v>55</v>
      </c>
      <c r="B3185" s="86">
        <v>45</v>
      </c>
      <c r="C3185" s="103">
        <v>4.4621870169245254E-3</v>
      </c>
      <c r="D3185" s="103">
        <v>6.3546624968140583E-3</v>
      </c>
    </row>
    <row r="3186" spans="1:4" x14ac:dyDescent="0.25">
      <c r="A3186" s="86">
        <v>55</v>
      </c>
      <c r="B3186" s="86">
        <v>47</v>
      </c>
      <c r="C3186" s="103">
        <v>2.8961782129710207E-3</v>
      </c>
      <c r="D3186" s="103">
        <v>3.2376058249350757E-3</v>
      </c>
    </row>
    <row r="3187" spans="1:4" x14ac:dyDescent="0.25">
      <c r="A3187" s="86">
        <v>55</v>
      </c>
      <c r="B3187" s="86">
        <v>49</v>
      </c>
      <c r="C3187" s="103">
        <v>4.7960629290906233E-3</v>
      </c>
      <c r="D3187" s="103">
        <v>4.0814498963277282E-3</v>
      </c>
    </row>
    <row r="3188" spans="1:4" x14ac:dyDescent="0.25">
      <c r="A3188" s="86">
        <v>55</v>
      </c>
      <c r="B3188" s="86">
        <v>51</v>
      </c>
      <c r="C3188" s="103">
        <v>1.2167240746965167E-3</v>
      </c>
      <c r="D3188" s="103">
        <v>9.798924012702436E-4</v>
      </c>
    </row>
    <row r="3189" spans="1:4" x14ac:dyDescent="0.25">
      <c r="A3189" s="86">
        <v>55</v>
      </c>
      <c r="B3189" s="86">
        <v>53</v>
      </c>
      <c r="C3189" s="103">
        <v>9.7777216172916376E-3</v>
      </c>
      <c r="D3189" s="103">
        <v>3.5303680537855878E-3</v>
      </c>
    </row>
    <row r="3190" spans="1:4" x14ac:dyDescent="0.25">
      <c r="A3190" s="86">
        <v>55</v>
      </c>
      <c r="B3190" s="86">
        <v>55</v>
      </c>
      <c r="C3190" s="103">
        <v>1.6064554155940276E-2</v>
      </c>
      <c r="D3190" s="103">
        <v>1.4638111442525609E-2</v>
      </c>
    </row>
    <row r="3191" spans="1:4" x14ac:dyDescent="0.25">
      <c r="A3191" s="86">
        <v>55</v>
      </c>
      <c r="B3191" s="86">
        <v>57</v>
      </c>
      <c r="C3191" s="103">
        <v>1.0354441150538076E-2</v>
      </c>
      <c r="D3191" s="103">
        <v>4.5808678161315432E-3</v>
      </c>
    </row>
    <row r="3192" spans="1:4" x14ac:dyDescent="0.25">
      <c r="A3192" s="86">
        <v>55</v>
      </c>
      <c r="B3192" s="86">
        <v>59</v>
      </c>
      <c r="C3192" s="103">
        <v>2.6973315116364655E-2</v>
      </c>
      <c r="D3192" s="103">
        <v>2.9104009809256797E-2</v>
      </c>
    </row>
    <row r="3193" spans="1:4" x14ac:dyDescent="0.25">
      <c r="A3193" s="86">
        <v>55</v>
      </c>
      <c r="B3193" s="86">
        <v>61</v>
      </c>
      <c r="C3193" s="103">
        <v>2.5600214053907566E-3</v>
      </c>
      <c r="D3193" s="103">
        <v>3.5131467462061459E-3</v>
      </c>
    </row>
    <row r="3194" spans="1:4" x14ac:dyDescent="0.25">
      <c r="A3194" s="86">
        <v>55</v>
      </c>
      <c r="B3194" s="86">
        <v>63</v>
      </c>
      <c r="C3194" s="103">
        <v>1.940288724797529E-2</v>
      </c>
      <c r="D3194" s="103">
        <v>2.0321142943741433E-2</v>
      </c>
    </row>
    <row r="3195" spans="1:4" x14ac:dyDescent="0.25">
      <c r="A3195" s="86">
        <v>55</v>
      </c>
      <c r="B3195" s="86">
        <v>65</v>
      </c>
      <c r="C3195" s="103">
        <v>2.7873408205503843E-3</v>
      </c>
      <c r="D3195" s="103">
        <v>2.8759583657667958E-3</v>
      </c>
    </row>
    <row r="3196" spans="1:4" x14ac:dyDescent="0.25">
      <c r="A3196" s="86">
        <v>55</v>
      </c>
      <c r="B3196" s="86">
        <v>67</v>
      </c>
      <c r="C3196" s="103">
        <v>2.9123768245235566E-3</v>
      </c>
      <c r="D3196" s="103">
        <v>3.306491055252843E-3</v>
      </c>
    </row>
    <row r="3197" spans="1:4" x14ac:dyDescent="0.25">
      <c r="A3197" s="86">
        <v>55</v>
      </c>
      <c r="B3197" s="86">
        <v>69</v>
      </c>
      <c r="C3197" s="103">
        <v>7.5640884376956263E-3</v>
      </c>
      <c r="D3197" s="103">
        <v>4.7703021995054041E-3</v>
      </c>
    </row>
    <row r="3198" spans="1:4" x14ac:dyDescent="0.25">
      <c r="A3198" s="86">
        <v>55</v>
      </c>
      <c r="B3198" s="86">
        <v>71</v>
      </c>
      <c r="C3198" s="103">
        <v>1.308410691528563E-2</v>
      </c>
      <c r="D3198" s="103">
        <v>1.3604832987759094E-2</v>
      </c>
    </row>
    <row r="3199" spans="1:4" x14ac:dyDescent="0.25">
      <c r="A3199" s="86">
        <v>55</v>
      </c>
      <c r="B3199" s="86">
        <v>73</v>
      </c>
      <c r="C3199" s="103">
        <v>2.6521817189594982E-2</v>
      </c>
      <c r="D3199" s="103">
        <v>2.3248765232246553E-2</v>
      </c>
    </row>
    <row r="3200" spans="1:4" x14ac:dyDescent="0.25">
      <c r="A3200" s="86">
        <v>55</v>
      </c>
      <c r="B3200" s="86">
        <v>75</v>
      </c>
      <c r="C3200" s="103">
        <v>1.143902182255376E-2</v>
      </c>
      <c r="D3200" s="103">
        <v>6.957408262094524E-3</v>
      </c>
    </row>
    <row r="3201" spans="1:4" x14ac:dyDescent="0.25">
      <c r="A3201" s="86">
        <v>55</v>
      </c>
      <c r="B3201" s="86">
        <v>77</v>
      </c>
      <c r="C3201" s="103">
        <v>4.7796975249788879E-3</v>
      </c>
      <c r="D3201" s="103">
        <v>2.6520813672340515E-3</v>
      </c>
    </row>
    <row r="3202" spans="1:4" x14ac:dyDescent="0.25">
      <c r="A3202" s="86">
        <v>55</v>
      </c>
      <c r="B3202" s="86">
        <v>78</v>
      </c>
      <c r="C3202" s="103">
        <v>4.521079644925076E-4</v>
      </c>
      <c r="D3202" s="103">
        <v>7.9218014865432699E-4</v>
      </c>
    </row>
    <row r="3203" spans="1:4" x14ac:dyDescent="0.25">
      <c r="A3203" s="86">
        <v>55</v>
      </c>
      <c r="B3203" s="86">
        <v>79</v>
      </c>
      <c r="C3203" s="103">
        <v>0.12798457855366613</v>
      </c>
      <c r="D3203" s="103">
        <v>0.16308578277731473</v>
      </c>
    </row>
    <row r="3204" spans="1:4" x14ac:dyDescent="0.25">
      <c r="A3204" s="86">
        <v>55</v>
      </c>
      <c r="B3204" s="86">
        <v>81</v>
      </c>
      <c r="C3204" s="103">
        <v>1.2606041271601726E-2</v>
      </c>
      <c r="D3204" s="103">
        <v>7.9390227941227125E-3</v>
      </c>
    </row>
    <row r="3205" spans="1:4" x14ac:dyDescent="0.25">
      <c r="A3205" s="86">
        <v>55</v>
      </c>
      <c r="B3205" s="86">
        <v>83</v>
      </c>
      <c r="C3205" s="103">
        <v>8.0751313202052418E-3</v>
      </c>
      <c r="D3205" s="103">
        <v>6.5096542650290353E-3</v>
      </c>
    </row>
    <row r="3206" spans="1:4" x14ac:dyDescent="0.25">
      <c r="A3206" s="86">
        <v>55</v>
      </c>
      <c r="B3206" s="86">
        <v>85</v>
      </c>
      <c r="C3206" s="103">
        <v>7.0283384907998949E-3</v>
      </c>
      <c r="D3206" s="103">
        <v>6.0963428831224296E-3</v>
      </c>
    </row>
    <row r="3207" spans="1:4" x14ac:dyDescent="0.25">
      <c r="A3207" s="86">
        <v>55</v>
      </c>
      <c r="B3207" s="86">
        <v>87</v>
      </c>
      <c r="C3207" s="103">
        <v>2.8348463015887206E-2</v>
      </c>
      <c r="D3207" s="103">
        <v>3.2203845173556338E-2</v>
      </c>
    </row>
    <row r="3208" spans="1:4" x14ac:dyDescent="0.25">
      <c r="A3208" s="86">
        <v>55</v>
      </c>
      <c r="B3208" s="86">
        <v>89</v>
      </c>
      <c r="C3208" s="103">
        <v>1.69104509144417E-2</v>
      </c>
      <c r="D3208" s="103">
        <v>1.5344185053282725E-2</v>
      </c>
    </row>
    <row r="3209" spans="1:4" x14ac:dyDescent="0.25">
      <c r="A3209" s="86">
        <v>55</v>
      </c>
      <c r="B3209" s="86">
        <v>91</v>
      </c>
      <c r="C3209" s="103">
        <v>1.0075322612613407E-3</v>
      </c>
      <c r="D3209" s="103">
        <v>1.2571554532992582E-3</v>
      </c>
    </row>
    <row r="3210" spans="1:4" x14ac:dyDescent="0.25">
      <c r="A3210" s="86">
        <v>55</v>
      </c>
      <c r="B3210" s="86">
        <v>93</v>
      </c>
      <c r="C3210" s="103">
        <v>4.4597927757266927E-3</v>
      </c>
      <c r="D3210" s="103">
        <v>7.3362770288422459E-3</v>
      </c>
    </row>
    <row r="3211" spans="1:4" x14ac:dyDescent="0.25">
      <c r="A3211" s="86">
        <v>55</v>
      </c>
      <c r="B3211" s="86">
        <v>95</v>
      </c>
      <c r="C3211" s="103">
        <v>6.5161530433399169E-3</v>
      </c>
      <c r="D3211" s="103">
        <v>7.5084901046366653E-3</v>
      </c>
    </row>
    <row r="3212" spans="1:4" x14ac:dyDescent="0.25">
      <c r="A3212" s="86">
        <v>55</v>
      </c>
      <c r="B3212" s="86">
        <v>97</v>
      </c>
      <c r="C3212" s="103">
        <v>1.516807355807703E-2</v>
      </c>
      <c r="D3212" s="103">
        <v>1.2209907073824302E-2</v>
      </c>
    </row>
    <row r="3213" spans="1:4" x14ac:dyDescent="0.25">
      <c r="A3213" s="86">
        <v>55</v>
      </c>
      <c r="B3213" s="86">
        <v>99</v>
      </c>
      <c r="C3213" s="103">
        <v>1.7817643318135141E-3</v>
      </c>
      <c r="D3213" s="103">
        <v>2.3076552156452135E-3</v>
      </c>
    </row>
    <row r="3214" spans="1:4" x14ac:dyDescent="0.25">
      <c r="A3214" s="86">
        <v>55</v>
      </c>
      <c r="B3214" s="86">
        <v>101</v>
      </c>
      <c r="C3214" s="103">
        <v>2.8763414677755346E-2</v>
      </c>
      <c r="D3214" s="103">
        <v>3.375376285570611E-2</v>
      </c>
    </row>
    <row r="3215" spans="1:4" x14ac:dyDescent="0.25">
      <c r="A3215" s="86">
        <v>55</v>
      </c>
      <c r="B3215" s="86">
        <v>103</v>
      </c>
      <c r="C3215" s="103">
        <v>2.8342488828174924E-3</v>
      </c>
      <c r="D3215" s="103">
        <v>2.996507518822889E-3</v>
      </c>
    </row>
    <row r="3216" spans="1:4" x14ac:dyDescent="0.25">
      <c r="A3216" s="86">
        <v>55</v>
      </c>
      <c r="B3216" s="86">
        <v>105</v>
      </c>
      <c r="C3216" s="103">
        <v>2.7276426493705829E-2</v>
      </c>
      <c r="D3216" s="103">
        <v>2.8070731354490282E-2</v>
      </c>
    </row>
    <row r="3217" spans="1:4" x14ac:dyDescent="0.25">
      <c r="A3217" s="86">
        <v>55</v>
      </c>
      <c r="B3217" s="86">
        <v>107</v>
      </c>
      <c r="C3217" s="103">
        <v>2.5249094710343566E-3</v>
      </c>
      <c r="D3217" s="103">
        <v>2.4282043687013067E-3</v>
      </c>
    </row>
    <row r="3218" spans="1:4" x14ac:dyDescent="0.25">
      <c r="A3218" s="86">
        <v>55</v>
      </c>
      <c r="B3218" s="86">
        <v>109</v>
      </c>
      <c r="C3218" s="103">
        <v>1.9338574855122984E-2</v>
      </c>
      <c r="D3218" s="103">
        <v>1.5447512898759378E-2</v>
      </c>
    </row>
    <row r="3219" spans="1:4" x14ac:dyDescent="0.25">
      <c r="A3219" s="86">
        <v>55</v>
      </c>
      <c r="B3219" s="86">
        <v>111</v>
      </c>
      <c r="C3219" s="103">
        <v>1.2600695962564634E-2</v>
      </c>
      <c r="D3219" s="103">
        <v>1.1073300773581136E-2</v>
      </c>
    </row>
    <row r="3220" spans="1:4" x14ac:dyDescent="0.25">
      <c r="A3220" s="86">
        <v>55</v>
      </c>
      <c r="B3220" s="86">
        <v>113</v>
      </c>
      <c r="C3220" s="103">
        <v>2.9771340840496724E-3</v>
      </c>
      <c r="D3220" s="103">
        <v>2.8415157506079119E-3</v>
      </c>
    </row>
    <row r="3221" spans="1:4" x14ac:dyDescent="0.25">
      <c r="A3221" s="86">
        <v>55</v>
      </c>
      <c r="B3221" s="86">
        <v>115</v>
      </c>
      <c r="C3221" s="103">
        <v>8.7550707833376953E-3</v>
      </c>
      <c r="D3221" s="103">
        <v>7.0262934924122918E-3</v>
      </c>
    </row>
    <row r="3222" spans="1:4" x14ac:dyDescent="0.25">
      <c r="A3222" s="86">
        <v>55</v>
      </c>
      <c r="B3222" s="86">
        <v>117</v>
      </c>
      <c r="C3222" s="103">
        <v>1.7307205596584999E-2</v>
      </c>
      <c r="D3222" s="103">
        <v>1.9804503716358175E-2</v>
      </c>
    </row>
    <row r="3223" spans="1:4" x14ac:dyDescent="0.25">
      <c r="A3223" s="86">
        <v>55</v>
      </c>
      <c r="B3223" s="86">
        <v>119</v>
      </c>
      <c r="C3223" s="103">
        <v>2.2411627383507929E-3</v>
      </c>
      <c r="D3223" s="103">
        <v>3.5131467462061459E-3</v>
      </c>
    </row>
    <row r="3224" spans="1:4" x14ac:dyDescent="0.25">
      <c r="A3224" s="86">
        <v>55</v>
      </c>
      <c r="B3224" s="86">
        <v>121</v>
      </c>
      <c r="C3224" s="103">
        <v>5.7649827771035778E-3</v>
      </c>
      <c r="D3224" s="103">
        <v>5.0802857359353581E-3</v>
      </c>
    </row>
    <row r="3225" spans="1:4" x14ac:dyDescent="0.25">
      <c r="A3225" s="86">
        <v>55</v>
      </c>
      <c r="B3225" s="86">
        <v>123</v>
      </c>
      <c r="C3225" s="103">
        <v>3.9317523244635551E-3</v>
      </c>
      <c r="D3225" s="103">
        <v>5.3041627344681029E-3</v>
      </c>
    </row>
    <row r="3226" spans="1:4" x14ac:dyDescent="0.25">
      <c r="A3226" s="86">
        <v>55</v>
      </c>
      <c r="B3226" s="86">
        <v>125</v>
      </c>
      <c r="C3226" s="103">
        <v>3.8956629519278549E-3</v>
      </c>
      <c r="D3226" s="103">
        <v>3.7714663598977741E-3</v>
      </c>
    </row>
    <row r="3227" spans="1:4" x14ac:dyDescent="0.25">
      <c r="A3227" s="86">
        <v>55</v>
      </c>
      <c r="B3227" s="86">
        <v>127</v>
      </c>
      <c r="C3227" s="103">
        <v>1.9356852094179349E-2</v>
      </c>
      <c r="D3227" s="103">
        <v>1.7910159882619566E-2</v>
      </c>
    </row>
    <row r="3228" spans="1:4" x14ac:dyDescent="0.25">
      <c r="A3228" s="86">
        <v>55</v>
      </c>
      <c r="B3228" s="86">
        <v>129</v>
      </c>
      <c r="C3228" s="103">
        <v>3.5510520126177184E-3</v>
      </c>
      <c r="D3228" s="103">
        <v>2.7209665975518188E-3</v>
      </c>
    </row>
    <row r="3229" spans="1:4" x14ac:dyDescent="0.25">
      <c r="A3229" s="86">
        <v>55</v>
      </c>
      <c r="B3229" s="86">
        <v>131</v>
      </c>
      <c r="C3229" s="103">
        <v>2.5598218388403458E-2</v>
      </c>
      <c r="D3229" s="103">
        <v>2.3248765232246553E-2</v>
      </c>
    </row>
    <row r="3230" spans="1:4" x14ac:dyDescent="0.25">
      <c r="A3230" s="86">
        <v>55</v>
      </c>
      <c r="B3230" s="86">
        <v>133</v>
      </c>
      <c r="C3230" s="103">
        <v>7.3247571650184432E-2</v>
      </c>
      <c r="D3230" s="103">
        <v>6.9401869545150818E-2</v>
      </c>
    </row>
    <row r="3231" spans="1:4" x14ac:dyDescent="0.25">
      <c r="A3231" s="86">
        <v>55</v>
      </c>
      <c r="B3231" s="86">
        <v>135</v>
      </c>
      <c r="C3231" s="103">
        <v>8.4692220164006571E-3</v>
      </c>
      <c r="D3231" s="103">
        <v>8.8000881730948069E-3</v>
      </c>
    </row>
    <row r="3232" spans="1:4" x14ac:dyDescent="0.25">
      <c r="A3232" s="86">
        <v>55</v>
      </c>
      <c r="B3232" s="86">
        <v>137</v>
      </c>
      <c r="C3232" s="103">
        <v>5.1426425354834816E-3</v>
      </c>
      <c r="D3232" s="103">
        <v>4.1847777418043798E-3</v>
      </c>
    </row>
    <row r="3233" spans="1:4" x14ac:dyDescent="0.25">
      <c r="A3233" s="86">
        <v>55</v>
      </c>
      <c r="B3233" s="86">
        <v>139</v>
      </c>
      <c r="C3233" s="103">
        <v>3.2549663385522211E-2</v>
      </c>
      <c r="D3233" s="103">
        <v>2.9448435960845634E-2</v>
      </c>
    </row>
    <row r="3234" spans="1:4" x14ac:dyDescent="0.25">
      <c r="A3234" s="86">
        <v>55</v>
      </c>
      <c r="B3234" s="86">
        <v>141</v>
      </c>
      <c r="C3234" s="103">
        <v>1.0694380136901977E-2</v>
      </c>
      <c r="D3234" s="103">
        <v>1.2571554532992581E-2</v>
      </c>
    </row>
    <row r="3235" spans="1:4" x14ac:dyDescent="0.25">
      <c r="A3235" s="86">
        <v>56</v>
      </c>
      <c r="B3235" s="86">
        <v>1</v>
      </c>
      <c r="C3235" s="103">
        <v>6.9934946990178742E-2</v>
      </c>
      <c r="D3235" s="103">
        <v>6.697935235985393E-2</v>
      </c>
    </row>
    <row r="3236" spans="1:4" x14ac:dyDescent="0.25">
      <c r="A3236" s="86">
        <v>56</v>
      </c>
      <c r="B3236" s="86">
        <v>3</v>
      </c>
      <c r="C3236" s="103">
        <v>9.3320581310435708E-3</v>
      </c>
      <c r="D3236" s="103">
        <v>2.0595718167500304E-2</v>
      </c>
    </row>
    <row r="3237" spans="1:4" x14ac:dyDescent="0.25">
      <c r="A3237" s="86">
        <v>56</v>
      </c>
      <c r="B3237" s="86">
        <v>5</v>
      </c>
      <c r="C3237" s="103">
        <v>6.1576965937970046E-2</v>
      </c>
      <c r="D3237" s="103">
        <v>8.0132920265148233E-2</v>
      </c>
    </row>
    <row r="3238" spans="1:4" x14ac:dyDescent="0.25">
      <c r="A3238" s="86">
        <v>56</v>
      </c>
      <c r="B3238" s="86">
        <v>7</v>
      </c>
      <c r="C3238" s="103">
        <v>6.9597202205973902E-2</v>
      </c>
      <c r="D3238" s="103">
        <v>2.5787916024853322E-2</v>
      </c>
    </row>
    <row r="3239" spans="1:4" x14ac:dyDescent="0.25">
      <c r="A3239" s="86">
        <v>56</v>
      </c>
      <c r="B3239" s="86">
        <v>9</v>
      </c>
      <c r="C3239" s="103">
        <v>3.7100357127773244E-2</v>
      </c>
      <c r="D3239" s="103">
        <v>2.3711036881912114E-2</v>
      </c>
    </row>
    <row r="3240" spans="1:4" x14ac:dyDescent="0.25">
      <c r="A3240" s="86">
        <v>56</v>
      </c>
      <c r="B3240" s="86">
        <v>11</v>
      </c>
      <c r="C3240" s="103">
        <v>2.1014332362718342E-2</v>
      </c>
      <c r="D3240" s="103">
        <v>1.2893958012426661E-2</v>
      </c>
    </row>
    <row r="3241" spans="1:4" x14ac:dyDescent="0.25">
      <c r="A3241" s="86">
        <v>56</v>
      </c>
      <c r="B3241" s="86">
        <v>13</v>
      </c>
      <c r="C3241" s="103">
        <v>3.8720363539112311E-2</v>
      </c>
      <c r="D3241" s="103">
        <v>6.8537011717059837E-2</v>
      </c>
    </row>
    <row r="3242" spans="1:4" x14ac:dyDescent="0.25">
      <c r="A3242" s="86">
        <v>56</v>
      </c>
      <c r="B3242" s="86">
        <v>15</v>
      </c>
      <c r="C3242" s="103">
        <v>1.3370861423693462E-2</v>
      </c>
      <c r="D3242" s="103">
        <v>2.3018743834265044E-2</v>
      </c>
    </row>
    <row r="3243" spans="1:4" x14ac:dyDescent="0.25">
      <c r="A3243" s="86">
        <v>56</v>
      </c>
      <c r="B3243" s="86">
        <v>17</v>
      </c>
      <c r="C3243" s="103">
        <v>4.2323771366229177E-3</v>
      </c>
      <c r="D3243" s="103">
        <v>7.9094480693677627E-3</v>
      </c>
    </row>
    <row r="3244" spans="1:4" x14ac:dyDescent="0.25">
      <c r="A3244" s="86">
        <v>56</v>
      </c>
      <c r="B3244" s="86">
        <v>19</v>
      </c>
      <c r="C3244" s="103">
        <v>3.2426739071430274E-2</v>
      </c>
      <c r="D3244" s="103">
        <v>1.4624690631544333E-2</v>
      </c>
    </row>
    <row r="3245" spans="1:4" x14ac:dyDescent="0.25">
      <c r="A3245" s="86">
        <v>56</v>
      </c>
      <c r="B3245" s="86">
        <v>21</v>
      </c>
      <c r="C3245" s="103">
        <v>0.15967290363713194</v>
      </c>
      <c r="D3245" s="103">
        <v>0.1711694560307378</v>
      </c>
    </row>
    <row r="3246" spans="1:4" x14ac:dyDescent="0.25">
      <c r="A3246" s="86">
        <v>56</v>
      </c>
      <c r="B3246" s="86">
        <v>23</v>
      </c>
      <c r="C3246" s="103">
        <v>1.7261164219896361E-2</v>
      </c>
      <c r="D3246" s="103">
        <v>3.3576212810882848E-2</v>
      </c>
    </row>
    <row r="3247" spans="1:4" x14ac:dyDescent="0.25">
      <c r="A3247" s="86">
        <v>56</v>
      </c>
      <c r="B3247" s="86">
        <v>25</v>
      </c>
      <c r="C3247" s="103">
        <v>9.980837906300305E-2</v>
      </c>
      <c r="D3247" s="103">
        <v>0.13707402343411967</v>
      </c>
    </row>
    <row r="3248" spans="1:4" x14ac:dyDescent="0.25">
      <c r="A3248" s="86">
        <v>56</v>
      </c>
      <c r="B3248" s="86">
        <v>27</v>
      </c>
      <c r="C3248" s="103">
        <v>4.756120798907369E-3</v>
      </c>
      <c r="D3248" s="103">
        <v>4.1537582858824137E-3</v>
      </c>
    </row>
    <row r="3249" spans="1:4" x14ac:dyDescent="0.25">
      <c r="A3249" s="86">
        <v>56</v>
      </c>
      <c r="B3249" s="86">
        <v>29</v>
      </c>
      <c r="C3249" s="103">
        <v>3.4116427031011698E-2</v>
      </c>
      <c r="D3249" s="103">
        <v>5.0537392478236035E-2</v>
      </c>
    </row>
    <row r="3250" spans="1:4" x14ac:dyDescent="0.25">
      <c r="A3250" s="86">
        <v>56</v>
      </c>
      <c r="B3250" s="86">
        <v>31</v>
      </c>
      <c r="C3250" s="103">
        <v>3.1232466638106957E-2</v>
      </c>
      <c r="D3250" s="103">
        <v>1.474584191488257E-2</v>
      </c>
    </row>
    <row r="3251" spans="1:4" x14ac:dyDescent="0.25">
      <c r="A3251" s="86">
        <v>56</v>
      </c>
      <c r="B3251" s="86">
        <v>33</v>
      </c>
      <c r="C3251" s="103">
        <v>3.4873496505340038E-2</v>
      </c>
      <c r="D3251" s="103">
        <v>5.2268125097353707E-2</v>
      </c>
    </row>
    <row r="3252" spans="1:4" x14ac:dyDescent="0.25">
      <c r="A3252" s="86">
        <v>56</v>
      </c>
      <c r="B3252" s="86">
        <v>35</v>
      </c>
      <c r="C3252" s="103">
        <v>1.0660889255071238E-2</v>
      </c>
      <c r="D3252" s="103">
        <v>1.696117966735319E-2</v>
      </c>
    </row>
    <row r="3253" spans="1:4" x14ac:dyDescent="0.25">
      <c r="A3253" s="86">
        <v>56</v>
      </c>
      <c r="B3253" s="86">
        <v>37</v>
      </c>
      <c r="C3253" s="103">
        <v>0.14412272665099879</v>
      </c>
      <c r="D3253" s="103">
        <v>7.4248429360148152E-2</v>
      </c>
    </row>
    <row r="3254" spans="1:4" x14ac:dyDescent="0.25">
      <c r="A3254" s="86">
        <v>56</v>
      </c>
      <c r="B3254" s="86">
        <v>39</v>
      </c>
      <c r="C3254" s="103">
        <v>3.9868148711341943E-2</v>
      </c>
      <c r="D3254" s="103">
        <v>4.0326070025441772E-2</v>
      </c>
    </row>
    <row r="3255" spans="1:4" x14ac:dyDescent="0.25">
      <c r="A3255" s="86">
        <v>56</v>
      </c>
      <c r="B3255" s="86">
        <v>41</v>
      </c>
      <c r="C3255" s="103">
        <v>5.309819493673671E-2</v>
      </c>
      <c r="D3255" s="103">
        <v>3.5133872168088755E-2</v>
      </c>
    </row>
    <row r="3256" spans="1:4" x14ac:dyDescent="0.25">
      <c r="A3256" s="86">
        <v>56</v>
      </c>
      <c r="B3256" s="86">
        <v>43</v>
      </c>
      <c r="C3256" s="103">
        <v>7.2708271527957176E-3</v>
      </c>
      <c r="D3256" s="103">
        <v>1.3638173038647259E-2</v>
      </c>
    </row>
    <row r="3257" spans="1:4" x14ac:dyDescent="0.25">
      <c r="A3257" s="86">
        <v>56</v>
      </c>
      <c r="B3257" s="86">
        <v>45</v>
      </c>
      <c r="C3257" s="103">
        <v>5.9520514731413385E-3</v>
      </c>
      <c r="D3257" s="103">
        <v>1.1976669724294293E-2</v>
      </c>
    </row>
  </sheetData>
  <mergeCells count="11">
    <mergeCell ref="A113:A114"/>
    <mergeCell ref="B113:B114"/>
    <mergeCell ref="C113:C114"/>
    <mergeCell ref="I44:K46"/>
    <mergeCell ref="I29:K31"/>
    <mergeCell ref="D113:D114"/>
    <mergeCell ref="L3:L4"/>
    <mergeCell ref="A2:A3"/>
    <mergeCell ref="B2:F2"/>
    <mergeCell ref="G2:I2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025D-85BB-44F7-86F4-11CF27A2CBB2}">
  <sheetPr>
    <tabColor rgb="FFFFFF00"/>
  </sheetPr>
  <dimension ref="A1:P53"/>
  <sheetViews>
    <sheetView workbookViewId="0">
      <pane ySplit="1" topLeftCell="A2" activePane="bottomLeft" state="frozen"/>
      <selection pane="bottomLeft" activeCell="J45" sqref="J45"/>
    </sheetView>
  </sheetViews>
  <sheetFormatPr defaultRowHeight="15" x14ac:dyDescent="0.25"/>
  <cols>
    <col min="1" max="1" width="18.7109375" style="27" bestFit="1" customWidth="1"/>
    <col min="2" max="2" width="10" style="27" customWidth="1"/>
    <col min="3" max="3" width="19.28515625" style="27" bestFit="1" customWidth="1"/>
    <col min="4" max="5" width="17" style="27" customWidth="1"/>
    <col min="6" max="6" width="24.140625" style="27" customWidth="1"/>
    <col min="7" max="10" width="9.140625" style="27"/>
    <col min="11" max="11" width="10.7109375" style="27" customWidth="1"/>
    <col min="12" max="12" width="9.140625" style="27"/>
    <col min="13" max="13" width="3.7109375" customWidth="1"/>
    <col min="14" max="14" width="19.28515625" bestFit="1" customWidth="1"/>
    <col min="15" max="15" width="16.7109375" customWidth="1"/>
    <col min="16" max="16" width="24.28515625" bestFit="1" customWidth="1"/>
  </cols>
  <sheetData>
    <row r="1" spans="1:16" ht="31.5" customHeight="1" x14ac:dyDescent="0.25">
      <c r="A1" s="25" t="s">
        <v>20</v>
      </c>
      <c r="B1" s="25" t="s">
        <v>99</v>
      </c>
      <c r="C1" s="25" t="s">
        <v>104</v>
      </c>
      <c r="D1" s="24" t="s">
        <v>112</v>
      </c>
      <c r="E1" s="26" t="s">
        <v>113</v>
      </c>
      <c r="F1" s="26" t="s">
        <v>128</v>
      </c>
      <c r="G1" s="26" t="s">
        <v>88</v>
      </c>
      <c r="H1" s="26" t="s">
        <v>114</v>
      </c>
      <c r="I1" s="26" t="s">
        <v>115</v>
      </c>
      <c r="J1" s="26" t="s">
        <v>90</v>
      </c>
      <c r="K1" s="26" t="s">
        <v>91</v>
      </c>
      <c r="L1" s="26" t="s">
        <v>93</v>
      </c>
      <c r="N1" s="26" t="s">
        <v>104</v>
      </c>
      <c r="O1" s="24" t="s">
        <v>112</v>
      </c>
      <c r="P1" s="26" t="s">
        <v>128</v>
      </c>
    </row>
    <row r="2" spans="1:16" x14ac:dyDescent="0.25">
      <c r="A2" s="25" t="s">
        <v>21</v>
      </c>
      <c r="B2" s="25" t="s">
        <v>107</v>
      </c>
      <c r="C2" s="25" t="s">
        <v>81</v>
      </c>
      <c r="D2" s="25">
        <f>VLOOKUP(A2,Input!$A$60:$B$110,2,FALSE)</f>
        <v>6.7</v>
      </c>
      <c r="E2" s="25">
        <f>VLOOKUP(A2,Input!$A$60:$C$110,3,FALSE)</f>
        <v>1.5</v>
      </c>
      <c r="F2" s="43">
        <f>Input!E60</f>
        <v>7525</v>
      </c>
      <c r="G2" s="43">
        <f>(VLOOKUP(C2,Input!$A$5:$I$24,2,FALSE)+VLOOKUP(C2,Input!$A$5:$I$24,3,FALSE))*(D2/VLOOKUP(C2,$N$2:$O$12,2,FALSE))</f>
        <v>234863.40800000002</v>
      </c>
      <c r="H2" s="43">
        <f>G2-I2</f>
        <v>182282.04800000001</v>
      </c>
      <c r="I2" s="43">
        <f>G2*(E2/D2)</f>
        <v>52581.360000000008</v>
      </c>
      <c r="J2" s="43">
        <f>VLOOKUP(C2,Input!$A$5:$I$24,4,FALSE)*(D2/VLOOKUP(C2,$N$2:$O$12,2,FALSE))</f>
        <v>566.82000000000005</v>
      </c>
      <c r="K2" s="43">
        <f>VLOOKUP(C2,Input!$A$5:$I$24,5,FALSE)*(D2/VLOOKUP(C2,$N$2:$O$12,2,FALSE))</f>
        <v>42274.052000000003</v>
      </c>
      <c r="L2" s="43">
        <f>VLOOKUP(C2,Input!$A$5:$I$24,7,FALSE)*(F2/VLOOKUP(C2,$N$2:$P$12,3,FALSE))</f>
        <v>101757.30034260736</v>
      </c>
      <c r="N2" s="25" t="s">
        <v>81</v>
      </c>
      <c r="O2" s="13">
        <f>SUMIF($C$2:$C$52,"="&amp;N2,$D$2:$D$52)</f>
        <v>25</v>
      </c>
      <c r="P2" s="13">
        <f>SUMIF($C$2:$C$52,"="&amp;N2,$F$2:$F$52)</f>
        <v>33858</v>
      </c>
    </row>
    <row r="3" spans="1:16" x14ac:dyDescent="0.25">
      <c r="A3" s="25" t="s">
        <v>22</v>
      </c>
      <c r="B3" s="25" t="s">
        <v>109</v>
      </c>
      <c r="C3" s="25" t="s">
        <v>100</v>
      </c>
      <c r="D3" s="25">
        <f>VLOOKUP(A3,Input!$A$60:$B$110,2,FALSE)</f>
        <v>2</v>
      </c>
      <c r="E3" s="25">
        <f>VLOOKUP(A3,Input!$A$60:$C$110,3,FALSE)</f>
        <v>0</v>
      </c>
      <c r="F3" s="43">
        <f>Input!E61</f>
        <v>1704</v>
      </c>
      <c r="G3" s="43">
        <f>(VLOOKUP(C3,Input!$A$5:$I$24,2,FALSE)+VLOOKUP(C3,Input!$A$5:$I$24,3,FALSE))*(D3/VLOOKUP(C3,$N$2:$O$12,2,FALSE))</f>
        <v>74737.716535433065</v>
      </c>
      <c r="H3" s="43">
        <f t="shared" ref="H3:H52" si="0">G3-I3</f>
        <v>74737.716535433065</v>
      </c>
      <c r="I3" s="43">
        <f t="shared" ref="I3:I52" si="1">G3*(E3/D3)</f>
        <v>0</v>
      </c>
      <c r="J3" s="43">
        <f>VLOOKUP(C3,Input!$A$5:$I$24,4,FALSE)*(D3/VLOOKUP(C3,$N$2:$O$12,2,FALSE))</f>
        <v>348.50393700787401</v>
      </c>
      <c r="K3" s="43">
        <f>VLOOKUP(C3,Input!$A$5:$I$24,5,FALSE)*(D3/VLOOKUP(C3,$N$2:$O$12,2,FALSE))</f>
        <v>13458.976377952757</v>
      </c>
      <c r="L3" s="43">
        <f>VLOOKUP(C3,Input!$A$5:$I$24,7,FALSE)*(F3/VLOOKUP(C3,$N$2:$P$12,3,FALSE))</f>
        <v>5825.2697642570674</v>
      </c>
      <c r="N3" s="25" t="s">
        <v>86</v>
      </c>
      <c r="O3" s="13">
        <f t="shared" ref="O3:O12" si="2">SUMIF($C$2:$C$52,"="&amp;N3,$D$2:$D$52)</f>
        <v>27.7</v>
      </c>
      <c r="P3" s="13">
        <f t="shared" ref="P3:P12" si="3">SUMIF($C$2:$C$52,"="&amp;N3,$F$2:$F$52)</f>
        <v>67703</v>
      </c>
    </row>
    <row r="4" spans="1:16" x14ac:dyDescent="0.25">
      <c r="A4" s="25" t="s">
        <v>23</v>
      </c>
      <c r="B4" s="25" t="s">
        <v>109</v>
      </c>
      <c r="C4" s="25" t="s">
        <v>100</v>
      </c>
      <c r="D4" s="25">
        <f>VLOOKUP(A4,Input!$A$60:$B$110,2,FALSE)</f>
        <v>7.6</v>
      </c>
      <c r="E4" s="25">
        <f>VLOOKUP(A4,Input!$A$60:$C$110,3,FALSE)</f>
        <v>0.3</v>
      </c>
      <c r="F4" s="43">
        <f>Input!E62</f>
        <v>9854</v>
      </c>
      <c r="G4" s="43">
        <f>(VLOOKUP(C4,Input!$A$5:$I$24,2,FALSE)+VLOOKUP(C4,Input!$A$5:$I$24,3,FALSE))*(D4/VLOOKUP(C4,$N$2:$O$12,2,FALSE))</f>
        <v>284003.32283464569</v>
      </c>
      <c r="H4" s="43">
        <f t="shared" si="0"/>
        <v>272792.66535433073</v>
      </c>
      <c r="I4" s="43">
        <f t="shared" si="1"/>
        <v>11210.657480314962</v>
      </c>
      <c r="J4" s="43">
        <f>VLOOKUP(C4,Input!$A$5:$I$24,4,FALSE)*(D4/VLOOKUP(C4,$N$2:$O$12,2,FALSE))</f>
        <v>1324.3149606299214</v>
      </c>
      <c r="K4" s="43">
        <f>VLOOKUP(C4,Input!$A$5:$I$24,5,FALSE)*(D4/VLOOKUP(C4,$N$2:$O$12,2,FALSE))</f>
        <v>51144.110236220477</v>
      </c>
      <c r="L4" s="43">
        <f>VLOOKUP(C4,Input!$A$5:$I$24,7,FALSE)*(F4/VLOOKUP(C4,$N$2:$P$12,3,FALSE))</f>
        <v>33686.741934852784</v>
      </c>
      <c r="N4" s="25" t="s">
        <v>100</v>
      </c>
      <c r="O4" s="13">
        <f t="shared" si="2"/>
        <v>25.4</v>
      </c>
      <c r="P4" s="13">
        <f t="shared" si="3"/>
        <v>51115</v>
      </c>
    </row>
    <row r="5" spans="1:16" x14ac:dyDescent="0.25">
      <c r="A5" s="25" t="s">
        <v>24</v>
      </c>
      <c r="B5" s="25" t="s">
        <v>107</v>
      </c>
      <c r="C5" s="25" t="s">
        <v>81</v>
      </c>
      <c r="D5" s="25">
        <f>VLOOKUP(A5,Input!$A$60:$B$110,2,FALSE)</f>
        <v>5.4</v>
      </c>
      <c r="E5" s="25">
        <f>VLOOKUP(A5,Input!$A$60:$C$110,3,FALSE)</f>
        <v>0.4</v>
      </c>
      <c r="F5" s="43">
        <f>Input!E63</f>
        <v>5748</v>
      </c>
      <c r="G5" s="43">
        <f>(VLOOKUP(C5,Input!$A$5:$I$24,2,FALSE)+VLOOKUP(C5,Input!$A$5:$I$24,3,FALSE))*(D5/VLOOKUP(C5,$N$2:$O$12,2,FALSE))</f>
        <v>189292.89600000001</v>
      </c>
      <c r="H5" s="43">
        <f t="shared" si="0"/>
        <v>175271.2</v>
      </c>
      <c r="I5" s="43">
        <f t="shared" si="1"/>
        <v>14021.696</v>
      </c>
      <c r="J5" s="43">
        <f>VLOOKUP(C5,Input!$A$5:$I$24,4,FALSE)*(D5/VLOOKUP(C5,$N$2:$O$12,2,FALSE))</f>
        <v>456.84000000000003</v>
      </c>
      <c r="K5" s="43">
        <f>VLOOKUP(C5,Input!$A$5:$I$24,5,FALSE)*(D5/VLOOKUP(C5,$N$2:$O$12,2,FALSE))</f>
        <v>34071.624000000003</v>
      </c>
      <c r="L5" s="43">
        <f>VLOOKUP(C5,Input!$A$5:$I$24,7,FALSE)*(F5/VLOOKUP(C5,$N$2:$P$12,3,FALSE))</f>
        <v>77727.702640439486</v>
      </c>
      <c r="N5" s="25" t="s">
        <v>84</v>
      </c>
      <c r="O5" s="13">
        <f t="shared" si="2"/>
        <v>21.4</v>
      </c>
      <c r="P5" s="13">
        <f t="shared" si="3"/>
        <v>25660</v>
      </c>
    </row>
    <row r="6" spans="1:16" x14ac:dyDescent="0.25">
      <c r="A6" s="25" t="s">
        <v>25</v>
      </c>
      <c r="B6" s="25" t="s">
        <v>109</v>
      </c>
      <c r="C6" s="25" t="s">
        <v>86</v>
      </c>
      <c r="D6" s="25">
        <f>VLOOKUP(A6,Input!$A$60:$B$110,2,FALSE)</f>
        <v>27.7</v>
      </c>
      <c r="E6" s="25">
        <f>VLOOKUP(A6,Input!$A$60:$C$110,3,FALSE)</f>
        <v>4.5</v>
      </c>
      <c r="F6" s="43">
        <f>Input!E64</f>
        <v>67703</v>
      </c>
      <c r="G6" s="43">
        <f>(VLOOKUP(C6,Input!$A$5:$I$24,2,FALSE)+VLOOKUP(C6,Input!$A$5:$I$24,3,FALSE))*(D6/VLOOKUP(C6,$N$2:$O$12,2,FALSE))</f>
        <v>1241313</v>
      </c>
      <c r="H6" s="43">
        <f t="shared" si="0"/>
        <v>1039655.6534296029</v>
      </c>
      <c r="I6" s="43">
        <f t="shared" si="1"/>
        <v>201657.34657039712</v>
      </c>
      <c r="J6" s="43">
        <f>VLOOKUP(C6,Input!$A$5:$I$24,4,FALSE)*(D6/VLOOKUP(C6,$N$2:$O$12,2,FALSE))</f>
        <v>36631</v>
      </c>
      <c r="K6" s="43">
        <f>VLOOKUP(C6,Input!$A$5:$I$24,5,FALSE)*(D6/VLOOKUP(C6,$N$2:$O$12,2,FALSE))</f>
        <v>103133</v>
      </c>
      <c r="L6" s="43">
        <f>VLOOKUP(C6,Input!$A$5:$I$24,7,FALSE)*(F6/VLOOKUP(C6,$N$2:$P$12,3,FALSE))</f>
        <v>190161</v>
      </c>
      <c r="N6" s="25" t="s">
        <v>73</v>
      </c>
      <c r="O6" s="13">
        <f t="shared" si="2"/>
        <v>18.8</v>
      </c>
      <c r="P6" s="13">
        <f t="shared" si="3"/>
        <v>28605</v>
      </c>
    </row>
    <row r="7" spans="1:16" x14ac:dyDescent="0.25">
      <c r="A7" s="25" t="s">
        <v>26</v>
      </c>
      <c r="B7" s="25" t="s">
        <v>108</v>
      </c>
      <c r="C7" s="25" t="s">
        <v>84</v>
      </c>
      <c r="D7" s="25">
        <f>VLOOKUP(A7,Input!$A$60:$B$110,2,FALSE)</f>
        <v>7.8</v>
      </c>
      <c r="E7" s="25">
        <f>VLOOKUP(A7,Input!$A$60:$C$110,3,FALSE)</f>
        <v>1</v>
      </c>
      <c r="F7" s="43">
        <f>Input!E65</f>
        <v>13362</v>
      </c>
      <c r="G7" s="43">
        <f>(VLOOKUP(C7,Input!$A$5:$I$24,2,FALSE)+VLOOKUP(C7,Input!$A$5:$I$24,3,FALSE))*(D7/VLOOKUP(C7,$N$2:$O$12,2,FALSE))</f>
        <v>189935.10280373835</v>
      </c>
      <c r="H7" s="43">
        <f t="shared" si="0"/>
        <v>165584.44859813087</v>
      </c>
      <c r="I7" s="43">
        <f t="shared" si="1"/>
        <v>24350.654205607483</v>
      </c>
      <c r="J7" s="43">
        <f>VLOOKUP(C7,Input!$A$5:$I$24,4,FALSE)*(D7/VLOOKUP(C7,$N$2:$O$12,2,FALSE))</f>
        <v>1180.570093457944</v>
      </c>
      <c r="K7" s="43">
        <f>VLOOKUP(C7,Input!$A$5:$I$24,5,FALSE)*(D7/VLOOKUP(C7,$N$2:$O$12,2,FALSE))</f>
        <v>77413.542056074773</v>
      </c>
      <c r="L7" s="43">
        <f>VLOOKUP(C7,Input!$A$5:$I$24,7,FALSE)*(F7/VLOOKUP(C7,$N$2:$P$12,3,FALSE))</f>
        <v>4367.3848012470771</v>
      </c>
      <c r="N7" s="13" t="s">
        <v>74</v>
      </c>
      <c r="O7" s="13">
        <f t="shared" si="2"/>
        <v>57.1</v>
      </c>
      <c r="P7" s="13">
        <f t="shared" si="3"/>
        <v>102041</v>
      </c>
    </row>
    <row r="8" spans="1:16" x14ac:dyDescent="0.25">
      <c r="A8" s="25" t="s">
        <v>27</v>
      </c>
      <c r="B8" s="25" t="s">
        <v>105</v>
      </c>
      <c r="C8" s="25" t="s">
        <v>73</v>
      </c>
      <c r="D8" s="25">
        <f>VLOOKUP(A8,Input!$A$60:$B$110,2,FALSE)</f>
        <v>4.9000000000000004</v>
      </c>
      <c r="E8" s="25">
        <f>VLOOKUP(A8,Input!$A$60:$C$110,3,FALSE)</f>
        <v>0</v>
      </c>
      <c r="F8" s="43">
        <f>Input!E66</f>
        <v>5020</v>
      </c>
      <c r="G8" s="43">
        <f>(VLOOKUP(C8,Input!$A$5:$I$24,2,FALSE)+VLOOKUP(C8,Input!$A$5:$I$24,3,FALSE))*(D8/VLOOKUP(C8,$N$2:$O$12,2,FALSE))</f>
        <v>203763.11170212767</v>
      </c>
      <c r="H8" s="43">
        <f t="shared" si="0"/>
        <v>203763.11170212767</v>
      </c>
      <c r="I8" s="43">
        <f t="shared" si="1"/>
        <v>0</v>
      </c>
      <c r="J8" s="43">
        <f>VLOOKUP(C8,Input!$A$5:$I$24,4,FALSE)*(D8/VLOOKUP(C8,$N$2:$O$12,2,FALSE))</f>
        <v>0</v>
      </c>
      <c r="K8" s="43">
        <f>VLOOKUP(C8,Input!$A$5:$I$24,5,FALSE)*(D8/VLOOKUP(C8,$N$2:$O$12,2,FALSE))</f>
        <v>712.58510638297878</v>
      </c>
      <c r="L8" s="43">
        <f>VLOOKUP(C8,Input!$A$5:$I$24,7,FALSE)*(F8/VLOOKUP(C8,$N$2:$P$12,3,FALSE))</f>
        <v>2153.3088620870476</v>
      </c>
      <c r="N8" s="13" t="s">
        <v>75</v>
      </c>
      <c r="O8" s="13">
        <f t="shared" si="2"/>
        <v>72.2</v>
      </c>
      <c r="P8" s="13">
        <f t="shared" si="3"/>
        <v>96805</v>
      </c>
    </row>
    <row r="9" spans="1:16" x14ac:dyDescent="0.25">
      <c r="A9" s="25" t="s">
        <v>28</v>
      </c>
      <c r="B9" s="25" t="s">
        <v>105</v>
      </c>
      <c r="C9" s="25" t="s">
        <v>74</v>
      </c>
      <c r="D9" s="25">
        <f>VLOOKUP(A9,Input!$A$60:$B$110,2,FALSE)</f>
        <v>1.6</v>
      </c>
      <c r="E9" s="25">
        <f>VLOOKUP(A9,Input!$A$60:$C$110,3,FALSE)</f>
        <v>0</v>
      </c>
      <c r="F9" s="43">
        <f>Input!E67</f>
        <v>2273</v>
      </c>
      <c r="G9" s="43">
        <f>(VLOOKUP(C9,Input!$A$5:$I$24,2,FALSE)+VLOOKUP(C9,Input!$A$5:$I$24,3,FALSE))*(D9/VLOOKUP(C9,$N$2:$O$12,2,FALSE))</f>
        <v>60954.227670753062</v>
      </c>
      <c r="H9" s="43">
        <f t="shared" si="0"/>
        <v>60954.227670753062</v>
      </c>
      <c r="I9" s="43">
        <f t="shared" si="1"/>
        <v>0</v>
      </c>
      <c r="J9" s="43">
        <f>VLOOKUP(C9,Input!$A$5:$I$24,4,FALSE)*(D9/VLOOKUP(C9,$N$2:$O$12,2,FALSE))</f>
        <v>18.43782837127846</v>
      </c>
      <c r="K9" s="43">
        <f>VLOOKUP(C9,Input!$A$5:$I$24,5,FALSE)*(D9/VLOOKUP(C9,$N$2:$O$12,2,FALSE))</f>
        <v>4756.5674255691765</v>
      </c>
      <c r="L9" s="43">
        <f>VLOOKUP(C9,Input!$A$5:$I$24,7,FALSE)*(F9/VLOOKUP(C9,$N$2:$P$12,3,FALSE))</f>
        <v>13225.683088170441</v>
      </c>
      <c r="N9" s="13" t="s">
        <v>77</v>
      </c>
      <c r="O9" s="13">
        <f t="shared" si="2"/>
        <v>70.900000000000006</v>
      </c>
      <c r="P9" s="13">
        <f t="shared" si="3"/>
        <v>79462</v>
      </c>
    </row>
    <row r="10" spans="1:16" x14ac:dyDescent="0.25">
      <c r="A10" s="25" t="s">
        <v>29</v>
      </c>
      <c r="B10" s="25" t="s">
        <v>105</v>
      </c>
      <c r="C10" s="25" t="s">
        <v>74</v>
      </c>
      <c r="D10" s="25">
        <f>VLOOKUP(A10,Input!$A$60:$B$110,2,FALSE)</f>
        <v>1.5</v>
      </c>
      <c r="E10" s="25">
        <f>VLOOKUP(A10,Input!$A$60:$C$110,3,FALSE)</f>
        <v>0</v>
      </c>
      <c r="F10" s="43">
        <f>Input!E68</f>
        <v>4428</v>
      </c>
      <c r="G10" s="43">
        <f>(VLOOKUP(C10,Input!$A$5:$I$24,2,FALSE)+VLOOKUP(C10,Input!$A$5:$I$24,3,FALSE))*(D10/VLOOKUP(C10,$N$2:$O$12,2,FALSE))</f>
        <v>57144.588441330998</v>
      </c>
      <c r="H10" s="43">
        <f t="shared" si="0"/>
        <v>57144.588441330998</v>
      </c>
      <c r="I10" s="43">
        <f t="shared" si="1"/>
        <v>0</v>
      </c>
      <c r="J10" s="43">
        <f>VLOOKUP(C10,Input!$A$5:$I$24,4,FALSE)*(D10/VLOOKUP(C10,$N$2:$O$12,2,FALSE))</f>
        <v>17.285464098073554</v>
      </c>
      <c r="K10" s="43">
        <f>VLOOKUP(C10,Input!$A$5:$I$24,5,FALSE)*(D10/VLOOKUP(C10,$N$2:$O$12,2,FALSE))</f>
        <v>4459.2819614711034</v>
      </c>
      <c r="L10" s="43">
        <f>VLOOKUP(C10,Input!$A$5:$I$24,7,FALSE)*(F10/VLOOKUP(C10,$N$2:$P$12,3,FALSE))</f>
        <v>25764.771101812017</v>
      </c>
      <c r="N10" s="13" t="s">
        <v>79</v>
      </c>
      <c r="O10" s="13">
        <f t="shared" si="2"/>
        <v>20.5</v>
      </c>
      <c r="P10" s="13">
        <f t="shared" si="3"/>
        <v>35118</v>
      </c>
    </row>
    <row r="11" spans="1:16" x14ac:dyDescent="0.25">
      <c r="A11" s="25" t="s">
        <v>30</v>
      </c>
      <c r="B11" s="25" t="s">
        <v>105</v>
      </c>
      <c r="C11" s="25" t="s">
        <v>75</v>
      </c>
      <c r="D11" s="25">
        <f>VLOOKUP(A11,Input!$A$60:$B$110,2,FALSE)</f>
        <v>16</v>
      </c>
      <c r="E11" s="25">
        <f>VLOOKUP(A11,Input!$A$60:$C$110,3,FALSE)</f>
        <v>2.1</v>
      </c>
      <c r="F11" s="43">
        <f>Input!E69</f>
        <v>33689</v>
      </c>
      <c r="G11" s="43">
        <f>(VLOOKUP(C11,Input!$A$5:$I$24,2,FALSE)+VLOOKUP(C11,Input!$A$5:$I$24,3,FALSE))*(D11/VLOOKUP(C11,$N$2:$O$12,2,FALSE))</f>
        <v>636093.07479224377</v>
      </c>
      <c r="H11" s="43">
        <f t="shared" si="0"/>
        <v>552605.85872576176</v>
      </c>
      <c r="I11" s="43">
        <f t="shared" si="1"/>
        <v>83487.216066481997</v>
      </c>
      <c r="J11" s="43">
        <f>VLOOKUP(C11,Input!$A$5:$I$24,4,FALSE)*(D11/VLOOKUP(C11,$N$2:$O$12,2,FALSE))</f>
        <v>244.65373961218836</v>
      </c>
      <c r="K11" s="43">
        <f>VLOOKUP(C11,Input!$A$5:$I$24,5,FALSE)*(D11/VLOOKUP(C11,$N$2:$O$12,2,FALSE))</f>
        <v>47150.803324099725</v>
      </c>
      <c r="L11" s="43">
        <f>VLOOKUP(C11,Input!$A$5:$I$24,7,FALSE)*(F11/VLOOKUP(C11,$N$2:$P$12,3,FALSE))</f>
        <v>148514.53122256082</v>
      </c>
      <c r="N11" s="13" t="s">
        <v>78</v>
      </c>
      <c r="O11" s="13">
        <f t="shared" si="2"/>
        <v>27.5</v>
      </c>
      <c r="P11" s="13">
        <f t="shared" si="3"/>
        <v>28065</v>
      </c>
    </row>
    <row r="12" spans="1:16" x14ac:dyDescent="0.25">
      <c r="A12" s="25" t="s">
        <v>31</v>
      </c>
      <c r="B12" s="25" t="s">
        <v>105</v>
      </c>
      <c r="C12" s="25" t="s">
        <v>75</v>
      </c>
      <c r="D12" s="25">
        <f>VLOOKUP(A12,Input!$A$60:$B$110,2,FALSE)</f>
        <v>14.2</v>
      </c>
      <c r="E12" s="25">
        <f>VLOOKUP(A12,Input!$A$60:$C$110,3,FALSE)</f>
        <v>0</v>
      </c>
      <c r="F12" s="43">
        <f>Input!E70</f>
        <v>17358</v>
      </c>
      <c r="G12" s="43">
        <f>(VLOOKUP(C12,Input!$A$5:$I$24,2,FALSE)+VLOOKUP(C12,Input!$A$5:$I$24,3,FALSE))*(D12/VLOOKUP(C12,$N$2:$O$12,2,FALSE))</f>
        <v>564532.60387811624</v>
      </c>
      <c r="H12" s="43">
        <f t="shared" si="0"/>
        <v>564532.60387811624</v>
      </c>
      <c r="I12" s="43">
        <f t="shared" si="1"/>
        <v>0</v>
      </c>
      <c r="J12" s="43">
        <f>VLOOKUP(C12,Input!$A$5:$I$24,4,FALSE)*(D12/VLOOKUP(C12,$N$2:$O$12,2,FALSE))</f>
        <v>217.13019390581715</v>
      </c>
      <c r="K12" s="43">
        <f>VLOOKUP(C12,Input!$A$5:$I$24,5,FALSE)*(D12/VLOOKUP(C12,$N$2:$O$12,2,FALSE))</f>
        <v>41846.337950138499</v>
      </c>
      <c r="L12" s="43">
        <f>VLOOKUP(C12,Input!$A$5:$I$24,7,FALSE)*(F12/VLOOKUP(C12,$N$2:$P$12,3,FALSE))</f>
        <v>76520.978151954958</v>
      </c>
      <c r="N12" s="13" t="s">
        <v>82</v>
      </c>
      <c r="O12" s="13">
        <f t="shared" si="2"/>
        <v>21</v>
      </c>
      <c r="P12" s="13">
        <f t="shared" si="3"/>
        <v>78671</v>
      </c>
    </row>
    <row r="13" spans="1:16" x14ac:dyDescent="0.25">
      <c r="A13" s="25" t="s">
        <v>32</v>
      </c>
      <c r="B13" s="25" t="s">
        <v>109</v>
      </c>
      <c r="C13" s="25" t="s">
        <v>100</v>
      </c>
      <c r="D13" s="25">
        <f>VLOOKUP(A13,Input!$A$60:$B$110,2,FALSE)</f>
        <v>1.1000000000000001</v>
      </c>
      <c r="E13" s="25">
        <f>VLOOKUP(A13,Input!$A$60:$C$110,3,FALSE)</f>
        <v>0</v>
      </c>
      <c r="F13" s="43">
        <f>Input!E71</f>
        <v>4426</v>
      </c>
      <c r="G13" s="43">
        <f>(VLOOKUP(C13,Input!$A$5:$I$24,2,FALSE)+VLOOKUP(C13,Input!$A$5:$I$24,3,FALSE))*(D13/VLOOKUP(C13,$N$2:$O$12,2,FALSE))</f>
        <v>41105.744094488196</v>
      </c>
      <c r="H13" s="43">
        <f t="shared" si="0"/>
        <v>41105.744094488196</v>
      </c>
      <c r="I13" s="43">
        <f t="shared" si="1"/>
        <v>0</v>
      </c>
      <c r="J13" s="43">
        <f>VLOOKUP(C13,Input!$A$5:$I$24,4,FALSE)*(D13/VLOOKUP(C13,$N$2:$O$12,2,FALSE))</f>
        <v>191.67716535433073</v>
      </c>
      <c r="K13" s="43">
        <f>VLOOKUP(C13,Input!$A$5:$I$24,5,FALSE)*(D13/VLOOKUP(C13,$N$2:$O$12,2,FALSE))</f>
        <v>7402.4370078740167</v>
      </c>
      <c r="L13" s="43">
        <f>VLOOKUP(C13,Input!$A$5:$I$24,7,FALSE)*(F13/VLOOKUP(C13,$N$2:$P$12,3,FALSE))</f>
        <v>15130.659610681796</v>
      </c>
    </row>
    <row r="14" spans="1:16" x14ac:dyDescent="0.25">
      <c r="A14" s="25" t="s">
        <v>33</v>
      </c>
      <c r="B14" s="25" t="s">
        <v>108</v>
      </c>
      <c r="C14" s="25" t="s">
        <v>84</v>
      </c>
      <c r="D14" s="25">
        <f>VLOOKUP(A14,Input!$A$60:$B$110,2,FALSE)</f>
        <v>2.9</v>
      </c>
      <c r="E14" s="25">
        <f>VLOOKUP(A14,Input!$A$60:$C$110,3,FALSE)</f>
        <v>1.5</v>
      </c>
      <c r="F14" s="43">
        <f>Input!E72</f>
        <v>2871</v>
      </c>
      <c r="G14" s="43">
        <f>(VLOOKUP(C14,Input!$A$5:$I$24,2,FALSE)+VLOOKUP(C14,Input!$A$5:$I$24,3,FALSE))*(D14/VLOOKUP(C14,$N$2:$O$12,2,FALSE))</f>
        <v>70616.897196261692</v>
      </c>
      <c r="H14" s="43">
        <f t="shared" si="0"/>
        <v>34090.915887850468</v>
      </c>
      <c r="I14" s="43">
        <f t="shared" si="1"/>
        <v>36525.981308411225</v>
      </c>
      <c r="J14" s="43">
        <f>VLOOKUP(C14,Input!$A$5:$I$24,4,FALSE)*(D14/VLOOKUP(C14,$N$2:$O$12,2,FALSE))</f>
        <v>438.92990654205613</v>
      </c>
      <c r="K14" s="43">
        <f>VLOOKUP(C14,Input!$A$5:$I$24,5,FALSE)*(D14/VLOOKUP(C14,$N$2:$O$12,2,FALSE))</f>
        <v>28781.957943925237</v>
      </c>
      <c r="L14" s="43">
        <f>VLOOKUP(C14,Input!$A$5:$I$24,7,FALSE)*(F14/VLOOKUP(C14,$N$2:$P$12,3,FALSE))</f>
        <v>938.3895946999221</v>
      </c>
    </row>
    <row r="15" spans="1:16" x14ac:dyDescent="0.25">
      <c r="A15" s="25" t="s">
        <v>34</v>
      </c>
      <c r="B15" s="25" t="s">
        <v>106</v>
      </c>
      <c r="C15" s="25" t="s">
        <v>77</v>
      </c>
      <c r="D15" s="25">
        <f>VLOOKUP(A15,Input!$A$60:$B$110,2,FALSE)</f>
        <v>12.5</v>
      </c>
      <c r="E15" s="25">
        <f>VLOOKUP(A15,Input!$A$60:$C$110,3,FALSE)</f>
        <v>4.5999999999999996</v>
      </c>
      <c r="F15" s="43">
        <f>Input!E73</f>
        <v>18084</v>
      </c>
      <c r="G15" s="43">
        <f>(VLOOKUP(C15,Input!$A$5:$I$24,2,FALSE)+VLOOKUP(C15,Input!$A$5:$I$24,3,FALSE))*(D15/VLOOKUP(C15,$N$2:$O$12,2,FALSE))</f>
        <v>677325.81100141036</v>
      </c>
      <c r="H15" s="43">
        <f t="shared" si="0"/>
        <v>428069.91255289136</v>
      </c>
      <c r="I15" s="43">
        <f t="shared" si="1"/>
        <v>249255.898448519</v>
      </c>
      <c r="J15" s="43">
        <f>VLOOKUP(C15,Input!$A$5:$I$24,4,FALSE)*(D15/VLOOKUP(C15,$N$2:$O$12,2,FALSE))</f>
        <v>7078.4555712270794</v>
      </c>
      <c r="K15" s="43">
        <f>VLOOKUP(C15,Input!$A$5:$I$24,5,FALSE)*(D15/VLOOKUP(C15,$N$2:$O$12,2,FALSE))</f>
        <v>95874.999999999985</v>
      </c>
      <c r="L15" s="43">
        <f>VLOOKUP(C15,Input!$A$5:$I$24,7,FALSE)*(F15/VLOOKUP(C15,$N$2:$P$12,3,FALSE))</f>
        <v>141460.15670383329</v>
      </c>
    </row>
    <row r="16" spans="1:16" x14ac:dyDescent="0.25">
      <c r="A16" s="25" t="s">
        <v>35</v>
      </c>
      <c r="B16" s="25" t="s">
        <v>106</v>
      </c>
      <c r="C16" s="25" t="s">
        <v>77</v>
      </c>
      <c r="D16" s="25">
        <f>VLOOKUP(A16,Input!$A$60:$B$110,2,FALSE)</f>
        <v>12.5</v>
      </c>
      <c r="E16" s="25">
        <f>VLOOKUP(A16,Input!$A$60:$C$110,3,FALSE)</f>
        <v>3.7</v>
      </c>
      <c r="F16" s="43">
        <f>Input!E74</f>
        <v>10755</v>
      </c>
      <c r="G16" s="43">
        <f>(VLOOKUP(C16,Input!$A$5:$I$24,2,FALSE)+VLOOKUP(C16,Input!$A$5:$I$24,3,FALSE))*(D16/VLOOKUP(C16,$N$2:$O$12,2,FALSE))</f>
        <v>677325.81100141036</v>
      </c>
      <c r="H16" s="43">
        <f t="shared" si="0"/>
        <v>476837.37094499287</v>
      </c>
      <c r="I16" s="43">
        <f t="shared" si="1"/>
        <v>200488.44005641749</v>
      </c>
      <c r="J16" s="43">
        <f>VLOOKUP(C16,Input!$A$5:$I$24,4,FALSE)*(D16/VLOOKUP(C16,$N$2:$O$12,2,FALSE))</f>
        <v>7078.4555712270794</v>
      </c>
      <c r="K16" s="43">
        <f>VLOOKUP(C16,Input!$A$5:$I$24,5,FALSE)*(D16/VLOOKUP(C16,$N$2:$O$12,2,FALSE))</f>
        <v>95874.999999999985</v>
      </c>
      <c r="L16" s="43">
        <f>VLOOKUP(C16,Input!$A$5:$I$24,7,FALSE)*(F16/VLOOKUP(C16,$N$2:$P$12,3,FALSE))</f>
        <v>84129.837721174903</v>
      </c>
    </row>
    <row r="17" spans="1:12" x14ac:dyDescent="0.25">
      <c r="A17" s="25" t="s">
        <v>36</v>
      </c>
      <c r="B17" s="25" t="s">
        <v>106</v>
      </c>
      <c r="C17" s="25" t="s">
        <v>79</v>
      </c>
      <c r="D17" s="25">
        <f>VLOOKUP(A17,Input!$A$60:$B$110,2,FALSE)</f>
        <v>3.8</v>
      </c>
      <c r="E17" s="25">
        <f>VLOOKUP(A17,Input!$A$60:$C$110,3,FALSE)</f>
        <v>1.1000000000000001</v>
      </c>
      <c r="F17" s="43">
        <f>Input!E75</f>
        <v>8357</v>
      </c>
      <c r="G17" s="43">
        <f>(VLOOKUP(C17,Input!$A$5:$I$24,2,FALSE)+VLOOKUP(C17,Input!$A$5:$I$24,3,FALSE))*(D17/VLOOKUP(C17,$N$2:$O$12,2,FALSE))</f>
        <v>203327.80487804877</v>
      </c>
      <c r="H17" s="43">
        <f t="shared" si="0"/>
        <v>144469.75609756098</v>
      </c>
      <c r="I17" s="43">
        <f t="shared" si="1"/>
        <v>58858.048780487807</v>
      </c>
      <c r="J17" s="43">
        <f>VLOOKUP(C17,Input!$A$5:$I$24,4,FALSE)*(D17/VLOOKUP(C17,$N$2:$O$12,2,FALSE))</f>
        <v>6110.0292682926829</v>
      </c>
      <c r="K17" s="43">
        <f>VLOOKUP(C17,Input!$A$5:$I$24,5,FALSE)*(D17/VLOOKUP(C17,$N$2:$O$12,2,FALSE))</f>
        <v>29984.409756097561</v>
      </c>
      <c r="L17" s="43">
        <f>VLOOKUP(C17,Input!$A$5:$I$24,7,FALSE)*(F17/VLOOKUP(C17,$N$2:$P$12,3,FALSE))</f>
        <v>57344.135799305201</v>
      </c>
    </row>
    <row r="18" spans="1:12" x14ac:dyDescent="0.25">
      <c r="A18" s="25" t="s">
        <v>37</v>
      </c>
      <c r="B18" s="25" t="s">
        <v>106</v>
      </c>
      <c r="C18" s="25" t="s">
        <v>79</v>
      </c>
      <c r="D18" s="25">
        <f>VLOOKUP(A18,Input!$A$60:$B$110,2,FALSE)</f>
        <v>2.5</v>
      </c>
      <c r="E18" s="25">
        <f>VLOOKUP(A18,Input!$A$60:$C$110,3,FALSE)</f>
        <v>0.7</v>
      </c>
      <c r="F18" s="43">
        <f>Input!E76</f>
        <v>5792</v>
      </c>
      <c r="G18" s="43">
        <f>(VLOOKUP(C18,Input!$A$5:$I$24,2,FALSE)+VLOOKUP(C18,Input!$A$5:$I$24,3,FALSE))*(D18/VLOOKUP(C18,$N$2:$O$12,2,FALSE))</f>
        <v>133768.29268292684</v>
      </c>
      <c r="H18" s="43">
        <f t="shared" si="0"/>
        <v>96313.170731707331</v>
      </c>
      <c r="I18" s="43">
        <f t="shared" si="1"/>
        <v>37455.121951219509</v>
      </c>
      <c r="J18" s="43">
        <f>VLOOKUP(C18,Input!$A$5:$I$24,4,FALSE)*(D18/VLOOKUP(C18,$N$2:$O$12,2,FALSE))</f>
        <v>4019.7560975609754</v>
      </c>
      <c r="K18" s="43">
        <f>VLOOKUP(C18,Input!$A$5:$I$24,5,FALSE)*(D18/VLOOKUP(C18,$N$2:$O$12,2,FALSE))</f>
        <v>19726.585365853658</v>
      </c>
      <c r="L18" s="43">
        <f>VLOOKUP(C18,Input!$A$5:$I$24,7,FALSE)*(F18/VLOOKUP(C18,$N$2:$P$12,3,FALSE))</f>
        <v>39743.596332365174</v>
      </c>
    </row>
    <row r="19" spans="1:12" x14ac:dyDescent="0.25">
      <c r="A19" s="25" t="s">
        <v>38</v>
      </c>
      <c r="B19" s="25" t="s">
        <v>106</v>
      </c>
      <c r="C19" s="25" t="s">
        <v>77</v>
      </c>
      <c r="D19" s="25">
        <f>VLOOKUP(A19,Input!$A$60:$B$110,2,FALSE)</f>
        <v>5.8</v>
      </c>
      <c r="E19" s="25">
        <f>VLOOKUP(A19,Input!$A$60:$C$110,3,FALSE)</f>
        <v>1.6</v>
      </c>
      <c r="F19" s="43">
        <f>Input!E77</f>
        <v>8648</v>
      </c>
      <c r="G19" s="43">
        <f>(VLOOKUP(C19,Input!$A$5:$I$24,2,FALSE)+VLOOKUP(C19,Input!$A$5:$I$24,3,FALSE))*(D19/VLOOKUP(C19,$N$2:$O$12,2,FALSE))</f>
        <v>314279.17630465445</v>
      </c>
      <c r="H19" s="43">
        <f t="shared" si="0"/>
        <v>227581.47249647393</v>
      </c>
      <c r="I19" s="43">
        <f t="shared" si="1"/>
        <v>86697.703808180537</v>
      </c>
      <c r="J19" s="43">
        <f>VLOOKUP(C19,Input!$A$5:$I$24,4,FALSE)*(D19/VLOOKUP(C19,$N$2:$O$12,2,FALSE))</f>
        <v>3284.4033850493652</v>
      </c>
      <c r="K19" s="43">
        <f>VLOOKUP(C19,Input!$A$5:$I$24,5,FALSE)*(D19/VLOOKUP(C19,$N$2:$O$12,2,FALSE))</f>
        <v>44486</v>
      </c>
      <c r="L19" s="43">
        <f>VLOOKUP(C19,Input!$A$5:$I$24,7,FALSE)*(F19/VLOOKUP(C19,$N$2:$P$12,3,FALSE))</f>
        <v>67648.055473056302</v>
      </c>
    </row>
    <row r="20" spans="1:12" x14ac:dyDescent="0.25">
      <c r="A20" s="25" t="s">
        <v>39</v>
      </c>
      <c r="B20" s="25" t="s">
        <v>107</v>
      </c>
      <c r="C20" s="25" t="s">
        <v>81</v>
      </c>
      <c r="D20" s="25">
        <f>VLOOKUP(A20,Input!$A$60:$B$110,2,FALSE)</f>
        <v>7.4</v>
      </c>
      <c r="E20" s="25">
        <f>VLOOKUP(A20,Input!$A$60:$C$110,3,FALSE)</f>
        <v>5.9</v>
      </c>
      <c r="F20" s="43">
        <f>Input!E78</f>
        <v>17217</v>
      </c>
      <c r="G20" s="43">
        <f>(VLOOKUP(C20,Input!$A$5:$I$24,2,FALSE)+VLOOKUP(C20,Input!$A$5:$I$24,3,FALSE))*(D20/VLOOKUP(C20,$N$2:$O$12,2,FALSE))</f>
        <v>259401.37600000005</v>
      </c>
      <c r="H20" s="43">
        <f t="shared" si="0"/>
        <v>52581.360000000015</v>
      </c>
      <c r="I20" s="43">
        <f t="shared" si="1"/>
        <v>206820.01600000003</v>
      </c>
      <c r="J20" s="43">
        <f>VLOOKUP(C20,Input!$A$5:$I$24,4,FALSE)*(D20/VLOOKUP(C20,$N$2:$O$12,2,FALSE))</f>
        <v>626.04000000000008</v>
      </c>
      <c r="K20" s="43">
        <f>VLOOKUP(C20,Input!$A$5:$I$24,5,FALSE)*(D20/VLOOKUP(C20,$N$2:$O$12,2,FALSE))</f>
        <v>46690.744000000006</v>
      </c>
      <c r="L20" s="43">
        <f>VLOOKUP(C20,Input!$A$5:$I$24,7,FALSE)*(F20/VLOOKUP(C20,$N$2:$P$12,3,FALSE))</f>
        <v>232817.99867091974</v>
      </c>
    </row>
    <row r="21" spans="1:12" x14ac:dyDescent="0.25">
      <c r="A21" s="25" t="s">
        <v>40</v>
      </c>
      <c r="B21" s="25" t="s">
        <v>105</v>
      </c>
      <c r="C21" s="25" t="s">
        <v>73</v>
      </c>
      <c r="D21" s="25">
        <f>VLOOKUP(A21,Input!$A$60:$B$110,2,FALSE)</f>
        <v>1.7</v>
      </c>
      <c r="E21" s="25">
        <f>VLOOKUP(A21,Input!$A$60:$C$110,3,FALSE)</f>
        <v>0</v>
      </c>
      <c r="F21" s="43">
        <f>Input!E79</f>
        <v>1310</v>
      </c>
      <c r="G21" s="43">
        <f>(VLOOKUP(C21,Input!$A$5:$I$24,2,FALSE)+VLOOKUP(C21,Input!$A$5:$I$24,3,FALSE))*(D21/VLOOKUP(C21,$N$2:$O$12,2,FALSE))</f>
        <v>70693.324468085106</v>
      </c>
      <c r="H21" s="43">
        <f t="shared" si="0"/>
        <v>70693.324468085106</v>
      </c>
      <c r="I21" s="43">
        <f t="shared" si="1"/>
        <v>0</v>
      </c>
      <c r="J21" s="43">
        <f>VLOOKUP(C21,Input!$A$5:$I$24,4,FALSE)*(D21/VLOOKUP(C21,$N$2:$O$12,2,FALSE))</f>
        <v>0</v>
      </c>
      <c r="K21" s="43">
        <f>VLOOKUP(C21,Input!$A$5:$I$24,5,FALSE)*(D21/VLOOKUP(C21,$N$2:$O$12,2,FALSE))</f>
        <v>247.22340425531914</v>
      </c>
      <c r="L21" s="43">
        <f>VLOOKUP(C21,Input!$A$5:$I$24,7,FALSE)*(F21/VLOOKUP(C21,$N$2:$P$12,3,FALSE))</f>
        <v>561.91924488725738</v>
      </c>
    </row>
    <row r="22" spans="1:12" x14ac:dyDescent="0.25">
      <c r="A22" s="25" t="s">
        <v>41</v>
      </c>
      <c r="B22" s="25" t="s">
        <v>105</v>
      </c>
      <c r="C22" s="25" t="s">
        <v>74</v>
      </c>
      <c r="D22" s="25">
        <f>VLOOKUP(A22,Input!$A$60:$B$110,2,FALSE)</f>
        <v>6.8</v>
      </c>
      <c r="E22" s="25">
        <f>VLOOKUP(A22,Input!$A$60:$C$110,3,FALSE)</f>
        <v>3.2</v>
      </c>
      <c r="F22" s="43">
        <f>Input!E80</f>
        <v>9391</v>
      </c>
      <c r="G22" s="43">
        <f>(VLOOKUP(C22,Input!$A$5:$I$24,2,FALSE)+VLOOKUP(C22,Input!$A$5:$I$24,3,FALSE))*(D22/VLOOKUP(C22,$N$2:$O$12,2,FALSE))</f>
        <v>259055.46760070053</v>
      </c>
      <c r="H22" s="43">
        <f t="shared" si="0"/>
        <v>137147.01225919439</v>
      </c>
      <c r="I22" s="43">
        <f t="shared" si="1"/>
        <v>121908.45534150615</v>
      </c>
      <c r="J22" s="43">
        <f>VLOOKUP(C22,Input!$A$5:$I$24,4,FALSE)*(D22/VLOOKUP(C22,$N$2:$O$12,2,FALSE))</f>
        <v>78.360770577933451</v>
      </c>
      <c r="K22" s="43">
        <f>VLOOKUP(C22,Input!$A$5:$I$24,5,FALSE)*(D22/VLOOKUP(C22,$N$2:$O$12,2,FALSE))</f>
        <v>20215.411558669002</v>
      </c>
      <c r="L22" s="43">
        <f>VLOOKUP(C22,Input!$A$5:$I$24,7,FALSE)*(F22/VLOOKUP(C22,$N$2:$P$12,3,FALSE))</f>
        <v>54642.49444830999</v>
      </c>
    </row>
    <row r="23" spans="1:12" x14ac:dyDescent="0.25">
      <c r="A23" s="25" t="s">
        <v>42</v>
      </c>
      <c r="B23" s="25" t="s">
        <v>105</v>
      </c>
      <c r="C23" s="25" t="s">
        <v>73</v>
      </c>
      <c r="D23" s="25">
        <f>VLOOKUP(A23,Input!$A$60:$B$110,2,FALSE)</f>
        <v>6.5</v>
      </c>
      <c r="E23" s="25">
        <f>VLOOKUP(A23,Input!$A$60:$C$110,3,FALSE)</f>
        <v>2.2000000000000002</v>
      </c>
      <c r="F23" s="43">
        <f>Input!E81</f>
        <v>17705</v>
      </c>
      <c r="G23" s="43">
        <f>(VLOOKUP(C23,Input!$A$5:$I$24,2,FALSE)+VLOOKUP(C23,Input!$A$5:$I$24,3,FALSE))*(D23/VLOOKUP(C23,$N$2:$O$12,2,FALSE))</f>
        <v>270298.00531914894</v>
      </c>
      <c r="H23" s="43">
        <f t="shared" si="0"/>
        <v>178812.52659574468</v>
      </c>
      <c r="I23" s="43">
        <f t="shared" si="1"/>
        <v>91485.47872340426</v>
      </c>
      <c r="J23" s="43">
        <f>VLOOKUP(C23,Input!$A$5:$I$24,4,FALSE)*(D23/VLOOKUP(C23,$N$2:$O$12,2,FALSE))</f>
        <v>0</v>
      </c>
      <c r="K23" s="43">
        <f>VLOOKUP(C23,Input!$A$5:$I$24,5,FALSE)*(D23/VLOOKUP(C23,$N$2:$O$12,2,FALSE))</f>
        <v>945.26595744680844</v>
      </c>
      <c r="L23" s="43">
        <f>VLOOKUP(C23,Input!$A$5:$I$24,7,FALSE)*(F23/VLOOKUP(C23,$N$2:$P$12,3,FALSE))</f>
        <v>7594.4887257472465</v>
      </c>
    </row>
    <row r="24" spans="1:12" x14ac:dyDescent="0.25">
      <c r="A24" s="25" t="s">
        <v>43</v>
      </c>
      <c r="B24" s="25" t="s">
        <v>106</v>
      </c>
      <c r="C24" s="25" t="s">
        <v>77</v>
      </c>
      <c r="D24" s="25">
        <f>VLOOKUP(A24,Input!$A$60:$B$110,2,FALSE)</f>
        <v>14.3</v>
      </c>
      <c r="E24" s="25">
        <f>VLOOKUP(A24,Input!$A$60:$C$110,3,FALSE)</f>
        <v>0.1</v>
      </c>
      <c r="F24" s="43">
        <f>Input!E82</f>
        <v>12660</v>
      </c>
      <c r="G24" s="43">
        <f>(VLOOKUP(C24,Input!$A$5:$I$24,2,FALSE)+VLOOKUP(C24,Input!$A$5:$I$24,3,FALSE))*(D24/VLOOKUP(C24,$N$2:$O$12,2,FALSE))</f>
        <v>774860.7277856135</v>
      </c>
      <c r="H24" s="43">
        <f t="shared" si="0"/>
        <v>769442.12129760219</v>
      </c>
      <c r="I24" s="43">
        <f t="shared" si="1"/>
        <v>5418.6064880112835</v>
      </c>
      <c r="J24" s="43">
        <f>VLOOKUP(C24,Input!$A$5:$I$24,4,FALSE)*(D24/VLOOKUP(C24,$N$2:$O$12,2,FALSE))</f>
        <v>8097.7531734837794</v>
      </c>
      <c r="K24" s="43">
        <f>VLOOKUP(C24,Input!$A$5:$I$24,5,FALSE)*(D24/VLOOKUP(C24,$N$2:$O$12,2,FALSE))</f>
        <v>109681</v>
      </c>
      <c r="L24" s="43">
        <f>VLOOKUP(C24,Input!$A$5:$I$24,7,FALSE)*(F24/VLOOKUP(C24,$N$2:$P$12,3,FALSE))</f>
        <v>99031.496564395551</v>
      </c>
    </row>
    <row r="25" spans="1:12" x14ac:dyDescent="0.25">
      <c r="A25" s="25" t="s">
        <v>44</v>
      </c>
      <c r="B25" s="25" t="s">
        <v>106</v>
      </c>
      <c r="C25" s="25" t="s">
        <v>78</v>
      </c>
      <c r="D25" s="25">
        <f>VLOOKUP(A25,Input!$A$60:$B$110,2,FALSE)</f>
        <v>10</v>
      </c>
      <c r="E25" s="25">
        <f>VLOOKUP(A25,Input!$A$60:$C$110,3,FALSE)</f>
        <v>5.4</v>
      </c>
      <c r="F25" s="43">
        <f>Input!E83</f>
        <v>11581</v>
      </c>
      <c r="G25" s="43">
        <f>(VLOOKUP(C25,Input!$A$5:$I$24,2,FALSE)+VLOOKUP(C25,Input!$A$5:$I$24,3,FALSE))*(D25/VLOOKUP(C25,$N$2:$O$12,2,FALSE))</f>
        <v>479144.36363636365</v>
      </c>
      <c r="H25" s="43">
        <f t="shared" si="0"/>
        <v>220406.40727272726</v>
      </c>
      <c r="I25" s="43">
        <f t="shared" si="1"/>
        <v>258737.95636363639</v>
      </c>
      <c r="J25" s="43">
        <f>VLOOKUP(C25,Input!$A$5:$I$24,4,FALSE)*(D25/VLOOKUP(C25,$N$2:$O$12,2,FALSE))</f>
        <v>7016</v>
      </c>
      <c r="K25" s="43">
        <f>VLOOKUP(C25,Input!$A$5:$I$24,5,FALSE)*(D25/VLOOKUP(C25,$N$2:$O$12,2,FALSE))</f>
        <v>77053.818181818191</v>
      </c>
      <c r="L25" s="43">
        <f>VLOOKUP(C25,Input!$A$5:$I$24,7,FALSE)*(F25/VLOOKUP(C25,$N$2:$P$12,3,FALSE))</f>
        <v>62395.036023516834</v>
      </c>
    </row>
    <row r="26" spans="1:12" x14ac:dyDescent="0.25">
      <c r="A26" s="25" t="s">
        <v>45</v>
      </c>
      <c r="B26" s="25" t="s">
        <v>107</v>
      </c>
      <c r="C26" s="25" t="s">
        <v>81</v>
      </c>
      <c r="D26" s="25">
        <f>VLOOKUP(A26,Input!$A$60:$B$110,2,FALSE)</f>
        <v>5.5</v>
      </c>
      <c r="E26" s="25">
        <f>VLOOKUP(A26,Input!$A$60:$C$110,3,FALSE)</f>
        <v>1.1000000000000001</v>
      </c>
      <c r="F26" s="43">
        <f>Input!E84</f>
        <v>3368</v>
      </c>
      <c r="G26" s="43">
        <f>(VLOOKUP(C26,Input!$A$5:$I$24,2,FALSE)+VLOOKUP(C26,Input!$A$5:$I$24,3,FALSE))*(D26/VLOOKUP(C26,$N$2:$O$12,2,FALSE))</f>
        <v>192798.32</v>
      </c>
      <c r="H26" s="43">
        <f t="shared" si="0"/>
        <v>154238.65600000002</v>
      </c>
      <c r="I26" s="43">
        <f t="shared" si="1"/>
        <v>38559.664000000004</v>
      </c>
      <c r="J26" s="43">
        <f>VLOOKUP(C26,Input!$A$5:$I$24,4,FALSE)*(D26/VLOOKUP(C26,$N$2:$O$12,2,FALSE))</f>
        <v>465.3</v>
      </c>
      <c r="K26" s="43">
        <f>VLOOKUP(C26,Input!$A$5:$I$24,5,FALSE)*(D26/VLOOKUP(C26,$N$2:$O$12,2,FALSE))</f>
        <v>34702.58</v>
      </c>
      <c r="L26" s="43">
        <f>VLOOKUP(C26,Input!$A$5:$I$24,7,FALSE)*(F26/VLOOKUP(C26,$N$2:$P$12,3,FALSE))</f>
        <v>45543.998346033433</v>
      </c>
    </row>
    <row r="27" spans="1:12" x14ac:dyDescent="0.25">
      <c r="A27" s="25" t="s">
        <v>46</v>
      </c>
      <c r="B27" s="25" t="s">
        <v>106</v>
      </c>
      <c r="C27" s="25" t="s">
        <v>79</v>
      </c>
      <c r="D27" s="25">
        <f>VLOOKUP(A27,Input!$A$60:$B$110,2,FALSE)</f>
        <v>6.5</v>
      </c>
      <c r="E27" s="25">
        <f>VLOOKUP(A27,Input!$A$60:$C$110,3,FALSE)</f>
        <v>1</v>
      </c>
      <c r="F27" s="43">
        <f>Input!E85</f>
        <v>8764</v>
      </c>
      <c r="G27" s="43">
        <f>(VLOOKUP(C27,Input!$A$5:$I$24,2,FALSE)+VLOOKUP(C27,Input!$A$5:$I$24,3,FALSE))*(D27/VLOOKUP(C27,$N$2:$O$12,2,FALSE))</f>
        <v>347797.56097560975</v>
      </c>
      <c r="H27" s="43">
        <f t="shared" si="0"/>
        <v>294290.24390243902</v>
      </c>
      <c r="I27" s="43">
        <f t="shared" si="1"/>
        <v>53507.317073170736</v>
      </c>
      <c r="J27" s="43">
        <f>VLOOKUP(C27,Input!$A$5:$I$24,4,FALSE)*(D27/VLOOKUP(C27,$N$2:$O$12,2,FALSE))</f>
        <v>10451.365853658537</v>
      </c>
      <c r="K27" s="43">
        <f>VLOOKUP(C27,Input!$A$5:$I$24,5,FALSE)*(D27/VLOOKUP(C27,$N$2:$O$12,2,FALSE))</f>
        <v>51289.121951219509</v>
      </c>
      <c r="L27" s="43">
        <f>VLOOKUP(C27,Input!$A$5:$I$24,7,FALSE)*(F27/VLOOKUP(C27,$N$2:$P$12,3,FALSE))</f>
        <v>60136.89196423487</v>
      </c>
    </row>
    <row r="28" spans="1:12" x14ac:dyDescent="0.25">
      <c r="A28" s="25" t="s">
        <v>47</v>
      </c>
      <c r="B28" s="25" t="s">
        <v>108</v>
      </c>
      <c r="C28" s="25" t="s">
        <v>84</v>
      </c>
      <c r="D28" s="25">
        <f>VLOOKUP(A28,Input!$A$60:$B$110,2,FALSE)</f>
        <v>4.2</v>
      </c>
      <c r="E28" s="25">
        <f>VLOOKUP(A28,Input!$A$60:$C$110,3,FALSE)</f>
        <v>0</v>
      </c>
      <c r="F28" s="43">
        <f>Input!E86</f>
        <v>2330</v>
      </c>
      <c r="G28" s="43">
        <f>(VLOOKUP(C28,Input!$A$5:$I$24,2,FALSE)+VLOOKUP(C28,Input!$A$5:$I$24,3,FALSE))*(D28/VLOOKUP(C28,$N$2:$O$12,2,FALSE))</f>
        <v>102272.74766355142</v>
      </c>
      <c r="H28" s="43">
        <f t="shared" si="0"/>
        <v>102272.74766355142</v>
      </c>
      <c r="I28" s="43">
        <f t="shared" si="1"/>
        <v>0</v>
      </c>
      <c r="J28" s="43">
        <f>VLOOKUP(C28,Input!$A$5:$I$24,4,FALSE)*(D28/VLOOKUP(C28,$N$2:$O$12,2,FALSE))</f>
        <v>635.69158878504675</v>
      </c>
      <c r="K28" s="43">
        <f>VLOOKUP(C28,Input!$A$5:$I$24,5,FALSE)*(D28/VLOOKUP(C28,$N$2:$O$12,2,FALSE))</f>
        <v>41684.214953271032</v>
      </c>
      <c r="L28" s="43">
        <f>VLOOKUP(C28,Input!$A$5:$I$24,7,FALSE)*(F28/VLOOKUP(C28,$N$2:$P$12,3,FALSE))</f>
        <v>761.56313328137173</v>
      </c>
    </row>
    <row r="29" spans="1:12" x14ac:dyDescent="0.25">
      <c r="A29" s="25" t="s">
        <v>48</v>
      </c>
      <c r="B29" s="25" t="s">
        <v>106</v>
      </c>
      <c r="C29" s="25" t="s">
        <v>79</v>
      </c>
      <c r="D29" s="25">
        <f>VLOOKUP(A29,Input!$A$60:$B$110,2,FALSE)</f>
        <v>3</v>
      </c>
      <c r="E29" s="25">
        <f>VLOOKUP(A29,Input!$A$60:$C$110,3,FALSE)</f>
        <v>0.9</v>
      </c>
      <c r="F29" s="43">
        <f>Input!E87</f>
        <v>4656</v>
      </c>
      <c r="G29" s="43">
        <f>(VLOOKUP(C29,Input!$A$5:$I$24,2,FALSE)+VLOOKUP(C29,Input!$A$5:$I$24,3,FALSE))*(D29/VLOOKUP(C29,$N$2:$O$12,2,FALSE))</f>
        <v>160521.95121951218</v>
      </c>
      <c r="H29" s="43">
        <f t="shared" si="0"/>
        <v>112365.36585365853</v>
      </c>
      <c r="I29" s="43">
        <f t="shared" si="1"/>
        <v>48156.585365853651</v>
      </c>
      <c r="J29" s="43">
        <f>VLOOKUP(C29,Input!$A$5:$I$24,4,FALSE)*(D29/VLOOKUP(C29,$N$2:$O$12,2,FALSE))</f>
        <v>4823.7073170731701</v>
      </c>
      <c r="K29" s="43">
        <f>VLOOKUP(C29,Input!$A$5:$I$24,5,FALSE)*(D29/VLOOKUP(C29,$N$2:$O$12,2,FALSE))</f>
        <v>23671.90243902439</v>
      </c>
      <c r="L29" s="43">
        <f>VLOOKUP(C29,Input!$A$5:$I$24,7,FALSE)*(F29/VLOOKUP(C29,$N$2:$P$12,3,FALSE))</f>
        <v>31948.581582094652</v>
      </c>
    </row>
    <row r="30" spans="1:12" x14ac:dyDescent="0.25">
      <c r="A30" s="25" t="s">
        <v>49</v>
      </c>
      <c r="B30" s="25" t="s">
        <v>109</v>
      </c>
      <c r="C30" s="25" t="s">
        <v>100</v>
      </c>
      <c r="D30" s="25">
        <f>VLOOKUP(A30,Input!$A$60:$B$110,2,FALSE)</f>
        <v>3.6</v>
      </c>
      <c r="E30" s="25">
        <f>VLOOKUP(A30,Input!$A$60:$C$110,3,FALSE)</f>
        <v>0</v>
      </c>
      <c r="F30" s="43">
        <f>Input!E88</f>
        <v>7196</v>
      </c>
      <c r="G30" s="43">
        <f>(VLOOKUP(C30,Input!$A$5:$I$24,2,FALSE)+VLOOKUP(C30,Input!$A$5:$I$24,3,FALSE))*(D30/VLOOKUP(C30,$N$2:$O$12,2,FALSE))</f>
        <v>134527.88976377953</v>
      </c>
      <c r="H30" s="43">
        <f t="shared" si="0"/>
        <v>134527.88976377953</v>
      </c>
      <c r="I30" s="43">
        <f t="shared" si="1"/>
        <v>0</v>
      </c>
      <c r="J30" s="43">
        <f>VLOOKUP(C30,Input!$A$5:$I$24,4,FALSE)*(D30/VLOOKUP(C30,$N$2:$O$12,2,FALSE))</f>
        <v>627.30708661417327</v>
      </c>
      <c r="K30" s="43">
        <f>VLOOKUP(C30,Input!$A$5:$I$24,5,FALSE)*(D30/VLOOKUP(C30,$N$2:$O$12,2,FALSE))</f>
        <v>24226.15748031496</v>
      </c>
      <c r="L30" s="43">
        <f>VLOOKUP(C30,Input!$A$5:$I$24,7,FALSE)*(F30/VLOOKUP(C30,$N$2:$P$12,3,FALSE))</f>
        <v>24600.141563141937</v>
      </c>
    </row>
    <row r="31" spans="1:12" x14ac:dyDescent="0.25">
      <c r="A31" s="25" t="s">
        <v>50</v>
      </c>
      <c r="B31" s="25" t="s">
        <v>105</v>
      </c>
      <c r="C31" s="25" t="s">
        <v>73</v>
      </c>
      <c r="D31" s="25">
        <f>VLOOKUP(A31,Input!$A$60:$B$110,2,FALSE)</f>
        <v>1.7</v>
      </c>
      <c r="E31" s="25">
        <f>VLOOKUP(A31,Input!$A$60:$C$110,3,FALSE)</f>
        <v>0.1</v>
      </c>
      <c r="F31" s="43">
        <f>Input!E89</f>
        <v>1600</v>
      </c>
      <c r="G31" s="43">
        <f>(VLOOKUP(C31,Input!$A$5:$I$24,2,FALSE)+VLOOKUP(C31,Input!$A$5:$I$24,3,FALSE))*(D31/VLOOKUP(C31,$N$2:$O$12,2,FALSE))</f>
        <v>70693.324468085106</v>
      </c>
      <c r="H31" s="43">
        <f t="shared" si="0"/>
        <v>66534.893617021269</v>
      </c>
      <c r="I31" s="43">
        <f t="shared" si="1"/>
        <v>4158.4308510638302</v>
      </c>
      <c r="J31" s="43">
        <f>VLOOKUP(C31,Input!$A$5:$I$24,4,FALSE)*(D31/VLOOKUP(C31,$N$2:$O$12,2,FALSE))</f>
        <v>0</v>
      </c>
      <c r="K31" s="43">
        <f>VLOOKUP(C31,Input!$A$5:$I$24,5,FALSE)*(D31/VLOOKUP(C31,$N$2:$O$12,2,FALSE))</f>
        <v>247.22340425531914</v>
      </c>
      <c r="L31" s="43">
        <f>VLOOKUP(C31,Input!$A$5:$I$24,7,FALSE)*(F31/VLOOKUP(C31,$N$2:$P$12,3,FALSE))</f>
        <v>686.31358154168856</v>
      </c>
    </row>
    <row r="32" spans="1:12" x14ac:dyDescent="0.25">
      <c r="A32" s="25" t="s">
        <v>51</v>
      </c>
      <c r="B32" s="25" t="s">
        <v>105</v>
      </c>
      <c r="C32" s="25" t="s">
        <v>74</v>
      </c>
      <c r="D32" s="25">
        <f>VLOOKUP(A32,Input!$A$60:$B$110,2,FALSE)</f>
        <v>10.199999999999999</v>
      </c>
      <c r="E32" s="25">
        <f>VLOOKUP(A32,Input!$A$60:$C$110,3,FALSE)</f>
        <v>0</v>
      </c>
      <c r="F32" s="43">
        <f>Input!E90</f>
        <v>12472</v>
      </c>
      <c r="G32" s="43">
        <f>(VLOOKUP(C32,Input!$A$5:$I$24,2,FALSE)+VLOOKUP(C32,Input!$A$5:$I$24,3,FALSE))*(D32/VLOOKUP(C32,$N$2:$O$12,2,FALSE))</f>
        <v>388583.20140105078</v>
      </c>
      <c r="H32" s="43">
        <f t="shared" si="0"/>
        <v>388583.20140105078</v>
      </c>
      <c r="I32" s="43">
        <f t="shared" si="1"/>
        <v>0</v>
      </c>
      <c r="J32" s="43">
        <f>VLOOKUP(C32,Input!$A$5:$I$24,4,FALSE)*(D32/VLOOKUP(C32,$N$2:$O$12,2,FALSE))</f>
        <v>117.54115586690017</v>
      </c>
      <c r="K32" s="43">
        <f>VLOOKUP(C32,Input!$A$5:$I$24,5,FALSE)*(D32/VLOOKUP(C32,$N$2:$O$12,2,FALSE))</f>
        <v>30323.1173380035</v>
      </c>
      <c r="L32" s="43">
        <f>VLOOKUP(C32,Input!$A$5:$I$24,7,FALSE)*(F32/VLOOKUP(C32,$N$2:$P$12,3,FALSE))</f>
        <v>72569.60821630522</v>
      </c>
    </row>
    <row r="33" spans="1:12" x14ac:dyDescent="0.25">
      <c r="A33" s="25" t="s">
        <v>52</v>
      </c>
      <c r="B33" s="25" t="s">
        <v>107</v>
      </c>
      <c r="C33" s="25" t="s">
        <v>82</v>
      </c>
      <c r="D33" s="25">
        <f>VLOOKUP(A33,Input!$A$60:$B$110,2,FALSE)</f>
        <v>3.8</v>
      </c>
      <c r="E33" s="25">
        <f>VLOOKUP(A33,Input!$A$60:$C$110,3,FALSE)</f>
        <v>0.5</v>
      </c>
      <c r="F33" s="43">
        <f>Input!E91</f>
        <v>3579</v>
      </c>
      <c r="G33" s="43">
        <f>(VLOOKUP(C33,Input!$A$5:$I$24,2,FALSE)+VLOOKUP(C33,Input!$A$5:$I$24,3,FALSE))*(D33/VLOOKUP(C33,$N$2:$O$12,2,FALSE))</f>
        <v>238648.50476190477</v>
      </c>
      <c r="H33" s="43">
        <f t="shared" si="0"/>
        <v>207247.38571428572</v>
      </c>
      <c r="I33" s="43">
        <f t="shared" si="1"/>
        <v>31401.119047619046</v>
      </c>
      <c r="J33" s="43">
        <f>VLOOKUP(C33,Input!$A$5:$I$24,4,FALSE)*(D33/VLOOKUP(C33,$N$2:$O$12,2,FALSE))</f>
        <v>5099.2380952380954</v>
      </c>
      <c r="K33" s="43">
        <f>VLOOKUP(C33,Input!$A$5:$I$24,5,FALSE)*(D33/VLOOKUP(C33,$N$2:$O$12,2,FALSE))</f>
        <v>38710.238095238092</v>
      </c>
      <c r="L33" s="43">
        <f>VLOOKUP(C33,Input!$A$5:$I$24,7,FALSE)*(F33/VLOOKUP(C33,$N$2:$P$12,3,FALSE))</f>
        <v>15017.733485019893</v>
      </c>
    </row>
    <row r="34" spans="1:12" x14ac:dyDescent="0.25">
      <c r="A34" s="25" t="s">
        <v>53</v>
      </c>
      <c r="B34" s="25" t="s">
        <v>105</v>
      </c>
      <c r="C34" s="25" t="s">
        <v>74</v>
      </c>
      <c r="D34" s="25">
        <f>VLOOKUP(A34,Input!$A$60:$B$110,2,FALSE)</f>
        <v>17</v>
      </c>
      <c r="E34" s="25">
        <f>VLOOKUP(A34,Input!$A$60:$C$110,3,FALSE)</f>
        <v>2.9</v>
      </c>
      <c r="F34" s="43">
        <f>Input!E92</f>
        <v>52698</v>
      </c>
      <c r="G34" s="43">
        <f>(VLOOKUP(C34,Input!$A$5:$I$24,2,FALSE)+VLOOKUP(C34,Input!$A$5:$I$24,3,FALSE))*(D34/VLOOKUP(C34,$N$2:$O$12,2,FALSE))</f>
        <v>647638.66900175135</v>
      </c>
      <c r="H34" s="43">
        <f t="shared" si="0"/>
        <v>537159.13134851144</v>
      </c>
      <c r="I34" s="43">
        <f t="shared" si="1"/>
        <v>110479.53765323994</v>
      </c>
      <c r="J34" s="43">
        <f>VLOOKUP(C34,Input!$A$5:$I$24,4,FALSE)*(D34/VLOOKUP(C34,$N$2:$O$12,2,FALSE))</f>
        <v>195.90192644483363</v>
      </c>
      <c r="K34" s="43">
        <f>VLOOKUP(C34,Input!$A$5:$I$24,5,FALSE)*(D34/VLOOKUP(C34,$N$2:$O$12,2,FALSE))</f>
        <v>50538.528896672506</v>
      </c>
      <c r="L34" s="43">
        <f>VLOOKUP(C34,Input!$A$5:$I$24,7,FALSE)*(F34/VLOOKUP(C34,$N$2:$P$12,3,FALSE))</f>
        <v>306628.70540273027</v>
      </c>
    </row>
    <row r="35" spans="1:12" x14ac:dyDescent="0.25">
      <c r="A35" s="25" t="s">
        <v>54</v>
      </c>
      <c r="B35" s="25" t="s">
        <v>105</v>
      </c>
      <c r="C35" s="25" t="s">
        <v>75</v>
      </c>
      <c r="D35" s="25">
        <f>VLOOKUP(A35,Input!$A$60:$B$110,2,FALSE)</f>
        <v>20</v>
      </c>
      <c r="E35" s="25">
        <f>VLOOKUP(A35,Input!$A$60:$C$110,3,FALSE)</f>
        <v>0.4</v>
      </c>
      <c r="F35" s="43">
        <f>Input!E93</f>
        <v>17836</v>
      </c>
      <c r="G35" s="43">
        <f>(VLOOKUP(C35,Input!$A$5:$I$24,2,FALSE)+VLOOKUP(C35,Input!$A$5:$I$24,3,FALSE))*(D35/VLOOKUP(C35,$N$2:$O$12,2,FALSE))</f>
        <v>795116.34349030466</v>
      </c>
      <c r="H35" s="43">
        <f t="shared" si="0"/>
        <v>779214.01662049862</v>
      </c>
      <c r="I35" s="43">
        <f t="shared" si="1"/>
        <v>15902.326869806093</v>
      </c>
      <c r="J35" s="43">
        <f>VLOOKUP(C35,Input!$A$5:$I$24,4,FALSE)*(D35/VLOOKUP(C35,$N$2:$O$12,2,FALSE))</f>
        <v>305.81717451523542</v>
      </c>
      <c r="K35" s="43">
        <f>VLOOKUP(C35,Input!$A$5:$I$24,5,FALSE)*(D35/VLOOKUP(C35,$N$2:$O$12,2,FALSE))</f>
        <v>58938.504155124647</v>
      </c>
      <c r="L35" s="43">
        <f>VLOOKUP(C35,Input!$A$5:$I$24,7,FALSE)*(F35/VLOOKUP(C35,$N$2:$P$12,3,FALSE))</f>
        <v>78628.19255203761</v>
      </c>
    </row>
    <row r="36" spans="1:12" x14ac:dyDescent="0.25">
      <c r="A36" s="25" t="s">
        <v>55</v>
      </c>
      <c r="B36" s="25" t="s">
        <v>106</v>
      </c>
      <c r="C36" s="25" t="s">
        <v>78</v>
      </c>
      <c r="D36" s="25">
        <f>VLOOKUP(A36,Input!$A$60:$B$110,2,FALSE)</f>
        <v>2.8</v>
      </c>
      <c r="E36" s="25">
        <f>VLOOKUP(A36,Input!$A$60:$C$110,3,FALSE)</f>
        <v>0</v>
      </c>
      <c r="F36" s="43">
        <f>Input!E94</f>
        <v>2641</v>
      </c>
      <c r="G36" s="43">
        <f>(VLOOKUP(C36,Input!$A$5:$I$24,2,FALSE)+VLOOKUP(C36,Input!$A$5:$I$24,3,FALSE))*(D36/VLOOKUP(C36,$N$2:$O$12,2,FALSE))</f>
        <v>134160.42181818181</v>
      </c>
      <c r="H36" s="43">
        <f t="shared" si="0"/>
        <v>134160.42181818181</v>
      </c>
      <c r="I36" s="43">
        <f t="shared" si="1"/>
        <v>0</v>
      </c>
      <c r="J36" s="43">
        <f>VLOOKUP(C36,Input!$A$5:$I$24,4,FALSE)*(D36/VLOOKUP(C36,$N$2:$O$12,2,FALSE))</f>
        <v>1964.4799999999998</v>
      </c>
      <c r="K36" s="43">
        <f>VLOOKUP(C36,Input!$A$5:$I$24,5,FALSE)*(D36/VLOOKUP(C36,$N$2:$O$12,2,FALSE))</f>
        <v>21575.069090909088</v>
      </c>
      <c r="L36" s="43">
        <f>VLOOKUP(C36,Input!$A$5:$I$24,7,FALSE)*(F36/VLOOKUP(C36,$N$2:$P$12,3,FALSE))</f>
        <v>14228.934473543561</v>
      </c>
    </row>
    <row r="37" spans="1:12" x14ac:dyDescent="0.25">
      <c r="A37" s="25" t="s">
        <v>56</v>
      </c>
      <c r="B37" s="25" t="s">
        <v>106</v>
      </c>
      <c r="C37" s="25" t="s">
        <v>77</v>
      </c>
      <c r="D37" s="25">
        <f>VLOOKUP(A37,Input!$A$60:$B$110,2,FALSE)</f>
        <v>16.899999999999999</v>
      </c>
      <c r="E37" s="25">
        <f>VLOOKUP(A37,Input!$A$60:$C$110,3,FALSE)</f>
        <v>7</v>
      </c>
      <c r="F37" s="43">
        <f>Input!E95</f>
        <v>18730</v>
      </c>
      <c r="G37" s="43">
        <f>(VLOOKUP(C37,Input!$A$5:$I$24,2,FALSE)+VLOOKUP(C37,Input!$A$5:$I$24,3,FALSE))*(D37/VLOOKUP(C37,$N$2:$O$12,2,FALSE))</f>
        <v>915744.49647390679</v>
      </c>
      <c r="H37" s="43">
        <f t="shared" si="0"/>
        <v>536442.04231311695</v>
      </c>
      <c r="I37" s="43">
        <f t="shared" si="1"/>
        <v>379302.45416078984</v>
      </c>
      <c r="J37" s="43">
        <f>VLOOKUP(C37,Input!$A$5:$I$24,4,FALSE)*(D37/VLOOKUP(C37,$N$2:$O$12,2,FALSE))</f>
        <v>9570.0719322990117</v>
      </c>
      <c r="K37" s="43">
        <f>VLOOKUP(C37,Input!$A$5:$I$24,5,FALSE)*(D37/VLOOKUP(C37,$N$2:$O$12,2,FALSE))</f>
        <v>129622.99999999999</v>
      </c>
      <c r="L37" s="43">
        <f>VLOOKUP(C37,Input!$A$5:$I$24,7,FALSE)*(F37/VLOOKUP(C37,$N$2:$P$12,3,FALSE))</f>
        <v>146513.42264226926</v>
      </c>
    </row>
    <row r="38" spans="1:12" x14ac:dyDescent="0.25">
      <c r="A38" s="25" t="s">
        <v>57</v>
      </c>
      <c r="B38" s="25" t="s">
        <v>106</v>
      </c>
      <c r="C38" s="25" t="s">
        <v>79</v>
      </c>
      <c r="D38" s="25">
        <f>VLOOKUP(A38,Input!$A$60:$B$110,2,FALSE)</f>
        <v>4.7</v>
      </c>
      <c r="E38" s="25">
        <f>VLOOKUP(A38,Input!$A$60:$C$110,3,FALSE)</f>
        <v>2</v>
      </c>
      <c r="F38" s="43">
        <f>Input!E96</f>
        <v>7549</v>
      </c>
      <c r="G38" s="43">
        <f>(VLOOKUP(C38,Input!$A$5:$I$24,2,FALSE)+VLOOKUP(C38,Input!$A$5:$I$24,3,FALSE))*(D38/VLOOKUP(C38,$N$2:$O$12,2,FALSE))</f>
        <v>251484.39024390245</v>
      </c>
      <c r="H38" s="43">
        <f t="shared" si="0"/>
        <v>144469.75609756098</v>
      </c>
      <c r="I38" s="43">
        <f t="shared" si="1"/>
        <v>107014.63414634147</v>
      </c>
      <c r="J38" s="43">
        <f>VLOOKUP(C38,Input!$A$5:$I$24,4,FALSE)*(D38/VLOOKUP(C38,$N$2:$O$12,2,FALSE))</f>
        <v>7557.141463414634</v>
      </c>
      <c r="K38" s="43">
        <f>VLOOKUP(C38,Input!$A$5:$I$24,5,FALSE)*(D38/VLOOKUP(C38,$N$2:$O$12,2,FALSE))</f>
        <v>37085.980487804882</v>
      </c>
      <c r="L38" s="43">
        <f>VLOOKUP(C38,Input!$A$5:$I$24,7,FALSE)*(F38/VLOOKUP(C38,$N$2:$P$12,3,FALSE))</f>
        <v>51799.794322000111</v>
      </c>
    </row>
    <row r="39" spans="1:12" x14ac:dyDescent="0.25">
      <c r="A39" s="25" t="s">
        <v>58</v>
      </c>
      <c r="B39" s="25" t="s">
        <v>109</v>
      </c>
      <c r="C39" s="25" t="s">
        <v>100</v>
      </c>
      <c r="D39" s="25">
        <f>VLOOKUP(A39,Input!$A$60:$B$110,2,FALSE)</f>
        <v>5.2</v>
      </c>
      <c r="E39" s="25">
        <f>VLOOKUP(A39,Input!$A$60:$C$110,3,FALSE)</f>
        <v>0.5</v>
      </c>
      <c r="F39" s="43">
        <f>Input!E97</f>
        <v>8978</v>
      </c>
      <c r="G39" s="43">
        <f>(VLOOKUP(C39,Input!$A$5:$I$24,2,FALSE)+VLOOKUP(C39,Input!$A$5:$I$24,3,FALSE))*(D39/VLOOKUP(C39,$N$2:$O$12,2,FALSE))</f>
        <v>194318.06299212601</v>
      </c>
      <c r="H39" s="43">
        <f t="shared" si="0"/>
        <v>175633.63385826774</v>
      </c>
      <c r="I39" s="43">
        <f t="shared" si="1"/>
        <v>18684.42913385827</v>
      </c>
      <c r="J39" s="43">
        <f>VLOOKUP(C39,Input!$A$5:$I$24,4,FALSE)*(D39/VLOOKUP(C39,$N$2:$O$12,2,FALSE))</f>
        <v>906.11023622047253</v>
      </c>
      <c r="K39" s="43">
        <f>VLOOKUP(C39,Input!$A$5:$I$24,5,FALSE)*(D39/VLOOKUP(C39,$N$2:$O$12,2,FALSE))</f>
        <v>34993.33858267717</v>
      </c>
      <c r="L39" s="43">
        <f>VLOOKUP(C39,Input!$A$5:$I$24,7,FALSE)*(F39/VLOOKUP(C39,$N$2:$P$12,3,FALSE))</f>
        <v>30692.060999706548</v>
      </c>
    </row>
    <row r="40" spans="1:12" x14ac:dyDescent="0.25">
      <c r="A40" s="25" t="s">
        <v>59</v>
      </c>
      <c r="B40" s="25" t="s">
        <v>105</v>
      </c>
      <c r="C40" s="25" t="s">
        <v>74</v>
      </c>
      <c r="D40" s="25">
        <f>VLOOKUP(A40,Input!$A$60:$B$110,2,FALSE)</f>
        <v>20</v>
      </c>
      <c r="E40" s="25">
        <f>VLOOKUP(A40,Input!$A$60:$C$110,3,FALSE)</f>
        <v>8.6</v>
      </c>
      <c r="F40" s="43">
        <f>Input!E98</f>
        <v>20779</v>
      </c>
      <c r="G40" s="43">
        <f>(VLOOKUP(C40,Input!$A$5:$I$24,2,FALSE)+VLOOKUP(C40,Input!$A$5:$I$24,3,FALSE))*(D40/VLOOKUP(C40,$N$2:$O$12,2,FALSE))</f>
        <v>761927.84588441334</v>
      </c>
      <c r="H40" s="43">
        <f t="shared" si="0"/>
        <v>434298.87215411558</v>
      </c>
      <c r="I40" s="43">
        <f t="shared" si="1"/>
        <v>327628.97373029776</v>
      </c>
      <c r="J40" s="43">
        <f>VLOOKUP(C40,Input!$A$5:$I$24,4,FALSE)*(D40/VLOOKUP(C40,$N$2:$O$12,2,FALSE))</f>
        <v>230.47285464098073</v>
      </c>
      <c r="K40" s="43">
        <f>VLOOKUP(C40,Input!$A$5:$I$24,5,FALSE)*(D40/VLOOKUP(C40,$N$2:$O$12,2,FALSE))</f>
        <v>59457.092819614714</v>
      </c>
      <c r="L40" s="43">
        <f>VLOOKUP(C40,Input!$A$5:$I$24,7,FALSE)*(F40/VLOOKUP(C40,$N$2:$P$12,3,FALSE))</f>
        <v>120904.73774267206</v>
      </c>
    </row>
    <row r="41" spans="1:12" x14ac:dyDescent="0.25">
      <c r="A41" s="25" t="s">
        <v>60</v>
      </c>
      <c r="B41" s="25" t="s">
        <v>105</v>
      </c>
      <c r="C41" s="25" t="s">
        <v>73</v>
      </c>
      <c r="D41" s="25">
        <f>VLOOKUP(A41,Input!$A$60:$B$110,2,FALSE)</f>
        <v>2.1</v>
      </c>
      <c r="E41" s="25">
        <f>VLOOKUP(A41,Input!$A$60:$C$110,3,FALSE)</f>
        <v>0</v>
      </c>
      <c r="F41" s="43">
        <f>Input!E99</f>
        <v>1908</v>
      </c>
      <c r="G41" s="43">
        <f>(VLOOKUP(C41,Input!$A$5:$I$24,2,FALSE)+VLOOKUP(C41,Input!$A$5:$I$24,3,FALSE))*(D41/VLOOKUP(C41,$N$2:$O$12,2,FALSE))</f>
        <v>87327.047872340423</v>
      </c>
      <c r="H41" s="43">
        <f t="shared" si="0"/>
        <v>87327.047872340423</v>
      </c>
      <c r="I41" s="43">
        <f t="shared" si="1"/>
        <v>0</v>
      </c>
      <c r="J41" s="43">
        <f>VLOOKUP(C41,Input!$A$5:$I$24,4,FALSE)*(D41/VLOOKUP(C41,$N$2:$O$12,2,FALSE))</f>
        <v>0</v>
      </c>
      <c r="K41" s="43">
        <f>VLOOKUP(C41,Input!$A$5:$I$24,5,FALSE)*(D41/VLOOKUP(C41,$N$2:$O$12,2,FALSE))</f>
        <v>305.39361702127655</v>
      </c>
      <c r="L41" s="43">
        <f>VLOOKUP(C41,Input!$A$5:$I$24,7,FALSE)*(F41/VLOOKUP(C41,$N$2:$P$12,3,FALSE))</f>
        <v>818.42894598846351</v>
      </c>
    </row>
    <row r="42" spans="1:12" x14ac:dyDescent="0.25">
      <c r="A42" s="25" t="s">
        <v>61</v>
      </c>
      <c r="B42" s="25" t="s">
        <v>105</v>
      </c>
      <c r="C42" s="25" t="s">
        <v>75</v>
      </c>
      <c r="D42" s="25">
        <f>VLOOKUP(A42,Input!$A$60:$B$110,2,FALSE)</f>
        <v>7.5</v>
      </c>
      <c r="E42" s="25">
        <f>VLOOKUP(A42,Input!$A$60:$C$110,3,FALSE)</f>
        <v>1</v>
      </c>
      <c r="F42" s="43">
        <f>Input!E100</f>
        <v>11695</v>
      </c>
      <c r="G42" s="43">
        <f>(VLOOKUP(C42,Input!$A$5:$I$24,2,FALSE)+VLOOKUP(C42,Input!$A$5:$I$24,3,FALSE))*(D42/VLOOKUP(C42,$N$2:$O$12,2,FALSE))</f>
        <v>298168.62880886428</v>
      </c>
      <c r="H42" s="43">
        <f t="shared" si="0"/>
        <v>258412.81163434905</v>
      </c>
      <c r="I42" s="43">
        <f t="shared" si="1"/>
        <v>39755.817174515236</v>
      </c>
      <c r="J42" s="43">
        <f>VLOOKUP(C42,Input!$A$5:$I$24,4,FALSE)*(D42/VLOOKUP(C42,$N$2:$O$12,2,FALSE))</f>
        <v>114.68144044321329</v>
      </c>
      <c r="K42" s="43">
        <f>VLOOKUP(C42,Input!$A$5:$I$24,5,FALSE)*(D42/VLOOKUP(C42,$N$2:$O$12,2,FALSE))</f>
        <v>22101.939058171745</v>
      </c>
      <c r="L42" s="43">
        <f>VLOOKUP(C42,Input!$A$5:$I$24,7,FALSE)*(F42/VLOOKUP(C42,$N$2:$P$12,3,FALSE))</f>
        <v>51556.218428800166</v>
      </c>
    </row>
    <row r="43" spans="1:12" x14ac:dyDescent="0.25">
      <c r="A43" s="25" t="s">
        <v>62</v>
      </c>
      <c r="B43" s="25" t="s">
        <v>106</v>
      </c>
      <c r="C43" s="25" t="s">
        <v>78</v>
      </c>
      <c r="D43" s="25">
        <f>VLOOKUP(A43,Input!$A$60:$B$110,2,FALSE)</f>
        <v>2.2000000000000002</v>
      </c>
      <c r="E43" s="25">
        <f>VLOOKUP(A43,Input!$A$60:$C$110,3,FALSE)</f>
        <v>0</v>
      </c>
      <c r="F43" s="43">
        <f>Input!E101</f>
        <v>3224</v>
      </c>
      <c r="G43" s="43">
        <f>(VLOOKUP(C43,Input!$A$5:$I$24,2,FALSE)+VLOOKUP(C43,Input!$A$5:$I$24,3,FALSE))*(D43/VLOOKUP(C43,$N$2:$O$12,2,FALSE))</f>
        <v>105411.76000000001</v>
      </c>
      <c r="H43" s="43">
        <f t="shared" si="0"/>
        <v>105411.76000000001</v>
      </c>
      <c r="I43" s="43">
        <f t="shared" si="1"/>
        <v>0</v>
      </c>
      <c r="J43" s="43">
        <f>VLOOKUP(C43,Input!$A$5:$I$24,4,FALSE)*(D43/VLOOKUP(C43,$N$2:$O$12,2,FALSE))</f>
        <v>1543.52</v>
      </c>
      <c r="K43" s="43">
        <f>VLOOKUP(C43,Input!$A$5:$I$24,5,FALSE)*(D43/VLOOKUP(C43,$N$2:$O$12,2,FALSE))</f>
        <v>16951.84</v>
      </c>
      <c r="L43" s="43">
        <f>VLOOKUP(C43,Input!$A$5:$I$24,7,FALSE)*(F43/VLOOKUP(C43,$N$2:$P$12,3,FALSE))</f>
        <v>17369.967717797968</v>
      </c>
    </row>
    <row r="44" spans="1:12" x14ac:dyDescent="0.25">
      <c r="A44" s="25" t="s">
        <v>63</v>
      </c>
      <c r="B44" s="25" t="s">
        <v>106</v>
      </c>
      <c r="C44" s="25" t="s">
        <v>77</v>
      </c>
      <c r="D44" s="25">
        <f>VLOOKUP(A44,Input!$A$60:$B$110,2,FALSE)</f>
        <v>8.9</v>
      </c>
      <c r="E44" s="25">
        <f>VLOOKUP(A44,Input!$A$60:$C$110,3,FALSE)</f>
        <v>1</v>
      </c>
      <c r="F44" s="43">
        <f>Input!E102</f>
        <v>10585</v>
      </c>
      <c r="G44" s="43">
        <f>(VLOOKUP(C44,Input!$A$5:$I$24,2,FALSE)+VLOOKUP(C44,Input!$A$5:$I$24,3,FALSE))*(D44/VLOOKUP(C44,$N$2:$O$12,2,FALSE))</f>
        <v>482255.97743300424</v>
      </c>
      <c r="H44" s="43">
        <f t="shared" si="0"/>
        <v>428069.91255289142</v>
      </c>
      <c r="I44" s="43">
        <f t="shared" si="1"/>
        <v>54186.064880112834</v>
      </c>
      <c r="J44" s="43">
        <f>VLOOKUP(C44,Input!$A$5:$I$24,4,FALSE)*(D44/VLOOKUP(C44,$N$2:$O$12,2,FALSE))</f>
        <v>5039.8603667136813</v>
      </c>
      <c r="K44" s="43">
        <f>VLOOKUP(C44,Input!$A$5:$I$24,5,FALSE)*(D44/VLOOKUP(C44,$N$2:$O$12,2,FALSE))</f>
        <v>68263</v>
      </c>
      <c r="L44" s="43">
        <f>VLOOKUP(C44,Input!$A$5:$I$24,7,FALSE)*(F44/VLOOKUP(C44,$N$2:$P$12,3,FALSE))</f>
        <v>82800.030895270698</v>
      </c>
    </row>
    <row r="45" spans="1:12" x14ac:dyDescent="0.25">
      <c r="A45" s="25" t="s">
        <v>64</v>
      </c>
      <c r="B45" s="25" t="s">
        <v>107</v>
      </c>
      <c r="C45" s="25" t="s">
        <v>82</v>
      </c>
      <c r="D45" s="25">
        <f>VLOOKUP(A45,Input!$A$60:$B$110,2,FALSE)</f>
        <v>17.2</v>
      </c>
      <c r="E45" s="25">
        <f>VLOOKUP(A45,Input!$A$60:$C$110,3,FALSE)</f>
        <v>3.6</v>
      </c>
      <c r="F45" s="43">
        <f>Input!E103</f>
        <v>75092</v>
      </c>
      <c r="G45" s="43">
        <f>(VLOOKUP(C45,Input!$A$5:$I$24,2,FALSE)+VLOOKUP(C45,Input!$A$5:$I$24,3,FALSE))*(D45/VLOOKUP(C45,$N$2:$O$12,2,FALSE))</f>
        <v>1080198.4952380953</v>
      </c>
      <c r="H45" s="43">
        <f t="shared" si="0"/>
        <v>854110.43809523806</v>
      </c>
      <c r="I45" s="43">
        <f t="shared" si="1"/>
        <v>226088.05714285717</v>
      </c>
      <c r="J45" s="43">
        <f>VLOOKUP(C45,Input!$A$5:$I$24,4,FALSE)*(D45/VLOOKUP(C45,$N$2:$O$12,2,FALSE))</f>
        <v>23080.761904761905</v>
      </c>
      <c r="K45" s="43">
        <f>VLOOKUP(C45,Input!$A$5:$I$24,5,FALSE)*(D45/VLOOKUP(C45,$N$2:$O$12,2,FALSE))</f>
        <v>175214.76190476189</v>
      </c>
      <c r="L45" s="43">
        <f>VLOOKUP(C45,Input!$A$5:$I$24,7,FALSE)*(F45/VLOOKUP(C45,$N$2:$P$12,3,FALSE))</f>
        <v>315091.26651498012</v>
      </c>
    </row>
    <row r="46" spans="1:12" x14ac:dyDescent="0.25">
      <c r="A46" s="25" t="s">
        <v>65</v>
      </c>
      <c r="B46" s="25" t="s">
        <v>108</v>
      </c>
      <c r="C46" s="25" t="s">
        <v>84</v>
      </c>
      <c r="D46" s="25">
        <f>VLOOKUP(A46,Input!$A$60:$B$110,2,FALSE)</f>
        <v>4</v>
      </c>
      <c r="E46" s="25">
        <f>VLOOKUP(A46,Input!$A$60:$C$110,3,FALSE)</f>
        <v>1.6</v>
      </c>
      <c r="F46" s="43">
        <f>Input!E104</f>
        <v>5870</v>
      </c>
      <c r="G46" s="43">
        <f>(VLOOKUP(C46,Input!$A$5:$I$24,2,FALSE)+VLOOKUP(C46,Input!$A$5:$I$24,3,FALSE))*(D46/VLOOKUP(C46,$N$2:$O$12,2,FALSE))</f>
        <v>97402.616822429918</v>
      </c>
      <c r="H46" s="43">
        <f t="shared" si="0"/>
        <v>58441.570093457951</v>
      </c>
      <c r="I46" s="43">
        <f t="shared" si="1"/>
        <v>38961.046728971967</v>
      </c>
      <c r="J46" s="43">
        <f>VLOOKUP(C46,Input!$A$5:$I$24,4,FALSE)*(D46/VLOOKUP(C46,$N$2:$O$12,2,FALSE))</f>
        <v>605.42056074766367</v>
      </c>
      <c r="K46" s="43">
        <f>VLOOKUP(C46,Input!$A$5:$I$24,5,FALSE)*(D46/VLOOKUP(C46,$N$2:$O$12,2,FALSE))</f>
        <v>39699.252336448604</v>
      </c>
      <c r="L46" s="43">
        <f>VLOOKUP(C46,Input!$A$5:$I$24,7,FALSE)*(F46/VLOOKUP(C46,$N$2:$P$12,3,FALSE))</f>
        <v>1918.616134060795</v>
      </c>
    </row>
    <row r="47" spans="1:12" x14ac:dyDescent="0.25">
      <c r="A47" s="25" t="s">
        <v>66</v>
      </c>
      <c r="B47" s="25" t="s">
        <v>105</v>
      </c>
      <c r="C47" s="25" t="s">
        <v>73</v>
      </c>
      <c r="D47" s="25">
        <f>VLOOKUP(A47,Input!$A$60:$B$110,2,FALSE)</f>
        <v>1.9</v>
      </c>
      <c r="E47" s="25">
        <f>VLOOKUP(A47,Input!$A$60:$C$110,3,FALSE)</f>
        <v>0</v>
      </c>
      <c r="F47" s="43">
        <f>Input!E105</f>
        <v>1062</v>
      </c>
      <c r="G47" s="43">
        <f>(VLOOKUP(C47,Input!$A$5:$I$24,2,FALSE)+VLOOKUP(C47,Input!$A$5:$I$24,3,FALSE))*(D47/VLOOKUP(C47,$N$2:$O$12,2,FALSE))</f>
        <v>79010.186170212764</v>
      </c>
      <c r="H47" s="43">
        <f t="shared" si="0"/>
        <v>79010.186170212764</v>
      </c>
      <c r="I47" s="43">
        <f t="shared" si="1"/>
        <v>0</v>
      </c>
      <c r="J47" s="43">
        <f>VLOOKUP(C47,Input!$A$5:$I$24,4,FALSE)*(D47/VLOOKUP(C47,$N$2:$O$12,2,FALSE))</f>
        <v>0</v>
      </c>
      <c r="K47" s="43">
        <f>VLOOKUP(C47,Input!$A$5:$I$24,5,FALSE)*(D47/VLOOKUP(C47,$N$2:$O$12,2,FALSE))</f>
        <v>276.30851063829783</v>
      </c>
      <c r="L47" s="43">
        <f>VLOOKUP(C47,Input!$A$5:$I$24,7,FALSE)*(F47/VLOOKUP(C47,$N$2:$P$12,3,FALSE))</f>
        <v>455.54063974829575</v>
      </c>
    </row>
    <row r="48" spans="1:12" x14ac:dyDescent="0.25">
      <c r="A48" s="25" t="s">
        <v>67</v>
      </c>
      <c r="B48" s="25" t="s">
        <v>105</v>
      </c>
      <c r="C48" s="25" t="s">
        <v>75</v>
      </c>
      <c r="D48" s="25">
        <f>VLOOKUP(A48,Input!$A$60:$B$110,2,FALSE)</f>
        <v>11</v>
      </c>
      <c r="E48" s="25">
        <f>VLOOKUP(A48,Input!$A$60:$C$110,3,FALSE)</f>
        <v>3.6</v>
      </c>
      <c r="F48" s="43">
        <f>Input!E106</f>
        <v>14595</v>
      </c>
      <c r="G48" s="43">
        <f>(VLOOKUP(C48,Input!$A$5:$I$24,2,FALSE)+VLOOKUP(C48,Input!$A$5:$I$24,3,FALSE))*(D48/VLOOKUP(C48,$N$2:$O$12,2,FALSE))</f>
        <v>437313.98891966755</v>
      </c>
      <c r="H48" s="43">
        <f t="shared" si="0"/>
        <v>294193.04709141271</v>
      </c>
      <c r="I48" s="43">
        <f t="shared" si="1"/>
        <v>143120.94182825484</v>
      </c>
      <c r="J48" s="43">
        <f>VLOOKUP(C48,Input!$A$5:$I$24,4,FALSE)*(D48/VLOOKUP(C48,$N$2:$O$12,2,FALSE))</f>
        <v>168.19944598337949</v>
      </c>
      <c r="K48" s="43">
        <f>VLOOKUP(C48,Input!$A$5:$I$24,5,FALSE)*(D48/VLOOKUP(C48,$N$2:$O$12,2,FALSE))</f>
        <v>32416.177285318558</v>
      </c>
      <c r="L48" s="43">
        <f>VLOOKUP(C48,Input!$A$5:$I$24,7,FALSE)*(F48/VLOOKUP(C48,$N$2:$P$12,3,FALSE))</f>
        <v>64340.57357574506</v>
      </c>
    </row>
    <row r="49" spans="1:12" x14ac:dyDescent="0.25">
      <c r="A49" s="25" t="s">
        <v>68</v>
      </c>
      <c r="B49" s="25" t="s">
        <v>109</v>
      </c>
      <c r="C49" s="25" t="s">
        <v>100</v>
      </c>
      <c r="D49" s="25">
        <f>VLOOKUP(A49,Input!$A$60:$B$110,2,FALSE)</f>
        <v>5.9</v>
      </c>
      <c r="E49" s="25">
        <f>VLOOKUP(A49,Input!$A$60:$C$110,3,FALSE)</f>
        <v>0.4</v>
      </c>
      <c r="F49" s="43">
        <f>Input!E107</f>
        <v>18957</v>
      </c>
      <c r="G49" s="43">
        <f>(VLOOKUP(C49,Input!$A$5:$I$24,2,FALSE)+VLOOKUP(C49,Input!$A$5:$I$24,3,FALSE))*(D49/VLOOKUP(C49,$N$2:$O$12,2,FALSE))</f>
        <v>220476.2637795276</v>
      </c>
      <c r="H49" s="43">
        <f t="shared" si="0"/>
        <v>205528.72047244097</v>
      </c>
      <c r="I49" s="43">
        <f t="shared" si="1"/>
        <v>14947.543307086617</v>
      </c>
      <c r="J49" s="43">
        <f>VLOOKUP(C49,Input!$A$5:$I$24,4,FALSE)*(D49/VLOOKUP(C49,$N$2:$O$12,2,FALSE))</f>
        <v>1028.0866141732286</v>
      </c>
      <c r="K49" s="43">
        <f>VLOOKUP(C49,Input!$A$5:$I$24,5,FALSE)*(D49/VLOOKUP(C49,$N$2:$O$12,2,FALSE))</f>
        <v>39703.980314960638</v>
      </c>
      <c r="L49" s="43">
        <f>VLOOKUP(C49,Input!$A$5:$I$24,7,FALSE)*(F49/VLOOKUP(C49,$N$2:$P$12,3,FALSE))</f>
        <v>64806.126127359872</v>
      </c>
    </row>
    <row r="50" spans="1:12" x14ac:dyDescent="0.25">
      <c r="A50" s="25" t="s">
        <v>69</v>
      </c>
      <c r="B50" s="25" t="s">
        <v>105</v>
      </c>
      <c r="C50" s="25" t="s">
        <v>75</v>
      </c>
      <c r="D50" s="25">
        <f>VLOOKUP(A50,Input!$A$60:$B$110,2,FALSE)</f>
        <v>3.5</v>
      </c>
      <c r="E50" s="25">
        <f>VLOOKUP(A50,Input!$A$60:$C$110,3,FALSE)</f>
        <v>0</v>
      </c>
      <c r="F50" s="43">
        <f>Input!E108</f>
        <v>1632</v>
      </c>
      <c r="G50" s="43">
        <f>(VLOOKUP(C50,Input!$A$5:$I$24,2,FALSE)+VLOOKUP(C50,Input!$A$5:$I$24,3,FALSE))*(D50/VLOOKUP(C50,$N$2:$O$12,2,FALSE))</f>
        <v>139145.3601108033</v>
      </c>
      <c r="H50" s="43">
        <f t="shared" si="0"/>
        <v>139145.3601108033</v>
      </c>
      <c r="I50" s="43">
        <f t="shared" si="1"/>
        <v>0</v>
      </c>
      <c r="J50" s="43">
        <f>VLOOKUP(C50,Input!$A$5:$I$24,4,FALSE)*(D50/VLOOKUP(C50,$N$2:$O$12,2,FALSE))</f>
        <v>53.5180055401662</v>
      </c>
      <c r="K50" s="43">
        <f>VLOOKUP(C50,Input!$A$5:$I$24,5,FALSE)*(D50/VLOOKUP(C50,$N$2:$O$12,2,FALSE))</f>
        <v>10314.238227146814</v>
      </c>
      <c r="L50" s="43">
        <f>VLOOKUP(C50,Input!$A$5:$I$24,7,FALSE)*(F50/VLOOKUP(C50,$N$2:$P$12,3,FALSE))</f>
        <v>7194.506068901399</v>
      </c>
    </row>
    <row r="51" spans="1:12" x14ac:dyDescent="0.25">
      <c r="A51" s="25" t="s">
        <v>70</v>
      </c>
      <c r="B51" s="25" t="s">
        <v>106</v>
      </c>
      <c r="C51" s="25" t="s">
        <v>78</v>
      </c>
      <c r="D51" s="25">
        <f>VLOOKUP(A51,Input!$A$60:$B$110,2,FALSE)</f>
        <v>12.5</v>
      </c>
      <c r="E51" s="25">
        <f>VLOOKUP(A51,Input!$A$60:$C$110,3,FALSE)</f>
        <v>2.4</v>
      </c>
      <c r="F51" s="43">
        <f>Input!E109</f>
        <v>10619</v>
      </c>
      <c r="G51" s="43">
        <f>(VLOOKUP(C51,Input!$A$5:$I$24,2,FALSE)+VLOOKUP(C51,Input!$A$5:$I$24,3,FALSE))*(D51/VLOOKUP(C51,$N$2:$O$12,2,FALSE))</f>
        <v>598930.45454545447</v>
      </c>
      <c r="H51" s="43">
        <f t="shared" si="0"/>
        <v>483935.80727272719</v>
      </c>
      <c r="I51" s="43">
        <f t="shared" si="1"/>
        <v>114994.64727272726</v>
      </c>
      <c r="J51" s="43">
        <f>VLOOKUP(C51,Input!$A$5:$I$24,4,FALSE)*(D51/VLOOKUP(C51,$N$2:$O$12,2,FALSE))</f>
        <v>8770</v>
      </c>
      <c r="K51" s="43">
        <f>VLOOKUP(C51,Input!$A$5:$I$24,5,FALSE)*(D51/VLOOKUP(C51,$N$2:$O$12,2,FALSE))</f>
        <v>96317.272727272721</v>
      </c>
      <c r="L51" s="43">
        <f>VLOOKUP(C51,Input!$A$5:$I$24,7,FALSE)*(F51/VLOOKUP(C51,$N$2:$P$12,3,FALSE))</f>
        <v>57212.061785141639</v>
      </c>
    </row>
    <row r="52" spans="1:12" x14ac:dyDescent="0.25">
      <c r="A52" s="25" t="s">
        <v>71</v>
      </c>
      <c r="B52" s="25" t="s">
        <v>108</v>
      </c>
      <c r="C52" s="25" t="s">
        <v>84</v>
      </c>
      <c r="D52" s="25">
        <f>VLOOKUP(A52,Input!$A$60:$B$110,2,FALSE)</f>
        <v>2.5</v>
      </c>
      <c r="E52" s="25">
        <f>VLOOKUP(A52,Input!$A$60:$C$110,3,FALSE)</f>
        <v>0</v>
      </c>
      <c r="F52" s="43">
        <f>Input!E110</f>
        <v>1227</v>
      </c>
      <c r="G52" s="43">
        <f>(VLOOKUP(C52,Input!$A$5:$I$24,2,FALSE)+VLOOKUP(C52,Input!$A$5:$I$24,3,FALSE))*(D52/VLOOKUP(C52,$N$2:$O$12,2,FALSE))</f>
        <v>60876.635514018701</v>
      </c>
      <c r="H52" s="43">
        <f t="shared" si="0"/>
        <v>60876.635514018701</v>
      </c>
      <c r="I52" s="43">
        <f t="shared" si="1"/>
        <v>0</v>
      </c>
      <c r="J52" s="43">
        <f>VLOOKUP(C52,Input!$A$5:$I$24,4,FALSE)*(D52/VLOOKUP(C52,$N$2:$O$12,2,FALSE))</f>
        <v>378.38785046728975</v>
      </c>
      <c r="K52" s="43">
        <f>VLOOKUP(C52,Input!$A$5:$I$24,5,FALSE)*(D52/VLOOKUP(C52,$N$2:$O$12,2,FALSE))</f>
        <v>24812.032710280375</v>
      </c>
      <c r="L52" s="43">
        <f>VLOOKUP(C52,Input!$A$5:$I$24,7,FALSE)*(F52/VLOOKUP(C52,$N$2:$P$12,3,FALSE))</f>
        <v>401.04633671083394</v>
      </c>
    </row>
    <row r="53" spans="1:12" x14ac:dyDescent="0.25">
      <c r="A53" s="25" t="s">
        <v>122</v>
      </c>
      <c r="D53" s="25">
        <f t="shared" ref="D53:L53" si="4">SUM(D2:D52)</f>
        <v>387.49999999999989</v>
      </c>
      <c r="E53" s="25">
        <f t="shared" si="4"/>
        <v>78.400000000000006</v>
      </c>
      <c r="F53" s="43">
        <f>Input!E111</f>
        <v>0</v>
      </c>
      <c r="G53" s="25">
        <f t="shared" si="4"/>
        <v>16990586.999999996</v>
      </c>
      <c r="H53" s="25">
        <f t="shared" si="4"/>
        <v>13482776.772040837</v>
      </c>
      <c r="I53" s="25">
        <f t="shared" si="4"/>
        <v>3507810.2279591616</v>
      </c>
      <c r="J53" s="25">
        <f t="shared" si="4"/>
        <v>168757.99999999997</v>
      </c>
      <c r="K53" s="25">
        <f t="shared" si="4"/>
        <v>2160828</v>
      </c>
      <c r="L53" s="25">
        <f t="shared" si="4"/>
        <v>3207768.0000000005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91B7-30C6-46F3-8A9E-A75B41E19A03}">
  <sheetPr>
    <tabColor rgb="FFFF0000"/>
  </sheetPr>
  <dimension ref="A1:S53"/>
  <sheetViews>
    <sheetView tabSelected="1" zoomScale="94" zoomScaleNormal="94" workbookViewId="0">
      <pane ySplit="1" topLeftCell="A8" activePane="bottomLeft" state="frozen"/>
      <selection pane="bottomLeft" activeCell="O16" sqref="O16"/>
    </sheetView>
  </sheetViews>
  <sheetFormatPr defaultRowHeight="15" x14ac:dyDescent="0.25"/>
  <cols>
    <col min="1" max="1" width="18.7109375" bestFit="1" customWidth="1"/>
    <col min="2" max="2" width="7.85546875" bestFit="1" customWidth="1"/>
    <col min="3" max="7" width="11.85546875" customWidth="1"/>
    <col min="9" max="16" width="12.28515625" customWidth="1"/>
    <col min="17" max="17" width="10.42578125" customWidth="1"/>
  </cols>
  <sheetData>
    <row r="1" spans="1:19" ht="45.75" thickBot="1" x14ac:dyDescent="0.3">
      <c r="A1" s="68" t="s">
        <v>20</v>
      </c>
      <c r="B1" s="68" t="s">
        <v>126</v>
      </c>
      <c r="C1" s="84" t="s">
        <v>117</v>
      </c>
      <c r="D1" s="50" t="s">
        <v>118</v>
      </c>
      <c r="E1" s="50" t="s">
        <v>119</v>
      </c>
      <c r="F1" s="50" t="s">
        <v>120</v>
      </c>
      <c r="G1" s="51" t="s">
        <v>121</v>
      </c>
      <c r="I1" s="127" t="s">
        <v>152</v>
      </c>
      <c r="J1" s="127" t="s">
        <v>153</v>
      </c>
      <c r="K1" s="26" t="s">
        <v>154</v>
      </c>
      <c r="L1" s="127" t="s">
        <v>155</v>
      </c>
      <c r="M1" s="127" t="s">
        <v>156</v>
      </c>
      <c r="N1" s="127" t="s">
        <v>157</v>
      </c>
      <c r="O1" s="127" t="s">
        <v>159</v>
      </c>
      <c r="P1" s="127" t="s">
        <v>160</v>
      </c>
      <c r="Q1" s="127" t="s">
        <v>158</v>
      </c>
      <c r="R1" s="127" t="s">
        <v>161</v>
      </c>
      <c r="S1" s="127" t="s">
        <v>162</v>
      </c>
    </row>
    <row r="2" spans="1:19" x14ac:dyDescent="0.25">
      <c r="A2" s="69" t="s">
        <v>21</v>
      </c>
      <c r="B2" s="91">
        <v>1</v>
      </c>
      <c r="C2" s="72">
        <f>Intermediate!H2*Input!M$4</f>
        <v>915.96729119999986</v>
      </c>
      <c r="D2" s="73">
        <f>Intermediate!I2*Input!N$4</f>
        <v>166.42000440000001</v>
      </c>
      <c r="E2" s="73">
        <f>Intermediate!J2*Input!O$4</f>
        <v>231.2540577</v>
      </c>
      <c r="F2" s="73">
        <f>Intermediate!K2*Input!P$4</f>
        <v>4174.9853755200002</v>
      </c>
      <c r="G2" s="74">
        <f>Intermediate!L2*Input!Q$4</f>
        <v>1826.657221223787</v>
      </c>
      <c r="I2">
        <v>4890000</v>
      </c>
      <c r="J2" s="128">
        <f t="shared" ref="J2:N51" si="0">C2*2000*0.453592/$I2</f>
        <v>0.16992860349692857</v>
      </c>
      <c r="K2" s="128">
        <f t="shared" si="0"/>
        <v>3.0873939728345522E-2</v>
      </c>
      <c r="L2" s="128">
        <f t="shared" si="0"/>
        <v>4.2901836621782576E-2</v>
      </c>
      <c r="M2" s="128">
        <f t="shared" si="0"/>
        <v>0.77453577360035497</v>
      </c>
      <c r="N2" s="128">
        <f t="shared" si="0"/>
        <v>0.33887816044553781</v>
      </c>
      <c r="O2" s="128">
        <f>SUM(J2:K2,N2)</f>
        <v>0.53968070367081189</v>
      </c>
      <c r="P2" s="128">
        <f>SUM(L2:M2)</f>
        <v>0.81743761022213757</v>
      </c>
      <c r="Q2" s="114">
        <f>SUM(J2:N2)</f>
        <v>1.3571183138929495</v>
      </c>
      <c r="R2" s="114">
        <f>O2/Q2</f>
        <v>0.39766665746534335</v>
      </c>
      <c r="S2" s="114">
        <f>P2/Q2</f>
        <v>0.60233334253465665</v>
      </c>
    </row>
    <row r="3" spans="1:19" x14ac:dyDescent="0.25">
      <c r="A3" s="70" t="s">
        <v>22</v>
      </c>
      <c r="B3" s="92">
        <v>2</v>
      </c>
      <c r="C3" s="75">
        <f>Intermediate!H3*Input!M$4</f>
        <v>375.55702559055106</v>
      </c>
      <c r="D3" s="76">
        <f>Intermediate!I3*Input!N$4</f>
        <v>0</v>
      </c>
      <c r="E3" s="76">
        <f>Intermediate!J3*Input!O$4</f>
        <v>142.18437874015748</v>
      </c>
      <c r="F3" s="76">
        <f>Intermediate!K3*Input!P$4</f>
        <v>1329.208507086614</v>
      </c>
      <c r="G3" s="77">
        <f>Intermediate!L3*Input!Q$4</f>
        <v>104.5701000776384</v>
      </c>
      <c r="I3">
        <v>735000</v>
      </c>
      <c r="J3" s="128">
        <f t="shared" si="0"/>
        <v>0.46353649619501835</v>
      </c>
      <c r="K3" s="128">
        <f t="shared" si="0"/>
        <v>0</v>
      </c>
      <c r="L3" s="128">
        <f t="shared" si="0"/>
        <v>0.17549305230341639</v>
      </c>
      <c r="M3" s="128">
        <f t="shared" si="0"/>
        <v>1.6405941364528744</v>
      </c>
      <c r="N3" s="128">
        <f t="shared" si="0"/>
        <v>0.12906710431133647</v>
      </c>
      <c r="O3" s="128">
        <f t="shared" ref="O3:O52" si="1">SUM(J3:K3,N3)</f>
        <v>0.59260360050635486</v>
      </c>
      <c r="P3" s="128">
        <f t="shared" ref="P3:P52" si="2">SUM(L3:M3)</f>
        <v>1.8160871887562908</v>
      </c>
      <c r="Q3" s="114">
        <f t="shared" ref="Q3:Q52" si="3">SUM(J3:N3)</f>
        <v>2.4086907892626455</v>
      </c>
      <c r="R3" s="114">
        <f t="shared" ref="R3:R52" si="4">O3/Q3</f>
        <v>0.24602726225717172</v>
      </c>
      <c r="S3" s="114">
        <f t="shared" ref="S3:S52" si="5">P3/Q3</f>
        <v>0.75397273774282836</v>
      </c>
    </row>
    <row r="4" spans="1:19" x14ac:dyDescent="0.25">
      <c r="A4" s="70" t="s">
        <v>23</v>
      </c>
      <c r="B4" s="92">
        <v>4</v>
      </c>
      <c r="C4" s="75">
        <f>Intermediate!H4*Input!M$4</f>
        <v>1370.7831434055117</v>
      </c>
      <c r="D4" s="76">
        <f>Intermediate!I4*Input!N$4</f>
        <v>35.48173092519685</v>
      </c>
      <c r="E4" s="76">
        <f>Intermediate!J4*Input!O$4</f>
        <v>540.30063921259853</v>
      </c>
      <c r="F4" s="76">
        <f>Intermediate!K4*Input!P$4</f>
        <v>5050.9923269291339</v>
      </c>
      <c r="G4" s="77">
        <f>Intermediate!L4*Input!Q$4</f>
        <v>604.71465150531037</v>
      </c>
      <c r="I4">
        <v>7160000</v>
      </c>
      <c r="J4" s="128">
        <f t="shared" si="0"/>
        <v>0.17368052167139467</v>
      </c>
      <c r="K4" s="128">
        <f t="shared" si="0"/>
        <v>4.4955947748105832E-3</v>
      </c>
      <c r="L4" s="128">
        <f t="shared" si="0"/>
        <v>6.84569965200338E-2</v>
      </c>
      <c r="M4" s="128">
        <f t="shared" si="0"/>
        <v>0.63996919317218992</v>
      </c>
      <c r="N4" s="128">
        <f t="shared" si="0"/>
        <v>7.6618359833965574E-2</v>
      </c>
      <c r="O4" s="128">
        <f t="shared" si="1"/>
        <v>0.25479447628017082</v>
      </c>
      <c r="P4" s="128">
        <f t="shared" si="2"/>
        <v>0.70842618969222371</v>
      </c>
      <c r="Q4" s="114">
        <f t="shared" si="3"/>
        <v>0.96322066597239453</v>
      </c>
      <c r="R4" s="114">
        <f t="shared" si="4"/>
        <v>0.26452347346903071</v>
      </c>
      <c r="S4" s="114">
        <f t="shared" si="5"/>
        <v>0.73547652653096929</v>
      </c>
    </row>
    <row r="5" spans="1:19" x14ac:dyDescent="0.25">
      <c r="A5" s="70" t="s">
        <v>24</v>
      </c>
      <c r="B5" s="92">
        <v>5</v>
      </c>
      <c r="C5" s="75">
        <f>Intermediate!H5*Input!M$4</f>
        <v>880.73777999999993</v>
      </c>
      <c r="D5" s="76">
        <f>Intermediate!I5*Input!N$4</f>
        <v>44.378667839999999</v>
      </c>
      <c r="E5" s="76">
        <f>Intermediate!J5*Input!O$4</f>
        <v>186.38386740000001</v>
      </c>
      <c r="F5" s="76">
        <f>Intermediate!K5*Input!P$4</f>
        <v>3364.9135862399999</v>
      </c>
      <c r="G5" s="77">
        <f>Intermediate!L5*Input!Q$4</f>
        <v>1395.299097354728</v>
      </c>
      <c r="I5">
        <v>3010000</v>
      </c>
      <c r="J5" s="128">
        <f t="shared" si="0"/>
        <v>0.26544558877459135</v>
      </c>
      <c r="K5" s="128">
        <f t="shared" si="0"/>
        <v>1.3375288174671948E-2</v>
      </c>
      <c r="L5" s="128">
        <f t="shared" si="0"/>
        <v>5.6174239987841067E-2</v>
      </c>
      <c r="M5" s="128">
        <f t="shared" si="0"/>
        <v>1.0141514175480226</v>
      </c>
      <c r="N5" s="128">
        <f t="shared" si="0"/>
        <v>0.42052924130719321</v>
      </c>
      <c r="O5" s="128">
        <f t="shared" si="1"/>
        <v>0.69935011825645654</v>
      </c>
      <c r="P5" s="128">
        <f t="shared" si="2"/>
        <v>1.0703256575358637</v>
      </c>
      <c r="Q5" s="114">
        <f t="shared" si="3"/>
        <v>1.7696757757923203</v>
      </c>
      <c r="R5" s="114">
        <f t="shared" si="4"/>
        <v>0.39518545025194973</v>
      </c>
      <c r="S5" s="114">
        <f t="shared" si="5"/>
        <v>0.60481454974805027</v>
      </c>
    </row>
    <row r="6" spans="1:19" x14ac:dyDescent="0.25">
      <c r="A6" s="70" t="s">
        <v>25</v>
      </c>
      <c r="B6" s="92">
        <v>6</v>
      </c>
      <c r="C6" s="75">
        <f>Intermediate!H6*Input!M$4</f>
        <v>5224.2696584837531</v>
      </c>
      <c r="D6" s="76">
        <f>Intermediate!I6*Input!N$4</f>
        <v>638.2455018953068</v>
      </c>
      <c r="E6" s="76">
        <f>Intermediate!J6*Input!O$4</f>
        <v>14944.898535</v>
      </c>
      <c r="F6" s="76">
        <f>Intermediate!K6*Input!P$4</f>
        <v>10185.415079999999</v>
      </c>
      <c r="G6" s="77">
        <f>Intermediate!L6*Input!Q$4</f>
        <v>3413.6023919228528</v>
      </c>
      <c r="I6">
        <v>39500000</v>
      </c>
      <c r="J6" s="128">
        <f t="shared" si="0"/>
        <v>0.11998414799650442</v>
      </c>
      <c r="K6" s="128">
        <f t="shared" si="0"/>
        <v>1.4658382465604861E-2</v>
      </c>
      <c r="L6" s="128">
        <f t="shared" si="0"/>
        <v>0.34323475525507446</v>
      </c>
      <c r="M6" s="128">
        <f t="shared" si="0"/>
        <v>0.2339252049097397</v>
      </c>
      <c r="N6" s="128">
        <f t="shared" si="0"/>
        <v>7.8399125881370657E-2</v>
      </c>
      <c r="O6" s="128">
        <f t="shared" si="1"/>
        <v>0.21304165634347993</v>
      </c>
      <c r="P6" s="128">
        <f t="shared" si="2"/>
        <v>0.57715996016481419</v>
      </c>
      <c r="Q6" s="114">
        <f t="shared" si="3"/>
        <v>0.79020161650829412</v>
      </c>
      <c r="R6" s="114">
        <f t="shared" si="4"/>
        <v>0.26960417682370535</v>
      </c>
      <c r="S6" s="114">
        <f t="shared" si="5"/>
        <v>0.7303958231762947</v>
      </c>
    </row>
    <row r="7" spans="1:19" x14ac:dyDescent="0.25">
      <c r="A7" s="70" t="s">
        <v>26</v>
      </c>
      <c r="B7" s="92">
        <v>8</v>
      </c>
      <c r="C7" s="75">
        <f>Intermediate!H7*Input!M$4</f>
        <v>832.06185420560746</v>
      </c>
      <c r="D7" s="76">
        <f>Intermediate!I7*Input!N$4</f>
        <v>77.069820560747686</v>
      </c>
      <c r="E7" s="76">
        <f>Intermediate!J7*Input!O$4</f>
        <v>481.65488957943927</v>
      </c>
      <c r="F7" s="76">
        <f>Intermediate!K7*Input!P$4</f>
        <v>7645.3614134579439</v>
      </c>
      <c r="G7" s="77">
        <f>Intermediate!L7*Input!Q$4</f>
        <v>78.399436288116561</v>
      </c>
      <c r="I7">
        <v>5690000</v>
      </c>
      <c r="J7" s="128">
        <f t="shared" si="0"/>
        <v>0.13265961355811243</v>
      </c>
      <c r="K7" s="128">
        <f t="shared" si="0"/>
        <v>1.2287611264601289E-2</v>
      </c>
      <c r="L7" s="128">
        <f t="shared" si="0"/>
        <v>7.6792549973327601E-2</v>
      </c>
      <c r="M7" s="128">
        <f t="shared" si="0"/>
        <v>1.2189366517585996</v>
      </c>
      <c r="N7" s="128">
        <f t="shared" si="0"/>
        <v>1.2499598279367089E-2</v>
      </c>
      <c r="O7" s="128">
        <f t="shared" si="1"/>
        <v>0.1574468231020808</v>
      </c>
      <c r="P7" s="128">
        <f t="shared" si="2"/>
        <v>1.2957292017319271</v>
      </c>
      <c r="Q7" s="114">
        <f t="shared" si="3"/>
        <v>1.453176024834008</v>
      </c>
      <c r="R7" s="114">
        <f t="shared" si="4"/>
        <v>0.10834669744848391</v>
      </c>
      <c r="S7" s="114">
        <f t="shared" si="5"/>
        <v>0.89165330255151598</v>
      </c>
    </row>
    <row r="8" spans="1:19" x14ac:dyDescent="0.25">
      <c r="A8" s="70" t="s">
        <v>27</v>
      </c>
      <c r="B8" s="92">
        <v>9</v>
      </c>
      <c r="C8" s="75">
        <f>Intermediate!H8*Input!M$4</f>
        <v>1023.9096363031914</v>
      </c>
      <c r="D8" s="76">
        <f>Intermediate!I8*Input!N$4</f>
        <v>0</v>
      </c>
      <c r="E8" s="76">
        <f>Intermediate!J8*Input!O$4</f>
        <v>0</v>
      </c>
      <c r="F8" s="76">
        <f>Intermediate!K8*Input!P$4</f>
        <v>70.374905106382968</v>
      </c>
      <c r="G8" s="77">
        <f>Intermediate!L8*Input!Q$4</f>
        <v>38.654299683789112</v>
      </c>
      <c r="I8">
        <v>3570000</v>
      </c>
      <c r="J8" s="128">
        <f t="shared" si="0"/>
        <v>0.26018891862747179</v>
      </c>
      <c r="K8" s="128">
        <f t="shared" si="0"/>
        <v>0</v>
      </c>
      <c r="L8" s="128">
        <f t="shared" si="0"/>
        <v>0</v>
      </c>
      <c r="M8" s="128">
        <f t="shared" si="0"/>
        <v>1.7883189891884855E-2</v>
      </c>
      <c r="N8" s="128">
        <f t="shared" si="0"/>
        <v>9.822566443792308E-3</v>
      </c>
      <c r="O8" s="128">
        <f t="shared" si="1"/>
        <v>0.2700114850712641</v>
      </c>
      <c r="P8" s="128">
        <f t="shared" si="2"/>
        <v>1.7883189891884855E-2</v>
      </c>
      <c r="Q8" s="114">
        <f t="shared" si="3"/>
        <v>0.28789467496314897</v>
      </c>
      <c r="R8" s="114">
        <f t="shared" si="4"/>
        <v>0.93788287367880652</v>
      </c>
      <c r="S8" s="114">
        <f t="shared" si="5"/>
        <v>6.2117126321193455E-2</v>
      </c>
    </row>
    <row r="9" spans="1:19" x14ac:dyDescent="0.25">
      <c r="A9" s="70" t="s">
        <v>28</v>
      </c>
      <c r="B9" s="92">
        <v>10</v>
      </c>
      <c r="C9" s="75">
        <f>Intermediate!H9*Input!M$4</f>
        <v>306.29499404553405</v>
      </c>
      <c r="D9" s="76">
        <f>Intermediate!I9*Input!N$4</f>
        <v>0</v>
      </c>
      <c r="E9" s="76">
        <f>Intermediate!J9*Input!O$4</f>
        <v>7.5223574080560427</v>
      </c>
      <c r="F9" s="76">
        <f>Intermediate!K9*Input!P$4</f>
        <v>469.75859894921183</v>
      </c>
      <c r="G9" s="77">
        <f>Intermediate!L9*Input!Q$4</f>
        <v>237.41578675223749</v>
      </c>
      <c r="I9">
        <v>965000</v>
      </c>
      <c r="J9" s="128">
        <f t="shared" si="0"/>
        <v>0.28794395635047021</v>
      </c>
      <c r="K9" s="128">
        <f t="shared" si="0"/>
        <v>0</v>
      </c>
      <c r="L9" s="128">
        <f t="shared" si="0"/>
        <v>7.0716707594506868E-3</v>
      </c>
      <c r="M9" s="128">
        <f t="shared" si="0"/>
        <v>0.4416139739162091</v>
      </c>
      <c r="N9" s="128">
        <f t="shared" si="0"/>
        <v>0.22319150579175318</v>
      </c>
      <c r="O9" s="128">
        <f t="shared" si="1"/>
        <v>0.51113546214222338</v>
      </c>
      <c r="P9" s="128">
        <f t="shared" si="2"/>
        <v>0.4486856446756598</v>
      </c>
      <c r="Q9" s="114">
        <f t="shared" si="3"/>
        <v>0.95982110681788313</v>
      </c>
      <c r="R9" s="114">
        <f t="shared" si="4"/>
        <v>0.53253200884152518</v>
      </c>
      <c r="S9" s="114">
        <f t="shared" si="5"/>
        <v>0.46746799115847493</v>
      </c>
    </row>
    <row r="10" spans="1:19" x14ac:dyDescent="0.25">
      <c r="A10" s="70" t="s">
        <v>29</v>
      </c>
      <c r="B10" s="92">
        <v>11</v>
      </c>
      <c r="C10" s="75">
        <f>Intermediate!H10*Input!M$4</f>
        <v>287.1515569176882</v>
      </c>
      <c r="D10" s="76">
        <f>Intermediate!I10*Input!N$4</f>
        <v>0</v>
      </c>
      <c r="E10" s="76">
        <f>Intermediate!J10*Input!O$4</f>
        <v>7.0522100700525385</v>
      </c>
      <c r="F10" s="76">
        <f>Intermediate!K10*Input!P$4</f>
        <v>440.39868651488609</v>
      </c>
      <c r="G10" s="77">
        <f>Intermediate!L10*Input!Q$4</f>
        <v>462.5064248741345</v>
      </c>
      <c r="I10">
        <v>702000</v>
      </c>
      <c r="J10" s="128">
        <f t="shared" si="0"/>
        <v>0.3710816210980285</v>
      </c>
      <c r="K10" s="128">
        <f t="shared" si="0"/>
        <v>0</v>
      </c>
      <c r="L10" s="128">
        <f t="shared" si="0"/>
        <v>9.1134645871660137E-3</v>
      </c>
      <c r="M10" s="128">
        <f t="shared" si="0"/>
        <v>0.56912057268849059</v>
      </c>
      <c r="N10" s="128">
        <f t="shared" si="0"/>
        <v>0.59769006914959655</v>
      </c>
      <c r="O10" s="128">
        <f t="shared" si="1"/>
        <v>0.96877169024762511</v>
      </c>
      <c r="P10" s="128">
        <f t="shared" si="2"/>
        <v>0.57823403727565659</v>
      </c>
      <c r="Q10" s="114">
        <f t="shared" si="3"/>
        <v>1.5470057275232816</v>
      </c>
      <c r="R10" s="114">
        <f t="shared" si="4"/>
        <v>0.62622372562162709</v>
      </c>
      <c r="S10" s="114">
        <f t="shared" si="5"/>
        <v>0.37377627437837296</v>
      </c>
    </row>
    <row r="11" spans="1:19" x14ac:dyDescent="0.25">
      <c r="A11" s="70" t="s">
        <v>30</v>
      </c>
      <c r="B11" s="92">
        <v>12</v>
      </c>
      <c r="C11" s="75">
        <f>Intermediate!H11*Input!M$4</f>
        <v>2776.8444400969524</v>
      </c>
      <c r="D11" s="76">
        <f>Intermediate!I11*Input!N$4</f>
        <v>264.2370388504155</v>
      </c>
      <c r="E11" s="76">
        <f>Intermediate!J11*Input!O$4</f>
        <v>99.815055955678659</v>
      </c>
      <c r="F11" s="76">
        <f>Intermediate!K11*Input!P$4</f>
        <v>4656.6133362880882</v>
      </c>
      <c r="G11" s="77">
        <f>Intermediate!L11*Input!Q$4</f>
        <v>2666.0017512351892</v>
      </c>
      <c r="I11">
        <v>21200000</v>
      </c>
      <c r="J11" s="128">
        <f t="shared" si="0"/>
        <v>0.11882588898796764</v>
      </c>
      <c r="K11" s="128">
        <f t="shared" si="0"/>
        <v>1.1307151596814875E-2</v>
      </c>
      <c r="L11" s="128">
        <f t="shared" si="0"/>
        <v>4.2712557416083206E-3</v>
      </c>
      <c r="M11" s="128">
        <f t="shared" si="0"/>
        <v>0.19926439211637609</v>
      </c>
      <c r="N11" s="128">
        <f t="shared" si="0"/>
        <v>0.11408274210813886</v>
      </c>
      <c r="O11" s="128">
        <f t="shared" si="1"/>
        <v>0.24421578269292138</v>
      </c>
      <c r="P11" s="128">
        <f t="shared" si="2"/>
        <v>0.20353564785798442</v>
      </c>
      <c r="Q11" s="114">
        <f t="shared" si="3"/>
        <v>0.44775143055090577</v>
      </c>
      <c r="R11" s="114">
        <f t="shared" si="4"/>
        <v>0.54542714110916946</v>
      </c>
      <c r="S11" s="114">
        <f t="shared" si="5"/>
        <v>0.4545728588908306</v>
      </c>
    </row>
    <row r="12" spans="1:19" x14ac:dyDescent="0.25">
      <c r="A12" s="70" t="s">
        <v>31</v>
      </c>
      <c r="B12" s="92">
        <v>13</v>
      </c>
      <c r="C12" s="75">
        <f>Intermediate!H12*Input!M$4</f>
        <v>2836.7763344875334</v>
      </c>
      <c r="D12" s="76">
        <f>Intermediate!I12*Input!N$4</f>
        <v>0</v>
      </c>
      <c r="E12" s="76">
        <f>Intermediate!J12*Input!O$4</f>
        <v>88.585862160664803</v>
      </c>
      <c r="F12" s="76">
        <f>Intermediate!K12*Input!P$4</f>
        <v>4132.7443359556773</v>
      </c>
      <c r="G12" s="77">
        <f>Intermediate!L12*Input!Q$4</f>
        <v>1373.6370446715666</v>
      </c>
      <c r="I12">
        <v>10500000</v>
      </c>
      <c r="J12" s="128">
        <f t="shared" si="0"/>
        <v>0.24509315259292744</v>
      </c>
      <c r="K12" s="128">
        <f t="shared" si="0"/>
        <v>0</v>
      </c>
      <c r="L12" s="128">
        <f t="shared" si="0"/>
        <v>7.6536835027010046E-3</v>
      </c>
      <c r="M12" s="128">
        <f t="shared" si="0"/>
        <v>0.35706281311139193</v>
      </c>
      <c r="N12" s="128">
        <f t="shared" si="0"/>
        <v>0.11868014749841244</v>
      </c>
      <c r="O12" s="128">
        <f t="shared" si="1"/>
        <v>0.3637733000913399</v>
      </c>
      <c r="P12" s="128">
        <f t="shared" si="2"/>
        <v>0.36471649661409294</v>
      </c>
      <c r="Q12" s="114">
        <f t="shared" si="3"/>
        <v>0.7284897967054329</v>
      </c>
      <c r="R12" s="114">
        <f t="shared" si="4"/>
        <v>0.49935263573558708</v>
      </c>
      <c r="S12" s="114">
        <f t="shared" si="5"/>
        <v>0.50064736426441292</v>
      </c>
    </row>
    <row r="13" spans="1:19" x14ac:dyDescent="0.25">
      <c r="A13" s="70" t="s">
        <v>32</v>
      </c>
      <c r="B13" s="92">
        <v>15</v>
      </c>
      <c r="C13" s="75">
        <f>Intermediate!H13*Input!M$4</f>
        <v>206.55636407480316</v>
      </c>
      <c r="D13" s="76">
        <f>Intermediate!I13*Input!N$4</f>
        <v>0</v>
      </c>
      <c r="E13" s="76">
        <f>Intermediate!J13*Input!O$4</f>
        <v>78.201408307086623</v>
      </c>
      <c r="F13" s="76">
        <f>Intermediate!K13*Input!P$4</f>
        <v>731.0646788976378</v>
      </c>
      <c r="G13" s="77">
        <f>Intermediate!L13*Input!Q$4</f>
        <v>271.61224351151856</v>
      </c>
      <c r="I13">
        <v>1420000</v>
      </c>
      <c r="J13" s="128">
        <f t="shared" si="0"/>
        <v>0.13196100604706776</v>
      </c>
      <c r="K13" s="128">
        <f t="shared" si="0"/>
        <v>0</v>
      </c>
      <c r="L13" s="128">
        <f t="shared" si="0"/>
        <v>4.9959905911025393E-2</v>
      </c>
      <c r="M13" s="128">
        <f t="shared" si="0"/>
        <v>0.46704942229653146</v>
      </c>
      <c r="N13" s="128">
        <f t="shared" si="0"/>
        <v>0.17352273346320665</v>
      </c>
      <c r="O13" s="128">
        <f t="shared" si="1"/>
        <v>0.30548373951027441</v>
      </c>
      <c r="P13" s="128">
        <f t="shared" si="2"/>
        <v>0.51700932820755685</v>
      </c>
      <c r="Q13" s="114">
        <f t="shared" si="3"/>
        <v>0.82249306771783126</v>
      </c>
      <c r="R13" s="114">
        <f t="shared" si="4"/>
        <v>0.37141193220983504</v>
      </c>
      <c r="S13" s="114">
        <f t="shared" si="5"/>
        <v>0.62858806779016496</v>
      </c>
    </row>
    <row r="14" spans="1:19" x14ac:dyDescent="0.25">
      <c r="A14" s="70" t="s">
        <v>33</v>
      </c>
      <c r="B14" s="92">
        <v>16</v>
      </c>
      <c r="C14" s="75">
        <f>Intermediate!H14*Input!M$4</f>
        <v>171.30685233644857</v>
      </c>
      <c r="D14" s="76">
        <f>Intermediate!I14*Input!N$4</f>
        <v>115.60473084112152</v>
      </c>
      <c r="E14" s="76">
        <f>Intermediate!J14*Input!O$4</f>
        <v>179.07681792056076</v>
      </c>
      <c r="F14" s="76">
        <f>Intermediate!K14*Input!P$4</f>
        <v>2842.5061665420562</v>
      </c>
      <c r="G14" s="77">
        <f>Intermediate!L14*Input!Q$4</f>
        <v>16.845141564375293</v>
      </c>
      <c r="I14">
        <v>1750000</v>
      </c>
      <c r="J14" s="128">
        <f t="shared" si="0"/>
        <v>8.8803906017136433E-2</v>
      </c>
      <c r="K14" s="128">
        <f t="shared" si="0"/>
        <v>5.9928435510498278E-2</v>
      </c>
      <c r="L14" s="128">
        <f t="shared" si="0"/>
        <v>9.2831785136254841E-2</v>
      </c>
      <c r="M14" s="128">
        <f t="shared" si="0"/>
        <v>1.4735292081075932</v>
      </c>
      <c r="N14" s="128">
        <f t="shared" si="0"/>
        <v>8.732367374249277E-3</v>
      </c>
      <c r="O14" s="128">
        <f t="shared" si="1"/>
        <v>0.15746470890188399</v>
      </c>
      <c r="P14" s="128">
        <f t="shared" si="2"/>
        <v>1.566360993243848</v>
      </c>
      <c r="Q14" s="114">
        <f t="shared" si="3"/>
        <v>1.7238257021457319</v>
      </c>
      <c r="R14" s="114">
        <f t="shared" si="4"/>
        <v>9.1346073275203984E-2</v>
      </c>
      <c r="S14" s="114">
        <f t="shared" si="5"/>
        <v>0.90865392672479606</v>
      </c>
    </row>
    <row r="15" spans="1:19" x14ac:dyDescent="0.25">
      <c r="A15" s="70" t="s">
        <v>34</v>
      </c>
      <c r="B15" s="92">
        <v>17</v>
      </c>
      <c r="C15" s="75">
        <f>Intermediate!H15*Input!M$4</f>
        <v>2151.0513105782788</v>
      </c>
      <c r="D15" s="76">
        <f>Intermediate!I15*Input!N$4</f>
        <v>788.89491858956262</v>
      </c>
      <c r="E15" s="76">
        <f>Intermediate!J15*Input!O$4</f>
        <v>2887.9036962270798</v>
      </c>
      <c r="F15" s="76">
        <f>Intermediate!K15*Input!P$4</f>
        <v>9468.614999999998</v>
      </c>
      <c r="G15" s="77">
        <f>Intermediate!L15*Input!Q$4</f>
        <v>2539.3678476974083</v>
      </c>
      <c r="I15">
        <v>12700000</v>
      </c>
      <c r="J15" s="128">
        <f t="shared" si="0"/>
        <v>0.15365349071934215</v>
      </c>
      <c r="K15" s="128">
        <f t="shared" si="0"/>
        <v>5.6352192742185336E-2</v>
      </c>
      <c r="L15" s="128">
        <f t="shared" si="0"/>
        <v>0.20628819108331234</v>
      </c>
      <c r="M15" s="128">
        <f t="shared" si="0"/>
        <v>0.676360317335433</v>
      </c>
      <c r="N15" s="128">
        <f t="shared" si="0"/>
        <v>0.18139164421618312</v>
      </c>
      <c r="O15" s="128">
        <f t="shared" si="1"/>
        <v>0.39139732767771063</v>
      </c>
      <c r="P15" s="128">
        <f t="shared" si="2"/>
        <v>0.88264850841874531</v>
      </c>
      <c r="Q15" s="114">
        <f t="shared" si="3"/>
        <v>1.2740458360964559</v>
      </c>
      <c r="R15" s="114">
        <f t="shared" si="4"/>
        <v>0.30720819972765767</v>
      </c>
      <c r="S15" s="114">
        <f t="shared" si="5"/>
        <v>0.69279180027234233</v>
      </c>
    </row>
    <row r="16" spans="1:19" x14ac:dyDescent="0.25">
      <c r="A16" s="70" t="s">
        <v>35</v>
      </c>
      <c r="B16" s="92">
        <v>18</v>
      </c>
      <c r="C16" s="75">
        <f>Intermediate!H16*Input!M$4</f>
        <v>2396.1077889985886</v>
      </c>
      <c r="D16" s="76">
        <f>Intermediate!I16*Input!N$4</f>
        <v>634.54591277856127</v>
      </c>
      <c r="E16" s="76">
        <f>Intermediate!J16*Input!O$4</f>
        <v>2887.9036962270798</v>
      </c>
      <c r="F16" s="76">
        <f>Intermediate!K16*Input!P$4</f>
        <v>9468.614999999998</v>
      </c>
      <c r="G16" s="77">
        <f>Intermediate!L16*Input!Q$4</f>
        <v>1510.2245743190458</v>
      </c>
      <c r="I16">
        <v>6700000</v>
      </c>
      <c r="J16" s="128">
        <f t="shared" si="0"/>
        <v>0.32443442514252169</v>
      </c>
      <c r="K16" s="128">
        <f t="shared" si="0"/>
        <v>8.5917895423597956E-2</v>
      </c>
      <c r="L16" s="128">
        <f t="shared" si="0"/>
        <v>0.39102388459075627</v>
      </c>
      <c r="M16" s="128">
        <f t="shared" si="0"/>
        <v>1.2820561239044774</v>
      </c>
      <c r="N16" s="128">
        <f t="shared" si="0"/>
        <v>0.20448530898941034</v>
      </c>
      <c r="O16" s="128">
        <f t="shared" si="1"/>
        <v>0.61483762955553001</v>
      </c>
      <c r="P16" s="128">
        <f t="shared" si="2"/>
        <v>1.6730800084952338</v>
      </c>
      <c r="Q16" s="114">
        <f t="shared" si="3"/>
        <v>2.287917638050764</v>
      </c>
      <c r="R16" s="114">
        <f t="shared" si="4"/>
        <v>0.26873241384657226</v>
      </c>
      <c r="S16" s="114">
        <f t="shared" si="5"/>
        <v>0.73126758615342768</v>
      </c>
    </row>
    <row r="17" spans="1:19" x14ac:dyDescent="0.25">
      <c r="A17" s="70" t="s">
        <v>36</v>
      </c>
      <c r="B17" s="92">
        <v>19</v>
      </c>
      <c r="C17" s="75">
        <f>Intermediate!H17*Input!M$4</f>
        <v>725.96052439024379</v>
      </c>
      <c r="D17" s="76">
        <f>Intermediate!I17*Input!N$4</f>
        <v>186.2857243902439</v>
      </c>
      <c r="E17" s="76">
        <f>Intermediate!J17*Input!O$4</f>
        <v>2492.8002910243899</v>
      </c>
      <c r="F17" s="76">
        <f>Intermediate!K17*Input!P$4</f>
        <v>2961.2603075121947</v>
      </c>
      <c r="G17" s="77">
        <f>Intermediate!L17*Input!Q$4</f>
        <v>1029.3913006728883</v>
      </c>
      <c r="I17">
        <v>3150000</v>
      </c>
      <c r="J17" s="128">
        <f t="shared" si="0"/>
        <v>0.20907294360585363</v>
      </c>
      <c r="K17" s="128">
        <f t="shared" si="0"/>
        <v>5.3649342411186997E-2</v>
      </c>
      <c r="L17" s="128">
        <f t="shared" si="0"/>
        <v>0.71791382197227627</v>
      </c>
      <c r="M17" s="128">
        <f t="shared" si="0"/>
        <v>0.85282792724131518</v>
      </c>
      <c r="N17" s="128">
        <f t="shared" si="0"/>
        <v>0.29645946593956618</v>
      </c>
      <c r="O17" s="128">
        <f t="shared" si="1"/>
        <v>0.5591817519566068</v>
      </c>
      <c r="P17" s="128">
        <f t="shared" si="2"/>
        <v>1.5707417492135916</v>
      </c>
      <c r="Q17" s="114">
        <f t="shared" si="3"/>
        <v>2.129923501170198</v>
      </c>
      <c r="R17" s="114">
        <f t="shared" si="4"/>
        <v>0.26253607307933247</v>
      </c>
      <c r="S17" s="114">
        <f t="shared" si="5"/>
        <v>0.73746392692066765</v>
      </c>
    </row>
    <row r="18" spans="1:19" x14ac:dyDescent="0.25">
      <c r="A18" s="70" t="s">
        <v>37</v>
      </c>
      <c r="B18" s="92">
        <v>20</v>
      </c>
      <c r="C18" s="75">
        <f>Intermediate!H18*Input!M$4</f>
        <v>483.97368292682927</v>
      </c>
      <c r="D18" s="76">
        <f>Intermediate!I18*Input!N$4</f>
        <v>118.54546097560974</v>
      </c>
      <c r="E18" s="76">
        <f>Intermediate!J18*Input!O$4</f>
        <v>1640.0001914634145</v>
      </c>
      <c r="F18" s="76">
        <f>Intermediate!K18*Input!P$4</f>
        <v>1948.1975707317069</v>
      </c>
      <c r="G18" s="77">
        <f>Intermediate!L18*Input!Q$4</f>
        <v>713.44195446899244</v>
      </c>
      <c r="I18">
        <v>2910000</v>
      </c>
      <c r="J18" s="128">
        <f t="shared" si="0"/>
        <v>0.15087738198360573</v>
      </c>
      <c r="K18" s="128">
        <f t="shared" si="0"/>
        <v>3.6956201192335926E-2</v>
      </c>
      <c r="L18" s="128">
        <f t="shared" si="0"/>
        <v>0.51126526931015337</v>
      </c>
      <c r="M18" s="128">
        <f t="shared" si="0"/>
        <v>0.60734490206414871</v>
      </c>
      <c r="N18" s="128">
        <f t="shared" si="0"/>
        <v>0.22241344536872795</v>
      </c>
      <c r="O18" s="128">
        <f t="shared" si="1"/>
        <v>0.4102470285446696</v>
      </c>
      <c r="P18" s="128">
        <f t="shared" si="2"/>
        <v>1.1186101713743022</v>
      </c>
      <c r="Q18" s="114">
        <f t="shared" si="3"/>
        <v>1.5288571999189717</v>
      </c>
      <c r="R18" s="114">
        <f t="shared" si="4"/>
        <v>0.26833574029439267</v>
      </c>
      <c r="S18" s="114">
        <f t="shared" si="5"/>
        <v>0.73166425970560733</v>
      </c>
    </row>
    <row r="19" spans="1:19" x14ac:dyDescent="0.25">
      <c r="A19" s="70" t="s">
        <v>38</v>
      </c>
      <c r="B19" s="92">
        <v>21</v>
      </c>
      <c r="C19" s="75">
        <f>Intermediate!H19*Input!M$4</f>
        <v>1143.5968992947812</v>
      </c>
      <c r="D19" s="76">
        <f>Intermediate!I19*Input!N$4</f>
        <v>274.39823255289139</v>
      </c>
      <c r="E19" s="76">
        <f>Intermediate!J19*Input!O$4</f>
        <v>1339.9873150493652</v>
      </c>
      <c r="F19" s="76">
        <f>Intermediate!K19*Input!P$4</f>
        <v>4393.437359999999</v>
      </c>
      <c r="G19" s="77">
        <f>Intermediate!L19*Input!Q$4</f>
        <v>1214.3581700335758</v>
      </c>
      <c r="I19">
        <v>4460000</v>
      </c>
      <c r="J19" s="128">
        <f t="shared" si="0"/>
        <v>0.23261273755377507</v>
      </c>
      <c r="K19" s="128">
        <f t="shared" si="0"/>
        <v>5.5813830986605875E-2</v>
      </c>
      <c r="L19" s="128">
        <f t="shared" si="0"/>
        <v>0.27255942879276757</v>
      </c>
      <c r="M19" s="128">
        <f t="shared" si="0"/>
        <v>0.89364486053682501</v>
      </c>
      <c r="N19" s="128">
        <f t="shared" si="0"/>
        <v>0.2470058973371613</v>
      </c>
      <c r="O19" s="128">
        <f t="shared" si="1"/>
        <v>0.53543246587754223</v>
      </c>
      <c r="P19" s="128">
        <f t="shared" si="2"/>
        <v>1.1662042893295925</v>
      </c>
      <c r="Q19" s="114">
        <f t="shared" si="3"/>
        <v>1.701636755207135</v>
      </c>
      <c r="R19" s="114">
        <f t="shared" si="4"/>
        <v>0.31465732286228482</v>
      </c>
      <c r="S19" s="114">
        <f t="shared" si="5"/>
        <v>0.68534267713771502</v>
      </c>
    </row>
    <row r="20" spans="1:19" x14ac:dyDescent="0.25">
      <c r="A20" s="70" t="s">
        <v>39</v>
      </c>
      <c r="B20" s="92">
        <v>22</v>
      </c>
      <c r="C20" s="75">
        <f>Intermediate!H20*Input!M$4</f>
        <v>264.22133400000001</v>
      </c>
      <c r="D20" s="76">
        <f>Intermediate!I20*Input!N$4</f>
        <v>654.58535064000012</v>
      </c>
      <c r="E20" s="76">
        <f>Intermediate!J20*Input!O$4</f>
        <v>255.41492940000003</v>
      </c>
      <c r="F20" s="76">
        <f>Intermediate!K20*Input!P$4</f>
        <v>4611.17787744</v>
      </c>
      <c r="G20" s="77">
        <f>Intermediate!L20*Input!Q$4</f>
        <v>4179.3431731308901</v>
      </c>
      <c r="I20">
        <v>4660000</v>
      </c>
      <c r="J20" s="128">
        <f t="shared" si="0"/>
        <v>5.1437203146664383E-2</v>
      </c>
      <c r="K20" s="128">
        <f t="shared" si="0"/>
        <v>0.12743119243240297</v>
      </c>
      <c r="L20" s="128">
        <f t="shared" si="0"/>
        <v>4.9722819165838976E-2</v>
      </c>
      <c r="M20" s="128">
        <f t="shared" si="0"/>
        <v>0.89767956900590751</v>
      </c>
      <c r="N20" s="128">
        <f t="shared" si="0"/>
        <v>0.81361228694711885</v>
      </c>
      <c r="O20" s="128">
        <f t="shared" si="1"/>
        <v>0.99248068252618626</v>
      </c>
      <c r="P20" s="128">
        <f t="shared" si="2"/>
        <v>0.94740238817174649</v>
      </c>
      <c r="Q20" s="114">
        <f t="shared" si="3"/>
        <v>1.9398830706979329</v>
      </c>
      <c r="R20" s="114">
        <f t="shared" si="4"/>
        <v>0.51161881740073678</v>
      </c>
      <c r="S20" s="114">
        <f t="shared" si="5"/>
        <v>0.48838118259926316</v>
      </c>
    </row>
    <row r="21" spans="1:19" x14ac:dyDescent="0.25">
      <c r="A21" s="70" t="s">
        <v>40</v>
      </c>
      <c r="B21" s="92">
        <v>23</v>
      </c>
      <c r="C21" s="75">
        <f>Intermediate!H21*Input!M$4</f>
        <v>355.23395545212759</v>
      </c>
      <c r="D21" s="76">
        <f>Intermediate!I21*Input!N$4</f>
        <v>0</v>
      </c>
      <c r="E21" s="76">
        <f>Intermediate!J21*Input!O$4</f>
        <v>0</v>
      </c>
      <c r="F21" s="76">
        <f>Intermediate!K21*Input!P$4</f>
        <v>24.415783404255315</v>
      </c>
      <c r="G21" s="77">
        <f>Intermediate!L21*Input!Q$4</f>
        <v>10.087078204335405</v>
      </c>
      <c r="I21">
        <v>1340000</v>
      </c>
      <c r="J21" s="128">
        <f t="shared" si="0"/>
        <v>0.24049444824095742</v>
      </c>
      <c r="K21" s="128">
        <f t="shared" si="0"/>
        <v>0</v>
      </c>
      <c r="L21" s="128">
        <f t="shared" si="0"/>
        <v>0</v>
      </c>
      <c r="M21" s="128">
        <f t="shared" si="0"/>
        <v>1.6529558247616382E-2</v>
      </c>
      <c r="N21" s="128">
        <f t="shared" si="0"/>
        <v>6.8289820550162753E-3</v>
      </c>
      <c r="O21" s="128">
        <f t="shared" si="1"/>
        <v>0.2473234302959737</v>
      </c>
      <c r="P21" s="128">
        <f t="shared" si="2"/>
        <v>1.6529558247616382E-2</v>
      </c>
      <c r="Q21" s="114">
        <f t="shared" si="3"/>
        <v>0.26385298854359007</v>
      </c>
      <c r="R21" s="114">
        <f t="shared" si="4"/>
        <v>0.93735315131787644</v>
      </c>
      <c r="S21" s="114">
        <f t="shared" si="5"/>
        <v>6.2646848682123613E-2</v>
      </c>
    </row>
    <row r="22" spans="1:19" x14ac:dyDescent="0.25">
      <c r="A22" s="70" t="s">
        <v>41</v>
      </c>
      <c r="B22" s="92">
        <v>24</v>
      </c>
      <c r="C22" s="75">
        <f>Intermediate!H22*Input!M$4</f>
        <v>689.16373660245176</v>
      </c>
      <c r="D22" s="76">
        <f>Intermediate!I22*Input!N$4</f>
        <v>385.84026115586693</v>
      </c>
      <c r="E22" s="76">
        <f>Intermediate!J22*Input!O$4</f>
        <v>31.970018984238177</v>
      </c>
      <c r="F22" s="76">
        <f>Intermediate!K22*Input!P$4</f>
        <v>1996.4740455341505</v>
      </c>
      <c r="G22" s="77">
        <f>Intermediate!L22*Input!Q$4</f>
        <v>980.89382023328744</v>
      </c>
      <c r="I22">
        <v>6040000</v>
      </c>
      <c r="J22" s="128">
        <f t="shared" si="0"/>
        <v>0.10350965483873487</v>
      </c>
      <c r="K22" s="128">
        <f t="shared" si="0"/>
        <v>5.7951674085500657E-2</v>
      </c>
      <c r="L22" s="128">
        <f t="shared" si="0"/>
        <v>4.8017698182445572E-3</v>
      </c>
      <c r="M22" s="128">
        <f t="shared" si="0"/>
        <v>0.29986246862977695</v>
      </c>
      <c r="N22" s="128">
        <f t="shared" si="0"/>
        <v>0.1473263542077011</v>
      </c>
      <c r="O22" s="128">
        <f t="shared" si="1"/>
        <v>0.30878768313193661</v>
      </c>
      <c r="P22" s="128">
        <f t="shared" si="2"/>
        <v>0.30466423844802148</v>
      </c>
      <c r="Q22" s="114">
        <f t="shared" si="3"/>
        <v>0.6134519215799582</v>
      </c>
      <c r="R22" s="114">
        <f t="shared" si="4"/>
        <v>0.50336085399593744</v>
      </c>
      <c r="S22" s="114">
        <f t="shared" si="5"/>
        <v>0.49663914600406239</v>
      </c>
    </row>
    <row r="23" spans="1:19" x14ac:dyDescent="0.25">
      <c r="A23" s="70" t="s">
        <v>42</v>
      </c>
      <c r="B23" s="92">
        <v>25</v>
      </c>
      <c r="C23" s="75">
        <f>Intermediate!H23*Input!M$4</f>
        <v>898.53294614361687</v>
      </c>
      <c r="D23" s="76">
        <f>Intermediate!I23*Input!N$4</f>
        <v>289.55154015957447</v>
      </c>
      <c r="E23" s="76">
        <f>Intermediate!J23*Input!O$4</f>
        <v>0</v>
      </c>
      <c r="F23" s="76">
        <f>Intermediate!K23*Input!P$4</f>
        <v>93.354465957446791</v>
      </c>
      <c r="G23" s="77">
        <f>Intermediate!L23*Input!Q$4</f>
        <v>136.32955695248731</v>
      </c>
      <c r="I23">
        <v>6880000</v>
      </c>
      <c r="J23" s="128">
        <f t="shared" si="0"/>
        <v>0.11847888258929519</v>
      </c>
      <c r="K23" s="128">
        <f t="shared" si="0"/>
        <v>3.8179727384901656E-2</v>
      </c>
      <c r="L23" s="128">
        <f t="shared" si="0"/>
        <v>0</v>
      </c>
      <c r="M23" s="128">
        <f t="shared" si="0"/>
        <v>1.2309546198421572E-2</v>
      </c>
      <c r="N23" s="128">
        <f t="shared" si="0"/>
        <v>1.7976161743369946E-2</v>
      </c>
      <c r="O23" s="128">
        <f t="shared" si="1"/>
        <v>0.17463477171756678</v>
      </c>
      <c r="P23" s="128">
        <f t="shared" si="2"/>
        <v>1.2309546198421572E-2</v>
      </c>
      <c r="Q23" s="114">
        <f t="shared" si="3"/>
        <v>0.18694431791598834</v>
      </c>
      <c r="R23" s="114">
        <f t="shared" si="4"/>
        <v>0.93415394307970678</v>
      </c>
      <c r="S23" s="114">
        <f t="shared" si="5"/>
        <v>6.5846056920293286E-2</v>
      </c>
    </row>
    <row r="24" spans="1:19" x14ac:dyDescent="0.25">
      <c r="A24" s="70" t="s">
        <v>43</v>
      </c>
      <c r="B24" s="92">
        <v>26</v>
      </c>
      <c r="C24" s="75">
        <f>Intermediate!H24*Input!M$4</f>
        <v>3866.4466595204503</v>
      </c>
      <c r="D24" s="76">
        <f>Intermediate!I24*Input!N$4</f>
        <v>17.149889534555712</v>
      </c>
      <c r="E24" s="76">
        <f>Intermediate!J24*Input!O$4</f>
        <v>3303.7618284837795</v>
      </c>
      <c r="F24" s="76">
        <f>Intermediate!K24*Input!P$4</f>
        <v>10832.095559999998</v>
      </c>
      <c r="G24" s="77">
        <f>Intermediate!L24*Input!Q$4</f>
        <v>1777.7259982221403</v>
      </c>
      <c r="I24">
        <v>9980000</v>
      </c>
      <c r="J24" s="128">
        <f t="shared" si="0"/>
        <v>0.35146077618941884</v>
      </c>
      <c r="K24" s="128">
        <f t="shared" si="0"/>
        <v>1.5589283955427242E-3</v>
      </c>
      <c r="L24" s="128">
        <f t="shared" si="0"/>
        <v>0.30031261228569428</v>
      </c>
      <c r="M24" s="128">
        <f t="shared" si="0"/>
        <v>0.98463965716463309</v>
      </c>
      <c r="N24" s="128">
        <f t="shared" si="0"/>
        <v>0.16159564949610764</v>
      </c>
      <c r="O24" s="128">
        <f t="shared" si="1"/>
        <v>0.51461535408106918</v>
      </c>
      <c r="P24" s="128">
        <f t="shared" si="2"/>
        <v>1.2849522694503275</v>
      </c>
      <c r="Q24" s="114">
        <f t="shared" si="3"/>
        <v>1.7995676235313967</v>
      </c>
      <c r="R24" s="114">
        <f t="shared" si="4"/>
        <v>0.28596611061006388</v>
      </c>
      <c r="S24" s="114">
        <f t="shared" si="5"/>
        <v>0.71403388938993617</v>
      </c>
    </row>
    <row r="25" spans="1:19" x14ac:dyDescent="0.25">
      <c r="A25" s="70" t="s">
        <v>44</v>
      </c>
      <c r="B25" s="92">
        <v>27</v>
      </c>
      <c r="C25" s="75">
        <f>Intermediate!H25*Input!M$4</f>
        <v>1107.5421965454543</v>
      </c>
      <c r="D25" s="76">
        <f>Intermediate!I25*Input!N$4</f>
        <v>818.90563189090915</v>
      </c>
      <c r="E25" s="76">
        <f>Intermediate!J25*Input!O$4</f>
        <v>2862.4227599999999</v>
      </c>
      <c r="F25" s="76">
        <f>Intermediate!K25*Input!P$4</f>
        <v>7609.8350836363634</v>
      </c>
      <c r="G25" s="77">
        <f>Intermediate!L25*Input!Q$4</f>
        <v>1120.0606024052756</v>
      </c>
      <c r="I25">
        <v>5610000</v>
      </c>
      <c r="J25" s="128">
        <f t="shared" si="0"/>
        <v>0.17909885205541734</v>
      </c>
      <c r="K25" s="128">
        <f t="shared" si="0"/>
        <v>0.13242390138347995</v>
      </c>
      <c r="L25" s="128">
        <f t="shared" si="0"/>
        <v>0.46287774137394649</v>
      </c>
      <c r="M25" s="128">
        <f t="shared" si="0"/>
        <v>1.2305740874355739</v>
      </c>
      <c r="N25" s="128">
        <f t="shared" si="0"/>
        <v>0.18112318316086054</v>
      </c>
      <c r="O25" s="128">
        <f t="shared" si="1"/>
        <v>0.49264593659975786</v>
      </c>
      <c r="P25" s="128">
        <f t="shared" si="2"/>
        <v>1.6934518288095204</v>
      </c>
      <c r="Q25" s="114">
        <f t="shared" si="3"/>
        <v>2.1860977654092784</v>
      </c>
      <c r="R25" s="114">
        <f t="shared" si="4"/>
        <v>0.22535402780009034</v>
      </c>
      <c r="S25" s="114">
        <f t="shared" si="5"/>
        <v>0.7746459721999096</v>
      </c>
    </row>
    <row r="26" spans="1:19" x14ac:dyDescent="0.25">
      <c r="A26" s="70" t="s">
        <v>45</v>
      </c>
      <c r="B26" s="92">
        <v>28</v>
      </c>
      <c r="C26" s="75">
        <f>Intermediate!H26*Input!M$4</f>
        <v>775.0492463999999</v>
      </c>
      <c r="D26" s="76">
        <f>Intermediate!I26*Input!N$4</f>
        <v>122.04133656</v>
      </c>
      <c r="E26" s="76">
        <f>Intermediate!J26*Input!O$4</f>
        <v>189.8354205</v>
      </c>
      <c r="F26" s="76">
        <f>Intermediate!K26*Input!P$4</f>
        <v>3427.2268007999996</v>
      </c>
      <c r="G26" s="77">
        <f>Intermediate!L26*Input!Q$4</f>
        <v>817.56565064208837</v>
      </c>
      <c r="I26">
        <v>2980000</v>
      </c>
      <c r="J26" s="128">
        <f t="shared" si="0"/>
        <v>0.23594371662622066</v>
      </c>
      <c r="K26" s="128">
        <f t="shared" si="0"/>
        <v>3.7152331498606389E-2</v>
      </c>
      <c r="L26" s="128">
        <f t="shared" si="0"/>
        <v>5.7790488627809396E-2</v>
      </c>
      <c r="M26" s="128">
        <f t="shared" si="0"/>
        <v>1.0433306436432708</v>
      </c>
      <c r="N26" s="128">
        <f t="shared" si="0"/>
        <v>0.24888673731949404</v>
      </c>
      <c r="O26" s="128">
        <f t="shared" si="1"/>
        <v>0.52198278544432108</v>
      </c>
      <c r="P26" s="128">
        <f t="shared" si="2"/>
        <v>1.1011211322710801</v>
      </c>
      <c r="Q26" s="114">
        <f t="shared" si="3"/>
        <v>1.6231039177154012</v>
      </c>
      <c r="R26" s="114">
        <f t="shared" si="4"/>
        <v>0.32159541958289251</v>
      </c>
      <c r="S26" s="114">
        <f t="shared" si="5"/>
        <v>0.67840458041710749</v>
      </c>
    </row>
    <row r="27" spans="1:19" x14ac:dyDescent="0.25">
      <c r="A27" s="70" t="s">
        <v>46</v>
      </c>
      <c r="B27" s="92">
        <v>29</v>
      </c>
      <c r="C27" s="75">
        <f>Intermediate!H27*Input!M$4</f>
        <v>1478.8084756097558</v>
      </c>
      <c r="D27" s="76">
        <f>Intermediate!I27*Input!N$4</f>
        <v>169.35065853658537</v>
      </c>
      <c r="E27" s="76">
        <f>Intermediate!J27*Input!O$4</f>
        <v>4264.0004978048783</v>
      </c>
      <c r="F27" s="76">
        <f>Intermediate!K27*Input!P$4</f>
        <v>5065.3136839024382</v>
      </c>
      <c r="G27" s="77">
        <f>Intermediate!L27*Input!Q$4</f>
        <v>1079.5243938132337</v>
      </c>
      <c r="I27">
        <v>6120000</v>
      </c>
      <c r="J27" s="128">
        <f t="shared" si="0"/>
        <v>0.21920774315973215</v>
      </c>
      <c r="K27" s="128">
        <f t="shared" si="0"/>
        <v>2.5103301930368246E-2</v>
      </c>
      <c r="L27" s="128">
        <f t="shared" si="0"/>
        <v>0.63206422019617992</v>
      </c>
      <c r="M27" s="128">
        <f t="shared" si="0"/>
        <v>0.75084502108126616</v>
      </c>
      <c r="N27" s="128">
        <f t="shared" si="0"/>
        <v>0.16002079373808242</v>
      </c>
      <c r="O27" s="128">
        <f t="shared" si="1"/>
        <v>0.4043318388281828</v>
      </c>
      <c r="P27" s="128">
        <f t="shared" si="2"/>
        <v>1.3829092412774462</v>
      </c>
      <c r="Q27" s="114">
        <f t="shared" si="3"/>
        <v>1.7872410801056289</v>
      </c>
      <c r="R27" s="114">
        <f t="shared" si="4"/>
        <v>0.22623239994253386</v>
      </c>
      <c r="S27" s="114">
        <f t="shared" si="5"/>
        <v>0.77376760005746625</v>
      </c>
    </row>
    <row r="28" spans="1:19" x14ac:dyDescent="0.25">
      <c r="A28" s="70" t="s">
        <v>47</v>
      </c>
      <c r="B28" s="92">
        <v>30</v>
      </c>
      <c r="C28" s="75">
        <f>Intermediate!H28*Input!M$4</f>
        <v>513.92055700934577</v>
      </c>
      <c r="D28" s="76">
        <f>Intermediate!I28*Input!N$4</f>
        <v>0</v>
      </c>
      <c r="E28" s="76">
        <f>Intermediate!J28*Input!O$4</f>
        <v>259.35263285046727</v>
      </c>
      <c r="F28" s="76">
        <f>Intermediate!K28*Input!P$4</f>
        <v>4116.7330687850463</v>
      </c>
      <c r="G28" s="77">
        <f>Intermediate!L28*Input!Q$4</f>
        <v>13.670909036918994</v>
      </c>
      <c r="I28">
        <v>1060000</v>
      </c>
      <c r="J28" s="128">
        <f t="shared" si="0"/>
        <v>0.43983066659430786</v>
      </c>
      <c r="K28" s="128">
        <f t="shared" si="0"/>
        <v>0</v>
      </c>
      <c r="L28" s="128">
        <f t="shared" si="0"/>
        <v>0.22196279139605501</v>
      </c>
      <c r="M28" s="128">
        <f t="shared" si="0"/>
        <v>3.5232399738421636</v>
      </c>
      <c r="N28" s="128">
        <f t="shared" si="0"/>
        <v>1.1700028248819171E-2</v>
      </c>
      <c r="O28" s="128">
        <f t="shared" si="1"/>
        <v>0.45153069484312702</v>
      </c>
      <c r="P28" s="128">
        <f t="shared" si="2"/>
        <v>3.7452027652382185</v>
      </c>
      <c r="Q28" s="114">
        <f t="shared" si="3"/>
        <v>4.1967334600813455</v>
      </c>
      <c r="R28" s="114">
        <f t="shared" si="4"/>
        <v>0.1075909869278129</v>
      </c>
      <c r="S28" s="114">
        <f t="shared" si="5"/>
        <v>0.89240901307218712</v>
      </c>
    </row>
    <row r="29" spans="1:19" x14ac:dyDescent="0.25">
      <c r="A29" s="70" t="s">
        <v>48</v>
      </c>
      <c r="B29" s="92">
        <v>31</v>
      </c>
      <c r="C29" s="75">
        <f>Intermediate!H29*Input!M$4</f>
        <v>564.63596341463403</v>
      </c>
      <c r="D29" s="76">
        <f>Intermediate!I29*Input!N$4</f>
        <v>152.41559268292679</v>
      </c>
      <c r="E29" s="76">
        <f>Intermediate!J29*Input!O$4</f>
        <v>1968.0002297560973</v>
      </c>
      <c r="F29" s="76">
        <f>Intermediate!K29*Input!P$4</f>
        <v>2337.8370848780487</v>
      </c>
      <c r="G29" s="77">
        <f>Intermediate!L29*Input!Q$4</f>
        <v>573.51273135490817</v>
      </c>
      <c r="I29">
        <v>1930000</v>
      </c>
      <c r="J29" s="128">
        <f t="shared" si="0"/>
        <v>0.26540347763437377</v>
      </c>
      <c r="K29" s="128">
        <f t="shared" si="0"/>
        <v>7.164196219298874E-2</v>
      </c>
      <c r="L29" s="128">
        <f t="shared" si="0"/>
        <v>0.92504576188137577</v>
      </c>
      <c r="M29" s="128">
        <f t="shared" si="0"/>
        <v>1.0988851803150301</v>
      </c>
      <c r="N29" s="128">
        <f t="shared" si="0"/>
        <v>0.26957594491267928</v>
      </c>
      <c r="O29" s="128">
        <f t="shared" si="1"/>
        <v>0.60662138474004179</v>
      </c>
      <c r="P29" s="128">
        <f t="shared" si="2"/>
        <v>2.0239309421964058</v>
      </c>
      <c r="Q29" s="114">
        <f t="shared" si="3"/>
        <v>2.6305523269364475</v>
      </c>
      <c r="R29" s="114">
        <f t="shared" si="4"/>
        <v>0.23060608927194984</v>
      </c>
      <c r="S29" s="114">
        <f t="shared" si="5"/>
        <v>0.76939391072805019</v>
      </c>
    </row>
    <row r="30" spans="1:19" x14ac:dyDescent="0.25">
      <c r="A30" s="70" t="s">
        <v>49</v>
      </c>
      <c r="B30" s="92">
        <v>32</v>
      </c>
      <c r="C30" s="75">
        <f>Intermediate!H30*Input!M$4</f>
        <v>676.00264606299197</v>
      </c>
      <c r="D30" s="76">
        <f>Intermediate!I30*Input!N$4</f>
        <v>0</v>
      </c>
      <c r="E30" s="76">
        <f>Intermediate!J30*Input!O$4</f>
        <v>255.93188173228347</v>
      </c>
      <c r="F30" s="76">
        <f>Intermediate!K30*Input!P$4</f>
        <v>2392.5753127559051</v>
      </c>
      <c r="G30" s="77">
        <f>Intermediate!L30*Input!Q$4</f>
        <v>441.60002356730399</v>
      </c>
      <c r="I30">
        <v>3030000</v>
      </c>
      <c r="J30" s="128">
        <f t="shared" si="0"/>
        <v>0.20239563843762681</v>
      </c>
      <c r="K30" s="128">
        <f t="shared" si="0"/>
        <v>0</v>
      </c>
      <c r="L30" s="128">
        <f t="shared" si="0"/>
        <v>7.6626174322580815E-2</v>
      </c>
      <c r="M30" s="128">
        <f t="shared" si="0"/>
        <v>0.71633862789675018</v>
      </c>
      <c r="N30" s="128">
        <f t="shared" si="0"/>
        <v>0.13221533854121489</v>
      </c>
      <c r="O30" s="128">
        <f t="shared" si="1"/>
        <v>0.33461097697884168</v>
      </c>
      <c r="P30" s="128">
        <f t="shared" si="2"/>
        <v>0.79296480221933097</v>
      </c>
      <c r="Q30" s="114">
        <f t="shared" si="3"/>
        <v>1.1275757791981726</v>
      </c>
      <c r="R30" s="114">
        <f t="shared" si="4"/>
        <v>0.29675254040733828</v>
      </c>
      <c r="S30" s="114">
        <f t="shared" si="5"/>
        <v>0.70324745959266166</v>
      </c>
    </row>
    <row r="31" spans="1:19" x14ac:dyDescent="0.25">
      <c r="A31" s="70" t="s">
        <v>50</v>
      </c>
      <c r="B31" s="92">
        <v>33</v>
      </c>
      <c r="C31" s="75">
        <f>Intermediate!H31*Input!M$4</f>
        <v>334.33784042553179</v>
      </c>
      <c r="D31" s="76">
        <f>Intermediate!I31*Input!N$4</f>
        <v>13.161433643617022</v>
      </c>
      <c r="E31" s="76">
        <f>Intermediate!J31*Input!O$4</f>
        <v>0</v>
      </c>
      <c r="F31" s="76">
        <f>Intermediate!K31*Input!P$4</f>
        <v>24.415783404255315</v>
      </c>
      <c r="G31" s="77">
        <f>Intermediate!L31*Input!Q$4</f>
        <v>12.320095516745535</v>
      </c>
      <c r="I31">
        <v>1350000</v>
      </c>
      <c r="J31" s="128">
        <f t="shared" si="0"/>
        <v>0.22467106624340419</v>
      </c>
      <c r="K31" s="128">
        <f t="shared" si="0"/>
        <v>8.844327421148936E-3</v>
      </c>
      <c r="L31" s="128">
        <f t="shared" si="0"/>
        <v>0</v>
      </c>
      <c r="M31" s="128">
        <f t="shared" si="0"/>
        <v>1.6407117075411818E-2</v>
      </c>
      <c r="N31" s="128">
        <f t="shared" si="0"/>
        <v>8.2789581713061354E-3</v>
      </c>
      <c r="O31" s="128">
        <f t="shared" si="1"/>
        <v>0.24179435183585926</v>
      </c>
      <c r="P31" s="128">
        <f t="shared" si="2"/>
        <v>1.6407117075411818E-2</v>
      </c>
      <c r="Q31" s="114">
        <f t="shared" si="3"/>
        <v>0.25820146891127105</v>
      </c>
      <c r="R31" s="114">
        <f t="shared" si="4"/>
        <v>0.93645614355102691</v>
      </c>
      <c r="S31" s="114">
        <f t="shared" si="5"/>
        <v>6.3543856448973174E-2</v>
      </c>
    </row>
    <row r="32" spans="1:19" x14ac:dyDescent="0.25">
      <c r="A32" s="70" t="s">
        <v>51</v>
      </c>
      <c r="B32" s="92">
        <v>34</v>
      </c>
      <c r="C32" s="75">
        <f>Intermediate!H32*Input!M$4</f>
        <v>1952.6305870402798</v>
      </c>
      <c r="D32" s="76">
        <f>Intermediate!I32*Input!N$4</f>
        <v>0</v>
      </c>
      <c r="E32" s="76">
        <f>Intermediate!J32*Input!O$4</f>
        <v>47.955028476357263</v>
      </c>
      <c r="F32" s="76">
        <f>Intermediate!K32*Input!P$4</f>
        <v>2994.7110683012252</v>
      </c>
      <c r="G32" s="77">
        <f>Intermediate!L32*Input!Q$4</f>
        <v>1302.7055399797214</v>
      </c>
      <c r="I32">
        <v>8890000</v>
      </c>
      <c r="J32" s="128">
        <f t="shared" si="0"/>
        <v>0.1992570558462935</v>
      </c>
      <c r="K32" s="128">
        <f t="shared" si="0"/>
        <v>0</v>
      </c>
      <c r="L32" s="128">
        <f t="shared" si="0"/>
        <v>4.8935921882222368E-3</v>
      </c>
      <c r="M32" s="128">
        <f t="shared" si="0"/>
        <v>0.30559662157320344</v>
      </c>
      <c r="N32" s="128">
        <f t="shared" si="0"/>
        <v>0.13293516564465283</v>
      </c>
      <c r="O32" s="128">
        <f t="shared" si="1"/>
        <v>0.33219222149094629</v>
      </c>
      <c r="P32" s="128">
        <f t="shared" si="2"/>
        <v>0.31049021376142566</v>
      </c>
      <c r="Q32" s="114">
        <f t="shared" si="3"/>
        <v>0.64268243525237201</v>
      </c>
      <c r="R32" s="114">
        <f t="shared" si="4"/>
        <v>0.51688392784610526</v>
      </c>
      <c r="S32" s="114">
        <f t="shared" si="5"/>
        <v>0.48311607215389463</v>
      </c>
    </row>
    <row r="33" spans="1:19" x14ac:dyDescent="0.25">
      <c r="A33" s="70" t="s">
        <v>52</v>
      </c>
      <c r="B33" s="92">
        <v>35</v>
      </c>
      <c r="C33" s="75">
        <f>Intermediate!H33*Input!M$4</f>
        <v>1041.4181132142855</v>
      </c>
      <c r="D33" s="76">
        <f>Intermediate!I33*Input!N$4</f>
        <v>99.384541785714276</v>
      </c>
      <c r="E33" s="76">
        <f>Intermediate!J33*Input!O$4</f>
        <v>2080.4126542857143</v>
      </c>
      <c r="F33" s="76">
        <f>Intermediate!K33*Input!P$4</f>
        <v>3823.0231142857133</v>
      </c>
      <c r="G33" s="77">
        <f>Intermediate!L33*Input!Q$4</f>
        <v>269.58509339835098</v>
      </c>
      <c r="I33">
        <v>2090000</v>
      </c>
      <c r="J33" s="128">
        <f t="shared" si="0"/>
        <v>0.45203724862114281</v>
      </c>
      <c r="K33" s="128">
        <f t="shared" si="0"/>
        <v>4.3138787634129865E-2</v>
      </c>
      <c r="L33" s="128">
        <f t="shared" si="0"/>
        <v>0.90302252314140263</v>
      </c>
      <c r="M33" s="128">
        <f t="shared" si="0"/>
        <v>1.6594188521101294</v>
      </c>
      <c r="N33" s="128">
        <f t="shared" si="0"/>
        <v>0.11701592505717208</v>
      </c>
      <c r="O33" s="128">
        <f t="shared" si="1"/>
        <v>0.6121919613124448</v>
      </c>
      <c r="P33" s="128">
        <f t="shared" si="2"/>
        <v>2.5624413752515318</v>
      </c>
      <c r="Q33" s="114">
        <f t="shared" si="3"/>
        <v>3.1746333365639767</v>
      </c>
      <c r="R33" s="114">
        <f t="shared" si="4"/>
        <v>0.19283863565013867</v>
      </c>
      <c r="S33" s="114">
        <f t="shared" si="5"/>
        <v>0.8071613643498613</v>
      </c>
    </row>
    <row r="34" spans="1:19" x14ac:dyDescent="0.25">
      <c r="A34" s="70" t="s">
        <v>53</v>
      </c>
      <c r="B34" s="92">
        <v>36</v>
      </c>
      <c r="C34" s="75">
        <f>Intermediate!H34*Input!M$4</f>
        <v>2699.2246350262694</v>
      </c>
      <c r="D34" s="76">
        <f>Intermediate!I34*Input!N$4</f>
        <v>349.66773667250436</v>
      </c>
      <c r="E34" s="76">
        <f>Intermediate!J34*Input!O$4</f>
        <v>79.925047460595451</v>
      </c>
      <c r="F34" s="76">
        <f>Intermediate!K34*Input!P$4</f>
        <v>4991.1851138353759</v>
      </c>
      <c r="G34" s="77">
        <f>Intermediate!L34*Input!Q$4</f>
        <v>5504.3278179803838</v>
      </c>
      <c r="I34">
        <v>19500000</v>
      </c>
      <c r="J34" s="128">
        <f t="shared" si="0"/>
        <v>0.1255740205795729</v>
      </c>
      <c r="K34" s="128">
        <f t="shared" si="0"/>
        <v>1.6267332103872267E-2</v>
      </c>
      <c r="L34" s="128">
        <f t="shared" si="0"/>
        <v>3.7182935515637345E-3</v>
      </c>
      <c r="M34" s="128">
        <f t="shared" si="0"/>
        <v>0.2322011936569042</v>
      </c>
      <c r="N34" s="128">
        <f t="shared" si="0"/>
        <v>0.25607375011419053</v>
      </c>
      <c r="O34" s="128">
        <f t="shared" si="1"/>
        <v>0.3979151027976357</v>
      </c>
      <c r="P34" s="128">
        <f t="shared" si="2"/>
        <v>0.23591948720846792</v>
      </c>
      <c r="Q34" s="114">
        <f t="shared" si="3"/>
        <v>0.63383459000610365</v>
      </c>
      <c r="R34" s="114">
        <f t="shared" si="4"/>
        <v>0.62779013495272307</v>
      </c>
      <c r="S34" s="114">
        <f t="shared" si="5"/>
        <v>0.37220986504727688</v>
      </c>
    </row>
    <row r="35" spans="1:19" x14ac:dyDescent="0.25">
      <c r="A35" s="70" t="s">
        <v>54</v>
      </c>
      <c r="B35" s="92">
        <v>37</v>
      </c>
      <c r="C35" s="75">
        <f>Intermediate!H35*Input!M$4</f>
        <v>3915.5504335180049</v>
      </c>
      <c r="D35" s="76">
        <f>Intermediate!I35*Input!N$4</f>
        <v>50.330864542936283</v>
      </c>
      <c r="E35" s="76">
        <f>Intermediate!J35*Input!O$4</f>
        <v>124.76881994459832</v>
      </c>
      <c r="F35" s="76">
        <f>Intermediate!K35*Input!P$4</f>
        <v>5820.7666703601089</v>
      </c>
      <c r="G35" s="77">
        <f>Intermediate!L35*Input!Q$4</f>
        <v>1411.4638972670853</v>
      </c>
      <c r="I35">
        <v>10400000</v>
      </c>
      <c r="J35" s="128">
        <f t="shared" si="0"/>
        <v>0.34155045235390363</v>
      </c>
      <c r="K35" s="128">
        <f t="shared" si="0"/>
        <v>4.3903225980306835E-3</v>
      </c>
      <c r="L35" s="128">
        <f t="shared" si="0"/>
        <v>1.0883488187751969E-2</v>
      </c>
      <c r="M35" s="128">
        <f t="shared" si="0"/>
        <v>0.507740999142689</v>
      </c>
      <c r="N35" s="128">
        <f t="shared" si="0"/>
        <v>0.12312091001714842</v>
      </c>
      <c r="O35" s="128">
        <f t="shared" si="1"/>
        <v>0.46906168496908274</v>
      </c>
      <c r="P35" s="128">
        <f t="shared" si="2"/>
        <v>0.51862448733044098</v>
      </c>
      <c r="Q35" s="114">
        <f t="shared" si="3"/>
        <v>0.98768617229952371</v>
      </c>
      <c r="R35" s="114">
        <f t="shared" si="4"/>
        <v>0.47490964045494</v>
      </c>
      <c r="S35" s="114">
        <f t="shared" si="5"/>
        <v>0.52509035954506</v>
      </c>
    </row>
    <row r="36" spans="1:19" x14ac:dyDescent="0.25">
      <c r="A36" s="70" t="s">
        <v>55</v>
      </c>
      <c r="B36" s="92">
        <v>38</v>
      </c>
      <c r="C36" s="75">
        <f>Intermediate!H36*Input!M$4</f>
        <v>674.15611963636354</v>
      </c>
      <c r="D36" s="76">
        <f>Intermediate!I36*Input!N$4</f>
        <v>0</v>
      </c>
      <c r="E36" s="76">
        <f>Intermediate!J36*Input!O$4</f>
        <v>801.47837279999987</v>
      </c>
      <c r="F36" s="76">
        <f>Intermediate!K36*Input!P$4</f>
        <v>2130.7538234181811</v>
      </c>
      <c r="G36" s="77">
        <f>Intermediate!L36*Input!Q$4</f>
        <v>255.425269920761</v>
      </c>
      <c r="I36">
        <v>758000</v>
      </c>
      <c r="J36" s="128">
        <f t="shared" si="0"/>
        <v>0.80683858210579795</v>
      </c>
      <c r="K36" s="128">
        <f t="shared" si="0"/>
        <v>0</v>
      </c>
      <c r="L36" s="128">
        <f t="shared" si="0"/>
        <v>0.95921946721661622</v>
      </c>
      <c r="M36" s="128">
        <f t="shared" si="0"/>
        <v>2.550113161667281</v>
      </c>
      <c r="N36" s="128">
        <f t="shared" si="0"/>
        <v>0.30569619797862224</v>
      </c>
      <c r="O36" s="128">
        <f t="shared" si="1"/>
        <v>1.1125347800844203</v>
      </c>
      <c r="P36" s="128">
        <f t="shared" si="2"/>
        <v>3.5093326288838971</v>
      </c>
      <c r="Q36" s="114">
        <f t="shared" si="3"/>
        <v>4.6218674089683178</v>
      </c>
      <c r="R36" s="114">
        <f t="shared" si="4"/>
        <v>0.2407110982728857</v>
      </c>
      <c r="S36" s="114">
        <f t="shared" si="5"/>
        <v>0.75928890172711416</v>
      </c>
    </row>
    <row r="37" spans="1:19" x14ac:dyDescent="0.25">
      <c r="A37" s="70" t="s">
        <v>56</v>
      </c>
      <c r="B37" s="92">
        <v>39</v>
      </c>
      <c r="C37" s="75">
        <f>Intermediate!H37*Input!M$4</f>
        <v>2695.6212626234123</v>
      </c>
      <c r="D37" s="76">
        <f>Intermediate!I37*Input!N$4</f>
        <v>1200.4922674188997</v>
      </c>
      <c r="E37" s="76">
        <f>Intermediate!J37*Input!O$4</f>
        <v>3904.4457972990122</v>
      </c>
      <c r="F37" s="76">
        <f>Intermediate!K37*Input!P$4</f>
        <v>12801.567479999996</v>
      </c>
      <c r="G37" s="77">
        <f>Intermediate!L37*Input!Q$4</f>
        <v>2630.0796166430246</v>
      </c>
      <c r="I37">
        <v>11700000</v>
      </c>
      <c r="J37" s="128">
        <f t="shared" si="0"/>
        <v>0.20901063927450922</v>
      </c>
      <c r="K37" s="128">
        <f t="shared" si="0"/>
        <v>9.3082681805653614E-2</v>
      </c>
      <c r="L37" s="128">
        <f t="shared" si="0"/>
        <v>0.30273938086982111</v>
      </c>
      <c r="M37" s="128">
        <f t="shared" si="0"/>
        <v>0.99259634126293306</v>
      </c>
      <c r="N37" s="128">
        <f t="shared" si="0"/>
        <v>0.20392873050809282</v>
      </c>
      <c r="O37" s="128">
        <f t="shared" si="1"/>
        <v>0.50602205158825564</v>
      </c>
      <c r="P37" s="128">
        <f t="shared" si="2"/>
        <v>1.2953357221327542</v>
      </c>
      <c r="Q37" s="114">
        <f t="shared" si="3"/>
        <v>1.8013577737210098</v>
      </c>
      <c r="R37" s="114">
        <f t="shared" si="4"/>
        <v>0.28091146521269972</v>
      </c>
      <c r="S37" s="114">
        <f t="shared" si="5"/>
        <v>0.71908853478730028</v>
      </c>
    </row>
    <row r="38" spans="1:19" x14ac:dyDescent="0.25">
      <c r="A38" s="70" t="s">
        <v>57</v>
      </c>
      <c r="B38" s="92">
        <v>40</v>
      </c>
      <c r="C38" s="75">
        <f>Intermediate!H38*Input!M$4</f>
        <v>725.96052439024379</v>
      </c>
      <c r="D38" s="76">
        <f>Intermediate!I38*Input!N$4</f>
        <v>338.70131707317074</v>
      </c>
      <c r="E38" s="76">
        <f>Intermediate!J38*Input!O$4</f>
        <v>3083.2003599512195</v>
      </c>
      <c r="F38" s="76">
        <f>Intermediate!K38*Input!P$4</f>
        <v>3662.6114329756097</v>
      </c>
      <c r="G38" s="77">
        <f>Intermediate!L38*Input!Q$4</f>
        <v>929.86417719033545</v>
      </c>
      <c r="I38">
        <v>3940000</v>
      </c>
      <c r="J38" s="128">
        <f t="shared" si="0"/>
        <v>0.16715222648691344</v>
      </c>
      <c r="K38" s="128">
        <f t="shared" si="0"/>
        <v>7.798589229129628E-2</v>
      </c>
      <c r="L38" s="128">
        <f t="shared" si="0"/>
        <v>0.70990610034060586</v>
      </c>
      <c r="M38" s="128">
        <f t="shared" si="0"/>
        <v>0.84331535284582382</v>
      </c>
      <c r="N38" s="128">
        <f t="shared" si="0"/>
        <v>0.21410099079193839</v>
      </c>
      <c r="O38" s="128">
        <f t="shared" si="1"/>
        <v>0.45923910957014813</v>
      </c>
      <c r="P38" s="128">
        <f t="shared" si="2"/>
        <v>1.5532214531864297</v>
      </c>
      <c r="Q38" s="114">
        <f t="shared" si="3"/>
        <v>2.0124605627565777</v>
      </c>
      <c r="R38" s="114">
        <f t="shared" si="4"/>
        <v>0.22819781816797599</v>
      </c>
      <c r="S38" s="114">
        <f t="shared" si="5"/>
        <v>0.77180218183202409</v>
      </c>
    </row>
    <row r="39" spans="1:19" x14ac:dyDescent="0.25">
      <c r="A39" s="70" t="s">
        <v>58</v>
      </c>
      <c r="B39" s="92">
        <v>41</v>
      </c>
      <c r="C39" s="75">
        <f>Intermediate!H39*Input!M$4</f>
        <v>882.55901013779521</v>
      </c>
      <c r="D39" s="76">
        <f>Intermediate!I39*Input!N$4</f>
        <v>59.136218208661418</v>
      </c>
      <c r="E39" s="76">
        <f>Intermediate!J39*Input!O$4</f>
        <v>369.67938472440949</v>
      </c>
      <c r="F39" s="76">
        <f>Intermediate!K39*Input!P$4</f>
        <v>3455.9421184251969</v>
      </c>
      <c r="G39" s="77">
        <f>Intermediate!L39*Input!Q$4</f>
        <v>550.95678315553857</v>
      </c>
      <c r="I39">
        <v>4180000</v>
      </c>
      <c r="J39" s="128">
        <f t="shared" si="0"/>
        <v>0.19154148637627885</v>
      </c>
      <c r="K39" s="128">
        <f t="shared" si="0"/>
        <v>1.2834313631436915E-2</v>
      </c>
      <c r="L39" s="128">
        <f t="shared" si="0"/>
        <v>8.0231393050676711E-2</v>
      </c>
      <c r="M39" s="128">
        <f t="shared" si="0"/>
        <v>0.75004196046924498</v>
      </c>
      <c r="N39" s="128">
        <f t="shared" si="0"/>
        <v>0.11957396611726653</v>
      </c>
      <c r="O39" s="128">
        <f t="shared" si="1"/>
        <v>0.32394976612498227</v>
      </c>
      <c r="P39" s="128">
        <f t="shared" si="2"/>
        <v>0.83027335351992171</v>
      </c>
      <c r="Q39" s="114">
        <f t="shared" si="3"/>
        <v>1.154223119644904</v>
      </c>
      <c r="R39" s="114">
        <f t="shared" si="4"/>
        <v>0.28066476975842003</v>
      </c>
      <c r="S39" s="114">
        <f t="shared" si="5"/>
        <v>0.71933523024157997</v>
      </c>
    </row>
    <row r="40" spans="1:19" x14ac:dyDescent="0.25">
      <c r="A40" s="70" t="s">
        <v>59</v>
      </c>
      <c r="B40" s="92">
        <v>42</v>
      </c>
      <c r="C40" s="75">
        <f>Intermediate!H40*Input!M$4</f>
        <v>2182.3518325744303</v>
      </c>
      <c r="D40" s="76">
        <f>Intermediate!I40*Input!N$4</f>
        <v>1036.9457018563924</v>
      </c>
      <c r="E40" s="76">
        <f>Intermediate!J40*Input!O$4</f>
        <v>94.029467600700514</v>
      </c>
      <c r="F40" s="76">
        <f>Intermediate!K40*Input!P$4</f>
        <v>5871.9824868651485</v>
      </c>
      <c r="G40" s="77">
        <f>Intermediate!L40*Input!Q$4</f>
        <v>2170.3751134732702</v>
      </c>
      <c r="I40">
        <v>12800000</v>
      </c>
      <c r="J40" s="128">
        <f t="shared" si="0"/>
        <v>0.15467145819392203</v>
      </c>
      <c r="K40" s="128">
        <f t="shared" si="0"/>
        <v>7.3492230436944486E-2</v>
      </c>
      <c r="L40" s="128">
        <f t="shared" si="0"/>
        <v>6.6642209793651474E-3</v>
      </c>
      <c r="M40" s="128">
        <f t="shared" si="0"/>
        <v>0.41616941877845887</v>
      </c>
      <c r="N40" s="128">
        <f t="shared" si="0"/>
        <v>0.15382262319852619</v>
      </c>
      <c r="O40" s="128">
        <f t="shared" si="1"/>
        <v>0.38198631182939269</v>
      </c>
      <c r="P40" s="128">
        <f t="shared" si="2"/>
        <v>0.42283363975782401</v>
      </c>
      <c r="Q40" s="114">
        <f t="shared" si="3"/>
        <v>0.80481995158721675</v>
      </c>
      <c r="R40" s="114">
        <f t="shared" si="4"/>
        <v>0.4746233130479216</v>
      </c>
      <c r="S40" s="114">
        <f t="shared" si="5"/>
        <v>0.52537668695207829</v>
      </c>
    </row>
    <row r="41" spans="1:19" x14ac:dyDescent="0.25">
      <c r="A41" s="70" t="s">
        <v>60</v>
      </c>
      <c r="B41" s="92">
        <v>44</v>
      </c>
      <c r="C41" s="75">
        <f>Intermediate!H41*Input!M$4</f>
        <v>438.81841555851054</v>
      </c>
      <c r="D41" s="76">
        <f>Intermediate!I41*Input!N$4</f>
        <v>0</v>
      </c>
      <c r="E41" s="76">
        <f>Intermediate!J41*Input!O$4</f>
        <v>0</v>
      </c>
      <c r="F41" s="76">
        <f>Intermediate!K41*Input!P$4</f>
        <v>30.160673617021267</v>
      </c>
      <c r="G41" s="77">
        <f>Intermediate!L41*Input!Q$4</f>
        <v>14.69171390371905</v>
      </c>
      <c r="I41">
        <v>1060000</v>
      </c>
      <c r="J41" s="128">
        <f t="shared" si="0"/>
        <v>0.37555570330191679</v>
      </c>
      <c r="K41" s="128">
        <f t="shared" si="0"/>
        <v>0</v>
      </c>
      <c r="L41" s="128">
        <f t="shared" si="0"/>
        <v>0</v>
      </c>
      <c r="M41" s="128">
        <f t="shared" si="0"/>
        <v>2.5812528806211151E-2</v>
      </c>
      <c r="N41" s="128">
        <f t="shared" si="0"/>
        <v>1.2573667722671192E-2</v>
      </c>
      <c r="O41" s="128">
        <f t="shared" si="1"/>
        <v>0.388129371024588</v>
      </c>
      <c r="P41" s="128">
        <f t="shared" si="2"/>
        <v>2.5812528806211151E-2</v>
      </c>
      <c r="Q41" s="114">
        <f t="shared" si="3"/>
        <v>0.41394189983079915</v>
      </c>
      <c r="R41" s="114">
        <f t="shared" si="4"/>
        <v>0.93764214539102675</v>
      </c>
      <c r="S41" s="114">
        <f t="shared" si="5"/>
        <v>6.2357854608973272E-2</v>
      </c>
    </row>
    <row r="42" spans="1:19" x14ac:dyDescent="0.25">
      <c r="A42" s="70" t="s">
        <v>61</v>
      </c>
      <c r="B42" s="92">
        <v>45</v>
      </c>
      <c r="C42" s="75">
        <f>Intermediate!H42*Input!M$4</f>
        <v>1298.5243784626039</v>
      </c>
      <c r="D42" s="76">
        <f>Intermediate!I42*Input!N$4</f>
        <v>125.82716135734071</v>
      </c>
      <c r="E42" s="76">
        <f>Intermediate!J42*Input!O$4</f>
        <v>46.788307479224372</v>
      </c>
      <c r="F42" s="76">
        <f>Intermediate!K42*Input!P$4</f>
        <v>2182.7875013850412</v>
      </c>
      <c r="G42" s="77">
        <f>Intermediate!L42*Input!Q$4</f>
        <v>925.49171779202516</v>
      </c>
      <c r="I42">
        <v>5080000</v>
      </c>
      <c r="J42" s="128">
        <f t="shared" si="0"/>
        <v>0.23188987002976744</v>
      </c>
      <c r="K42" s="128">
        <f t="shared" si="0"/>
        <v>2.2470155029290902E-2</v>
      </c>
      <c r="L42" s="128">
        <f t="shared" si="0"/>
        <v>8.3554338449276927E-3</v>
      </c>
      <c r="M42" s="128">
        <f t="shared" si="0"/>
        <v>0.389801160759151</v>
      </c>
      <c r="N42" s="128">
        <f t="shared" si="0"/>
        <v>0.16527387372311822</v>
      </c>
      <c r="O42" s="128">
        <f t="shared" si="1"/>
        <v>0.41963389878217661</v>
      </c>
      <c r="P42" s="128">
        <f t="shared" si="2"/>
        <v>0.39815659460407871</v>
      </c>
      <c r="Q42" s="114">
        <f t="shared" si="3"/>
        <v>0.81779049338625531</v>
      </c>
      <c r="R42" s="114">
        <f t="shared" si="4"/>
        <v>0.51313129973495164</v>
      </c>
      <c r="S42" s="114">
        <f t="shared" si="5"/>
        <v>0.4868687002650483</v>
      </c>
    </row>
    <row r="43" spans="1:19" x14ac:dyDescent="0.25">
      <c r="A43" s="70" t="s">
        <v>62</v>
      </c>
      <c r="B43" s="92">
        <v>46</v>
      </c>
      <c r="C43" s="75">
        <f>Intermediate!H43*Input!M$4</f>
        <v>529.69409399999995</v>
      </c>
      <c r="D43" s="76">
        <f>Intermediate!I43*Input!N$4</f>
        <v>0</v>
      </c>
      <c r="E43" s="76">
        <f>Intermediate!J43*Input!O$4</f>
        <v>629.73300719999997</v>
      </c>
      <c r="F43" s="76">
        <f>Intermediate!K43*Input!P$4</f>
        <v>1674.1637183999999</v>
      </c>
      <c r="G43" s="77">
        <f>Intermediate!L43*Input!Q$4</f>
        <v>311.81032571924777</v>
      </c>
      <c r="I43">
        <v>879000</v>
      </c>
      <c r="J43" s="128">
        <f t="shared" si="0"/>
        <v>0.54667805116188384</v>
      </c>
      <c r="K43" s="128">
        <f t="shared" si="0"/>
        <v>0</v>
      </c>
      <c r="L43" s="128">
        <f t="shared" si="0"/>
        <v>0.64992458293939115</v>
      </c>
      <c r="M43" s="128">
        <f t="shared" si="0"/>
        <v>1.72784361628326</v>
      </c>
      <c r="N43" s="128">
        <f t="shared" si="0"/>
        <v>0.32180812119145624</v>
      </c>
      <c r="O43" s="128">
        <f t="shared" si="1"/>
        <v>0.86848617235334014</v>
      </c>
      <c r="P43" s="128">
        <f t="shared" si="2"/>
        <v>2.3777681992226514</v>
      </c>
      <c r="Q43" s="114">
        <f t="shared" si="3"/>
        <v>3.2462543715759913</v>
      </c>
      <c r="R43" s="114">
        <f t="shared" si="4"/>
        <v>0.26753484876531952</v>
      </c>
      <c r="S43" s="114">
        <f t="shared" si="5"/>
        <v>0.73246515123468059</v>
      </c>
    </row>
    <row r="44" spans="1:19" x14ac:dyDescent="0.25">
      <c r="A44" s="70" t="s">
        <v>63</v>
      </c>
      <c r="B44" s="92">
        <v>47</v>
      </c>
      <c r="C44" s="75">
        <f>Intermediate!H44*Input!M$4</f>
        <v>2151.0513105782788</v>
      </c>
      <c r="D44" s="76">
        <f>Intermediate!I44*Input!N$4</f>
        <v>171.49889534555712</v>
      </c>
      <c r="E44" s="76">
        <f>Intermediate!J44*Input!O$4</f>
        <v>2056.1874317136812</v>
      </c>
      <c r="F44" s="76">
        <f>Intermediate!K44*Input!P$4</f>
        <v>6741.6538799999989</v>
      </c>
      <c r="G44" s="77">
        <f>Intermediate!L44*Input!Q$4</f>
        <v>1486.3530561754626</v>
      </c>
      <c r="I44">
        <v>6770000</v>
      </c>
      <c r="J44" s="128">
        <f t="shared" si="0"/>
        <v>0.28824214654883978</v>
      </c>
      <c r="K44" s="128">
        <f t="shared" si="0"/>
        <v>2.2980953305046362E-2</v>
      </c>
      <c r="L44" s="128">
        <f t="shared" si="0"/>
        <v>0.27553033073142458</v>
      </c>
      <c r="M44" s="128">
        <f t="shared" si="0"/>
        <v>0.90338560317192307</v>
      </c>
      <c r="N44" s="128">
        <f t="shared" si="0"/>
        <v>0.19917218772724976</v>
      </c>
      <c r="O44" s="128">
        <f t="shared" si="1"/>
        <v>0.51039528758113595</v>
      </c>
      <c r="P44" s="128">
        <f t="shared" si="2"/>
        <v>1.1789159339033477</v>
      </c>
      <c r="Q44" s="114">
        <f t="shared" si="3"/>
        <v>1.6893112214844836</v>
      </c>
      <c r="R44" s="114">
        <f t="shared" si="4"/>
        <v>0.3021321832768184</v>
      </c>
      <c r="S44" s="114">
        <f t="shared" si="5"/>
        <v>0.69786781672318166</v>
      </c>
    </row>
    <row r="45" spans="1:19" x14ac:dyDescent="0.25">
      <c r="A45" s="70" t="s">
        <v>64</v>
      </c>
      <c r="B45" s="92">
        <v>48</v>
      </c>
      <c r="C45" s="75">
        <f>Intermediate!H45*Input!M$4</f>
        <v>4291.9049514285707</v>
      </c>
      <c r="D45" s="76">
        <f>Intermediate!I45*Input!N$4</f>
        <v>715.56870085714286</v>
      </c>
      <c r="E45" s="76">
        <f>Intermediate!J45*Input!O$4</f>
        <v>9416.6046457142857</v>
      </c>
      <c r="F45" s="76">
        <f>Intermediate!K45*Input!P$4</f>
        <v>17304.209885714281</v>
      </c>
      <c r="G45" s="77">
        <f>Intermediate!L45*Input!Q$4</f>
        <v>5656.2402440539181</v>
      </c>
      <c r="I45">
        <v>28600000</v>
      </c>
      <c r="J45" s="128">
        <f t="shared" si="0"/>
        <v>0.13613802452646073</v>
      </c>
      <c r="K45" s="128">
        <f t="shared" si="0"/>
        <v>2.2697639032111409E-2</v>
      </c>
      <c r="L45" s="128">
        <f t="shared" si="0"/>
        <v>0.29869206534677162</v>
      </c>
      <c r="M45" s="128">
        <f t="shared" si="0"/>
        <v>0.54888469723642741</v>
      </c>
      <c r="N45" s="128">
        <f t="shared" si="0"/>
        <v>0.17941435837628705</v>
      </c>
      <c r="O45" s="128">
        <f t="shared" si="1"/>
        <v>0.3382500219348592</v>
      </c>
      <c r="P45" s="128">
        <f t="shared" si="2"/>
        <v>0.84757676258319903</v>
      </c>
      <c r="Q45" s="114">
        <f t="shared" si="3"/>
        <v>1.1858267845180583</v>
      </c>
      <c r="R45" s="114">
        <f t="shared" si="4"/>
        <v>0.28524403930741893</v>
      </c>
      <c r="S45" s="114">
        <f t="shared" si="5"/>
        <v>0.71475596069258096</v>
      </c>
    </row>
    <row r="46" spans="1:19" x14ac:dyDescent="0.25">
      <c r="A46" s="70" t="s">
        <v>65</v>
      </c>
      <c r="B46" s="92">
        <v>49</v>
      </c>
      <c r="C46" s="75">
        <f>Intermediate!H46*Input!M$4</f>
        <v>293.66888971962612</v>
      </c>
      <c r="D46" s="76">
        <f>Intermediate!I46*Input!N$4</f>
        <v>123.31171289719627</v>
      </c>
      <c r="E46" s="76">
        <f>Intermediate!J46*Input!O$4</f>
        <v>247.00250747663554</v>
      </c>
      <c r="F46" s="76">
        <f>Intermediate!K46*Input!P$4</f>
        <v>3920.6981607476637</v>
      </c>
      <c r="G46" s="77">
        <f>Intermediate!L46*Input!Q$4</f>
        <v>34.441303024340989</v>
      </c>
      <c r="I46">
        <v>3150000</v>
      </c>
      <c r="J46" s="128">
        <f t="shared" si="0"/>
        <v>8.4575148587748977E-2</v>
      </c>
      <c r="K46" s="128">
        <f t="shared" si="0"/>
        <v>3.5513146969184159E-2</v>
      </c>
      <c r="L46" s="128">
        <f t="shared" si="0"/>
        <v>7.1135467537360039E-2</v>
      </c>
      <c r="M46" s="128">
        <f t="shared" si="0"/>
        <v>1.1291411556380027</v>
      </c>
      <c r="N46" s="128">
        <f t="shared" si="0"/>
        <v>9.9189203310583347E-3</v>
      </c>
      <c r="O46" s="128">
        <f t="shared" si="1"/>
        <v>0.13000721588799147</v>
      </c>
      <c r="P46" s="128">
        <f t="shared" si="2"/>
        <v>1.2002766231753628</v>
      </c>
      <c r="Q46" s="114">
        <f t="shared" si="3"/>
        <v>1.3302838390633542</v>
      </c>
      <c r="R46" s="114">
        <f t="shared" si="4"/>
        <v>9.772892977451253E-2</v>
      </c>
      <c r="S46" s="114">
        <f t="shared" si="5"/>
        <v>0.90227107022548747</v>
      </c>
    </row>
    <row r="47" spans="1:19" x14ac:dyDescent="0.25">
      <c r="A47" s="70" t="s">
        <v>66</v>
      </c>
      <c r="B47" s="92">
        <v>50</v>
      </c>
      <c r="C47" s="75">
        <f>Intermediate!H47*Input!M$4</f>
        <v>397.02618550531906</v>
      </c>
      <c r="D47" s="76">
        <f>Intermediate!I47*Input!N$4</f>
        <v>0</v>
      </c>
      <c r="E47" s="76">
        <f>Intermediate!J47*Input!O$4</f>
        <v>0</v>
      </c>
      <c r="F47" s="76">
        <f>Intermediate!K47*Input!P$4</f>
        <v>27.288228510638291</v>
      </c>
      <c r="G47" s="77">
        <f>Intermediate!L47*Input!Q$4</f>
        <v>8.1774633992398478</v>
      </c>
      <c r="I47">
        <v>624000</v>
      </c>
      <c r="J47" s="128">
        <f t="shared" si="0"/>
        <v>0.57720481261451506</v>
      </c>
      <c r="K47" s="128">
        <f t="shared" si="0"/>
        <v>0</v>
      </c>
      <c r="L47" s="128">
        <f t="shared" si="0"/>
        <v>0</v>
      </c>
      <c r="M47" s="128">
        <f t="shared" si="0"/>
        <v>3.9672186367299501E-2</v>
      </c>
      <c r="N47" s="128">
        <f t="shared" si="0"/>
        <v>1.1888564032653849E-2</v>
      </c>
      <c r="O47" s="128">
        <f t="shared" si="1"/>
        <v>0.58909337664716888</v>
      </c>
      <c r="P47" s="128">
        <f t="shared" si="2"/>
        <v>3.9672186367299501E-2</v>
      </c>
      <c r="Q47" s="114">
        <f t="shared" si="3"/>
        <v>0.6287655630144684</v>
      </c>
      <c r="R47" s="114">
        <f t="shared" si="4"/>
        <v>0.93690464506818638</v>
      </c>
      <c r="S47" s="114">
        <f t="shared" si="5"/>
        <v>6.3095354931813619E-2</v>
      </c>
    </row>
    <row r="48" spans="1:19" x14ac:dyDescent="0.25">
      <c r="A48" s="70" t="s">
        <v>67</v>
      </c>
      <c r="B48" s="92">
        <v>51</v>
      </c>
      <c r="C48" s="75">
        <f>Intermediate!H48*Input!M$4</f>
        <v>1478.3200616343486</v>
      </c>
      <c r="D48" s="76">
        <f>Intermediate!I48*Input!N$4</f>
        <v>452.97778088642656</v>
      </c>
      <c r="E48" s="76">
        <f>Intermediate!J48*Input!O$4</f>
        <v>68.622850969529082</v>
      </c>
      <c r="F48" s="76">
        <f>Intermediate!K48*Input!P$4</f>
        <v>3201.4216686980603</v>
      </c>
      <c r="G48" s="77">
        <f>Intermediate!L48*Input!Q$4</f>
        <v>1154.9851749614886</v>
      </c>
      <c r="I48">
        <v>8500000</v>
      </c>
      <c r="J48" s="128">
        <f t="shared" si="0"/>
        <v>0.15777744785808176</v>
      </c>
      <c r="K48" s="128">
        <f t="shared" si="0"/>
        <v>4.8345199432431998E-2</v>
      </c>
      <c r="L48" s="128">
        <f t="shared" si="0"/>
        <v>7.3239473451695613E-3</v>
      </c>
      <c r="M48" s="128">
        <f t="shared" si="0"/>
        <v>0.34167982530543306</v>
      </c>
      <c r="N48" s="128">
        <f t="shared" si="0"/>
        <v>0.12326871423085449</v>
      </c>
      <c r="O48" s="128">
        <f t="shared" si="1"/>
        <v>0.32939136152136828</v>
      </c>
      <c r="P48" s="128">
        <f t="shared" si="2"/>
        <v>0.34900377265060262</v>
      </c>
      <c r="Q48" s="114">
        <f t="shared" si="3"/>
        <v>0.67839513417197084</v>
      </c>
      <c r="R48" s="114">
        <f t="shared" si="4"/>
        <v>0.48554499425090025</v>
      </c>
      <c r="S48" s="114">
        <f t="shared" si="5"/>
        <v>0.51445500574909986</v>
      </c>
    </row>
    <row r="49" spans="1:19" x14ac:dyDescent="0.25">
      <c r="A49" s="70" t="s">
        <v>68</v>
      </c>
      <c r="B49" s="92">
        <v>53</v>
      </c>
      <c r="C49" s="75">
        <f>Intermediate!H49*Input!M$4</f>
        <v>1032.7818203740158</v>
      </c>
      <c r="D49" s="76">
        <f>Intermediate!I49*Input!N$4</f>
        <v>47.308974566929137</v>
      </c>
      <c r="E49" s="76">
        <f>Intermediate!J49*Input!O$4</f>
        <v>419.44391728346466</v>
      </c>
      <c r="F49" s="76">
        <f>Intermediate!K49*Input!P$4</f>
        <v>3921.1650959055119</v>
      </c>
      <c r="G49" s="77">
        <f>Intermediate!L49*Input!Q$4</f>
        <v>1163.3423633637271</v>
      </c>
      <c r="I49">
        <v>7520000</v>
      </c>
      <c r="J49" s="128">
        <f t="shared" si="0"/>
        <v>0.12459084347529004</v>
      </c>
      <c r="K49" s="128">
        <f t="shared" si="0"/>
        <v>5.7071735084474788E-3</v>
      </c>
      <c r="L49" s="128">
        <f t="shared" si="0"/>
        <v>5.0600107800117367E-2</v>
      </c>
      <c r="M49" s="128">
        <f t="shared" si="0"/>
        <v>0.47303433994201405</v>
      </c>
      <c r="N49" s="128">
        <f t="shared" si="0"/>
        <v>0.14034116736246802</v>
      </c>
      <c r="O49" s="128">
        <f t="shared" si="1"/>
        <v>0.27063918434620554</v>
      </c>
      <c r="P49" s="128">
        <f t="shared" si="2"/>
        <v>0.52363444774213141</v>
      </c>
      <c r="Q49" s="114">
        <f t="shared" si="3"/>
        <v>0.79427363208833701</v>
      </c>
      <c r="R49" s="114">
        <f t="shared" si="4"/>
        <v>0.34073796914878041</v>
      </c>
      <c r="S49" s="114">
        <f t="shared" si="5"/>
        <v>0.65926203085121948</v>
      </c>
    </row>
    <row r="50" spans="1:19" x14ac:dyDescent="0.25">
      <c r="A50" s="70" t="s">
        <v>69</v>
      </c>
      <c r="B50" s="92">
        <v>54</v>
      </c>
      <c r="C50" s="75">
        <f>Intermediate!H50*Input!M$4</f>
        <v>699.20543455678649</v>
      </c>
      <c r="D50" s="76">
        <f>Intermediate!I50*Input!N$4</f>
        <v>0</v>
      </c>
      <c r="E50" s="76">
        <f>Intermediate!J50*Input!O$4</f>
        <v>21.834543490304707</v>
      </c>
      <c r="F50" s="76">
        <f>Intermediate!K50*Input!P$4</f>
        <v>1018.6341673130192</v>
      </c>
      <c r="G50" s="77">
        <f>Intermediate!L50*Input!Q$4</f>
        <v>129.1494214139876</v>
      </c>
      <c r="I50">
        <v>1800000</v>
      </c>
      <c r="J50" s="128">
        <f t="shared" si="0"/>
        <v>0.35239332385720207</v>
      </c>
      <c r="K50" s="128">
        <f t="shared" si="0"/>
        <v>0</v>
      </c>
      <c r="L50" s="128">
        <f t="shared" si="0"/>
        <v>1.1004415834282546E-2</v>
      </c>
      <c r="M50" s="128">
        <f t="shared" si="0"/>
        <v>0.51338256579982999</v>
      </c>
      <c r="N50" s="128">
        <f t="shared" si="0"/>
        <v>6.5090160397792737E-2</v>
      </c>
      <c r="O50" s="128">
        <f t="shared" si="1"/>
        <v>0.41748348425499482</v>
      </c>
      <c r="P50" s="128">
        <f t="shared" si="2"/>
        <v>0.52438698163411257</v>
      </c>
      <c r="Q50" s="114">
        <f t="shared" si="3"/>
        <v>0.94187046588910728</v>
      </c>
      <c r="R50" s="114">
        <f t="shared" si="4"/>
        <v>0.44324936323478259</v>
      </c>
      <c r="S50" s="114">
        <f t="shared" si="5"/>
        <v>0.55675063676521752</v>
      </c>
    </row>
    <row r="51" spans="1:19" x14ac:dyDescent="0.25">
      <c r="A51" s="70" t="s">
        <v>70</v>
      </c>
      <c r="B51" s="92">
        <v>55</v>
      </c>
      <c r="C51" s="75">
        <f>Intermediate!H51*Input!M$4</f>
        <v>2431.7774315454535</v>
      </c>
      <c r="D51" s="76">
        <f>Intermediate!I51*Input!N$4</f>
        <v>363.95805861818178</v>
      </c>
      <c r="E51" s="76">
        <f>Intermediate!J51*Input!O$4</f>
        <v>3578.0284499999998</v>
      </c>
      <c r="F51" s="76">
        <f>Intermediate!K51*Input!P$4</f>
        <v>9512.2938545454526</v>
      </c>
      <c r="G51" s="77">
        <f>Intermediate!L51*Input!Q$4</f>
        <v>1027.0204245696937</v>
      </c>
      <c r="I51">
        <v>5810000</v>
      </c>
      <c r="J51" s="128">
        <f t="shared" si="0"/>
        <v>0.37970216479503116</v>
      </c>
      <c r="K51" s="128">
        <f t="shared" si="0"/>
        <v>5.6829075292508885E-2</v>
      </c>
      <c r="L51" s="128">
        <f t="shared" si="0"/>
        <v>0.55867989008344221</v>
      </c>
      <c r="M51" s="128">
        <f t="shared" si="0"/>
        <v>1.4852669170640207</v>
      </c>
      <c r="N51" s="128">
        <f t="shared" si="0"/>
        <v>0.16036084283009172</v>
      </c>
      <c r="O51" s="128">
        <f t="shared" si="1"/>
        <v>0.59689208291763185</v>
      </c>
      <c r="P51" s="128">
        <f t="shared" si="2"/>
        <v>2.0439468071474627</v>
      </c>
      <c r="Q51" s="114">
        <f t="shared" si="3"/>
        <v>2.640838890065095</v>
      </c>
      <c r="R51" s="114">
        <f t="shared" si="4"/>
        <v>0.2260236643602741</v>
      </c>
      <c r="S51" s="114">
        <f t="shared" si="5"/>
        <v>0.77397633563972568</v>
      </c>
    </row>
    <row r="52" spans="1:19" ht="15.75" thickBot="1" x14ac:dyDescent="0.3">
      <c r="A52" s="71" t="s">
        <v>71</v>
      </c>
      <c r="B52" s="93">
        <v>56</v>
      </c>
      <c r="C52" s="78">
        <f>Intermediate!H52*Input!M$4</f>
        <v>305.90509345794391</v>
      </c>
      <c r="D52" s="79">
        <f>Intermediate!I52*Input!N$4</f>
        <v>0</v>
      </c>
      <c r="E52" s="79">
        <f>Intermediate!J52*Input!O$4</f>
        <v>154.37656717289721</v>
      </c>
      <c r="F52" s="79">
        <f>Intermediate!K52*Input!P$4</f>
        <v>2450.4363504672897</v>
      </c>
      <c r="G52" s="80">
        <f>Intermediate!L52*Input!Q$4</f>
        <v>7.1992297803860961</v>
      </c>
      <c r="I52">
        <v>578000</v>
      </c>
      <c r="J52" s="128">
        <f>C52*2000*0.453592/$I52</f>
        <v>0.48012492440060794</v>
      </c>
      <c r="K52" s="128">
        <f>D52*2000*0.453592/$I52</f>
        <v>0</v>
      </c>
      <c r="L52" s="128">
        <f>E52*2000*0.453592/$I52</f>
        <v>0.24229749431518613</v>
      </c>
      <c r="M52" s="128">
        <f>F52*2000*0.453592/$I52</f>
        <v>3.8460149656787506</v>
      </c>
      <c r="N52" s="128">
        <f>G52*2000*0.453592/$I52</f>
        <v>1.129935306070896E-2</v>
      </c>
      <c r="O52" s="128">
        <f t="shared" si="1"/>
        <v>0.49142427746131689</v>
      </c>
      <c r="P52" s="128">
        <f t="shared" si="2"/>
        <v>4.0883124599939364</v>
      </c>
      <c r="Q52" s="114">
        <f t="shared" si="3"/>
        <v>4.5797367374552538</v>
      </c>
      <c r="R52" s="114">
        <f t="shared" si="4"/>
        <v>0.10730404510857942</v>
      </c>
      <c r="S52" s="114">
        <f t="shared" si="5"/>
        <v>0.89269595489142051</v>
      </c>
    </row>
    <row r="53" spans="1:19" ht="15.75" thickBot="1" x14ac:dyDescent="0.3">
      <c r="A53" s="68" t="s">
        <v>122</v>
      </c>
      <c r="B53" s="90"/>
      <c r="C53" s="81">
        <f>SUM(C2:C52)</f>
        <v>67750.953279505207</v>
      </c>
      <c r="D53" s="82">
        <f>SUM(D2:D52)</f>
        <v>11102.21937149075</v>
      </c>
      <c r="E53" s="82">
        <f>SUM(E2:E52)</f>
        <v>68850.732629999999</v>
      </c>
      <c r="F53" s="82">
        <f>SUM(F2:F52)</f>
        <v>213403.37327999994</v>
      </c>
      <c r="G53" s="83">
        <f>SUM(G2:G52)</f>
        <v>57583.019218102469</v>
      </c>
      <c r="H53" s="115"/>
    </row>
  </sheetData>
  <conditionalFormatting sqref="Q2:Q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F3DB-8E35-4E3D-9181-A2C8A1374AAA}">
  <sheetPr>
    <tabColor rgb="FFFF0000"/>
  </sheetPr>
  <dimension ref="A1:G3145"/>
  <sheetViews>
    <sheetView zoomScale="94" zoomScaleNormal="94" workbookViewId="0">
      <pane ySplit="1" topLeftCell="A3113" activePane="bottomLeft" state="frozen"/>
      <selection pane="bottomLeft" activeCell="K3122" sqref="K3122"/>
    </sheetView>
  </sheetViews>
  <sheetFormatPr defaultRowHeight="15" x14ac:dyDescent="0.25"/>
  <cols>
    <col min="1" max="1" width="9.7109375" customWidth="1"/>
    <col min="2" max="2" width="6.85546875" bestFit="1" customWidth="1"/>
    <col min="3" max="7" width="11.85546875" customWidth="1"/>
  </cols>
  <sheetData>
    <row r="1" spans="1:7" ht="45.75" thickBot="1" x14ac:dyDescent="0.3">
      <c r="A1" s="68" t="s">
        <v>126</v>
      </c>
      <c r="B1" s="68" t="s">
        <v>125</v>
      </c>
      <c r="C1" s="84" t="s">
        <v>117</v>
      </c>
      <c r="D1" s="50" t="s">
        <v>118</v>
      </c>
      <c r="E1" s="50" t="s">
        <v>119</v>
      </c>
      <c r="F1" s="50" t="s">
        <v>120</v>
      </c>
      <c r="G1" s="51" t="s">
        <v>121</v>
      </c>
    </row>
    <row r="2" spans="1:7" x14ac:dyDescent="0.25">
      <c r="A2" s="87">
        <v>1</v>
      </c>
      <c r="B2" s="69">
        <v>1</v>
      </c>
      <c r="C2" s="96">
        <f>SUMIFS(Input!$C$115:$C$3257,Input!$A$115:$A$3257,"="&amp;'Output - County'!A2,Input!$B$115:$B$3257,"="&amp;'Output - County'!B2)*VLOOKUP(A2,'Output - State'!$B$2:$G$52,2,FALSE)</f>
        <v>10.736021993011782</v>
      </c>
      <c r="D2" s="94">
        <f>SUMIFS(Input!$C$115:$C$3257,Input!$A$115:$A$3257,"="&amp;'Output - County'!A2,Input!$B$115:$B$3257,"="&amp;'Output - County'!B2)*VLOOKUP(A2,'Output - State'!$B$2:$G$52,3,FALSE)</f>
        <v>1.9506033069966877</v>
      </c>
      <c r="E2" s="94">
        <f>SUMIFS(Input!$C$115:$C$3257,Input!$A$115:$A$3257,"="&amp;'Output - County'!A2,Input!$B$115:$B$3257,"="&amp;'Output - County'!B2)*VLOOKUP(A2,'Output - State'!$B$2:$G$52,4,FALSE)</f>
        <v>2.7105210778736333</v>
      </c>
      <c r="F2" s="94">
        <f>SUMIFS(Input!$C$115:$C$3257,Input!$A$115:$A$3257,"="&amp;'Output - County'!A2,Input!$B$115:$B$3257,"="&amp;'Output - County'!B2)*VLOOKUP(A2,'Output - State'!$B$2:$G$52,5,FALSE)</f>
        <v>48.934863987734154</v>
      </c>
      <c r="G2" s="95">
        <f>SUMIFS(Input!$D$115:$D$3257,Input!$A$115:$A$3257,"="&amp;'Output - County'!A2,Input!$B$115:$B$3257,"="&amp;'Output - County'!B2)*VLOOKUP(A2,'Output - State'!$B$2:$G$52,6,FALSE)</f>
        <v>20.738572712806757</v>
      </c>
    </row>
    <row r="3" spans="1:7" x14ac:dyDescent="0.25">
      <c r="A3" s="88">
        <v>1</v>
      </c>
      <c r="B3" s="70">
        <v>3</v>
      </c>
      <c r="C3" s="97">
        <f>SUMIFS(Input!$C$115:$C$3257,Input!$A$115:$A$3257,"="&amp;'Output - County'!A3,Input!$B$115:$B$3257,"="&amp;'Output - County'!B3)*VLOOKUP(A3,'Output - State'!$B$2:$G$52,2,FALSE)</f>
        <v>50.039842246079196</v>
      </c>
      <c r="D3" s="98">
        <f>SUMIFS(Input!$C$115:$C$3257,Input!$A$115:$A$3257,"="&amp;'Output - County'!A3,Input!$B$115:$B$3257,"="&amp;'Output - County'!B3)*VLOOKUP(A3,'Output - State'!$B$2:$G$52,3,FALSE)</f>
        <v>9.0916246101515892</v>
      </c>
      <c r="E3" s="98">
        <f>SUMIFS(Input!$C$115:$C$3257,Input!$A$115:$A$3257,"="&amp;'Output - County'!A3,Input!$B$115:$B$3257,"="&amp;'Output - County'!B3)*VLOOKUP(A3,'Output - State'!$B$2:$G$52,4,FALSE)</f>
        <v>12.633547810330041</v>
      </c>
      <c r="F3" s="98">
        <f>SUMIFS(Input!$C$115:$C$3257,Input!$A$115:$A$3257,"="&amp;'Output - County'!A3,Input!$B$115:$B$3257,"="&amp;'Output - County'!B3)*VLOOKUP(A3,'Output - State'!$B$2:$G$52,5,FALSE)</f>
        <v>228.08195399314994</v>
      </c>
      <c r="G3" s="99">
        <f>SUMIFS(Input!$D$115:$D$3257,Input!$A$115:$A$3257,"="&amp;'Output - County'!A3,Input!$B$115:$B$3257,"="&amp;'Output - County'!B3)*VLOOKUP(A3,'Output - State'!$B$2:$G$52,6,FALSE)</f>
        <v>81.459618943997697</v>
      </c>
    </row>
    <row r="4" spans="1:7" x14ac:dyDescent="0.25">
      <c r="A4" s="88">
        <v>1</v>
      </c>
      <c r="B4" s="70">
        <v>5</v>
      </c>
      <c r="C4" s="97">
        <f>SUMIFS(Input!$C$115:$C$3257,Input!$A$115:$A$3257,"="&amp;'Output - County'!A4,Input!$B$115:$B$3257,"="&amp;'Output - County'!B4)*VLOOKUP(A4,'Output - State'!$B$2:$G$52,2,FALSE)</f>
        <v>4.508442940513862</v>
      </c>
      <c r="D4" s="98">
        <f>SUMIFS(Input!$C$115:$C$3257,Input!$A$115:$A$3257,"="&amp;'Output - County'!A4,Input!$B$115:$B$3257,"="&amp;'Output - County'!B4)*VLOOKUP(A4,'Output - State'!$B$2:$G$52,3,FALSE)</f>
        <v>0.81912869728624427</v>
      </c>
      <c r="E4" s="98">
        <f>SUMIFS(Input!$C$115:$C$3257,Input!$A$115:$A$3257,"="&amp;'Output - County'!A4,Input!$B$115:$B$3257,"="&amp;'Output - County'!B4)*VLOOKUP(A4,'Output - State'!$B$2:$G$52,4,FALSE)</f>
        <v>1.1382455835697536</v>
      </c>
      <c r="F4" s="98">
        <f>SUMIFS(Input!$C$115:$C$3257,Input!$A$115:$A$3257,"="&amp;'Output - County'!A4,Input!$B$115:$B$3257,"="&amp;'Output - County'!B4)*VLOOKUP(A4,'Output - State'!$B$2:$G$52,5,FALSE)</f>
        <v>20.549514730326607</v>
      </c>
      <c r="G4" s="99">
        <f>SUMIFS(Input!$D$115:$D$3257,Input!$A$115:$A$3257,"="&amp;'Output - County'!A4,Input!$B$115:$B$3257,"="&amp;'Output - County'!B4)*VLOOKUP(A4,'Output - State'!$B$2:$G$52,6,FALSE)</f>
        <v>9.3043326225024892</v>
      </c>
    </row>
    <row r="5" spans="1:7" x14ac:dyDescent="0.25">
      <c r="A5" s="88">
        <v>1</v>
      </c>
      <c r="B5" s="70">
        <v>7</v>
      </c>
      <c r="C5" s="97">
        <f>SUMIFS(Input!$C$115:$C$3257,Input!$A$115:$A$3257,"="&amp;'Output - County'!A5,Input!$B$115:$B$3257,"="&amp;'Output - County'!B5)*VLOOKUP(A5,'Output - State'!$B$2:$G$52,2,FALSE)</f>
        <v>3.4787263691383621</v>
      </c>
      <c r="D5" s="98">
        <f>SUMIFS(Input!$C$115:$C$3257,Input!$A$115:$A$3257,"="&amp;'Output - County'!A5,Input!$B$115:$B$3257,"="&amp;'Output - County'!B5)*VLOOKUP(A5,'Output - State'!$B$2:$G$52,3,FALSE)</f>
        <v>0.63204184605757285</v>
      </c>
      <c r="E5" s="98">
        <f>SUMIFS(Input!$C$115:$C$3257,Input!$A$115:$A$3257,"="&amp;'Output - County'!A5,Input!$B$115:$B$3257,"="&amp;'Output - County'!B5)*VLOOKUP(A5,'Output - State'!$B$2:$G$52,4,FALSE)</f>
        <v>0.87827327047596482</v>
      </c>
      <c r="F5" s="98">
        <f>SUMIFS(Input!$C$115:$C$3257,Input!$A$115:$A$3257,"="&amp;'Output - County'!A5,Input!$B$115:$B$3257,"="&amp;'Output - County'!B5)*VLOOKUP(A5,'Output - State'!$B$2:$G$52,5,FALSE)</f>
        <v>15.85605933325543</v>
      </c>
      <c r="G5" s="99">
        <f>SUMIFS(Input!$D$115:$D$3257,Input!$A$115:$A$3257,"="&amp;'Output - County'!A5,Input!$B$115:$B$3257,"="&amp;'Output - County'!B5)*VLOOKUP(A5,'Output - State'!$B$2:$G$52,6,FALSE)</f>
        <v>8.3701626804841673</v>
      </c>
    </row>
    <row r="6" spans="1:7" x14ac:dyDescent="0.25">
      <c r="A6" s="88">
        <v>1</v>
      </c>
      <c r="B6" s="70">
        <v>9</v>
      </c>
      <c r="C6" s="97">
        <f>SUMIFS(Input!$C$115:$C$3257,Input!$A$115:$A$3257,"="&amp;'Output - County'!A6,Input!$B$115:$B$3257,"="&amp;'Output - County'!B6)*VLOOKUP(A6,'Output - State'!$B$2:$G$52,2,FALSE)</f>
        <v>8.7816272950309813</v>
      </c>
      <c r="D6" s="98">
        <f>SUMIFS(Input!$C$115:$C$3257,Input!$A$115:$A$3257,"="&amp;'Output - County'!A6,Input!$B$115:$B$3257,"="&amp;'Output - County'!B6)*VLOOKUP(A6,'Output - State'!$B$2:$G$52,3,FALSE)</f>
        <v>1.5955137995851354</v>
      </c>
      <c r="E6" s="98">
        <f>SUMIFS(Input!$C$115:$C$3257,Input!$A$115:$A$3257,"="&amp;'Output - County'!A6,Input!$B$115:$B$3257,"="&amp;'Output - County'!B6)*VLOOKUP(A6,'Output - State'!$B$2:$G$52,4,FALSE)</f>
        <v>2.2170954844080462</v>
      </c>
      <c r="F6" s="98">
        <f>SUMIFS(Input!$C$115:$C$3257,Input!$A$115:$A$3257,"="&amp;'Output - County'!A6,Input!$B$115:$B$3257,"="&amp;'Output - County'!B6)*VLOOKUP(A6,'Output - State'!$B$2:$G$52,5,FALSE)</f>
        <v>40.026719165909896</v>
      </c>
      <c r="G6" s="99">
        <f>SUMIFS(Input!$D$115:$D$3257,Input!$A$115:$A$3257,"="&amp;'Output - County'!A6,Input!$B$115:$B$3257,"="&amp;'Output - County'!B6)*VLOOKUP(A6,'Output - State'!$B$2:$G$52,6,FALSE)</f>
        <v>21.59800905946361</v>
      </c>
    </row>
    <row r="7" spans="1:7" x14ac:dyDescent="0.25">
      <c r="A7" s="88">
        <v>1</v>
      </c>
      <c r="B7" s="70">
        <v>11</v>
      </c>
      <c r="C7" s="97">
        <f>SUMIFS(Input!$C$115:$C$3257,Input!$A$115:$A$3257,"="&amp;'Output - County'!A7,Input!$B$115:$B$3257,"="&amp;'Output - County'!B7)*VLOOKUP(A7,'Output - State'!$B$2:$G$52,2,FALSE)</f>
        <v>1.7003274230000252</v>
      </c>
      <c r="D7" s="98">
        <f>SUMIFS(Input!$C$115:$C$3257,Input!$A$115:$A$3257,"="&amp;'Output - County'!A7,Input!$B$115:$B$3257,"="&amp;'Output - County'!B7)*VLOOKUP(A7,'Output - State'!$B$2:$G$52,3,FALSE)</f>
        <v>0.30892860469546962</v>
      </c>
      <c r="E7" s="98">
        <f>SUMIFS(Input!$C$115:$C$3257,Input!$A$115:$A$3257,"="&amp;'Output - County'!A7,Input!$B$115:$B$3257,"="&amp;'Output - County'!B7)*VLOOKUP(A7,'Output - State'!$B$2:$G$52,4,FALSE)</f>
        <v>0.42928128522166187</v>
      </c>
      <c r="F7" s="98">
        <f>SUMIFS(Input!$C$115:$C$3257,Input!$A$115:$A$3257,"="&amp;'Output - County'!A7,Input!$B$115:$B$3257,"="&amp;'Output - County'!B7)*VLOOKUP(A7,'Output - State'!$B$2:$G$52,5,FALSE)</f>
        <v>7.7501043899947453</v>
      </c>
      <c r="G7" s="99">
        <f>SUMIFS(Input!$D$115:$D$3257,Input!$A$115:$A$3257,"="&amp;'Output - County'!A7,Input!$B$115:$B$3257,"="&amp;'Output - County'!B7)*VLOOKUP(A7,'Output - State'!$B$2:$G$52,6,FALSE)</f>
        <v>3.8114133634347551</v>
      </c>
    </row>
    <row r="8" spans="1:7" x14ac:dyDescent="0.25">
      <c r="A8" s="88">
        <v>1</v>
      </c>
      <c r="B8" s="70">
        <v>13</v>
      </c>
      <c r="C8" s="97">
        <f>SUMIFS(Input!$C$115:$C$3257,Input!$A$115:$A$3257,"="&amp;'Output - County'!A8,Input!$B$115:$B$3257,"="&amp;'Output - County'!B8)*VLOOKUP(A8,'Output - State'!$B$2:$G$52,2,FALSE)</f>
        <v>8.3939202787333418</v>
      </c>
      <c r="D8" s="98">
        <f>SUMIFS(Input!$C$115:$C$3257,Input!$A$115:$A$3257,"="&amp;'Output - County'!A8,Input!$B$115:$B$3257,"="&amp;'Output - County'!B8)*VLOOKUP(A8,'Output - State'!$B$2:$G$52,3,FALSE)</f>
        <v>1.5250721975999444</v>
      </c>
      <c r="E8" s="98">
        <f>SUMIFS(Input!$C$115:$C$3257,Input!$A$115:$A$3257,"="&amp;'Output - County'!A8,Input!$B$115:$B$3257,"="&amp;'Output - County'!B8)*VLOOKUP(A8,'Output - State'!$B$2:$G$52,4,FALSE)</f>
        <v>2.119211180482599</v>
      </c>
      <c r="F8" s="98">
        <f>SUMIFS(Input!$C$115:$C$3257,Input!$A$115:$A$3257,"="&amp;'Output - County'!A8,Input!$B$115:$B$3257,"="&amp;'Output - County'!B8)*VLOOKUP(A8,'Output - State'!$B$2:$G$52,5,FALSE)</f>
        <v>38.259547850317901</v>
      </c>
      <c r="G8" s="99">
        <f>SUMIFS(Input!$D$115:$D$3257,Input!$A$115:$A$3257,"="&amp;'Output - County'!A8,Input!$B$115:$B$3257,"="&amp;'Output - County'!B8)*VLOOKUP(A8,'Output - State'!$B$2:$G$52,6,FALSE)</f>
        <v>7.323892345423646</v>
      </c>
    </row>
    <row r="9" spans="1:7" x14ac:dyDescent="0.25">
      <c r="A9" s="88">
        <v>1</v>
      </c>
      <c r="B9" s="70">
        <v>15</v>
      </c>
      <c r="C9" s="97">
        <f>SUMIFS(Input!$C$115:$C$3257,Input!$A$115:$A$3257,"="&amp;'Output - County'!A9,Input!$B$115:$B$3257,"="&amp;'Output - County'!B9)*VLOOKUP(A9,'Output - State'!$B$2:$G$52,2,FALSE)</f>
        <v>19.652018291681372</v>
      </c>
      <c r="D9" s="98">
        <f>SUMIFS(Input!$C$115:$C$3257,Input!$A$115:$A$3257,"="&amp;'Output - County'!A9,Input!$B$115:$B$3257,"="&amp;'Output - County'!B9)*VLOOKUP(A9,'Output - State'!$B$2:$G$52,3,FALSE)</f>
        <v>3.5705303038560023</v>
      </c>
      <c r="E9" s="98">
        <f>SUMIFS(Input!$C$115:$C$3257,Input!$A$115:$A$3257,"="&amp;'Output - County'!A9,Input!$B$115:$B$3257,"="&amp;'Output - County'!B9)*VLOOKUP(A9,'Output - State'!$B$2:$G$52,4,FALSE)</f>
        <v>4.9615406746589077</v>
      </c>
      <c r="F9" s="98">
        <f>SUMIFS(Input!$C$115:$C$3257,Input!$A$115:$A$3257,"="&amp;'Output - County'!A9,Input!$B$115:$B$3257,"="&amp;'Output - County'!B9)*VLOOKUP(A9,'Output - State'!$B$2:$G$52,5,FALSE)</f>
        <v>89.574038020214061</v>
      </c>
      <c r="G9" s="99">
        <f>SUMIFS(Input!$D$115:$D$3257,Input!$A$115:$A$3257,"="&amp;'Output - County'!A9,Input!$B$115:$B$3257,"="&amp;'Output - County'!B9)*VLOOKUP(A9,'Output - State'!$B$2:$G$52,6,FALSE)</f>
        <v>42.598149356035499</v>
      </c>
    </row>
    <row r="10" spans="1:7" x14ac:dyDescent="0.25">
      <c r="A10" s="88">
        <v>1</v>
      </c>
      <c r="B10" s="70">
        <v>17</v>
      </c>
      <c r="C10" s="97">
        <f>SUMIFS(Input!$C$115:$C$3257,Input!$A$115:$A$3257,"="&amp;'Output - County'!A10,Input!$B$115:$B$3257,"="&amp;'Output - County'!B10)*VLOOKUP(A10,'Output - State'!$B$2:$G$52,2,FALSE)</f>
        <v>6.3800077490243581</v>
      </c>
      <c r="D10" s="98">
        <f>SUMIFS(Input!$C$115:$C$3257,Input!$A$115:$A$3257,"="&amp;'Output - County'!A10,Input!$B$115:$B$3257,"="&amp;'Output - County'!B10)*VLOOKUP(A10,'Output - State'!$B$2:$G$52,3,FALSE)</f>
        <v>1.1591690313238863</v>
      </c>
      <c r="E10" s="98">
        <f>SUMIFS(Input!$C$115:$C$3257,Input!$A$115:$A$3257,"="&amp;'Output - County'!A10,Input!$B$115:$B$3257,"="&amp;'Output - County'!B10)*VLOOKUP(A10,'Output - State'!$B$2:$G$52,4,FALSE)</f>
        <v>1.6107591333162294</v>
      </c>
      <c r="F10" s="98">
        <f>SUMIFS(Input!$C$115:$C$3257,Input!$A$115:$A$3257,"="&amp;'Output - County'!A10,Input!$B$115:$B$3257,"="&amp;'Output - County'!B10)*VLOOKUP(A10,'Output - State'!$B$2:$G$52,5,FALSE)</f>
        <v>29.08012033157301</v>
      </c>
      <c r="G10" s="99">
        <f>SUMIFS(Input!$D$115:$D$3257,Input!$A$115:$A$3257,"="&amp;'Output - County'!A10,Input!$B$115:$B$3257,"="&amp;'Output - County'!B10)*VLOOKUP(A10,'Output - State'!$B$2:$G$52,6,FALSE)</f>
        <v>12.555244020726251</v>
      </c>
    </row>
    <row r="11" spans="1:7" x14ac:dyDescent="0.25">
      <c r="A11" s="88">
        <v>1</v>
      </c>
      <c r="B11" s="70">
        <v>19</v>
      </c>
      <c r="C11" s="97">
        <f>SUMIFS(Input!$C$115:$C$3257,Input!$A$115:$A$3257,"="&amp;'Output - County'!A11,Input!$B$115:$B$3257,"="&amp;'Output - County'!B11)*VLOOKUP(A11,'Output - State'!$B$2:$G$52,2,FALSE)</f>
        <v>3.716371035489332</v>
      </c>
      <c r="D11" s="98">
        <f>SUMIFS(Input!$C$115:$C$3257,Input!$A$115:$A$3257,"="&amp;'Output - County'!A11,Input!$B$115:$B$3257,"="&amp;'Output - County'!B11)*VLOOKUP(A11,'Output - State'!$B$2:$G$52,3,FALSE)</f>
        <v>0.67521896253293556</v>
      </c>
      <c r="E11" s="98">
        <f>SUMIFS(Input!$C$115:$C$3257,Input!$A$115:$A$3257,"="&amp;'Output - County'!A11,Input!$B$115:$B$3257,"="&amp;'Output - County'!B11)*VLOOKUP(A11,'Output - State'!$B$2:$G$52,4,FALSE)</f>
        <v>0.93827136638223529</v>
      </c>
      <c r="F11" s="98">
        <f>SUMIFS(Input!$C$115:$C$3257,Input!$A$115:$A$3257,"="&amp;'Output - County'!A11,Input!$B$115:$B$3257,"="&amp;'Output - County'!B11)*VLOOKUP(A11,'Output - State'!$B$2:$G$52,5,FALSE)</f>
        <v>16.939245399087326</v>
      </c>
      <c r="G11" s="99">
        <f>SUMIFS(Input!$D$115:$D$3257,Input!$A$115:$A$3257,"="&amp;'Output - County'!A11,Input!$B$115:$B$3257,"="&amp;'Output - County'!B11)*VLOOKUP(A11,'Output - State'!$B$2:$G$52,6,FALSE)</f>
        <v>9.7153673969905512</v>
      </c>
    </row>
    <row r="12" spans="1:7" x14ac:dyDescent="0.25">
      <c r="A12" s="88">
        <v>1</v>
      </c>
      <c r="B12" s="70">
        <v>21</v>
      </c>
      <c r="C12" s="97">
        <f>SUMIFS(Input!$C$115:$C$3257,Input!$A$115:$A$3257,"="&amp;'Output - County'!A12,Input!$B$115:$B$3257,"="&amp;'Output - County'!B12)*VLOOKUP(A12,'Output - State'!$B$2:$G$52,2,FALSE)</f>
        <v>11.517394009060256</v>
      </c>
      <c r="D12" s="98">
        <f>SUMIFS(Input!$C$115:$C$3257,Input!$A$115:$A$3257,"="&amp;'Output - County'!A12,Input!$B$115:$B$3257,"="&amp;'Output - County'!B12)*VLOOKUP(A12,'Output - State'!$B$2:$G$52,3,FALSE)</f>
        <v>2.092569003368296</v>
      </c>
      <c r="E12" s="98">
        <f>SUMIFS(Input!$C$115:$C$3257,Input!$A$115:$A$3257,"="&amp;'Output - County'!A12,Input!$B$115:$B$3257,"="&amp;'Output - County'!B12)*VLOOKUP(A12,'Output - State'!$B$2:$G$52,4,FALSE)</f>
        <v>2.907793896478009</v>
      </c>
      <c r="F12" s="98">
        <f>SUMIFS(Input!$C$115:$C$3257,Input!$A$115:$A$3257,"="&amp;'Output - County'!A12,Input!$B$115:$B$3257,"="&amp;'Output - County'!B12)*VLOOKUP(A12,'Output - State'!$B$2:$G$52,5,FALSE)</f>
        <v>52.496363149531909</v>
      </c>
      <c r="G12" s="99">
        <f>SUMIFS(Input!$D$115:$D$3257,Input!$A$115:$A$3257,"="&amp;'Output - County'!A12,Input!$B$115:$B$3257,"="&amp;'Output - County'!B12)*VLOOKUP(A12,'Output - State'!$B$2:$G$52,6,FALSE)</f>
        <v>16.516124574883939</v>
      </c>
    </row>
    <row r="13" spans="1:7" x14ac:dyDescent="0.25">
      <c r="A13" s="88">
        <v>1</v>
      </c>
      <c r="B13" s="70">
        <v>23</v>
      </c>
      <c r="C13" s="97">
        <f>SUMIFS(Input!$C$115:$C$3257,Input!$A$115:$A$3257,"="&amp;'Output - County'!A13,Input!$B$115:$B$3257,"="&amp;'Output - County'!B13)*VLOOKUP(A13,'Output - State'!$B$2:$G$52,2,FALSE)</f>
        <v>2.0969380932761958</v>
      </c>
      <c r="D13" s="98">
        <f>SUMIFS(Input!$C$115:$C$3257,Input!$A$115:$A$3257,"="&amp;'Output - County'!A13,Input!$B$115:$B$3257,"="&amp;'Output - County'!B13)*VLOOKUP(A13,'Output - State'!$B$2:$G$52,3,FALSE)</f>
        <v>0.38098789122957299</v>
      </c>
      <c r="E13" s="98">
        <f>SUMIFS(Input!$C$115:$C$3257,Input!$A$115:$A$3257,"="&amp;'Output - County'!A13,Input!$B$115:$B$3257,"="&amp;'Output - County'!B13)*VLOOKUP(A13,'Output - State'!$B$2:$G$52,4,FALSE)</f>
        <v>0.52941349268108173</v>
      </c>
      <c r="F13" s="98">
        <f>SUMIFS(Input!$C$115:$C$3257,Input!$A$115:$A$3257,"="&amp;'Output - County'!A13,Input!$B$115:$B$3257,"="&amp;'Output - County'!B13)*VLOOKUP(A13,'Output - State'!$B$2:$G$52,5,FALSE)</f>
        <v>9.5578586232369531</v>
      </c>
      <c r="G13" s="99">
        <f>SUMIFS(Input!$D$115:$D$3257,Input!$A$115:$A$3257,"="&amp;'Output - County'!A13,Input!$B$115:$B$3257,"="&amp;'Output - County'!B13)*VLOOKUP(A13,'Output - State'!$B$2:$G$52,6,FALSE)</f>
        <v>4.7829501031338104</v>
      </c>
    </row>
    <row r="14" spans="1:7" x14ac:dyDescent="0.25">
      <c r="A14" s="88">
        <v>1</v>
      </c>
      <c r="B14" s="70">
        <v>25</v>
      </c>
      <c r="C14" s="97">
        <f>SUMIFS(Input!$C$115:$C$3257,Input!$A$115:$A$3257,"="&amp;'Output - County'!A14,Input!$B$115:$B$3257,"="&amp;'Output - County'!B14)*VLOOKUP(A14,'Output - State'!$B$2:$G$52,2,FALSE)</f>
        <v>3.766800360280417</v>
      </c>
      <c r="D14" s="98">
        <f>SUMIFS(Input!$C$115:$C$3257,Input!$A$115:$A$3257,"="&amp;'Output - County'!A14,Input!$B$115:$B$3257,"="&amp;'Output - County'!B14)*VLOOKUP(A14,'Output - State'!$B$2:$G$52,3,FALSE)</f>
        <v>0.68438135133682676</v>
      </c>
      <c r="E14" s="98">
        <f>SUMIFS(Input!$C$115:$C$3257,Input!$A$115:$A$3257,"="&amp;'Output - County'!A14,Input!$B$115:$B$3257,"="&amp;'Output - County'!B14)*VLOOKUP(A14,'Output - State'!$B$2:$G$52,4,FALSE)</f>
        <v>0.95100324676382786</v>
      </c>
      <c r="F14" s="98">
        <f>SUMIFS(Input!$C$115:$C$3257,Input!$A$115:$A$3257,"="&amp;'Output - County'!A14,Input!$B$115:$B$3257,"="&amp;'Output - County'!B14)*VLOOKUP(A14,'Output - State'!$B$2:$G$52,5,FALSE)</f>
        <v>17.16910261726845</v>
      </c>
      <c r="G14" s="99">
        <f>SUMIFS(Input!$D$115:$D$3257,Input!$A$115:$A$3257,"="&amp;'Output - County'!A14,Input!$B$115:$B$3257,"="&amp;'Output - County'!B14)*VLOOKUP(A14,'Output - State'!$B$2:$G$52,6,FALSE)</f>
        <v>8.9306646456951615</v>
      </c>
    </row>
    <row r="15" spans="1:7" x14ac:dyDescent="0.25">
      <c r="A15" s="88">
        <v>1</v>
      </c>
      <c r="B15" s="70">
        <v>27</v>
      </c>
      <c r="C15" s="97">
        <f>SUMIFS(Input!$C$115:$C$3257,Input!$A$115:$A$3257,"="&amp;'Output - County'!A15,Input!$B$115:$B$3257,"="&amp;'Output - County'!B15)*VLOOKUP(A15,'Output - State'!$B$2:$G$52,2,FALSE)</f>
        <v>1.8064690615976022</v>
      </c>
      <c r="D15" s="98">
        <f>SUMIFS(Input!$C$115:$C$3257,Input!$A$115:$A$3257,"="&amp;'Output - County'!A15,Input!$B$115:$B$3257,"="&amp;'Output - County'!B15)*VLOOKUP(A15,'Output - State'!$B$2:$G$52,3,FALSE)</f>
        <v>0.32821323650725676</v>
      </c>
      <c r="E15" s="98">
        <f>SUMIFS(Input!$C$115:$C$3257,Input!$A$115:$A$3257,"="&amp;'Output - County'!A15,Input!$B$115:$B$3257,"="&amp;'Output - County'!B15)*VLOOKUP(A15,'Output - State'!$B$2:$G$52,4,FALSE)</f>
        <v>0.45607884104317986</v>
      </c>
      <c r="F15" s="98">
        <f>SUMIFS(Input!$C$115:$C$3257,Input!$A$115:$A$3257,"="&amp;'Output - County'!A15,Input!$B$115:$B$3257,"="&amp;'Output - County'!B15)*VLOOKUP(A15,'Output - State'!$B$2:$G$52,5,FALSE)</f>
        <v>8.2338987275611668</v>
      </c>
      <c r="G15" s="99">
        <f>SUMIFS(Input!$D$115:$D$3257,Input!$A$115:$A$3257,"="&amp;'Output - County'!A15,Input!$B$115:$B$3257,"="&amp;'Output - County'!B15)*VLOOKUP(A15,'Output - State'!$B$2:$G$52,6,FALSE)</f>
        <v>4.9697840915374742</v>
      </c>
    </row>
    <row r="16" spans="1:7" x14ac:dyDescent="0.25">
      <c r="A16" s="88">
        <v>1</v>
      </c>
      <c r="B16" s="70">
        <v>29</v>
      </c>
      <c r="C16" s="97">
        <f>SUMIFS(Input!$C$115:$C$3257,Input!$A$115:$A$3257,"="&amp;'Output - County'!A16,Input!$B$115:$B$3257,"="&amp;'Output - County'!B16)*VLOOKUP(A16,'Output - State'!$B$2:$G$52,2,FALSE)</f>
        <v>5.8154257739629855</v>
      </c>
      <c r="D16" s="98">
        <f>SUMIFS(Input!$C$115:$C$3257,Input!$A$115:$A$3257,"="&amp;'Output - County'!A16,Input!$B$115:$B$3257,"="&amp;'Output - County'!B16)*VLOOKUP(A16,'Output - State'!$B$2:$G$52,3,FALSE)</f>
        <v>1.0565914221924715</v>
      </c>
      <c r="E16" s="98">
        <f>SUMIFS(Input!$C$115:$C$3257,Input!$A$115:$A$3257,"="&amp;'Output - County'!A16,Input!$B$115:$B$3257,"="&amp;'Output - County'!B16)*VLOOKUP(A16,'Output - State'!$B$2:$G$52,4,FALSE)</f>
        <v>1.4682192480041951</v>
      </c>
      <c r="F16" s="98">
        <f>SUMIFS(Input!$C$115:$C$3257,Input!$A$115:$A$3257,"="&amp;'Output - County'!A16,Input!$B$115:$B$3257,"="&amp;'Output - County'!B16)*VLOOKUP(A16,'Output - State'!$B$2:$G$52,5,FALSE)</f>
        <v>26.506751706067412</v>
      </c>
      <c r="G16" s="99">
        <f>SUMIFS(Input!$D$115:$D$3257,Input!$A$115:$A$3257,"="&amp;'Output - County'!A16,Input!$B$115:$B$3257,"="&amp;'Output - County'!B16)*VLOOKUP(A16,'Output - State'!$B$2:$G$52,6,FALSE)</f>
        <v>5.6050196521099336</v>
      </c>
    </row>
    <row r="17" spans="1:7" x14ac:dyDescent="0.25">
      <c r="A17" s="88">
        <v>1</v>
      </c>
      <c r="B17" s="70">
        <v>31</v>
      </c>
      <c r="C17" s="97">
        <f>SUMIFS(Input!$C$115:$C$3257,Input!$A$115:$A$3257,"="&amp;'Output - County'!A17,Input!$B$115:$B$3257,"="&amp;'Output - County'!B17)*VLOOKUP(A17,'Output - State'!$B$2:$G$52,2,FALSE)</f>
        <v>7.8006662390939869</v>
      </c>
      <c r="D17" s="98">
        <f>SUMIFS(Input!$C$115:$C$3257,Input!$A$115:$A$3257,"="&amp;'Output - County'!A17,Input!$B$115:$B$3257,"="&amp;'Output - County'!B17)*VLOOKUP(A17,'Output - State'!$B$2:$G$52,3,FALSE)</f>
        <v>1.4172852265632878</v>
      </c>
      <c r="E17" s="98">
        <f>SUMIFS(Input!$C$115:$C$3257,Input!$A$115:$A$3257,"="&amp;'Output - County'!A17,Input!$B$115:$B$3257,"="&amp;'Output - County'!B17)*VLOOKUP(A17,'Output - State'!$B$2:$G$52,4,FALSE)</f>
        <v>1.9694324654219522</v>
      </c>
      <c r="F17" s="98">
        <f>SUMIFS(Input!$C$115:$C$3257,Input!$A$115:$A$3257,"="&amp;'Output - County'!A17,Input!$B$115:$B$3257,"="&amp;'Output - County'!B17)*VLOOKUP(A17,'Output - State'!$B$2:$G$52,5,FALSE)</f>
        <v>35.555491752181908</v>
      </c>
      <c r="G17" s="99">
        <f>SUMIFS(Input!$D$115:$D$3257,Input!$A$115:$A$3257,"="&amp;'Output - County'!A17,Input!$B$115:$B$3257,"="&amp;'Output - County'!B17)*VLOOKUP(A17,'Output - State'!$B$2:$G$52,6,FALSE)</f>
        <v>19.430734793981102</v>
      </c>
    </row>
    <row r="18" spans="1:7" x14ac:dyDescent="0.25">
      <c r="A18" s="88">
        <v>1</v>
      </c>
      <c r="B18" s="70">
        <v>33</v>
      </c>
      <c r="C18" s="97">
        <f>SUMIFS(Input!$C$115:$C$3257,Input!$A$115:$A$3257,"="&amp;'Output - County'!A18,Input!$B$115:$B$3257,"="&amp;'Output - County'!B18)*VLOOKUP(A18,'Output - State'!$B$2:$G$52,2,FALSE)</f>
        <v>10.075827272031548</v>
      </c>
      <c r="D18" s="98">
        <f>SUMIFS(Input!$C$115:$C$3257,Input!$A$115:$A$3257,"="&amp;'Output - County'!A18,Input!$B$115:$B$3257,"="&amp;'Output - County'!B18)*VLOOKUP(A18,'Output - State'!$B$2:$G$52,3,FALSE)</f>
        <v>1.8306540365086024</v>
      </c>
      <c r="E18" s="98">
        <f>SUMIFS(Input!$C$115:$C$3257,Input!$A$115:$A$3257,"="&amp;'Output - County'!A18,Input!$B$115:$B$3257,"="&amp;'Output - County'!B18)*VLOOKUP(A18,'Output - State'!$B$2:$G$52,4,FALSE)</f>
        <v>2.5438418639261751</v>
      </c>
      <c r="F18" s="98">
        <f>SUMIFS(Input!$C$115:$C$3257,Input!$A$115:$A$3257,"="&amp;'Output - County'!A18,Input!$B$115:$B$3257,"="&amp;'Output - County'!B18)*VLOOKUP(A18,'Output - State'!$B$2:$G$52,5,FALSE)</f>
        <v>45.925691791773986</v>
      </c>
      <c r="G18" s="99">
        <f>SUMIFS(Input!$D$115:$D$3257,Input!$A$115:$A$3257,"="&amp;'Output - County'!A18,Input!$B$115:$B$3257,"="&amp;'Output - County'!B18)*VLOOKUP(A18,'Output - State'!$B$2:$G$52,6,FALSE)</f>
        <v>20.551738724403091</v>
      </c>
    </row>
    <row r="19" spans="1:7" x14ac:dyDescent="0.25">
      <c r="A19" s="88">
        <v>1</v>
      </c>
      <c r="B19" s="70">
        <v>35</v>
      </c>
      <c r="C19" s="97">
        <f>SUMIFS(Input!$C$115:$C$3257,Input!$A$115:$A$3257,"="&amp;'Output - County'!A19,Input!$B$115:$B$3257,"="&amp;'Output - County'!B19)*VLOOKUP(A19,'Output - State'!$B$2:$G$52,2,FALSE)</f>
        <v>5.4015328462463525</v>
      </c>
      <c r="D19" s="98">
        <f>SUMIFS(Input!$C$115:$C$3257,Input!$A$115:$A$3257,"="&amp;'Output - County'!A19,Input!$B$115:$B$3257,"="&amp;'Output - County'!B19)*VLOOKUP(A19,'Output - State'!$B$2:$G$52,3,FALSE)</f>
        <v>0.98139216178930588</v>
      </c>
      <c r="E19" s="98">
        <f>SUMIFS(Input!$C$115:$C$3257,Input!$A$115:$A$3257,"="&amp;'Output - County'!A19,Input!$B$115:$B$3257,"="&amp;'Output - County'!B19)*VLOOKUP(A19,'Output - State'!$B$2:$G$52,4,FALSE)</f>
        <v>1.3637237928636412</v>
      </c>
      <c r="F19" s="98">
        <f>SUMIFS(Input!$C$115:$C$3257,Input!$A$115:$A$3257,"="&amp;'Output - County'!A19,Input!$B$115:$B$3257,"="&amp;'Output - County'!B19)*VLOOKUP(A19,'Output - State'!$B$2:$G$52,5,FALSE)</f>
        <v>24.62022482148372</v>
      </c>
      <c r="G19" s="99">
        <f>SUMIFS(Input!$D$115:$D$3257,Input!$A$115:$A$3257,"="&amp;'Output - County'!A19,Input!$B$115:$B$3257,"="&amp;'Output - County'!B19)*VLOOKUP(A19,'Output - State'!$B$2:$G$52,6,FALSE)</f>
        <v>4.5961161147301457</v>
      </c>
    </row>
    <row r="20" spans="1:7" x14ac:dyDescent="0.25">
      <c r="A20" s="88">
        <v>1</v>
      </c>
      <c r="B20" s="70">
        <v>37</v>
      </c>
      <c r="C20" s="97">
        <f>SUMIFS(Input!$C$115:$C$3257,Input!$A$115:$A$3257,"="&amp;'Output - County'!A20,Input!$B$115:$B$3257,"="&amp;'Output - County'!B20)*VLOOKUP(A20,'Output - State'!$B$2:$G$52,2,FALSE)</f>
        <v>2.3392497054500461</v>
      </c>
      <c r="D20" s="98">
        <f>SUMIFS(Input!$C$115:$C$3257,Input!$A$115:$A$3257,"="&amp;'Output - County'!A20,Input!$B$115:$B$3257,"="&amp;'Output - County'!B20)*VLOOKUP(A20,'Output - State'!$B$2:$G$52,3,FALSE)</f>
        <v>0.42501293442878285</v>
      </c>
      <c r="E20" s="98">
        <f>SUMIFS(Input!$C$115:$C$3257,Input!$A$115:$A$3257,"="&amp;'Output - County'!A20,Input!$B$115:$B$3257,"="&amp;'Output - County'!B20)*VLOOKUP(A20,'Output - State'!$B$2:$G$52,4,FALSE)</f>
        <v>0.59058985135827857</v>
      </c>
      <c r="F20" s="98">
        <f>SUMIFS(Input!$C$115:$C$3257,Input!$A$115:$A$3257,"="&amp;'Output - County'!A20,Input!$B$115:$B$3257,"="&amp;'Output - County'!B20)*VLOOKUP(A20,'Output - State'!$B$2:$G$52,5,FALSE)</f>
        <v>10.662316661055256</v>
      </c>
      <c r="G20" s="99">
        <f>SUMIFS(Input!$D$115:$D$3257,Input!$A$115:$A$3257,"="&amp;'Output - County'!A20,Input!$B$115:$B$3257,"="&amp;'Output - County'!B20)*VLOOKUP(A20,'Output - State'!$B$2:$G$52,6,FALSE)</f>
        <v>3.9608805541576864</v>
      </c>
    </row>
    <row r="21" spans="1:7" x14ac:dyDescent="0.25">
      <c r="A21" s="88">
        <v>1</v>
      </c>
      <c r="B21" s="70">
        <v>39</v>
      </c>
      <c r="C21" s="97">
        <f>SUMIFS(Input!$C$115:$C$3257,Input!$A$115:$A$3257,"="&amp;'Output - County'!A21,Input!$B$115:$B$3257,"="&amp;'Output - County'!B21)*VLOOKUP(A21,'Output - State'!$B$2:$G$52,2,FALSE)</f>
        <v>6.2542399261675978</v>
      </c>
      <c r="D21" s="98">
        <f>SUMIFS(Input!$C$115:$C$3257,Input!$A$115:$A$3257,"="&amp;'Output - County'!A21,Input!$B$115:$B$3257,"="&amp;'Output - County'!B21)*VLOOKUP(A21,'Output - State'!$B$2:$G$52,3,FALSE)</f>
        <v>1.136318562934584</v>
      </c>
      <c r="E21" s="98">
        <f>SUMIFS(Input!$C$115:$C$3257,Input!$A$115:$A$3257,"="&amp;'Output - County'!A21,Input!$B$115:$B$3257,"="&amp;'Output - County'!B21)*VLOOKUP(A21,'Output - State'!$B$2:$G$52,4,FALSE)</f>
        <v>1.5790065591324749</v>
      </c>
      <c r="F21" s="98">
        <f>SUMIFS(Input!$C$115:$C$3257,Input!$A$115:$A$3257,"="&amp;'Output - County'!A21,Input!$B$115:$B$3257,"="&amp;'Output - County'!B21)*VLOOKUP(A21,'Output - State'!$B$2:$G$52,5,FALSE)</f>
        <v>28.506869707688761</v>
      </c>
      <c r="G21" s="99">
        <f>SUMIFS(Input!$D$115:$D$3257,Input!$A$115:$A$3257,"="&amp;'Output - County'!A21,Input!$B$115:$B$3257,"="&amp;'Output - County'!B21)*VLOOKUP(A21,'Output - State'!$B$2:$G$52,6,FALSE)</f>
        <v>13.82571514187117</v>
      </c>
    </row>
    <row r="22" spans="1:7" x14ac:dyDescent="0.25">
      <c r="A22" s="88">
        <v>1</v>
      </c>
      <c r="B22" s="70">
        <v>41</v>
      </c>
      <c r="C22" s="97">
        <f>SUMIFS(Input!$C$115:$C$3257,Input!$A$115:$A$3257,"="&amp;'Output - County'!A22,Input!$B$115:$B$3257,"="&amp;'Output - County'!B22)*VLOOKUP(A22,'Output - State'!$B$2:$G$52,2,FALSE)</f>
        <v>2.319922332165536</v>
      </c>
      <c r="D22" s="98">
        <f>SUMIFS(Input!$C$115:$C$3257,Input!$A$115:$A$3257,"="&amp;'Output - County'!A22,Input!$B$115:$B$3257,"="&amp;'Output - County'!B22)*VLOOKUP(A22,'Output - State'!$B$2:$G$52,3,FALSE)</f>
        <v>0.42150138813455357</v>
      </c>
      <c r="E22" s="98">
        <f>SUMIFS(Input!$C$115:$C$3257,Input!$A$115:$A$3257,"="&amp;'Output - County'!A22,Input!$B$115:$B$3257,"="&amp;'Output - County'!B22)*VLOOKUP(A22,'Output - State'!$B$2:$G$52,4,FALSE)</f>
        <v>0.58571027373616724</v>
      </c>
      <c r="F22" s="98">
        <f>SUMIFS(Input!$C$115:$C$3257,Input!$A$115:$A$3257,"="&amp;'Output - County'!A22,Input!$B$115:$B$3257,"="&amp;'Output - County'!B22)*VLOOKUP(A22,'Output - State'!$B$2:$G$52,5,FALSE)</f>
        <v>10.574222357268129</v>
      </c>
      <c r="G22" s="99">
        <f>SUMIFS(Input!$D$115:$D$3257,Input!$A$115:$A$3257,"="&amp;'Output - County'!A22,Input!$B$115:$B$3257,"="&amp;'Output - County'!B22)*VLOOKUP(A22,'Output - State'!$B$2:$G$52,6,FALSE)</f>
        <v>5.156618079941139</v>
      </c>
    </row>
    <row r="23" spans="1:7" x14ac:dyDescent="0.25">
      <c r="A23" s="88">
        <v>1</v>
      </c>
      <c r="B23" s="70">
        <v>43</v>
      </c>
      <c r="C23" s="97">
        <f>SUMIFS(Input!$C$115:$C$3257,Input!$A$115:$A$3257,"="&amp;'Output - County'!A23,Input!$B$115:$B$3257,"="&amp;'Output - County'!B23)*VLOOKUP(A23,'Output - State'!$B$2:$G$52,2,FALSE)</f>
        <v>16.719408250761564</v>
      </c>
      <c r="D23" s="98">
        <f>SUMIFS(Input!$C$115:$C$3257,Input!$A$115:$A$3257,"="&amp;'Output - County'!A23,Input!$B$115:$B$3257,"="&amp;'Output - County'!B23)*VLOOKUP(A23,'Output - State'!$B$2:$G$52,3,FALSE)</f>
        <v>3.0377110857439935</v>
      </c>
      <c r="E23" s="98">
        <f>SUMIFS(Input!$C$115:$C$3257,Input!$A$115:$A$3257,"="&amp;'Output - County'!A23,Input!$B$115:$B$3257,"="&amp;'Output - County'!B23)*VLOOKUP(A23,'Output - State'!$B$2:$G$52,4,FALSE)</f>
        <v>4.2211452717553897</v>
      </c>
      <c r="F23" s="98">
        <f>SUMIFS(Input!$C$115:$C$3257,Input!$A$115:$A$3257,"="&amp;'Output - County'!A23,Input!$B$115:$B$3257,"="&amp;'Output - County'!B23)*VLOOKUP(A23,'Output - State'!$B$2:$G$52,5,FALSE)</f>
        <v>76.207180763877886</v>
      </c>
      <c r="G23" s="99">
        <f>SUMIFS(Input!$D$115:$D$3257,Input!$A$115:$A$3257,"="&amp;'Output - County'!A23,Input!$B$115:$B$3257,"="&amp;'Output - County'!B23)*VLOOKUP(A23,'Output - State'!$B$2:$G$52,6,FALSE)</f>
        <v>31.163909265731231</v>
      </c>
    </row>
    <row r="24" spans="1:7" x14ac:dyDescent="0.25">
      <c r="A24" s="88">
        <v>1</v>
      </c>
      <c r="B24" s="70">
        <v>45</v>
      </c>
      <c r="C24" s="97">
        <f>SUMIFS(Input!$C$115:$C$3257,Input!$A$115:$A$3257,"="&amp;'Output - County'!A24,Input!$B$115:$B$3257,"="&amp;'Output - County'!B24)*VLOOKUP(A24,'Output - State'!$B$2:$G$52,2,FALSE)</f>
        <v>8.9564227623201322</v>
      </c>
      <c r="D24" s="98">
        <f>SUMIFS(Input!$C$115:$C$3257,Input!$A$115:$A$3257,"="&amp;'Output - County'!A24,Input!$B$115:$B$3257,"="&amp;'Output - County'!B24)*VLOOKUP(A24,'Output - State'!$B$2:$G$52,3,FALSE)</f>
        <v>1.6272719886764193</v>
      </c>
      <c r="E24" s="98">
        <f>SUMIFS(Input!$C$115:$C$3257,Input!$A$115:$A$3257,"="&amp;'Output - County'!A24,Input!$B$115:$B$3257,"="&amp;'Output - County'!B24)*VLOOKUP(A24,'Output - State'!$B$2:$G$52,4,FALSE)</f>
        <v>2.2612260570458824</v>
      </c>
      <c r="F24" s="98">
        <f>SUMIFS(Input!$C$115:$C$3257,Input!$A$115:$A$3257,"="&amp;'Output - County'!A24,Input!$B$115:$B$3257,"="&amp;'Output - County'!B24)*VLOOKUP(A24,'Output - State'!$B$2:$G$52,5,FALSE)</f>
        <v>40.823438139011358</v>
      </c>
      <c r="G24" s="99">
        <f>SUMIFS(Input!$D$115:$D$3257,Input!$A$115:$A$3257,"="&amp;'Output - County'!A24,Input!$B$115:$B$3257,"="&amp;'Output - County'!B24)*VLOOKUP(A24,'Output - State'!$B$2:$G$52,6,FALSE)</f>
        <v>18.34709766123985</v>
      </c>
    </row>
    <row r="25" spans="1:7" x14ac:dyDescent="0.25">
      <c r="A25" s="88">
        <v>1</v>
      </c>
      <c r="B25" s="70">
        <v>47</v>
      </c>
      <c r="C25" s="97">
        <f>SUMIFS(Input!$C$115:$C$3257,Input!$A$115:$A$3257,"="&amp;'Output - County'!A25,Input!$B$115:$B$3257,"="&amp;'Output - County'!B25)*VLOOKUP(A25,'Output - State'!$B$2:$G$52,2,FALSE)</f>
        <v>5.8185061027442817</v>
      </c>
      <c r="D25" s="98">
        <f>SUMIFS(Input!$C$115:$C$3257,Input!$A$115:$A$3257,"="&amp;'Output - County'!A25,Input!$B$115:$B$3257,"="&amp;'Output - County'!B25)*VLOOKUP(A25,'Output - State'!$B$2:$G$52,3,FALSE)</f>
        <v>1.0571510800910251</v>
      </c>
      <c r="E25" s="98">
        <f>SUMIFS(Input!$C$115:$C$3257,Input!$A$115:$A$3257,"="&amp;'Output - County'!A25,Input!$B$115:$B$3257,"="&amp;'Output - County'!B25)*VLOOKUP(A25,'Output - State'!$B$2:$G$52,4,FALSE)</f>
        <v>1.4689969379245325</v>
      </c>
      <c r="F25" s="98">
        <f>SUMIFS(Input!$C$115:$C$3257,Input!$A$115:$A$3257,"="&amp;'Output - County'!A25,Input!$B$115:$B$3257,"="&amp;'Output - County'!B25)*VLOOKUP(A25,'Output - State'!$B$2:$G$52,5,FALSE)</f>
        <v>26.520791866384553</v>
      </c>
      <c r="G25" s="99">
        <f>SUMIFS(Input!$D$115:$D$3257,Input!$A$115:$A$3257,"="&amp;'Output - County'!A25,Input!$B$115:$B$3257,"="&amp;'Output - County'!B25)*VLOOKUP(A25,'Output - State'!$B$2:$G$52,6,FALSE)</f>
        <v>14.311483511720697</v>
      </c>
    </row>
    <row r="26" spans="1:7" x14ac:dyDescent="0.25">
      <c r="A26" s="88">
        <v>1</v>
      </c>
      <c r="B26" s="70">
        <v>49</v>
      </c>
      <c r="C26" s="97">
        <f>SUMIFS(Input!$C$115:$C$3257,Input!$A$115:$A$3257,"="&amp;'Output - County'!A26,Input!$B$115:$B$3257,"="&amp;'Output - County'!B26)*VLOOKUP(A26,'Output - State'!$B$2:$G$52,2,FALSE)</f>
        <v>12.174229119537113</v>
      </c>
      <c r="D26" s="98">
        <f>SUMIFS(Input!$C$115:$C$3257,Input!$A$115:$A$3257,"="&amp;'Output - County'!A26,Input!$B$115:$B$3257,"="&amp;'Output - County'!B26)*VLOOKUP(A26,'Output - State'!$B$2:$G$52,3,FALSE)</f>
        <v>2.2119078738998263</v>
      </c>
      <c r="E26" s="98">
        <f>SUMIFS(Input!$C$115:$C$3257,Input!$A$115:$A$3257,"="&amp;'Output - County'!A26,Input!$B$115:$B$3257,"="&amp;'Output - County'!B26)*VLOOKUP(A26,'Output - State'!$B$2:$G$52,4,FALSE)</f>
        <v>3.0736249103110511</v>
      </c>
      <c r="F26" s="98">
        <f>SUMIFS(Input!$C$115:$C$3257,Input!$A$115:$A$3257,"="&amp;'Output - County'!A26,Input!$B$115:$B$3257,"="&amp;'Output - County'!B26)*VLOOKUP(A26,'Output - State'!$B$2:$G$52,5,FALSE)</f>
        <v>55.490222217115324</v>
      </c>
      <c r="G26" s="99">
        <f>SUMIFS(Input!$D$115:$D$3257,Input!$A$115:$A$3257,"="&amp;'Output - County'!A26,Input!$B$115:$B$3257,"="&amp;'Output - County'!B26)*VLOOKUP(A26,'Output - State'!$B$2:$G$52,6,FALSE)</f>
        <v>26.679893544043285</v>
      </c>
    </row>
    <row r="27" spans="1:7" x14ac:dyDescent="0.25">
      <c r="A27" s="88">
        <v>1</v>
      </c>
      <c r="B27" s="70">
        <v>51</v>
      </c>
      <c r="C27" s="97">
        <f>SUMIFS(Input!$C$115:$C$3257,Input!$A$115:$A$3257,"="&amp;'Output - County'!A27,Input!$B$115:$B$3257,"="&amp;'Output - County'!B27)*VLOOKUP(A27,'Output - State'!$B$2:$G$52,2,FALSE)</f>
        <v>13.986328701720632</v>
      </c>
      <c r="D27" s="98">
        <f>SUMIFS(Input!$C$115:$C$3257,Input!$A$115:$A$3257,"="&amp;'Output - County'!A27,Input!$B$115:$B$3257,"="&amp;'Output - County'!B27)*VLOOKUP(A27,'Output - State'!$B$2:$G$52,3,FALSE)</f>
        <v>2.541144106828118</v>
      </c>
      <c r="E27" s="98">
        <f>SUMIFS(Input!$C$115:$C$3257,Input!$A$115:$A$3257,"="&amp;'Output - County'!A27,Input!$B$115:$B$3257,"="&amp;'Output - County'!B27)*VLOOKUP(A27,'Output - State'!$B$2:$G$52,4,FALSE)</f>
        <v>3.5311252876306529</v>
      </c>
      <c r="F27" s="98">
        <f>SUMIFS(Input!$C$115:$C$3257,Input!$A$115:$A$3257,"="&amp;'Output - County'!A27,Input!$B$115:$B$3257,"="&amp;'Output - County'!B27)*VLOOKUP(A27,'Output - State'!$B$2:$G$52,5,FALSE)</f>
        <v>63.749784897230924</v>
      </c>
      <c r="G27" s="99">
        <f>SUMIFS(Input!$D$115:$D$3257,Input!$A$115:$A$3257,"="&amp;'Output - County'!A27,Input!$B$115:$B$3257,"="&amp;'Output - County'!B27)*VLOOKUP(A27,'Output - State'!$B$2:$G$52,6,FALSE)</f>
        <v>30.267106121393642</v>
      </c>
    </row>
    <row r="28" spans="1:7" x14ac:dyDescent="0.25">
      <c r="A28" s="88">
        <v>1</v>
      </c>
      <c r="B28" s="70">
        <v>53</v>
      </c>
      <c r="C28" s="97">
        <f>SUMIFS(Input!$C$115:$C$3257,Input!$A$115:$A$3257,"="&amp;'Output - County'!A28,Input!$B$115:$B$3257,"="&amp;'Output - County'!B28)*VLOOKUP(A28,'Output - State'!$B$2:$G$52,2,FALSE)</f>
        <v>8.7408856367944736</v>
      </c>
      <c r="D28" s="98">
        <f>SUMIFS(Input!$C$115:$C$3257,Input!$A$115:$A$3257,"="&amp;'Output - County'!A28,Input!$B$115:$B$3257,"="&amp;'Output - County'!B28)*VLOOKUP(A28,'Output - State'!$B$2:$G$52,3,FALSE)</f>
        <v>1.5881115407838411</v>
      </c>
      <c r="E28" s="98">
        <f>SUMIFS(Input!$C$115:$C$3257,Input!$A$115:$A$3257,"="&amp;'Output - County'!A28,Input!$B$115:$B$3257,"="&amp;'Output - County'!B28)*VLOOKUP(A28,'Output - State'!$B$2:$G$52,4,FALSE)</f>
        <v>2.2068094470406243</v>
      </c>
      <c r="F28" s="98">
        <f>SUMIFS(Input!$C$115:$C$3257,Input!$A$115:$A$3257,"="&amp;'Output - County'!A28,Input!$B$115:$B$3257,"="&amp;'Output - County'!B28)*VLOOKUP(A28,'Output - State'!$B$2:$G$52,5,FALSE)</f>
        <v>39.841018400231881</v>
      </c>
      <c r="G28" s="99">
        <f>SUMIFS(Input!$D$115:$D$3257,Input!$A$115:$A$3257,"="&amp;'Output - County'!A28,Input!$B$115:$B$3257,"="&amp;'Output - County'!B28)*VLOOKUP(A28,'Output - State'!$B$2:$G$52,6,FALSE)</f>
        <v>13.638881153467505</v>
      </c>
    </row>
    <row r="29" spans="1:7" x14ac:dyDescent="0.25">
      <c r="A29" s="88">
        <v>1</v>
      </c>
      <c r="B29" s="70">
        <v>55</v>
      </c>
      <c r="C29" s="97">
        <f>SUMIFS(Input!$C$115:$C$3257,Input!$A$115:$A$3257,"="&amp;'Output - County'!A29,Input!$B$115:$B$3257,"="&amp;'Output - County'!B29)*VLOOKUP(A29,'Output - State'!$B$2:$G$52,2,FALSE)</f>
        <v>17.517201266840807</v>
      </c>
      <c r="D29" s="98">
        <f>SUMIFS(Input!$C$115:$C$3257,Input!$A$115:$A$3257,"="&amp;'Output - County'!A29,Input!$B$115:$B$3257,"="&amp;'Output - County'!B29)*VLOOKUP(A29,'Output - State'!$B$2:$G$52,3,FALSE)</f>
        <v>3.182660276093638</v>
      </c>
      <c r="E29" s="98">
        <f>SUMIFS(Input!$C$115:$C$3257,Input!$A$115:$A$3257,"="&amp;'Output - County'!A29,Input!$B$115:$B$3257,"="&amp;'Output - County'!B29)*VLOOKUP(A29,'Output - State'!$B$2:$G$52,4,FALSE)</f>
        <v>4.42256389657478</v>
      </c>
      <c r="F29" s="98">
        <f>SUMIFS(Input!$C$115:$C$3257,Input!$A$115:$A$3257,"="&amp;'Output - County'!A29,Input!$B$115:$B$3257,"="&amp;'Output - County'!B29)*VLOOKUP(A29,'Output - State'!$B$2:$G$52,5,FALSE)</f>
        <v>79.8435269596675</v>
      </c>
      <c r="G29" s="99">
        <f>SUMIFS(Input!$D$115:$D$3257,Input!$A$115:$A$3257,"="&amp;'Output - County'!A29,Input!$B$115:$B$3257,"="&amp;'Output - County'!B29)*VLOOKUP(A29,'Output - State'!$B$2:$G$52,6,FALSE)</f>
        <v>38.487801611154879</v>
      </c>
    </row>
    <row r="30" spans="1:7" x14ac:dyDescent="0.25">
      <c r="A30" s="88">
        <v>1</v>
      </c>
      <c r="B30" s="70">
        <v>57</v>
      </c>
      <c r="C30" s="97">
        <f>SUMIFS(Input!$C$115:$C$3257,Input!$A$115:$A$3257,"="&amp;'Output - County'!A30,Input!$B$115:$B$3257,"="&amp;'Output - County'!B30)*VLOOKUP(A30,'Output - State'!$B$2:$G$52,2,FALSE)</f>
        <v>2.1916525791119468</v>
      </c>
      <c r="D30" s="98">
        <f>SUMIFS(Input!$C$115:$C$3257,Input!$A$115:$A$3257,"="&amp;'Output - County'!A30,Input!$B$115:$B$3257,"="&amp;'Output - County'!B30)*VLOOKUP(A30,'Output - State'!$B$2:$G$52,3,FALSE)</f>
        <v>0.39819634976402485</v>
      </c>
      <c r="E30" s="98">
        <f>SUMIFS(Input!$C$115:$C$3257,Input!$A$115:$A$3257,"="&amp;'Output - County'!A30,Input!$B$115:$B$3257,"="&amp;'Output - County'!B30)*VLOOKUP(A30,'Output - State'!$B$2:$G$52,4,FALSE)</f>
        <v>0.55332603779368228</v>
      </c>
      <c r="F30" s="98">
        <f>SUMIFS(Input!$C$115:$C$3257,Input!$A$115:$A$3257,"="&amp;'Output - County'!A30,Input!$B$115:$B$3257,"="&amp;'Output - County'!B30)*VLOOKUP(A30,'Output - State'!$B$2:$G$52,5,FALSE)</f>
        <v>9.9895679178953944</v>
      </c>
      <c r="G30" s="99">
        <f>SUMIFS(Input!$D$115:$D$3257,Input!$A$115:$A$3257,"="&amp;'Output - County'!A30,Input!$B$115:$B$3257,"="&amp;'Output - County'!B30)*VLOOKUP(A30,'Output - State'!$B$2:$G$52,6,FALSE)</f>
        <v>6.1281548196401943</v>
      </c>
    </row>
    <row r="31" spans="1:7" x14ac:dyDescent="0.25">
      <c r="A31" s="88">
        <v>1</v>
      </c>
      <c r="B31" s="70">
        <v>59</v>
      </c>
      <c r="C31" s="97">
        <f>SUMIFS(Input!$C$115:$C$3257,Input!$A$115:$A$3257,"="&amp;'Output - County'!A31,Input!$B$115:$B$3257,"="&amp;'Output - County'!B31)*VLOOKUP(A31,'Output - State'!$B$2:$G$52,2,FALSE)</f>
        <v>4.6351432588850203</v>
      </c>
      <c r="D31" s="98">
        <f>SUMIFS(Input!$C$115:$C$3257,Input!$A$115:$A$3257,"="&amp;'Output - County'!A31,Input!$B$115:$B$3257,"="&amp;'Output - County'!B31)*VLOOKUP(A31,'Output - State'!$B$2:$G$52,3,FALSE)</f>
        <v>0.84214858865505693</v>
      </c>
      <c r="E31" s="98">
        <f>SUMIFS(Input!$C$115:$C$3257,Input!$A$115:$A$3257,"="&amp;'Output - County'!A31,Input!$B$115:$B$3257,"="&amp;'Output - County'!B31)*VLOOKUP(A31,'Output - State'!$B$2:$G$52,4,FALSE)</f>
        <v>1.1702335846880323</v>
      </c>
      <c r="F31" s="98">
        <f>SUMIFS(Input!$C$115:$C$3257,Input!$A$115:$A$3257,"="&amp;'Output - County'!A31,Input!$B$115:$B$3257,"="&amp;'Output - County'!B31)*VLOOKUP(A31,'Output - State'!$B$2:$G$52,5,FALSE)</f>
        <v>21.127015675344321</v>
      </c>
      <c r="G31" s="99">
        <f>SUMIFS(Input!$D$115:$D$3257,Input!$A$115:$A$3257,"="&amp;'Output - County'!A31,Input!$B$115:$B$3257,"="&amp;'Output - County'!B31)*VLOOKUP(A31,'Output - State'!$B$2:$G$52,6,FALSE)</f>
        <v>11.695807674069394</v>
      </c>
    </row>
    <row r="32" spans="1:7" x14ac:dyDescent="0.25">
      <c r="A32" s="88">
        <v>1</v>
      </c>
      <c r="B32" s="70">
        <v>61</v>
      </c>
      <c r="C32" s="97">
        <f>SUMIFS(Input!$C$115:$C$3257,Input!$A$115:$A$3257,"="&amp;'Output - County'!A32,Input!$B$115:$B$3257,"="&amp;'Output - County'!B32)*VLOOKUP(A32,'Output - State'!$B$2:$G$52,2,FALSE)</f>
        <v>3.7318866928774446</v>
      </c>
      <c r="D32" s="98">
        <f>SUMIFS(Input!$C$115:$C$3257,Input!$A$115:$A$3257,"="&amp;'Output - County'!A32,Input!$B$115:$B$3257,"="&amp;'Output - County'!B32)*VLOOKUP(A32,'Output - State'!$B$2:$G$52,3,FALSE)</f>
        <v>0.67803796687469087</v>
      </c>
      <c r="E32" s="98">
        <f>SUMIFS(Input!$C$115:$C$3257,Input!$A$115:$A$3257,"="&amp;'Output - County'!A32,Input!$B$115:$B$3257,"="&amp;'Output - County'!B32)*VLOOKUP(A32,'Output - State'!$B$2:$G$52,4,FALSE)</f>
        <v>0.94218860094219803</v>
      </c>
      <c r="F32" s="98">
        <f>SUMIFS(Input!$C$115:$C$3257,Input!$A$115:$A$3257,"="&amp;'Output - County'!A32,Input!$B$115:$B$3257,"="&amp;'Output - County'!B32)*VLOOKUP(A32,'Output - State'!$B$2:$G$52,5,FALSE)</f>
        <v>17.009965874926682</v>
      </c>
      <c r="G32" s="99">
        <f>SUMIFS(Input!$D$115:$D$3257,Input!$A$115:$A$3257,"="&amp;'Output - County'!A32,Input!$B$115:$B$3257,"="&amp;'Output - County'!B32)*VLOOKUP(A32,'Output - State'!$B$2:$G$52,6,FALSE)</f>
        <v>9.8274677900327507</v>
      </c>
    </row>
    <row r="33" spans="1:7" x14ac:dyDescent="0.25">
      <c r="A33" s="88">
        <v>1</v>
      </c>
      <c r="B33" s="70">
        <v>63</v>
      </c>
      <c r="C33" s="97">
        <f>SUMIFS(Input!$C$115:$C$3257,Input!$A$115:$A$3257,"="&amp;'Output - County'!A33,Input!$B$115:$B$3257,"="&amp;'Output - County'!B33)*VLOOKUP(A33,'Output - State'!$B$2:$G$52,2,FALSE)</f>
        <v>4.9584465398437292</v>
      </c>
      <c r="D33" s="98">
        <f>SUMIFS(Input!$C$115:$C$3257,Input!$A$115:$A$3257,"="&amp;'Output - County'!A33,Input!$B$115:$B$3257,"="&amp;'Output - County'!B33)*VLOOKUP(A33,'Output - State'!$B$2:$G$52,3,FALSE)</f>
        <v>0.90088882311167662</v>
      </c>
      <c r="E33" s="98">
        <f>SUMIFS(Input!$C$115:$C$3257,Input!$A$115:$A$3257,"="&amp;'Output - County'!A33,Input!$B$115:$B$3257,"="&amp;'Output - County'!B33)*VLOOKUP(A33,'Output - State'!$B$2:$G$52,4,FALSE)</f>
        <v>1.2518578919179066</v>
      </c>
      <c r="F33" s="98">
        <f>SUMIFS(Input!$C$115:$C$3257,Input!$A$115:$A$3257,"="&amp;'Output - County'!A33,Input!$B$115:$B$3257,"="&amp;'Output - County'!B33)*VLOOKUP(A33,'Output - State'!$B$2:$G$52,5,FALSE)</f>
        <v>22.600634310887411</v>
      </c>
      <c r="G33" s="99">
        <f>SUMIFS(Input!$D$115:$D$3257,Input!$A$115:$A$3257,"="&amp;'Output - County'!A33,Input!$B$115:$B$3257,"="&amp;'Output - County'!B33)*VLOOKUP(A33,'Output - State'!$B$2:$G$52,6,FALSE)</f>
        <v>3.0678140895881705</v>
      </c>
    </row>
    <row r="34" spans="1:7" x14ac:dyDescent="0.25">
      <c r="A34" s="88">
        <v>1</v>
      </c>
      <c r="B34" s="70">
        <v>65</v>
      </c>
      <c r="C34" s="97">
        <f>SUMIFS(Input!$C$115:$C$3257,Input!$A$115:$A$3257,"="&amp;'Output - County'!A34,Input!$B$115:$B$3257,"="&amp;'Output - County'!B34)*VLOOKUP(A34,'Output - State'!$B$2:$G$52,2,FALSE)</f>
        <v>2.3903570024495622</v>
      </c>
      <c r="D34" s="98">
        <f>SUMIFS(Input!$C$115:$C$3257,Input!$A$115:$A$3257,"="&amp;'Output - County'!A34,Input!$B$115:$B$3257,"="&amp;'Output - County'!B34)*VLOOKUP(A34,'Output - State'!$B$2:$G$52,3,FALSE)</f>
        <v>0.43429850245424029</v>
      </c>
      <c r="E34" s="98">
        <f>SUMIFS(Input!$C$115:$C$3257,Input!$A$115:$A$3257,"="&amp;'Output - County'!A34,Input!$B$115:$B$3257,"="&amp;'Output - County'!B34)*VLOOKUP(A34,'Output - State'!$B$2:$G$52,4,FALSE)</f>
        <v>0.6034928992321098</v>
      </c>
      <c r="F34" s="98">
        <f>SUMIFS(Input!$C$115:$C$3257,Input!$A$115:$A$3257,"="&amp;'Output - County'!A34,Input!$B$115:$B$3257,"="&amp;'Output - County'!B34)*VLOOKUP(A34,'Output - State'!$B$2:$G$52,5,FALSE)</f>
        <v>10.895264081345559</v>
      </c>
      <c r="G34" s="99">
        <f>SUMIFS(Input!$D$115:$D$3257,Input!$A$115:$A$3257,"="&amp;'Output - County'!A34,Input!$B$115:$B$3257,"="&amp;'Output - County'!B34)*VLOOKUP(A34,'Output - State'!$B$2:$G$52,6,FALSE)</f>
        <v>5.4929192590677349</v>
      </c>
    </row>
    <row r="35" spans="1:7" x14ac:dyDescent="0.25">
      <c r="A35" s="88">
        <v>1</v>
      </c>
      <c r="B35" s="70">
        <v>67</v>
      </c>
      <c r="C35" s="97">
        <f>SUMIFS(Input!$C$115:$C$3257,Input!$A$115:$A$3257,"="&amp;'Output - County'!A35,Input!$B$115:$B$3257,"="&amp;'Output - County'!B35)*VLOOKUP(A35,'Output - State'!$B$2:$G$52,2,FALSE)</f>
        <v>3.1571086763066796</v>
      </c>
      <c r="D35" s="98">
        <f>SUMIFS(Input!$C$115:$C$3257,Input!$A$115:$A$3257,"="&amp;'Output - County'!A35,Input!$B$115:$B$3257,"="&amp;'Output - County'!B35)*VLOOKUP(A35,'Output - State'!$B$2:$G$52,3,FALSE)</f>
        <v>0.57360786225663851</v>
      </c>
      <c r="E35" s="98">
        <f>SUMIFS(Input!$C$115:$C$3257,Input!$A$115:$A$3257,"="&amp;'Output - County'!A35,Input!$B$115:$B$3257,"="&amp;'Output - County'!B35)*VLOOKUP(A35,'Output - State'!$B$2:$G$52,4,FALSE)</f>
        <v>0.7970745233045452</v>
      </c>
      <c r="F35" s="98">
        <f>SUMIFS(Input!$C$115:$C$3257,Input!$A$115:$A$3257,"="&amp;'Output - County'!A35,Input!$B$115:$B$3257,"="&amp;'Output - County'!B35)*VLOOKUP(A35,'Output - State'!$B$2:$G$52,5,FALSE)</f>
        <v>14.3901236202873</v>
      </c>
      <c r="G35" s="99">
        <f>SUMIFS(Input!$D$115:$D$3257,Input!$A$115:$A$3257,"="&amp;'Output - County'!A35,Input!$B$115:$B$3257,"="&amp;'Output - County'!B35)*VLOOKUP(A35,'Output - State'!$B$2:$G$52,6,FALSE)</f>
        <v>6.4270892010860576</v>
      </c>
    </row>
    <row r="36" spans="1:7" x14ac:dyDescent="0.25">
      <c r="A36" s="88">
        <v>1</v>
      </c>
      <c r="B36" s="70">
        <v>69</v>
      </c>
      <c r="C36" s="97">
        <f>SUMIFS(Input!$C$115:$C$3257,Input!$A$115:$A$3257,"="&amp;'Output - County'!A36,Input!$B$115:$B$3257,"="&amp;'Output - County'!B36)*VLOOKUP(A36,'Output - State'!$B$2:$G$52,2,FALSE)</f>
        <v>18.181666706009004</v>
      </c>
      <c r="D36" s="98">
        <f>SUMIFS(Input!$C$115:$C$3257,Input!$A$115:$A$3257,"="&amp;'Output - County'!A36,Input!$B$115:$B$3257,"="&amp;'Output - County'!B36)*VLOOKUP(A36,'Output - State'!$B$2:$G$52,3,FALSE)</f>
        <v>3.3033854836118546</v>
      </c>
      <c r="E36" s="98">
        <f>SUMIFS(Input!$C$115:$C$3257,Input!$A$115:$A$3257,"="&amp;'Output - County'!A36,Input!$B$115:$B$3257,"="&amp;'Output - County'!B36)*VLOOKUP(A36,'Output - State'!$B$2:$G$52,4,FALSE)</f>
        <v>4.5903213377905558</v>
      </c>
      <c r="F36" s="98">
        <f>SUMIFS(Input!$C$115:$C$3257,Input!$A$115:$A$3257,"="&amp;'Output - County'!A36,Input!$B$115:$B$3257,"="&amp;'Output - County'!B36)*VLOOKUP(A36,'Output - State'!$B$2:$G$52,5,FALSE)</f>
        <v>82.872165119258682</v>
      </c>
      <c r="G36" s="99">
        <f>SUMIFS(Input!$D$115:$D$3257,Input!$A$115:$A$3257,"="&amp;'Output - County'!A36,Input!$B$115:$B$3257,"="&amp;'Output - County'!B36)*VLOOKUP(A36,'Output - State'!$B$2:$G$52,6,FALSE)</f>
        <v>39.235137564769538</v>
      </c>
    </row>
    <row r="37" spans="1:7" x14ac:dyDescent="0.25">
      <c r="A37" s="88">
        <v>1</v>
      </c>
      <c r="B37" s="70">
        <v>71</v>
      </c>
      <c r="C37" s="97">
        <f>SUMIFS(Input!$C$115:$C$3257,Input!$A$115:$A$3257,"="&amp;'Output - County'!A37,Input!$B$115:$B$3257,"="&amp;'Output - County'!B37)*VLOOKUP(A37,'Output - State'!$B$2:$G$52,2,FALSE)</f>
        <v>9.1566111975187816</v>
      </c>
      <c r="D37" s="98">
        <f>SUMIFS(Input!$C$115:$C$3257,Input!$A$115:$A$3257,"="&amp;'Output - County'!A37,Input!$B$115:$B$3257,"="&amp;'Output - County'!B37)*VLOOKUP(A37,'Output - State'!$B$2:$G$52,3,FALSE)</f>
        <v>1.6636437680910994</v>
      </c>
      <c r="E37" s="98">
        <f>SUMIFS(Input!$C$115:$C$3257,Input!$A$115:$A$3257,"="&amp;'Output - County'!A37,Input!$B$115:$B$3257,"="&amp;'Output - County'!B37)*VLOOKUP(A37,'Output - State'!$B$2:$G$52,4,FALSE)</f>
        <v>2.3117675866278522</v>
      </c>
      <c r="F37" s="98">
        <f>SUMIFS(Input!$C$115:$C$3257,Input!$A$115:$A$3257,"="&amp;'Output - County'!A37,Input!$B$115:$B$3257,"="&amp;'Output - County'!B37)*VLOOKUP(A37,'Output - State'!$B$2:$G$52,5,FALSE)</f>
        <v>41.735898438993949</v>
      </c>
      <c r="G37" s="99">
        <f>SUMIFS(Input!$D$115:$D$3257,Input!$A$115:$A$3257,"="&amp;'Output - County'!A37,Input!$B$115:$B$3257,"="&amp;'Output - County'!B37)*VLOOKUP(A37,'Output - State'!$B$2:$G$52,6,FALSE)</f>
        <v>19.281267603258172</v>
      </c>
    </row>
    <row r="38" spans="1:7" x14ac:dyDescent="0.25">
      <c r="A38" s="88">
        <v>1</v>
      </c>
      <c r="B38" s="70">
        <v>73</v>
      </c>
      <c r="C38" s="97">
        <f>SUMIFS(Input!$C$115:$C$3257,Input!$A$115:$A$3257,"="&amp;'Output - County'!A38,Input!$B$115:$B$3257,"="&amp;'Output - County'!B38)*VLOOKUP(A38,'Output - State'!$B$2:$G$52,2,FALSE)</f>
        <v>129.42790141784477</v>
      </c>
      <c r="D38" s="98">
        <f>SUMIFS(Input!$C$115:$C$3257,Input!$A$115:$A$3257,"="&amp;'Output - County'!A38,Input!$B$115:$B$3257,"="&amp;'Output - County'!B38)*VLOOKUP(A38,'Output - State'!$B$2:$G$52,3,FALSE)</f>
        <v>23.515459700773754</v>
      </c>
      <c r="E38" s="98">
        <f>SUMIFS(Input!$C$115:$C$3257,Input!$A$115:$A$3257,"="&amp;'Output - County'!A38,Input!$B$115:$B$3257,"="&amp;'Output - County'!B38)*VLOOKUP(A38,'Output - State'!$B$2:$G$52,4,FALSE)</f>
        <v>32.676633401679915</v>
      </c>
      <c r="F38" s="98">
        <f>SUMIFS(Input!$C$115:$C$3257,Input!$A$115:$A$3257,"="&amp;'Output - County'!A38,Input!$B$115:$B$3257,"="&amp;'Output - County'!B38)*VLOOKUP(A38,'Output - State'!$B$2:$G$52,5,FALSE)</f>
        <v>589.93328778784928</v>
      </c>
      <c r="G38" s="99">
        <f>SUMIFS(Input!$D$115:$D$3257,Input!$A$115:$A$3257,"="&amp;'Output - County'!A38,Input!$B$115:$B$3257,"="&amp;'Output - County'!B38)*VLOOKUP(A38,'Output - State'!$B$2:$G$52,6,FALSE)</f>
        <v>246.24719671602975</v>
      </c>
    </row>
    <row r="39" spans="1:7" x14ac:dyDescent="0.25">
      <c r="A39" s="88">
        <v>1</v>
      </c>
      <c r="B39" s="70">
        <v>75</v>
      </c>
      <c r="C39" s="97">
        <f>SUMIFS(Input!$C$115:$C$3257,Input!$A$115:$A$3257,"="&amp;'Output - County'!A39,Input!$B$115:$B$3257,"="&amp;'Output - County'!B39)*VLOOKUP(A39,'Output - State'!$B$2:$G$52,2,FALSE)</f>
        <v>1.8386699490964766</v>
      </c>
      <c r="D39" s="98">
        <f>SUMIFS(Input!$C$115:$C$3257,Input!$A$115:$A$3257,"="&amp;'Output - County'!A39,Input!$B$115:$B$3257,"="&amp;'Output - County'!B39)*VLOOKUP(A39,'Output - State'!$B$2:$G$52,3,FALSE)</f>
        <v>0.33406374218658724</v>
      </c>
      <c r="E39" s="98">
        <f>SUMIFS(Input!$C$115:$C$3257,Input!$A$115:$A$3257,"="&amp;'Output - County'!A39,Input!$B$115:$B$3257,"="&amp;'Output - County'!B39)*VLOOKUP(A39,'Output - State'!$B$2:$G$52,4,FALSE)</f>
        <v>0.46420859192751568</v>
      </c>
      <c r="F39" s="98">
        <f>SUMIFS(Input!$C$115:$C$3257,Input!$A$115:$A$3257,"="&amp;'Output - County'!A39,Input!$B$115:$B$3257,"="&amp;'Output - County'!B39)*VLOOKUP(A39,'Output - State'!$B$2:$G$52,5,FALSE)</f>
        <v>8.3806705999611513</v>
      </c>
      <c r="G39" s="99">
        <f>SUMIFS(Input!$D$115:$D$3257,Input!$A$115:$A$3257,"="&amp;'Output - County'!A39,Input!$B$115:$B$3257,"="&amp;'Output - County'!B39)*VLOOKUP(A39,'Output - State'!$B$2:$G$52,6,FALSE)</f>
        <v>5.1939848776218716</v>
      </c>
    </row>
    <row r="40" spans="1:7" x14ac:dyDescent="0.25">
      <c r="A40" s="88">
        <v>1</v>
      </c>
      <c r="B40" s="70">
        <v>77</v>
      </c>
      <c r="C40" s="97">
        <f>SUMIFS(Input!$C$115:$C$3257,Input!$A$115:$A$3257,"="&amp;'Output - County'!A40,Input!$B$115:$B$3257,"="&amp;'Output - County'!B40)*VLOOKUP(A40,'Output - State'!$B$2:$G$52,2,FALSE)</f>
        <v>12.769711397514248</v>
      </c>
      <c r="D40" s="98">
        <f>SUMIFS(Input!$C$115:$C$3257,Input!$A$115:$A$3257,"="&amp;'Output - County'!A40,Input!$B$115:$B$3257,"="&amp;'Output - County'!B40)*VLOOKUP(A40,'Output - State'!$B$2:$G$52,3,FALSE)</f>
        <v>2.3200996884691505</v>
      </c>
      <c r="E40" s="98">
        <f>SUMIFS(Input!$C$115:$C$3257,Input!$A$115:$A$3257,"="&amp;'Output - County'!A40,Input!$B$115:$B$3257,"="&amp;'Output - County'!B40)*VLOOKUP(A40,'Output - State'!$B$2:$G$52,4,FALSE)</f>
        <v>3.2239661882078221</v>
      </c>
      <c r="F40" s="98">
        <f>SUMIFS(Input!$C$115:$C$3257,Input!$A$115:$A$3257,"="&amp;'Output - County'!A40,Input!$B$115:$B$3257,"="&amp;'Output - County'!B40)*VLOOKUP(A40,'Output - State'!$B$2:$G$52,5,FALSE)</f>
        <v>58.204434641315345</v>
      </c>
      <c r="G40" s="99">
        <f>SUMIFS(Input!$D$115:$D$3257,Input!$A$115:$A$3257,"="&amp;'Output - County'!A40,Input!$B$115:$B$3257,"="&amp;'Output - County'!B40)*VLOOKUP(A40,'Output - State'!$B$2:$G$52,6,FALSE)</f>
        <v>34.601654652358661</v>
      </c>
    </row>
    <row r="41" spans="1:7" x14ac:dyDescent="0.25">
      <c r="A41" s="88">
        <v>1</v>
      </c>
      <c r="B41" s="70">
        <v>79</v>
      </c>
      <c r="C41" s="97">
        <f>SUMIFS(Input!$C$115:$C$3257,Input!$A$115:$A$3257,"="&amp;'Output - County'!A41,Input!$B$115:$B$3257,"="&amp;'Output - County'!B41)*VLOOKUP(A41,'Output - State'!$B$2:$G$52,2,FALSE)</f>
        <v>5.8061828170926075</v>
      </c>
      <c r="D41" s="98">
        <f>SUMIFS(Input!$C$115:$C$3257,Input!$A$115:$A$3257,"="&amp;'Output - County'!A41,Input!$B$115:$B$3257,"="&amp;'Output - County'!B41)*VLOOKUP(A41,'Output - State'!$B$2:$G$52,3,FALSE)</f>
        <v>1.0549120904763551</v>
      </c>
      <c r="E41" s="98">
        <f>SUMIFS(Input!$C$115:$C$3257,Input!$A$115:$A$3257,"="&amp;'Output - County'!A41,Input!$B$115:$B$3257,"="&amp;'Output - County'!B41)*VLOOKUP(A41,'Output - State'!$B$2:$G$52,4,FALSE)</f>
        <v>1.4658856807448002</v>
      </c>
      <c r="F41" s="98">
        <f>SUMIFS(Input!$C$115:$C$3257,Input!$A$115:$A$3257,"="&amp;'Output - County'!A41,Input!$B$115:$B$3257,"="&amp;'Output - County'!B41)*VLOOKUP(A41,'Output - State'!$B$2:$G$52,5,FALSE)</f>
        <v>26.464622243442349</v>
      </c>
      <c r="G41" s="99">
        <f>SUMIFS(Input!$D$115:$D$3257,Input!$A$115:$A$3257,"="&amp;'Output - County'!A41,Input!$B$115:$B$3257,"="&amp;'Output - County'!B41)*VLOOKUP(A41,'Output - State'!$B$2:$G$52,6,FALSE)</f>
        <v>12.293676436961121</v>
      </c>
    </row>
    <row r="42" spans="1:7" x14ac:dyDescent="0.25">
      <c r="A42" s="88">
        <v>1</v>
      </c>
      <c r="B42" s="70">
        <v>81</v>
      </c>
      <c r="C42" s="97">
        <f>SUMIFS(Input!$C$115:$C$3257,Input!$A$115:$A$3257,"="&amp;'Output - County'!A42,Input!$B$115:$B$3257,"="&amp;'Output - County'!B42)*VLOOKUP(A42,'Output - State'!$B$2:$G$52,2,FALSE)</f>
        <v>26.403186947701244</v>
      </c>
      <c r="D42" s="98">
        <f>SUMIFS(Input!$C$115:$C$3257,Input!$A$115:$A$3257,"="&amp;'Output - County'!A42,Input!$B$115:$B$3257,"="&amp;'Output - County'!B42)*VLOOKUP(A42,'Output - State'!$B$2:$G$52,3,FALSE)</f>
        <v>4.7971347123693713</v>
      </c>
      <c r="E42" s="98">
        <f>SUMIFS(Input!$C$115:$C$3257,Input!$A$115:$A$3257,"="&amp;'Output - County'!A42,Input!$B$115:$B$3257,"="&amp;'Output - County'!B42)*VLOOKUP(A42,'Output - State'!$B$2:$G$52,4,FALSE)</f>
        <v>6.6660067193757353</v>
      </c>
      <c r="F42" s="98">
        <f>SUMIFS(Input!$C$115:$C$3257,Input!$A$115:$A$3257,"="&amp;'Output - County'!A42,Input!$B$115:$B$3257,"="&amp;'Output - County'!B42)*VLOOKUP(A42,'Output - State'!$B$2:$G$52,5,FALSE)</f>
        <v>120.3459123844457</v>
      </c>
      <c r="G42" s="99">
        <f>SUMIFS(Input!$D$115:$D$3257,Input!$A$115:$A$3257,"="&amp;'Output - County'!A42,Input!$B$115:$B$3257,"="&amp;'Output - County'!B42)*VLOOKUP(A42,'Output - State'!$B$2:$G$52,6,FALSE)</f>
        <v>61.281548196401936</v>
      </c>
    </row>
    <row r="43" spans="1:7" x14ac:dyDescent="0.25">
      <c r="A43" s="88">
        <v>1</v>
      </c>
      <c r="B43" s="70">
        <v>83</v>
      </c>
      <c r="C43" s="97">
        <f>SUMIFS(Input!$C$115:$C$3257,Input!$A$115:$A$3257,"="&amp;'Output - County'!A43,Input!$B$115:$B$3257,"="&amp;'Output - County'!B43)*VLOOKUP(A43,'Output - State'!$B$2:$G$52,2,FALSE)</f>
        <v>19.821558589033391</v>
      </c>
      <c r="D43" s="98">
        <f>SUMIFS(Input!$C$115:$C$3257,Input!$A$115:$A$3257,"="&amp;'Output - County'!A43,Input!$B$115:$B$3257,"="&amp;'Output - County'!B43)*VLOOKUP(A43,'Output - State'!$B$2:$G$52,3,FALSE)</f>
        <v>3.6013336931280535</v>
      </c>
      <c r="E43" s="98">
        <f>SUMIFS(Input!$C$115:$C$3257,Input!$A$115:$A$3257,"="&amp;'Output - County'!A43,Input!$B$115:$B$3257,"="&amp;'Output - County'!B43)*VLOOKUP(A43,'Output - State'!$B$2:$G$52,4,FALSE)</f>
        <v>5.0043444757148974</v>
      </c>
      <c r="F43" s="98">
        <f>SUMIFS(Input!$C$115:$C$3257,Input!$A$115:$A$3257,"="&amp;'Output - County'!A43,Input!$B$115:$B$3257,"="&amp;'Output - County'!B43)*VLOOKUP(A43,'Output - State'!$B$2:$G$52,5,FALSE)</f>
        <v>90.346803891666369</v>
      </c>
      <c r="G43" s="99">
        <f>SUMIFS(Input!$D$115:$D$3257,Input!$A$115:$A$3257,"="&amp;'Output - County'!A43,Input!$B$115:$B$3257,"="&amp;'Output - County'!B43)*VLOOKUP(A43,'Output - State'!$B$2:$G$52,6,FALSE)</f>
        <v>35.946859368865042</v>
      </c>
    </row>
    <row r="44" spans="1:7" x14ac:dyDescent="0.25">
      <c r="A44" s="88">
        <v>1</v>
      </c>
      <c r="B44" s="70">
        <v>85</v>
      </c>
      <c r="C44" s="97">
        <f>SUMIFS(Input!$C$115:$C$3257,Input!$A$115:$A$3257,"="&amp;'Output - County'!A44,Input!$B$115:$B$3257,"="&amp;'Output - County'!B44)*VLOOKUP(A44,'Output - State'!$B$2:$G$52,2,FALSE)</f>
        <v>5.2582638399217592</v>
      </c>
      <c r="D44" s="98">
        <f>SUMIFS(Input!$C$115:$C$3257,Input!$A$115:$A$3257,"="&amp;'Output - County'!A44,Input!$B$115:$B$3257,"="&amp;'Output - County'!B44)*VLOOKUP(A44,'Output - State'!$B$2:$G$52,3,FALSE)</f>
        <v>0.95536194336121527</v>
      </c>
      <c r="E44" s="98">
        <f>SUMIFS(Input!$C$115:$C$3257,Input!$A$115:$A$3257,"="&amp;'Output - County'!A44,Input!$B$115:$B$3257,"="&amp;'Output - County'!B44)*VLOOKUP(A44,'Output - State'!$B$2:$G$52,4,FALSE)</f>
        <v>1.3275526987934547</v>
      </c>
      <c r="F44" s="98">
        <f>SUMIFS(Input!$C$115:$C$3257,Input!$A$115:$A$3257,"="&amp;'Output - County'!A44,Input!$B$115:$B$3257,"="&amp;'Output - County'!B44)*VLOOKUP(A44,'Output - State'!$B$2:$G$52,5,FALSE)</f>
        <v>23.967203679880686</v>
      </c>
      <c r="G44" s="99">
        <f>SUMIFS(Input!$D$115:$D$3257,Input!$A$115:$A$3257,"="&amp;'Output - County'!A44,Input!$B$115:$B$3257,"="&amp;'Output - County'!B44)*VLOOKUP(A44,'Output - State'!$B$2:$G$52,6,FALSE)</f>
        <v>3.725469728769069</v>
      </c>
    </row>
    <row r="45" spans="1:7" x14ac:dyDescent="0.25">
      <c r="A45" s="88">
        <v>1</v>
      </c>
      <c r="B45" s="70">
        <v>87</v>
      </c>
      <c r="C45" s="97">
        <f>SUMIFS(Input!$C$115:$C$3257,Input!$A$115:$A$3257,"="&amp;'Output - County'!A45,Input!$B$115:$B$3257,"="&amp;'Output - County'!B45)*VLOOKUP(A45,'Output - State'!$B$2:$G$52,2,FALSE)</f>
        <v>8.2909800767361279</v>
      </c>
      <c r="D45" s="98">
        <f>SUMIFS(Input!$C$115:$C$3257,Input!$A$115:$A$3257,"="&amp;'Output - County'!A45,Input!$B$115:$B$3257,"="&amp;'Output - County'!B45)*VLOOKUP(A45,'Output - State'!$B$2:$G$52,3,FALSE)</f>
        <v>1.5063692274896585</v>
      </c>
      <c r="E45" s="98">
        <f>SUMIFS(Input!$C$115:$C$3257,Input!$A$115:$A$3257,"="&amp;'Output - County'!A45,Input!$B$115:$B$3257,"="&amp;'Output - County'!B45)*VLOOKUP(A45,'Output - State'!$B$2:$G$52,4,FALSE)</f>
        <v>2.0932218906454851</v>
      </c>
      <c r="F45" s="98">
        <f>SUMIFS(Input!$C$115:$C$3257,Input!$A$115:$A$3257,"="&amp;'Output - County'!A45,Input!$B$115:$B$3257,"="&amp;'Output - County'!B45)*VLOOKUP(A45,'Output - State'!$B$2:$G$52,5,FALSE)</f>
        <v>37.790345683362361</v>
      </c>
      <c r="G45" s="99">
        <f>SUMIFS(Input!$D$115:$D$3257,Input!$A$115:$A$3257,"="&amp;'Output - County'!A45,Input!$B$115:$B$3257,"="&amp;'Output - County'!B45)*VLOOKUP(A45,'Output - State'!$B$2:$G$52,6,FALSE)</f>
        <v>6.8381239755741197</v>
      </c>
    </row>
    <row r="46" spans="1:7" x14ac:dyDescent="0.25">
      <c r="A46" s="88">
        <v>1</v>
      </c>
      <c r="B46" s="70">
        <v>89</v>
      </c>
      <c r="C46" s="97">
        <f>SUMIFS(Input!$C$115:$C$3257,Input!$A$115:$A$3257,"="&amp;'Output - County'!A46,Input!$B$115:$B$3257,"="&amp;'Output - County'!B46)*VLOOKUP(A46,'Output - State'!$B$2:$G$52,2,FALSE)</f>
        <v>64.04281364945858</v>
      </c>
      <c r="D46" s="98">
        <f>SUMIFS(Input!$C$115:$C$3257,Input!$A$115:$A$3257,"="&amp;'Output - County'!A46,Input!$B$115:$B$3257,"="&amp;'Output - County'!B46)*VLOOKUP(A46,'Output - State'!$B$2:$G$52,3,FALSE)</f>
        <v>11.635792491420002</v>
      </c>
      <c r="E46" s="98">
        <f>SUMIFS(Input!$C$115:$C$3257,Input!$A$115:$A$3257,"="&amp;'Output - County'!A46,Input!$B$115:$B$3257,"="&amp;'Output - County'!B46)*VLOOKUP(A46,'Output - State'!$B$2:$G$52,4,FALSE)</f>
        <v>16.168874877136272</v>
      </c>
      <c r="F46" s="98">
        <f>SUMIFS(Input!$C$115:$C$3257,Input!$A$115:$A$3257,"="&amp;'Output - County'!A46,Input!$B$115:$B$3257,"="&amp;'Output - County'!B46)*VLOOKUP(A46,'Output - State'!$B$2:$G$52,5,FALSE)</f>
        <v>291.90759644195714</v>
      </c>
      <c r="G46" s="99">
        <f>SUMIFS(Input!$D$115:$D$3257,Input!$A$115:$A$3257,"="&amp;'Output - County'!A46,Input!$B$115:$B$3257,"="&amp;'Output - County'!B46)*VLOOKUP(A46,'Output - State'!$B$2:$G$52,6,FALSE)</f>
        <v>137.13614748828971</v>
      </c>
    </row>
    <row r="47" spans="1:7" x14ac:dyDescent="0.25">
      <c r="A47" s="88">
        <v>1</v>
      </c>
      <c r="B47" s="70">
        <v>91</v>
      </c>
      <c r="C47" s="97">
        <f>SUMIFS(Input!$C$115:$C$3257,Input!$A$115:$A$3257,"="&amp;'Output - County'!A47,Input!$B$115:$B$3257,"="&amp;'Output - County'!B47)*VLOOKUP(A47,'Output - State'!$B$2:$G$52,2,FALSE)</f>
        <v>3.3901202325541706</v>
      </c>
      <c r="D47" s="98">
        <f>SUMIFS(Input!$C$115:$C$3257,Input!$A$115:$A$3257,"="&amp;'Output - County'!A47,Input!$B$115:$B$3257,"="&amp;'Output - County'!B47)*VLOOKUP(A47,'Output - State'!$B$2:$G$52,3,FALSE)</f>
        <v>0.61594319954270671</v>
      </c>
      <c r="E47" s="98">
        <f>SUMIFS(Input!$C$115:$C$3257,Input!$A$115:$A$3257,"="&amp;'Output - County'!A47,Input!$B$115:$B$3257,"="&amp;'Output - County'!B47)*VLOOKUP(A47,'Output - State'!$B$2:$G$52,4,FALSE)</f>
        <v>0.85590289893641969</v>
      </c>
      <c r="F47" s="98">
        <f>SUMIFS(Input!$C$115:$C$3257,Input!$A$115:$A$3257,"="&amp;'Output - County'!A47,Input!$B$115:$B$3257,"="&amp;'Output - County'!B47)*VLOOKUP(A47,'Output - State'!$B$2:$G$52,5,FALSE)</f>
        <v>15.452191937580539</v>
      </c>
      <c r="G47" s="99">
        <f>SUMIFS(Input!$D$115:$D$3257,Input!$A$115:$A$3257,"="&amp;'Output - County'!A47,Input!$B$115:$B$3257,"="&amp;'Output - County'!B47)*VLOOKUP(A47,'Output - State'!$B$2:$G$52,6,FALSE)</f>
        <v>7.137058357019983</v>
      </c>
    </row>
    <row r="48" spans="1:7" x14ac:dyDescent="0.25">
      <c r="A48" s="88">
        <v>1</v>
      </c>
      <c r="B48" s="70">
        <v>93</v>
      </c>
      <c r="C48" s="97">
        <f>SUMIFS(Input!$C$115:$C$3257,Input!$A$115:$A$3257,"="&amp;'Output - County'!A48,Input!$B$115:$B$3257,"="&amp;'Output - County'!B48)*VLOOKUP(A48,'Output - State'!$B$2:$G$52,2,FALSE)</f>
        <v>6.9405418656677815</v>
      </c>
      <c r="D48" s="98">
        <f>SUMIFS(Input!$C$115:$C$3257,Input!$A$115:$A$3257,"="&amp;'Output - County'!A48,Input!$B$115:$B$3257,"="&amp;'Output - County'!B48)*VLOOKUP(A48,'Output - State'!$B$2:$G$52,3,FALSE)</f>
        <v>1.2610111943076081</v>
      </c>
      <c r="E48" s="98">
        <f>SUMIFS(Input!$C$115:$C$3257,Input!$A$115:$A$3257,"="&amp;'Output - County'!A48,Input!$B$115:$B$3257,"="&amp;'Output - County'!B48)*VLOOKUP(A48,'Output - State'!$B$2:$G$52,4,FALSE)</f>
        <v>1.7522770567163708</v>
      </c>
      <c r="F48" s="98">
        <f>SUMIFS(Input!$C$115:$C$3257,Input!$A$115:$A$3257,"="&amp;'Output - County'!A48,Input!$B$115:$B$3257,"="&amp;'Output - County'!B48)*VLOOKUP(A48,'Output - State'!$B$2:$G$52,5,FALSE)</f>
        <v>31.635038789851592</v>
      </c>
      <c r="G48" s="99">
        <f>SUMIFS(Input!$D$115:$D$3257,Input!$A$115:$A$3257,"="&amp;'Output - County'!A48,Input!$B$115:$B$3257,"="&amp;'Output - County'!B48)*VLOOKUP(A48,'Output - State'!$B$2:$G$52,6,FALSE)</f>
        <v>11.135305708858402</v>
      </c>
    </row>
    <row r="49" spans="1:7" x14ac:dyDescent="0.25">
      <c r="A49" s="88">
        <v>1</v>
      </c>
      <c r="B49" s="70">
        <v>95</v>
      </c>
      <c r="C49" s="97">
        <f>SUMIFS(Input!$C$115:$C$3257,Input!$A$115:$A$3257,"="&amp;'Output - County'!A49,Input!$B$115:$B$3257,"="&amp;'Output - County'!B49)*VLOOKUP(A49,'Output - State'!$B$2:$G$52,2,FALSE)</f>
        <v>14.324364318034645</v>
      </c>
      <c r="D49" s="98">
        <f>SUMIFS(Input!$C$115:$C$3257,Input!$A$115:$A$3257,"="&amp;'Output - County'!A49,Input!$B$115:$B$3257,"="&amp;'Output - County'!B49)*VLOOKUP(A49,'Output - State'!$B$2:$G$52,3,FALSE)</f>
        <v>2.6025610256360312</v>
      </c>
      <c r="E49" s="98">
        <f>SUMIFS(Input!$C$115:$C$3257,Input!$A$115:$A$3257,"="&amp;'Output - County'!A49,Input!$B$115:$B$3257,"="&amp;'Output - County'!B49)*VLOOKUP(A49,'Output - State'!$B$2:$G$52,4,FALSE)</f>
        <v>3.6164690642815889</v>
      </c>
      <c r="F49" s="98">
        <f>SUMIFS(Input!$C$115:$C$3257,Input!$A$115:$A$3257,"="&amp;'Output - County'!A49,Input!$B$115:$B$3257,"="&amp;'Output - County'!B49)*VLOOKUP(A49,'Output - State'!$B$2:$G$52,5,FALSE)</f>
        <v>65.290553621261424</v>
      </c>
      <c r="G49" s="99">
        <f>SUMIFS(Input!$D$115:$D$3257,Input!$A$115:$A$3257,"="&amp;'Output - County'!A49,Input!$B$115:$B$3257,"="&amp;'Output - County'!B49)*VLOOKUP(A49,'Output - State'!$B$2:$G$52,6,FALSE)</f>
        <v>35.946859368865042</v>
      </c>
    </row>
    <row r="50" spans="1:7" x14ac:dyDescent="0.25">
      <c r="A50" s="88">
        <v>1</v>
      </c>
      <c r="B50" s="70">
        <v>97</v>
      </c>
      <c r="C50" s="97">
        <f>SUMIFS(Input!$C$115:$C$3257,Input!$A$115:$A$3257,"="&amp;'Output - County'!A50,Input!$B$115:$B$3257,"="&amp;'Output - County'!B50)*VLOOKUP(A50,'Output - State'!$B$2:$G$52,2,FALSE)</f>
        <v>71.057862526822774</v>
      </c>
      <c r="D50" s="98">
        <f>SUMIFS(Input!$C$115:$C$3257,Input!$A$115:$A$3257,"="&amp;'Output - County'!A50,Input!$B$115:$B$3257,"="&amp;'Output - County'!B50)*VLOOKUP(A50,'Output - State'!$B$2:$G$52,3,FALSE)</f>
        <v>12.910340694454312</v>
      </c>
      <c r="E50" s="98">
        <f>SUMIFS(Input!$C$115:$C$3257,Input!$A$115:$A$3257,"="&amp;'Output - County'!A50,Input!$B$115:$B$3257,"="&amp;'Output - County'!B50)*VLOOKUP(A50,'Output - State'!$B$2:$G$52,4,FALSE)</f>
        <v>17.939962702476624</v>
      </c>
      <c r="F50" s="98">
        <f>SUMIFS(Input!$C$115:$C$3257,Input!$A$115:$A$3257,"="&amp;'Output - County'!A50,Input!$B$115:$B$3257,"="&amp;'Output - County'!B50)*VLOOKUP(A50,'Output - State'!$B$2:$G$52,5,FALSE)</f>
        <v>323.88223871677457</v>
      </c>
      <c r="G50" s="99">
        <f>SUMIFS(Input!$D$115:$D$3257,Input!$A$115:$A$3257,"="&amp;'Output - County'!A50,Input!$B$115:$B$3257,"="&amp;'Output - County'!B50)*VLOOKUP(A50,'Output - State'!$B$2:$G$52,6,FALSE)</f>
        <v>154.69854239823417</v>
      </c>
    </row>
    <row r="51" spans="1:7" x14ac:dyDescent="0.25">
      <c r="A51" s="88">
        <v>1</v>
      </c>
      <c r="B51" s="70">
        <v>99</v>
      </c>
      <c r="C51" s="97">
        <f>SUMIFS(Input!$C$115:$C$3257,Input!$A$115:$A$3257,"="&amp;'Output - County'!A51,Input!$B$115:$B$3257,"="&amp;'Output - County'!B51)*VLOOKUP(A51,'Output - State'!$B$2:$G$52,2,FALSE)</f>
        <v>2.9964634448991907</v>
      </c>
      <c r="D51" s="98">
        <f>SUMIFS(Input!$C$115:$C$3257,Input!$A$115:$A$3257,"="&amp;'Output - County'!A51,Input!$B$115:$B$3257,"="&amp;'Output - County'!B51)*VLOOKUP(A51,'Output - State'!$B$2:$G$52,3,FALSE)</f>
        <v>0.54442059719322278</v>
      </c>
      <c r="E51" s="98">
        <f>SUMIFS(Input!$C$115:$C$3257,Input!$A$115:$A$3257,"="&amp;'Output - County'!A51,Input!$B$115:$B$3257,"="&amp;'Output - County'!B51)*VLOOKUP(A51,'Output - State'!$B$2:$G$52,4,FALSE)</f>
        <v>0.7565164575634995</v>
      </c>
      <c r="F51" s="98">
        <f>SUMIFS(Input!$C$115:$C$3257,Input!$A$115:$A$3257,"="&amp;'Output - County'!A51,Input!$B$115:$B$3257,"="&amp;'Output - County'!B51)*VLOOKUP(A51,'Output - State'!$B$2:$G$52,5,FALSE)</f>
        <v>13.657901522165623</v>
      </c>
      <c r="G51" s="99">
        <f>SUMIFS(Input!$D$115:$D$3257,Input!$A$115:$A$3257,"="&amp;'Output - County'!A51,Input!$B$115:$B$3257,"="&amp;'Output - County'!B51)*VLOOKUP(A51,'Output - State'!$B$2:$G$52,6,FALSE)</f>
        <v>7.884394310634641</v>
      </c>
    </row>
    <row r="52" spans="1:7" x14ac:dyDescent="0.25">
      <c r="A52" s="88">
        <v>1</v>
      </c>
      <c r="B52" s="70">
        <v>101</v>
      </c>
      <c r="C52" s="97">
        <f>SUMIFS(Input!$C$115:$C$3257,Input!$A$115:$A$3257,"="&amp;'Output - County'!A52,Input!$B$115:$B$3257,"="&amp;'Output - County'!B52)*VLOOKUP(A52,'Output - State'!$B$2:$G$52,2,FALSE)</f>
        <v>43.841695695421954</v>
      </c>
      <c r="D52" s="98">
        <f>SUMIFS(Input!$C$115:$C$3257,Input!$A$115:$A$3257,"="&amp;'Output - County'!A52,Input!$B$115:$B$3257,"="&amp;'Output - County'!B52)*VLOOKUP(A52,'Output - State'!$B$2:$G$52,3,FALSE)</f>
        <v>7.9654975244552535</v>
      </c>
      <c r="E52" s="98">
        <f>SUMIFS(Input!$C$115:$C$3257,Input!$A$115:$A$3257,"="&amp;'Output - County'!A52,Input!$B$115:$B$3257,"="&amp;'Output - County'!B52)*VLOOKUP(A52,'Output - State'!$B$2:$G$52,4,FALSE)</f>
        <v>11.068703133200868</v>
      </c>
      <c r="F52" s="98">
        <f>SUMIFS(Input!$C$115:$C$3257,Input!$A$115:$A$3257,"="&amp;'Output - County'!A52,Input!$B$115:$B$3257,"="&amp;'Output - County'!B52)*VLOOKUP(A52,'Output - State'!$B$2:$G$52,5,FALSE)</f>
        <v>199.8307582867811</v>
      </c>
      <c r="G52" s="99">
        <f>SUMIFS(Input!$D$115:$D$3257,Input!$A$115:$A$3257,"="&amp;'Output - County'!A52,Input!$B$115:$B$3257,"="&amp;'Output - County'!B52)*VLOOKUP(A52,'Output - State'!$B$2:$G$52,6,FALSE)</f>
        <v>84.822630735263672</v>
      </c>
    </row>
    <row r="53" spans="1:7" x14ac:dyDescent="0.25">
      <c r="A53" s="88">
        <v>1</v>
      </c>
      <c r="B53" s="70">
        <v>103</v>
      </c>
      <c r="C53" s="97">
        <f>SUMIFS(Input!$C$115:$C$3257,Input!$A$115:$A$3257,"="&amp;'Output - County'!A53,Input!$B$115:$B$3257,"="&amp;'Output - County'!B53)*VLOOKUP(A53,'Output - State'!$B$2:$G$52,2,FALSE)</f>
        <v>21.178339561034264</v>
      </c>
      <c r="D53" s="98">
        <f>SUMIFS(Input!$C$115:$C$3257,Input!$A$115:$A$3257,"="&amp;'Output - County'!A53,Input!$B$115:$B$3257,"="&amp;'Output - County'!B53)*VLOOKUP(A53,'Output - State'!$B$2:$G$52,3,FALSE)</f>
        <v>3.8478441280524374</v>
      </c>
      <c r="E53" s="98">
        <f>SUMIFS(Input!$C$115:$C$3257,Input!$A$115:$A$3257,"="&amp;'Output - County'!A53,Input!$B$115:$B$3257,"="&amp;'Output - County'!B53)*VLOOKUP(A53,'Output - State'!$B$2:$G$52,4,FALSE)</f>
        <v>5.3468906650818742</v>
      </c>
      <c r="F53" s="98">
        <f>SUMIFS(Input!$C$115:$C$3257,Input!$A$115:$A$3257,"="&amp;'Output - County'!A53,Input!$B$115:$B$3257,"="&amp;'Output - County'!B53)*VLOOKUP(A53,'Output - State'!$B$2:$G$52,5,FALSE)</f>
        <v>96.531021134256335</v>
      </c>
      <c r="G53" s="99">
        <f>SUMIFS(Input!$D$115:$D$3257,Input!$A$115:$A$3257,"="&amp;'Output - County'!A53,Input!$B$115:$B$3257,"="&amp;'Output - County'!B53)*VLOOKUP(A53,'Output - State'!$B$2:$G$52,6,FALSE)</f>
        <v>44.466489240072143</v>
      </c>
    </row>
    <row r="54" spans="1:7" x14ac:dyDescent="0.25">
      <c r="A54" s="88">
        <v>1</v>
      </c>
      <c r="B54" s="88">
        <v>105</v>
      </c>
      <c r="C54" s="97">
        <f>SUMIFS(Input!$C$115:$C$3257,Input!$A$115:$A$3257,"="&amp;'Output - County'!A54,Input!$B$115:$B$3257,"="&amp;'Output - County'!B54)*VLOOKUP(A54,'Output - State'!$B$2:$G$52,2,FALSE)</f>
        <v>1.2415230670078108</v>
      </c>
      <c r="D54" s="98">
        <f>SUMIFS(Input!$C$115:$C$3257,Input!$A$115:$A$3257,"="&amp;'Output - County'!A54,Input!$B$115:$B$3257,"="&amp;'Output - County'!B54)*VLOOKUP(A54,'Output - State'!$B$2:$G$52,3,FALSE)</f>
        <v>0.22556948949940997</v>
      </c>
      <c r="E54" s="98">
        <f>SUMIFS(Input!$C$115:$C$3257,Input!$A$115:$A$3257,"="&amp;'Output - County'!A54,Input!$B$115:$B$3257,"="&amp;'Output - County'!B54)*VLOOKUP(A54,'Output - State'!$B$2:$G$52,4,FALSE)</f>
        <v>0.31344705180200139</v>
      </c>
      <c r="F54" s="98">
        <f>SUMIFS(Input!$C$115:$C$3257,Input!$A$115:$A$3257,"="&amp;'Output - County'!A54,Input!$B$115:$B$3257,"="&amp;'Output - County'!B54)*VLOOKUP(A54,'Output - State'!$B$2:$G$52,5,FALSE)</f>
        <v>5.658870898476847</v>
      </c>
      <c r="G54" s="99">
        <f>SUMIFS(Input!$D$115:$D$3257,Input!$A$115:$A$3257,"="&amp;'Output - County'!A54,Input!$B$115:$B$3257,"="&amp;'Output - County'!B54)*VLOOKUP(A54,'Output - State'!$B$2:$G$52,6,FALSE)</f>
        <v>3.389168549642473</v>
      </c>
    </row>
    <row r="55" spans="1:7" x14ac:dyDescent="0.25">
      <c r="A55" s="88">
        <v>1</v>
      </c>
      <c r="B55" s="88">
        <v>107</v>
      </c>
      <c r="C55" s="97">
        <f>SUMIFS(Input!$C$115:$C$3257,Input!$A$115:$A$3257,"="&amp;'Output - County'!A55,Input!$B$115:$B$3257,"="&amp;'Output - County'!B55)*VLOOKUP(A55,'Output - State'!$B$2:$G$52,2,FALSE)</f>
        <v>2.9378237005192127</v>
      </c>
      <c r="D55" s="98">
        <f>SUMIFS(Input!$C$115:$C$3257,Input!$A$115:$A$3257,"="&amp;'Output - County'!A55,Input!$B$115:$B$3257,"="&amp;'Output - County'!B55)*VLOOKUP(A55,'Output - State'!$B$2:$G$52,3,FALSE)</f>
        <v>0.53376647601281924</v>
      </c>
      <c r="E55" s="98">
        <f>SUMIFS(Input!$C$115:$C$3257,Input!$A$115:$A$3257,"="&amp;'Output - County'!A55,Input!$B$115:$B$3257,"="&amp;'Output - County'!B55)*VLOOKUP(A55,'Output - State'!$B$2:$G$52,4,FALSE)</f>
        <v>0.74171169437965812</v>
      </c>
      <c r="F55" s="98">
        <f>SUMIFS(Input!$C$115:$C$3257,Input!$A$115:$A$3257,"="&amp;'Output - County'!A55,Input!$B$115:$B$3257,"="&amp;'Output - County'!B55)*VLOOKUP(A55,'Output - State'!$B$2:$G$52,5,FALSE)</f>
        <v>13.390621153573091</v>
      </c>
      <c r="G55" s="99">
        <f>SUMIFS(Input!$D$115:$D$3257,Input!$A$115:$A$3257,"="&amp;'Output - County'!A55,Input!$B$115:$B$3257,"="&amp;'Output - County'!B55)*VLOOKUP(A55,'Output - State'!$B$2:$G$52,6,FALSE)</f>
        <v>7.473359536146579</v>
      </c>
    </row>
    <row r="56" spans="1:7" x14ac:dyDescent="0.25">
      <c r="A56" s="88">
        <v>1</v>
      </c>
      <c r="B56" s="88">
        <v>109</v>
      </c>
      <c r="C56" s="97">
        <f>SUMIFS(Input!$C$115:$C$3257,Input!$A$115:$A$3257,"="&amp;'Output - County'!A56,Input!$B$115:$B$3257,"="&amp;'Output - County'!B56)*VLOOKUP(A56,'Output - State'!$B$2:$G$52,2,FALSE)</f>
        <v>6.1688323058570633</v>
      </c>
      <c r="D56" s="98">
        <f>SUMIFS(Input!$C$115:$C$3257,Input!$A$115:$A$3257,"="&amp;'Output - County'!A56,Input!$B$115:$B$3257,"="&amp;'Output - County'!B56)*VLOOKUP(A56,'Output - State'!$B$2:$G$52,3,FALSE)</f>
        <v>1.1208010475337318</v>
      </c>
      <c r="E56" s="98">
        <f>SUMIFS(Input!$C$115:$C$3257,Input!$A$115:$A$3257,"="&amp;'Output - County'!A56,Input!$B$115:$B$3257,"="&amp;'Output - County'!B56)*VLOOKUP(A56,'Output - State'!$B$2:$G$52,4,FALSE)</f>
        <v>1.5574437162831012</v>
      </c>
      <c r="F56" s="98">
        <f>SUMIFS(Input!$C$115:$C$3257,Input!$A$115:$A$3257,"="&amp;'Output - County'!A56,Input!$B$115:$B$3257,"="&amp;'Output - County'!B56)*VLOOKUP(A56,'Output - State'!$B$2:$G$52,5,FALSE)</f>
        <v>28.117581171755013</v>
      </c>
      <c r="G56" s="99">
        <f>SUMIFS(Input!$D$115:$D$3257,Input!$A$115:$A$3257,"="&amp;'Output - County'!A56,Input!$B$115:$B$3257,"="&amp;'Output - County'!B56)*VLOOKUP(A56,'Output - State'!$B$2:$G$52,6,FALSE)</f>
        <v>12.405776830003319</v>
      </c>
    </row>
    <row r="57" spans="1:7" x14ac:dyDescent="0.25">
      <c r="A57" s="88">
        <v>1</v>
      </c>
      <c r="B57" s="88">
        <v>111</v>
      </c>
      <c r="C57" s="97">
        <f>SUMIFS(Input!$C$115:$C$3257,Input!$A$115:$A$3257,"="&amp;'Output - County'!A57,Input!$B$115:$B$3257,"="&amp;'Output - County'!B57)*VLOOKUP(A57,'Output - State'!$B$2:$G$52,2,FALSE)</f>
        <v>2.7631916383745465</v>
      </c>
      <c r="D57" s="98">
        <f>SUMIFS(Input!$C$115:$C$3257,Input!$A$115:$A$3257,"="&amp;'Output - County'!A57,Input!$B$115:$B$3257,"="&amp;'Output - County'!B57)*VLOOKUP(A57,'Output - State'!$B$2:$G$52,3,FALSE)</f>
        <v>0.50203797562890018</v>
      </c>
      <c r="E57" s="98">
        <f>SUMIFS(Input!$C$115:$C$3257,Input!$A$115:$A$3257,"="&amp;'Output - County'!A57,Input!$B$115:$B$3257,"="&amp;'Output - County'!B57)*VLOOKUP(A57,'Output - State'!$B$2:$G$52,4,FALSE)</f>
        <v>0.69762237660220172</v>
      </c>
      <c r="F57" s="98">
        <f>SUMIFS(Input!$C$115:$C$3257,Input!$A$115:$A$3257,"="&amp;'Output - County'!A57,Input!$B$115:$B$3257,"="&amp;'Output - County'!B57)*VLOOKUP(A57,'Output - State'!$B$2:$G$52,5,FALSE)</f>
        <v>12.59464698227303</v>
      </c>
      <c r="G57" s="99">
        <f>SUMIFS(Input!$D$115:$D$3257,Input!$A$115:$A$3257,"="&amp;'Output - County'!A57,Input!$B$115:$B$3257,"="&amp;'Output - County'!B57)*VLOOKUP(A57,'Output - State'!$B$2:$G$52,6,FALSE)</f>
        <v>8.4822630735263651</v>
      </c>
    </row>
    <row r="58" spans="1:7" x14ac:dyDescent="0.25">
      <c r="A58" s="88">
        <v>1</v>
      </c>
      <c r="B58" s="88">
        <v>113</v>
      </c>
      <c r="C58" s="97">
        <f>SUMIFS(Input!$C$115:$C$3257,Input!$A$115:$A$3257,"="&amp;'Output - County'!A58,Input!$B$115:$B$3257,"="&amp;'Output - County'!B58)*VLOOKUP(A58,'Output - State'!$B$2:$G$52,2,FALSE)</f>
        <v>10.170342564226665</v>
      </c>
      <c r="D58" s="98">
        <f>SUMIFS(Input!$C$115:$C$3257,Input!$A$115:$A$3257,"="&amp;'Output - County'!A58,Input!$B$115:$B$3257,"="&amp;'Output - County'!B58)*VLOOKUP(A58,'Output - State'!$B$2:$G$52,3,FALSE)</f>
        <v>1.8478263040055916</v>
      </c>
      <c r="E58" s="98">
        <f>SUMIFS(Input!$C$115:$C$3257,Input!$A$115:$A$3257,"="&amp;'Output - County'!A58,Input!$B$115:$B$3257,"="&amp;'Output - County'!B58)*VLOOKUP(A58,'Output - State'!$B$2:$G$52,4,FALSE)</f>
        <v>2.5677041186647558</v>
      </c>
      <c r="F58" s="98">
        <f>SUMIFS(Input!$C$115:$C$3257,Input!$A$115:$A$3257,"="&amp;'Output - County'!A58,Input!$B$115:$B$3257,"="&amp;'Output - County'!B58)*VLOOKUP(A58,'Output - State'!$B$2:$G$52,5,FALSE)</f>
        <v>46.356493160413102</v>
      </c>
      <c r="G58" s="99">
        <f>SUMIFS(Input!$D$115:$D$3257,Input!$A$115:$A$3257,"="&amp;'Output - County'!A58,Input!$B$115:$B$3257,"="&amp;'Output - County'!B58)*VLOOKUP(A58,'Output - State'!$B$2:$G$52,6,FALSE)</f>
        <v>21.59800905946361</v>
      </c>
    </row>
    <row r="59" spans="1:7" x14ac:dyDescent="0.25">
      <c r="A59" s="88">
        <v>1</v>
      </c>
      <c r="B59" s="88">
        <v>115</v>
      </c>
      <c r="C59" s="97">
        <f>SUMIFS(Input!$C$115:$C$3257,Input!$A$115:$A$3257,"="&amp;'Output - County'!A59,Input!$B$115:$B$3257,"="&amp;'Output - County'!B59)*VLOOKUP(A59,'Output - State'!$B$2:$G$52,2,FALSE)</f>
        <v>19.538332653637092</v>
      </c>
      <c r="D59" s="98">
        <f>SUMIFS(Input!$C$115:$C$3257,Input!$A$115:$A$3257,"="&amp;'Output - County'!A59,Input!$B$115:$B$3257,"="&amp;'Output - County'!B59)*VLOOKUP(A59,'Output - State'!$B$2:$G$52,3,FALSE)</f>
        <v>3.549875020020747</v>
      </c>
      <c r="E59" s="98">
        <f>SUMIFS(Input!$C$115:$C$3257,Input!$A$115:$A$3257,"="&amp;'Output - County'!A59,Input!$B$115:$B$3257,"="&amp;'Output - County'!B59)*VLOOKUP(A59,'Output - State'!$B$2:$G$52,4,FALSE)</f>
        <v>4.9328384869797928</v>
      </c>
      <c r="F59" s="98">
        <f>SUMIFS(Input!$C$115:$C$3257,Input!$A$115:$A$3257,"="&amp;'Output - County'!A59,Input!$B$115:$B$3257,"="&amp;'Output - County'!B59)*VLOOKUP(A59,'Output - State'!$B$2:$G$52,5,FALSE)</f>
        <v>89.055858079945978</v>
      </c>
      <c r="G59" s="99">
        <f>SUMIFS(Input!$D$115:$D$3257,Input!$A$115:$A$3257,"="&amp;'Output - County'!A59,Input!$B$115:$B$3257,"="&amp;'Output - County'!B59)*VLOOKUP(A59,'Output - State'!$B$2:$G$52,6,FALSE)</f>
        <v>33.144349542810076</v>
      </c>
    </row>
    <row r="60" spans="1:7" x14ac:dyDescent="0.25">
      <c r="A60" s="88">
        <v>1</v>
      </c>
      <c r="B60" s="88">
        <v>117</v>
      </c>
      <c r="C60" s="97">
        <f>SUMIFS(Input!$C$115:$C$3257,Input!$A$115:$A$3257,"="&amp;'Output - County'!A60,Input!$B$115:$B$3257,"="&amp;'Output - County'!B60)*VLOOKUP(A60,'Output - State'!$B$2:$G$52,2,FALSE)</f>
        <v>36.485630462883222</v>
      </c>
      <c r="D60" s="98">
        <f>SUMIFS(Input!$C$115:$C$3257,Input!$A$115:$A$3257,"="&amp;'Output - County'!A60,Input!$B$115:$B$3257,"="&amp;'Output - County'!B60)*VLOOKUP(A60,'Output - State'!$B$2:$G$52,3,FALSE)</f>
        <v>6.6289908389796457</v>
      </c>
      <c r="E60" s="98">
        <f>SUMIFS(Input!$C$115:$C$3257,Input!$A$115:$A$3257,"="&amp;'Output - County'!A60,Input!$B$115:$B$3257,"="&amp;'Output - County'!B60)*VLOOKUP(A60,'Output - State'!$B$2:$G$52,4,FALSE)</f>
        <v>9.2115189847343277</v>
      </c>
      <c r="F60" s="98">
        <f>SUMIFS(Input!$C$115:$C$3257,Input!$A$115:$A$3257,"="&amp;'Output - County'!A60,Input!$B$115:$B$3257,"="&amp;'Output - County'!B60)*VLOOKUP(A60,'Output - State'!$B$2:$G$52,5,FALSE)</f>
        <v>166.30176105917755</v>
      </c>
      <c r="G60" s="99">
        <f>SUMIFS(Input!$D$115:$D$3257,Input!$A$115:$A$3257,"="&amp;'Output - County'!A60,Input!$B$115:$B$3257,"="&amp;'Output - County'!B60)*VLOOKUP(A60,'Output - State'!$B$2:$G$52,6,FALSE)</f>
        <v>80.712282990383045</v>
      </c>
    </row>
    <row r="61" spans="1:7" x14ac:dyDescent="0.25">
      <c r="A61" s="88">
        <v>1</v>
      </c>
      <c r="B61" s="88">
        <v>119</v>
      </c>
      <c r="C61" s="97">
        <f>SUMIFS(Input!$C$115:$C$3257,Input!$A$115:$A$3257,"="&amp;'Output - County'!A61,Input!$B$115:$B$3257,"="&amp;'Output - County'!B61)*VLOOKUP(A61,'Output - State'!$B$2:$G$52,2,FALSE)</f>
        <v>4.9364874740802636</v>
      </c>
      <c r="D61" s="98">
        <f>SUMIFS(Input!$C$115:$C$3257,Input!$A$115:$A$3257,"="&amp;'Output - County'!A61,Input!$B$115:$B$3257,"="&amp;'Output - County'!B61)*VLOOKUP(A61,'Output - State'!$B$2:$G$52,3,FALSE)</f>
        <v>0.89689913062365312</v>
      </c>
      <c r="E61" s="98">
        <f>SUMIFS(Input!$C$115:$C$3257,Input!$A$115:$A$3257,"="&amp;'Output - County'!A61,Input!$B$115:$B$3257,"="&amp;'Output - County'!B61)*VLOOKUP(A61,'Output - State'!$B$2:$G$52,4,FALSE)</f>
        <v>1.2463138914826404</v>
      </c>
      <c r="F61" s="98">
        <f>SUMIFS(Input!$C$115:$C$3257,Input!$A$115:$A$3257,"="&amp;'Output - County'!A61,Input!$B$115:$B$3257,"="&amp;'Output - County'!B61)*VLOOKUP(A61,'Output - State'!$B$2:$G$52,5,FALSE)</f>
        <v>22.50054473421438</v>
      </c>
      <c r="G61" s="99">
        <f>SUMIFS(Input!$D$115:$D$3257,Input!$A$115:$A$3257,"="&amp;'Output - County'!A61,Input!$B$115:$B$3257,"="&amp;'Output - County'!B61)*VLOOKUP(A61,'Output - State'!$B$2:$G$52,6,FALSE)</f>
        <v>4.7082165077723444</v>
      </c>
    </row>
    <row r="62" spans="1:7" x14ac:dyDescent="0.25">
      <c r="A62" s="88">
        <v>1</v>
      </c>
      <c r="B62" s="88">
        <v>121</v>
      </c>
      <c r="C62" s="97">
        <f>SUMIFS(Input!$C$115:$C$3257,Input!$A$115:$A$3257,"="&amp;'Output - County'!A62,Input!$B$115:$B$3257,"="&amp;'Output - County'!B62)*VLOOKUP(A62,'Output - State'!$B$2:$G$52,2,FALSE)</f>
        <v>16.130412255062573</v>
      </c>
      <c r="D62" s="98">
        <f>SUMIFS(Input!$C$115:$C$3257,Input!$A$115:$A$3257,"="&amp;'Output - County'!A62,Input!$B$115:$B$3257,"="&amp;'Output - County'!B62)*VLOOKUP(A62,'Output - State'!$B$2:$G$52,3,FALSE)</f>
        <v>2.9306977489823796</v>
      </c>
      <c r="E62" s="98">
        <f>SUMIFS(Input!$C$115:$C$3257,Input!$A$115:$A$3257,"="&amp;'Output - County'!A62,Input!$B$115:$B$3257,"="&amp;'Output - County'!B62)*VLOOKUP(A62,'Output - State'!$B$2:$G$52,4,FALSE)</f>
        <v>4.0724415840985957</v>
      </c>
      <c r="F62" s="98">
        <f>SUMIFS(Input!$C$115:$C$3257,Input!$A$115:$A$3257,"="&amp;'Output - County'!A62,Input!$B$115:$B$3257,"="&amp;'Output - County'!B62)*VLOOKUP(A62,'Output - State'!$B$2:$G$52,5,FALSE)</f>
        <v>73.522532860062938</v>
      </c>
      <c r="G62" s="99">
        <f>SUMIFS(Input!$D$115:$D$3257,Input!$A$115:$A$3257,"="&amp;'Output - County'!A62,Input!$B$115:$B$3257,"="&amp;'Output - County'!B62)*VLOOKUP(A62,'Output - State'!$B$2:$G$52,6,FALSE)</f>
        <v>29.930804942267045</v>
      </c>
    </row>
    <row r="63" spans="1:7" x14ac:dyDescent="0.25">
      <c r="A63" s="88">
        <v>1</v>
      </c>
      <c r="B63" s="88">
        <v>123</v>
      </c>
      <c r="C63" s="97">
        <f>SUMIFS(Input!$C$115:$C$3257,Input!$A$115:$A$3257,"="&amp;'Output - County'!A63,Input!$B$115:$B$3257,"="&amp;'Output - County'!B63)*VLOOKUP(A63,'Output - State'!$B$2:$G$52,2,FALSE)</f>
        <v>6.8578555434357185</v>
      </c>
      <c r="D63" s="98">
        <f>SUMIFS(Input!$C$115:$C$3257,Input!$A$115:$A$3257,"="&amp;'Output - County'!A63,Input!$B$115:$B$3257,"="&amp;'Output - County'!B63)*VLOOKUP(A63,'Output - State'!$B$2:$G$52,3,FALSE)</f>
        <v>1.2459881053372017</v>
      </c>
      <c r="E63" s="98">
        <f>SUMIFS(Input!$C$115:$C$3257,Input!$A$115:$A$3257,"="&amp;'Output - County'!A63,Input!$B$115:$B$3257,"="&amp;'Output - County'!B63)*VLOOKUP(A63,'Output - State'!$B$2:$G$52,4,FALSE)</f>
        <v>1.7314012593858754</v>
      </c>
      <c r="F63" s="98">
        <f>SUMIFS(Input!$C$115:$C$3257,Input!$A$115:$A$3257,"="&amp;'Output - County'!A63,Input!$B$115:$B$3257,"="&amp;'Output - County'!B63)*VLOOKUP(A63,'Output - State'!$B$2:$G$52,5,FALSE)</f>
        <v>31.258153949758523</v>
      </c>
      <c r="G63" s="99">
        <f>SUMIFS(Input!$D$115:$D$3257,Input!$A$115:$A$3257,"="&amp;'Output - County'!A63,Input!$B$115:$B$3257,"="&amp;'Output - County'!B63)*VLOOKUP(A63,'Output - State'!$B$2:$G$52,6,FALSE)</f>
        <v>15.133553060696821</v>
      </c>
    </row>
    <row r="64" spans="1:7" x14ac:dyDescent="0.25">
      <c r="A64" s="88">
        <v>1</v>
      </c>
      <c r="B64" s="88">
        <v>125</v>
      </c>
      <c r="C64" s="97">
        <f>SUMIFS(Input!$C$115:$C$3257,Input!$A$115:$A$3257,"="&amp;'Output - County'!A64,Input!$B$115:$B$3257,"="&amp;'Output - County'!B64)*VLOOKUP(A64,'Output - State'!$B$2:$G$52,2,FALSE)</f>
        <v>41.826285889678068</v>
      </c>
      <c r="D64" s="98">
        <f>SUMIFS(Input!$C$115:$C$3257,Input!$A$115:$A$3257,"="&amp;'Output - County'!A64,Input!$B$115:$B$3257,"="&amp;'Output - County'!B64)*VLOOKUP(A64,'Output - State'!$B$2:$G$52,3,FALSE)</f>
        <v>7.5993223215172856</v>
      </c>
      <c r="E64" s="98">
        <f>SUMIFS(Input!$C$115:$C$3257,Input!$A$115:$A$3257,"="&amp;'Output - County'!A64,Input!$B$115:$B$3257,"="&amp;'Output - County'!B64)*VLOOKUP(A64,'Output - State'!$B$2:$G$52,4,FALSE)</f>
        <v>10.559873069087939</v>
      </c>
      <c r="F64" s="98">
        <f>SUMIFS(Input!$C$115:$C$3257,Input!$A$115:$A$3257,"="&amp;'Output - County'!A64,Input!$B$115:$B$3257,"="&amp;'Output - County'!B64)*VLOOKUP(A64,'Output - State'!$B$2:$G$52,5,FALSE)</f>
        <v>190.6445061733057</v>
      </c>
      <c r="G64" s="99">
        <f>SUMIFS(Input!$D$115:$D$3257,Input!$A$115:$A$3257,"="&amp;'Output - County'!A64,Input!$B$115:$B$3257,"="&amp;'Output - County'!B64)*VLOOKUP(A64,'Output - State'!$B$2:$G$52,6,FALSE)</f>
        <v>77.722939175924409</v>
      </c>
    </row>
    <row r="65" spans="1:7" x14ac:dyDescent="0.25">
      <c r="A65" s="88">
        <v>1</v>
      </c>
      <c r="B65" s="88">
        <v>127</v>
      </c>
      <c r="C65" s="97">
        <f>SUMIFS(Input!$C$115:$C$3257,Input!$A$115:$A$3257,"="&amp;'Output - County'!A65,Input!$B$115:$B$3257,"="&amp;'Output - County'!B65)*VLOOKUP(A65,'Output - State'!$B$2:$G$52,2,FALSE)</f>
        <v>12.886245289445531</v>
      </c>
      <c r="D65" s="98">
        <f>SUMIFS(Input!$C$115:$C$3257,Input!$A$115:$A$3257,"="&amp;'Output - County'!A65,Input!$B$115:$B$3257,"="&amp;'Output - County'!B65)*VLOOKUP(A65,'Output - State'!$B$2:$G$52,3,FALSE)</f>
        <v>2.3412724650456438</v>
      </c>
      <c r="E65" s="98">
        <f>SUMIFS(Input!$C$115:$C$3257,Input!$A$115:$A$3257,"="&amp;'Output - County'!A65,Input!$B$115:$B$3257,"="&amp;'Output - County'!B65)*VLOOKUP(A65,'Output - State'!$B$2:$G$52,4,FALSE)</f>
        <v>3.2533874739104771</v>
      </c>
      <c r="F65" s="98">
        <f>SUMIFS(Input!$C$115:$C$3257,Input!$A$115:$A$3257,"="&amp;'Output - County'!A65,Input!$B$115:$B$3257,"="&amp;'Output - County'!B65)*VLOOKUP(A65,'Output - State'!$B$2:$G$52,5,FALSE)</f>
        <v>58.735596942895057</v>
      </c>
      <c r="G65" s="99">
        <f>SUMIFS(Input!$D$115:$D$3257,Input!$A$115:$A$3257,"="&amp;'Output - County'!A65,Input!$B$115:$B$3257,"="&amp;'Output - County'!B65)*VLOOKUP(A65,'Output - State'!$B$2:$G$52,6,FALSE)</f>
        <v>23.802650122626851</v>
      </c>
    </row>
    <row r="66" spans="1:7" x14ac:dyDescent="0.25">
      <c r="A66" s="88">
        <v>1</v>
      </c>
      <c r="B66" s="88">
        <v>129</v>
      </c>
      <c r="C66" s="97">
        <f>SUMIFS(Input!$C$115:$C$3257,Input!$A$115:$A$3257,"="&amp;'Output - County'!A66,Input!$B$115:$B$3257,"="&amp;'Output - County'!B66)*VLOOKUP(A66,'Output - State'!$B$2:$G$52,2,FALSE)</f>
        <v>3.0452424272605749</v>
      </c>
      <c r="D66" s="98">
        <f>SUMIFS(Input!$C$115:$C$3257,Input!$A$115:$A$3257,"="&amp;'Output - County'!A66,Input!$B$115:$B$3257,"="&amp;'Output - County'!B66)*VLOOKUP(A66,'Output - State'!$B$2:$G$52,3,FALSE)</f>
        <v>0.55328313905164872</v>
      </c>
      <c r="E66" s="98">
        <f>SUMIFS(Input!$C$115:$C$3257,Input!$A$115:$A$3257,"="&amp;'Output - County'!A66,Input!$B$115:$B$3257,"="&amp;'Output - County'!B66)*VLOOKUP(A66,'Output - State'!$B$2:$G$52,4,FALSE)</f>
        <v>0.76883167635997907</v>
      </c>
      <c r="F66" s="98">
        <f>SUMIFS(Input!$C$115:$C$3257,Input!$A$115:$A$3257,"="&amp;'Output - County'!A66,Input!$B$115:$B$3257,"="&amp;'Output - County'!B66)*VLOOKUP(A66,'Output - State'!$B$2:$G$52,5,FALSE)</f>
        <v>13.880236467908855</v>
      </c>
      <c r="G66" s="99">
        <f>SUMIFS(Input!$D$115:$D$3257,Input!$A$115:$A$3257,"="&amp;'Output - County'!A66,Input!$B$115:$B$3257,"="&amp;'Output - County'!B66)*VLOOKUP(A66,'Output - State'!$B$2:$G$52,6,FALSE)</f>
        <v>6.1281548196401943</v>
      </c>
    </row>
    <row r="67" spans="1:7" x14ac:dyDescent="0.25">
      <c r="A67" s="88">
        <v>1</v>
      </c>
      <c r="B67" s="88">
        <v>131</v>
      </c>
      <c r="C67" s="97">
        <f>SUMIFS(Input!$C$115:$C$3257,Input!$A$115:$A$3257,"="&amp;'Output - County'!A67,Input!$B$115:$B$3257,"="&amp;'Output - County'!B67)*VLOOKUP(A67,'Output - State'!$B$2:$G$52,2,FALSE)</f>
        <v>1.7715922434518776</v>
      </c>
      <c r="D67" s="98">
        <f>SUMIFS(Input!$C$115:$C$3257,Input!$A$115:$A$3257,"="&amp;'Output - County'!A67,Input!$B$115:$B$3257,"="&amp;'Output - County'!B67)*VLOOKUP(A67,'Output - State'!$B$2:$G$52,3,FALSE)</f>
        <v>0.32187654710247954</v>
      </c>
      <c r="E67" s="98">
        <f>SUMIFS(Input!$C$115:$C$3257,Input!$A$115:$A$3257,"="&amp;'Output - County'!A67,Input!$B$115:$B$3257,"="&amp;'Output - County'!B67)*VLOOKUP(A67,'Output - State'!$B$2:$G$52,4,FALSE)</f>
        <v>0.44727349854530812</v>
      </c>
      <c r="F67" s="98">
        <f>SUMIFS(Input!$C$115:$C$3257,Input!$A$115:$A$3257,"="&amp;'Output - County'!A67,Input!$B$115:$B$3257,"="&amp;'Output - County'!B67)*VLOOKUP(A67,'Output - State'!$B$2:$G$52,5,FALSE)</f>
        <v>8.0749299443939115</v>
      </c>
      <c r="G67" s="99">
        <f>SUMIFS(Input!$D$115:$D$3257,Input!$A$115:$A$3257,"="&amp;'Output - County'!A67,Input!$B$115:$B$3257,"="&amp;'Output - County'!B67)*VLOOKUP(A67,'Output - State'!$B$2:$G$52,6,FALSE)</f>
        <v>3.9608805541576864</v>
      </c>
    </row>
    <row r="68" spans="1:7" x14ac:dyDescent="0.25">
      <c r="A68" s="88">
        <v>1</v>
      </c>
      <c r="B68" s="88">
        <v>133</v>
      </c>
      <c r="C68" s="97">
        <f>SUMIFS(Input!$C$115:$C$3257,Input!$A$115:$A$3257,"="&amp;'Output - County'!A68,Input!$B$115:$B$3257,"="&amp;'Output - County'!B68)*VLOOKUP(A68,'Output - State'!$B$2:$G$52,2,FALSE)</f>
        <v>2.9212116214890491</v>
      </c>
      <c r="D68" s="98">
        <f>SUMIFS(Input!$C$115:$C$3257,Input!$A$115:$A$3257,"="&amp;'Output - County'!A68,Input!$B$115:$B$3257,"="&amp;'Output - County'!B68)*VLOOKUP(A68,'Output - State'!$B$2:$G$52,3,FALSE)</f>
        <v>0.53074826532794728</v>
      </c>
      <c r="E68" s="98">
        <f>SUMIFS(Input!$C$115:$C$3257,Input!$A$115:$A$3257,"="&amp;'Output - County'!A68,Input!$B$115:$B$3257,"="&amp;'Output - County'!B68)*VLOOKUP(A68,'Output - State'!$B$2:$G$52,4,FALSE)</f>
        <v>0.7375176464922869</v>
      </c>
      <c r="F68" s="98">
        <f>SUMIFS(Input!$C$115:$C$3257,Input!$A$115:$A$3257,"="&amp;'Output - County'!A68,Input!$B$115:$B$3257,"="&amp;'Output - County'!B68)*VLOOKUP(A68,'Output - State'!$B$2:$G$52,5,FALSE)</f>
        <v>13.314903180153916</v>
      </c>
      <c r="G68" s="99">
        <f>SUMIFS(Input!$D$115:$D$3257,Input!$A$115:$A$3257,"="&amp;'Output - County'!A68,Input!$B$115:$B$3257,"="&amp;'Output - County'!B68)*VLOOKUP(A68,'Output - State'!$B$2:$G$52,6,FALSE)</f>
        <v>8.8559310503336963</v>
      </c>
    </row>
    <row r="69" spans="1:7" x14ac:dyDescent="0.25">
      <c r="A69" s="88">
        <v>2</v>
      </c>
      <c r="B69" s="88">
        <v>13</v>
      </c>
      <c r="C69" s="97">
        <f>SUMIFS(Input!$C$115:$C$3257,Input!$A$115:$A$3257,"="&amp;'Output - County'!A69,Input!$B$115:$B$3257,"="&amp;'Output - County'!B69)*VLOOKUP(A69,'Output - State'!$B$2:$G$52,2,FALSE)</f>
        <v>0.35702369219461261</v>
      </c>
      <c r="D69" s="98">
        <f>SUMIFS(Input!$C$115:$C$3257,Input!$A$115:$A$3257,"="&amp;'Output - County'!A69,Input!$B$115:$B$3257,"="&amp;'Output - County'!B69)*VLOOKUP(A69,'Output - State'!$B$2:$G$52,3,FALSE)</f>
        <v>0</v>
      </c>
      <c r="E69" s="98">
        <f>SUMIFS(Input!$C$115:$C$3257,Input!$A$115:$A$3257,"="&amp;'Output - County'!A69,Input!$B$115:$B$3257,"="&amp;'Output - County'!B69)*VLOOKUP(A69,'Output - State'!$B$2:$G$52,4,FALSE)</f>
        <v>0.13516773328999707</v>
      </c>
      <c r="F69" s="98">
        <f>SUMIFS(Input!$C$115:$C$3257,Input!$A$115:$A$3257,"="&amp;'Output - County'!A69,Input!$B$115:$B$3257,"="&amp;'Output - County'!B69)*VLOOKUP(A69,'Output - State'!$B$2:$G$52,5,FALSE)</f>
        <v>1.2636135035693274</v>
      </c>
      <c r="G69" s="99">
        <f>SUMIFS(Input!$D$115:$D$3257,Input!$A$115:$A$3257,"="&amp;'Output - County'!A69,Input!$B$115:$B$3257,"="&amp;'Output - County'!B69)*VLOOKUP(A69,'Output - State'!$B$2:$G$52,6,FALSE)</f>
        <v>0.48328771516417857</v>
      </c>
    </row>
    <row r="70" spans="1:7" x14ac:dyDescent="0.25">
      <c r="A70" s="88">
        <v>2</v>
      </c>
      <c r="B70" s="88">
        <v>16</v>
      </c>
      <c r="C70" s="97">
        <f>SUMIFS(Input!$C$115:$C$3257,Input!$A$115:$A$3257,"="&amp;'Output - County'!A70,Input!$B$115:$B$3257,"="&amp;'Output - County'!B70)*VLOOKUP(A70,'Output - State'!$B$2:$G$52,2,FALSE)</f>
        <v>0.63660573452921343</v>
      </c>
      <c r="D70" s="98">
        <f>SUMIFS(Input!$C$115:$C$3257,Input!$A$115:$A$3257,"="&amp;'Output - County'!A70,Input!$B$115:$B$3257,"="&amp;'Output - County'!B70)*VLOOKUP(A70,'Output - State'!$B$2:$G$52,3,FALSE)</f>
        <v>0</v>
      </c>
      <c r="E70" s="98">
        <f>SUMIFS(Input!$C$115:$C$3257,Input!$A$115:$A$3257,"="&amp;'Output - County'!A70,Input!$B$115:$B$3257,"="&amp;'Output - County'!B70)*VLOOKUP(A70,'Output - State'!$B$2:$G$52,4,FALSE)</f>
        <v>0.24101636954900621</v>
      </c>
      <c r="F70" s="98">
        <f>SUMIFS(Input!$C$115:$C$3257,Input!$A$115:$A$3257,"="&amp;'Output - County'!A70,Input!$B$115:$B$3257,"="&amp;'Output - County'!B70)*VLOOKUP(A70,'Output - State'!$B$2:$G$52,5,FALSE)</f>
        <v>2.2531378734448122</v>
      </c>
      <c r="G70" s="99">
        <f>SUMIFS(Input!$D$115:$D$3257,Input!$A$115:$A$3257,"="&amp;'Output - County'!A70,Input!$B$115:$B$3257,"="&amp;'Output - County'!B70)*VLOOKUP(A70,'Output - State'!$B$2:$G$52,6,FALSE)</f>
        <v>0.80168903338999031</v>
      </c>
    </row>
    <row r="71" spans="1:7" x14ac:dyDescent="0.25">
      <c r="A71" s="88">
        <v>2</v>
      </c>
      <c r="B71" s="88">
        <v>20</v>
      </c>
      <c r="C71" s="97">
        <f>SUMIFS(Input!$C$115:$C$3257,Input!$A$115:$A$3257,"="&amp;'Output - County'!A71,Input!$B$115:$B$3257,"="&amp;'Output - County'!B71)*VLOOKUP(A71,'Output - State'!$B$2:$G$52,2,FALSE)</f>
        <v>169.03652717050701</v>
      </c>
      <c r="D71" s="98">
        <f>SUMIFS(Input!$C$115:$C$3257,Input!$A$115:$A$3257,"="&amp;'Output - County'!A71,Input!$B$115:$B$3257,"="&amp;'Output - County'!B71)*VLOOKUP(A71,'Output - State'!$B$2:$G$52,3,FALSE)</f>
        <v>0</v>
      </c>
      <c r="E71" s="98">
        <f>SUMIFS(Input!$C$115:$C$3257,Input!$A$115:$A$3257,"="&amp;'Output - County'!A71,Input!$B$115:$B$3257,"="&amp;'Output - County'!B71)*VLOOKUP(A71,'Output - State'!$B$2:$G$52,4,FALSE)</f>
        <v>63.996549025648129</v>
      </c>
      <c r="F71" s="98">
        <f>SUMIFS(Input!$C$115:$C$3257,Input!$A$115:$A$3257,"="&amp;'Output - County'!A71,Input!$B$115:$B$3257,"="&amp;'Output - County'!B71)*VLOOKUP(A71,'Output - State'!$B$2:$G$52,5,FALSE)</f>
        <v>598.2707674556375</v>
      </c>
      <c r="G71" s="99">
        <f>SUMIFS(Input!$D$115:$D$3257,Input!$A$115:$A$3257,"="&amp;'Output - County'!A71,Input!$B$115:$B$3257,"="&amp;'Output - County'!B71)*VLOOKUP(A71,'Output - State'!$B$2:$G$52,6,FALSE)</f>
        <v>41.363742680228221</v>
      </c>
    </row>
    <row r="72" spans="1:7" x14ac:dyDescent="0.25">
      <c r="A72" s="88">
        <v>2</v>
      </c>
      <c r="B72" s="88">
        <v>50</v>
      </c>
      <c r="C72" s="97">
        <f>SUMIFS(Input!$C$115:$C$3257,Input!$A$115:$A$3257,"="&amp;'Output - County'!A72,Input!$B$115:$B$3257,"="&amp;'Output - County'!B72)*VLOOKUP(A72,'Output - State'!$B$2:$G$52,2,FALSE)</f>
        <v>2.1996785110783366</v>
      </c>
      <c r="D72" s="98">
        <f>SUMIFS(Input!$C$115:$C$3257,Input!$A$115:$A$3257,"="&amp;'Output - County'!A72,Input!$B$115:$B$3257,"="&amp;'Output - County'!B72)*VLOOKUP(A72,'Output - State'!$B$2:$G$52,3,FALSE)</f>
        <v>0</v>
      </c>
      <c r="E72" s="98">
        <f>SUMIFS(Input!$C$115:$C$3257,Input!$A$115:$A$3257,"="&amp;'Output - County'!A72,Input!$B$115:$B$3257,"="&amp;'Output - County'!B72)*VLOOKUP(A72,'Output - State'!$B$2:$G$52,4,FALSE)</f>
        <v>0.83278943333290922</v>
      </c>
      <c r="F72" s="98">
        <f>SUMIFS(Input!$C$115:$C$3257,Input!$A$115:$A$3257,"="&amp;'Output - County'!A72,Input!$B$115:$B$3257,"="&amp;'Output - County'!B72)*VLOOKUP(A72,'Output - State'!$B$2:$G$52,5,FALSE)</f>
        <v>7.7853193804145002</v>
      </c>
      <c r="G72" s="99">
        <f>SUMIFS(Input!$D$115:$D$3257,Input!$A$115:$A$3257,"="&amp;'Output - County'!A72,Input!$B$115:$B$3257,"="&amp;'Output - County'!B72)*VLOOKUP(A72,'Output - State'!$B$2:$G$52,6,FALSE)</f>
        <v>2.5870107105847202</v>
      </c>
    </row>
    <row r="73" spans="1:7" x14ac:dyDescent="0.25">
      <c r="A73" s="88">
        <v>2</v>
      </c>
      <c r="B73" s="88">
        <v>60</v>
      </c>
      <c r="C73" s="97">
        <f>SUMIFS(Input!$C$115:$C$3257,Input!$A$115:$A$3257,"="&amp;'Output - County'!A73,Input!$B$115:$B$3257,"="&amp;'Output - County'!B73)*VLOOKUP(A73,'Output - State'!$B$2:$G$52,2,FALSE)</f>
        <v>8.5737304370982564E-2</v>
      </c>
      <c r="D73" s="98">
        <f>SUMIFS(Input!$C$115:$C$3257,Input!$A$115:$A$3257,"="&amp;'Output - County'!A73,Input!$B$115:$B$3257,"="&amp;'Output - County'!B73)*VLOOKUP(A73,'Output - State'!$B$2:$G$52,3,FALSE)</f>
        <v>0</v>
      </c>
      <c r="E73" s="98">
        <f>SUMIFS(Input!$C$115:$C$3257,Input!$A$115:$A$3257,"="&amp;'Output - County'!A73,Input!$B$115:$B$3257,"="&amp;'Output - County'!B73)*VLOOKUP(A73,'Output - State'!$B$2:$G$52,4,FALSE)</f>
        <v>3.2459798449182987E-2</v>
      </c>
      <c r="F73" s="98">
        <f>SUMIFS(Input!$C$115:$C$3257,Input!$A$115:$A$3257,"="&amp;'Output - County'!A73,Input!$B$115:$B$3257,"="&amp;'Output - County'!B73)*VLOOKUP(A73,'Output - State'!$B$2:$G$52,5,FALSE)</f>
        <v>0.30344993324351122</v>
      </c>
      <c r="G73" s="99">
        <f>SUMIFS(Input!$D$115:$D$3257,Input!$A$115:$A$3257,"="&amp;'Output - County'!A73,Input!$B$115:$B$3257,"="&amp;'Output - County'!B73)*VLOOKUP(A73,'Output - State'!$B$2:$G$52,6,FALSE)</f>
        <v>0.12508623216014034</v>
      </c>
    </row>
    <row r="74" spans="1:7" x14ac:dyDescent="0.25">
      <c r="A74" s="88">
        <v>2</v>
      </c>
      <c r="B74" s="88">
        <v>68</v>
      </c>
      <c r="C74" s="97">
        <f>SUMIFS(Input!$C$115:$C$3257,Input!$A$115:$A$3257,"="&amp;'Output - County'!A74,Input!$B$115:$B$3257,"="&amp;'Output - County'!B74)*VLOOKUP(A74,'Output - State'!$B$2:$G$52,2,FALSE)</f>
        <v>4.7164052481927694</v>
      </c>
      <c r="D74" s="98">
        <f>SUMIFS(Input!$C$115:$C$3257,Input!$A$115:$A$3257,"="&amp;'Output - County'!A74,Input!$B$115:$B$3257,"="&amp;'Output - County'!B74)*VLOOKUP(A74,'Output - State'!$B$2:$G$52,3,FALSE)</f>
        <v>0</v>
      </c>
      <c r="E74" s="98">
        <f>SUMIFS(Input!$C$115:$C$3257,Input!$A$115:$A$3257,"="&amp;'Output - County'!A74,Input!$B$115:$B$3257,"="&amp;'Output - County'!B74)*VLOOKUP(A74,'Output - State'!$B$2:$G$52,4,FALSE)</f>
        <v>1.7856120493195728</v>
      </c>
      <c r="F74" s="98">
        <f>SUMIFS(Input!$C$115:$C$3257,Input!$A$115:$A$3257,"="&amp;'Output - County'!A74,Input!$B$115:$B$3257,"="&amp;'Output - County'!B74)*VLOOKUP(A74,'Output - State'!$B$2:$G$52,5,FALSE)</f>
        <v>16.692767147433472</v>
      </c>
      <c r="G74" s="99">
        <f>SUMIFS(Input!$D$115:$D$3257,Input!$A$115:$A$3257,"="&amp;'Output - County'!A74,Input!$B$115:$B$3257,"="&amp;'Output - County'!B74)*VLOOKUP(A74,'Output - State'!$B$2:$G$52,6,FALSE)</f>
        <v>0.28855119464214185</v>
      </c>
    </row>
    <row r="75" spans="1:7" x14ac:dyDescent="0.25">
      <c r="A75" s="88">
        <v>2</v>
      </c>
      <c r="B75" s="88">
        <v>70</v>
      </c>
      <c r="C75" s="97">
        <f>SUMIFS(Input!$C$115:$C$3257,Input!$A$115:$A$3257,"="&amp;'Output - County'!A75,Input!$B$115:$B$3257,"="&amp;'Output - County'!B75)*VLOOKUP(A75,'Output - State'!$B$2:$G$52,2,FALSE)</f>
        <v>0.67740912764525429</v>
      </c>
      <c r="D75" s="98">
        <f>SUMIFS(Input!$C$115:$C$3257,Input!$A$115:$A$3257,"="&amp;'Output - County'!A75,Input!$B$115:$B$3257,"="&amp;'Output - County'!B75)*VLOOKUP(A75,'Output - State'!$B$2:$G$52,3,FALSE)</f>
        <v>0</v>
      </c>
      <c r="E75" s="98">
        <f>SUMIFS(Input!$C$115:$C$3257,Input!$A$115:$A$3257,"="&amp;'Output - County'!A75,Input!$B$115:$B$3257,"="&amp;'Output - County'!B75)*VLOOKUP(A75,'Output - State'!$B$2:$G$52,4,FALSE)</f>
        <v>0.25646436999999456</v>
      </c>
      <c r="F75" s="98">
        <f>SUMIFS(Input!$C$115:$C$3257,Input!$A$115:$A$3257,"="&amp;'Output - County'!A75,Input!$B$115:$B$3257,"="&amp;'Output - County'!B75)*VLOOKUP(A75,'Output - State'!$B$2:$G$52,5,FALSE)</f>
        <v>2.3975532712464007</v>
      </c>
      <c r="G75" s="99">
        <f>SUMIFS(Input!$D$115:$D$3257,Input!$A$115:$A$3257,"="&amp;'Output - County'!A75,Input!$B$115:$B$3257,"="&amp;'Output - County'!B75)*VLOOKUP(A75,'Output - State'!$B$2:$G$52,6,FALSE)</f>
        <v>0.70929579372625029</v>
      </c>
    </row>
    <row r="76" spans="1:7" x14ac:dyDescent="0.25">
      <c r="A76" s="88">
        <v>2</v>
      </c>
      <c r="B76" s="88">
        <v>90</v>
      </c>
      <c r="C76" s="97">
        <f>SUMIFS(Input!$C$115:$C$3257,Input!$A$115:$A$3257,"="&amp;'Output - County'!A76,Input!$B$115:$B$3257,"="&amp;'Output - County'!B76)*VLOOKUP(A76,'Output - State'!$B$2:$G$52,2,FALSE)</f>
        <v>52.951040047257727</v>
      </c>
      <c r="D76" s="98">
        <f>SUMIFS(Input!$C$115:$C$3257,Input!$A$115:$A$3257,"="&amp;'Output - County'!A76,Input!$B$115:$B$3257,"="&amp;'Output - County'!B76)*VLOOKUP(A76,'Output - State'!$B$2:$G$52,3,FALSE)</f>
        <v>0</v>
      </c>
      <c r="E76" s="98">
        <f>SUMIFS(Input!$C$115:$C$3257,Input!$A$115:$A$3257,"="&amp;'Output - County'!A76,Input!$B$115:$B$3257,"="&amp;'Output - County'!B76)*VLOOKUP(A76,'Output - State'!$B$2:$G$52,4,FALSE)</f>
        <v>20.047050700025469</v>
      </c>
      <c r="F76" s="98">
        <f>SUMIFS(Input!$C$115:$C$3257,Input!$A$115:$A$3257,"="&amp;'Output - County'!A76,Input!$B$115:$B$3257,"="&amp;'Output - County'!B76)*VLOOKUP(A76,'Output - State'!$B$2:$G$52,5,FALSE)</f>
        <v>187.40954926678324</v>
      </c>
      <c r="G76" s="99">
        <f>SUMIFS(Input!$D$115:$D$3257,Input!$A$115:$A$3257,"="&amp;'Output - County'!A76,Input!$B$115:$B$3257,"="&amp;'Output - County'!B76)*VLOOKUP(A76,'Output - State'!$B$2:$G$52,6,FALSE)</f>
        <v>14.015343739761178</v>
      </c>
    </row>
    <row r="77" spans="1:7" x14ac:dyDescent="0.25">
      <c r="A77" s="88">
        <v>2</v>
      </c>
      <c r="B77" s="88">
        <v>100</v>
      </c>
      <c r="C77" s="97">
        <f>SUMIFS(Input!$C$115:$C$3257,Input!$A$115:$A$3257,"="&amp;'Output - County'!A77,Input!$B$115:$B$3257,"="&amp;'Output - County'!B77)*VLOOKUP(A77,'Output - State'!$B$2:$G$52,2,FALSE)</f>
        <v>0.36117655483900679</v>
      </c>
      <c r="D77" s="98">
        <f>SUMIFS(Input!$C$115:$C$3257,Input!$A$115:$A$3257,"="&amp;'Output - County'!A77,Input!$B$115:$B$3257,"="&amp;'Output - County'!B77)*VLOOKUP(A77,'Output - State'!$B$2:$G$52,3,FALSE)</f>
        <v>0</v>
      </c>
      <c r="E77" s="98">
        <f>SUMIFS(Input!$C$115:$C$3257,Input!$A$115:$A$3257,"="&amp;'Output - County'!A77,Input!$B$115:$B$3257,"="&amp;'Output - County'!B77)*VLOOKUP(A77,'Output - State'!$B$2:$G$52,4,FALSE)</f>
        <v>0.13673999037707429</v>
      </c>
      <c r="F77" s="98">
        <f>SUMIFS(Input!$C$115:$C$3257,Input!$A$115:$A$3257,"="&amp;'Output - County'!A77,Input!$B$115:$B$3257,"="&amp;'Output - County'!B77)*VLOOKUP(A77,'Output - State'!$B$2:$G$52,5,FALSE)</f>
        <v>1.2783117250897766</v>
      </c>
      <c r="G77" s="99">
        <f>SUMIFS(Input!$D$115:$D$3257,Input!$A$115:$A$3257,"="&amp;'Output - County'!A77,Input!$B$115:$B$3257,"="&amp;'Output - County'!B77)*VLOOKUP(A77,'Output - State'!$B$2:$G$52,6,FALSE)</f>
        <v>0.35393717963494253</v>
      </c>
    </row>
    <row r="78" spans="1:7" x14ac:dyDescent="0.25">
      <c r="A78" s="88">
        <v>2</v>
      </c>
      <c r="B78" s="88">
        <v>105</v>
      </c>
      <c r="C78" s="97">
        <f>SUMIFS(Input!$C$115:$C$3257,Input!$A$115:$A$3257,"="&amp;'Output - County'!A78,Input!$B$115:$B$3257,"="&amp;'Output - County'!B78)*VLOOKUP(A78,'Output - State'!$B$2:$G$52,2,FALSE)</f>
        <v>0.31421089706291394</v>
      </c>
      <c r="D78" s="98">
        <f>SUMIFS(Input!$C$115:$C$3257,Input!$A$115:$A$3257,"="&amp;'Output - County'!A78,Input!$B$115:$B$3257,"="&amp;'Output - County'!B78)*VLOOKUP(A78,'Output - State'!$B$2:$G$52,3,FALSE)</f>
        <v>0</v>
      </c>
      <c r="E78" s="98">
        <f>SUMIFS(Input!$C$115:$C$3257,Input!$A$115:$A$3257,"="&amp;'Output - County'!A78,Input!$B$115:$B$3257,"="&amp;'Output - County'!B78)*VLOOKUP(A78,'Output - State'!$B$2:$G$52,4,FALSE)</f>
        <v>0.11895898132121652</v>
      </c>
      <c r="F78" s="98">
        <f>SUMIFS(Input!$C$115:$C$3257,Input!$A$115:$A$3257,"="&amp;'Output - County'!A78,Input!$B$115:$B$3257,"="&amp;'Output - County'!B78)*VLOOKUP(A78,'Output - State'!$B$2:$G$52,5,FALSE)</f>
        <v>1.1120862317476232</v>
      </c>
      <c r="G78" s="99">
        <f>SUMIFS(Input!$D$115:$D$3257,Input!$A$115:$A$3257,"="&amp;'Output - County'!A78,Input!$B$115:$B$3257,"="&amp;'Output - County'!B78)*VLOOKUP(A78,'Output - State'!$B$2:$G$52,6,FALSE)</f>
        <v>0.30702984257488991</v>
      </c>
    </row>
    <row r="79" spans="1:7" x14ac:dyDescent="0.25">
      <c r="A79" s="88">
        <v>2</v>
      </c>
      <c r="B79" s="88">
        <v>110</v>
      </c>
      <c r="C79" s="97">
        <f>SUMIFS(Input!$C$115:$C$3257,Input!$A$115:$A$3257,"="&amp;'Output - County'!A79,Input!$B$115:$B$3257,"="&amp;'Output - County'!B79)*VLOOKUP(A79,'Output - State'!$B$2:$G$52,2,FALSE)</f>
        <v>13.756980953307034</v>
      </c>
      <c r="D79" s="98">
        <f>SUMIFS(Input!$C$115:$C$3257,Input!$A$115:$A$3257,"="&amp;'Output - County'!A79,Input!$B$115:$B$3257,"="&amp;'Output - County'!B79)*VLOOKUP(A79,'Output - State'!$B$2:$G$52,3,FALSE)</f>
        <v>0</v>
      </c>
      <c r="E79" s="98">
        <f>SUMIFS(Input!$C$115:$C$3257,Input!$A$115:$A$3257,"="&amp;'Output - County'!A79,Input!$B$115:$B$3257,"="&amp;'Output - County'!B79)*VLOOKUP(A79,'Output - State'!$B$2:$G$52,4,FALSE)</f>
        <v>5.2083376342390366</v>
      </c>
      <c r="F79" s="98">
        <f>SUMIFS(Input!$C$115:$C$3257,Input!$A$115:$A$3257,"="&amp;'Output - County'!A79,Input!$B$115:$B$3257,"="&amp;'Output - County'!B79)*VLOOKUP(A79,'Output - State'!$B$2:$G$52,5,FALSE)</f>
        <v>48.69006534017106</v>
      </c>
      <c r="G79" s="99">
        <f>SUMIFS(Input!$D$115:$D$3257,Input!$A$115:$A$3257,"="&amp;'Output - County'!A79,Input!$B$115:$B$3257,"="&amp;'Output - County'!B79)*VLOOKUP(A79,'Output - State'!$B$2:$G$52,6,FALSE)</f>
        <v>4.5485902603687389</v>
      </c>
    </row>
    <row r="80" spans="1:7" x14ac:dyDescent="0.25">
      <c r="A80" s="88">
        <v>2</v>
      </c>
      <c r="B80" s="88">
        <v>122</v>
      </c>
      <c r="C80" s="97">
        <f>SUMIFS(Input!$C$115:$C$3257,Input!$A$115:$A$3257,"="&amp;'Output - County'!A80,Input!$B$115:$B$3257,"="&amp;'Output - County'!B80)*VLOOKUP(A80,'Output - State'!$B$2:$G$52,2,FALSE)</f>
        <v>31.432296816686833</v>
      </c>
      <c r="D80" s="98">
        <f>SUMIFS(Input!$C$115:$C$3257,Input!$A$115:$A$3257,"="&amp;'Output - County'!A80,Input!$B$115:$B$3257,"="&amp;'Output - County'!B80)*VLOOKUP(A80,'Output - State'!$B$2:$G$52,3,FALSE)</f>
        <v>0</v>
      </c>
      <c r="E80" s="98">
        <f>SUMIFS(Input!$C$115:$C$3257,Input!$A$115:$A$3257,"="&amp;'Output - County'!A80,Input!$B$115:$B$3257,"="&amp;'Output - County'!B80)*VLOOKUP(A80,'Output - State'!$B$2:$G$52,4,FALSE)</f>
        <v>11.900141099022727</v>
      </c>
      <c r="F80" s="98">
        <f>SUMIFS(Input!$C$115:$C$3257,Input!$A$115:$A$3257,"="&amp;'Output - County'!A80,Input!$B$115:$B$3257,"="&amp;'Output - County'!B80)*VLOOKUP(A80,'Output - State'!$B$2:$G$52,5,FALSE)</f>
        <v>111.24828848645245</v>
      </c>
      <c r="G80" s="99">
        <f>SUMIFS(Input!$D$115:$D$3257,Input!$A$115:$A$3257,"="&amp;'Output - County'!A80,Input!$B$115:$B$3257,"="&amp;'Output - County'!B80)*VLOOKUP(A80,'Output - State'!$B$2:$G$52,6,FALSE)</f>
        <v>8.3296059143002541</v>
      </c>
    </row>
    <row r="81" spans="1:7" x14ac:dyDescent="0.25">
      <c r="A81" s="88">
        <v>2</v>
      </c>
      <c r="B81" s="88">
        <v>130</v>
      </c>
      <c r="C81" s="97">
        <f>SUMIFS(Input!$C$115:$C$3257,Input!$A$115:$A$3257,"="&amp;'Output - County'!A81,Input!$B$115:$B$3257,"="&amp;'Output - County'!B81)*VLOOKUP(A81,'Output - State'!$B$2:$G$52,2,FALSE)</f>
        <v>5.0201255246593544</v>
      </c>
      <c r="D81" s="98">
        <f>SUMIFS(Input!$C$115:$C$3257,Input!$A$115:$A$3257,"="&amp;'Output - County'!A81,Input!$B$115:$B$3257,"="&amp;'Output - County'!B81)*VLOOKUP(A81,'Output - State'!$B$2:$G$52,3,FALSE)</f>
        <v>0</v>
      </c>
      <c r="E81" s="98">
        <f>SUMIFS(Input!$C$115:$C$3257,Input!$A$115:$A$3257,"="&amp;'Output - County'!A81,Input!$B$115:$B$3257,"="&amp;'Output - County'!B81)*VLOOKUP(A81,'Output - State'!$B$2:$G$52,4,FALSE)</f>
        <v>1.9005993238946775</v>
      </c>
      <c r="F81" s="98">
        <f>SUMIFS(Input!$C$115:$C$3257,Input!$A$115:$A$3257,"="&amp;'Output - County'!A81,Input!$B$115:$B$3257,"="&amp;'Output - County'!B81)*VLOOKUP(A81,'Output - State'!$B$2:$G$52,5,FALSE)</f>
        <v>17.767723938933418</v>
      </c>
      <c r="G81" s="99">
        <f>SUMIFS(Input!$D$115:$D$3257,Input!$A$115:$A$3257,"="&amp;'Output - County'!A81,Input!$B$115:$B$3257,"="&amp;'Output - County'!B81)*VLOOKUP(A81,'Output - State'!$B$2:$G$52,6,FALSE)</f>
        <v>1.9757938943476709</v>
      </c>
    </row>
    <row r="82" spans="1:7" x14ac:dyDescent="0.25">
      <c r="A82" s="88">
        <v>2</v>
      </c>
      <c r="B82" s="88">
        <v>150</v>
      </c>
      <c r="C82" s="97">
        <f>SUMIFS(Input!$C$115:$C$3257,Input!$A$115:$A$3257,"="&amp;'Output - County'!A82,Input!$B$115:$B$3257,"="&amp;'Output - County'!B82)*VLOOKUP(A82,'Output - State'!$B$2:$G$52,2,FALSE)</f>
        <v>3.7638956122812175</v>
      </c>
      <c r="D82" s="98">
        <f>SUMIFS(Input!$C$115:$C$3257,Input!$A$115:$A$3257,"="&amp;'Output - County'!A82,Input!$B$115:$B$3257,"="&amp;'Output - County'!B82)*VLOOKUP(A82,'Output - State'!$B$2:$G$52,3,FALSE)</f>
        <v>0</v>
      </c>
      <c r="E82" s="98">
        <f>SUMIFS(Input!$C$115:$C$3257,Input!$A$115:$A$3257,"="&amp;'Output - County'!A82,Input!$B$115:$B$3257,"="&amp;'Output - County'!B82)*VLOOKUP(A82,'Output - State'!$B$2:$G$52,4,FALSE)</f>
        <v>1.424995733826246</v>
      </c>
      <c r="F82" s="98">
        <f>SUMIFS(Input!$C$115:$C$3257,Input!$A$115:$A$3257,"="&amp;'Output - County'!A82,Input!$B$115:$B$3257,"="&amp;'Output - County'!B82)*VLOOKUP(A82,'Output - State'!$B$2:$G$52,5,FALSE)</f>
        <v>13.321550994188213</v>
      </c>
      <c r="G82" s="99">
        <f>SUMIFS(Input!$D$115:$D$3257,Input!$A$115:$A$3257,"="&amp;'Output - County'!A82,Input!$B$115:$B$3257,"="&amp;'Output - County'!B82)*VLOOKUP(A82,'Output - State'!$B$2:$G$52,6,FALSE)</f>
        <v>1.8905078269657571</v>
      </c>
    </row>
    <row r="83" spans="1:7" x14ac:dyDescent="0.25">
      <c r="A83" s="88">
        <v>2</v>
      </c>
      <c r="B83" s="88">
        <v>164</v>
      </c>
      <c r="C83" s="97">
        <f>SUMIFS(Input!$C$115:$C$3257,Input!$A$115:$A$3257,"="&amp;'Output - County'!A83,Input!$B$115:$B$3257,"="&amp;'Output - County'!B83)*VLOOKUP(A83,'Output - State'!$B$2:$G$52,2,FALSE)</f>
        <v>0.14993864448501348</v>
      </c>
      <c r="D83" s="98">
        <f>SUMIFS(Input!$C$115:$C$3257,Input!$A$115:$A$3257,"="&amp;'Output - County'!A83,Input!$B$115:$B$3257,"="&amp;'Output - County'!B83)*VLOOKUP(A83,'Output - State'!$B$2:$G$52,3,FALSE)</f>
        <v>0</v>
      </c>
      <c r="E83" s="98">
        <f>SUMIFS(Input!$C$115:$C$3257,Input!$A$115:$A$3257,"="&amp;'Output - County'!A83,Input!$B$115:$B$3257,"="&amp;'Output - County'!B83)*VLOOKUP(A83,'Output - State'!$B$2:$G$52,4,FALSE)</f>
        <v>5.6766167486068622E-2</v>
      </c>
      <c r="F83" s="98">
        <f>SUMIFS(Input!$C$115:$C$3257,Input!$A$115:$A$3257,"="&amp;'Output - County'!A83,Input!$B$115:$B$3257,"="&amp;'Output - County'!B83)*VLOOKUP(A83,'Output - State'!$B$2:$G$52,5,FALSE)</f>
        <v>0.53067765534973832</v>
      </c>
      <c r="G83" s="99">
        <f>SUMIFS(Input!$D$115:$D$3257,Input!$A$115:$A$3257,"="&amp;'Output - County'!A83,Input!$B$115:$B$3257,"="&amp;'Output - County'!B83)*VLOOKUP(A83,'Output - State'!$B$2:$G$52,6,FALSE)</f>
        <v>0.22742951301843697</v>
      </c>
    </row>
    <row r="84" spans="1:7" x14ac:dyDescent="0.25">
      <c r="A84" s="88">
        <v>2</v>
      </c>
      <c r="B84" s="88">
        <v>170</v>
      </c>
      <c r="C84" s="97">
        <f>SUMIFS(Input!$C$115:$C$3257,Input!$A$115:$A$3257,"="&amp;'Output - County'!A84,Input!$B$115:$B$3257,"="&amp;'Output - County'!B84)*VLOOKUP(A84,'Output - State'!$B$2:$G$52,2,FALSE)</f>
        <v>72.138943078188802</v>
      </c>
      <c r="D84" s="98">
        <f>SUMIFS(Input!$C$115:$C$3257,Input!$A$115:$A$3257,"="&amp;'Output - County'!A84,Input!$B$115:$B$3257,"="&amp;'Output - County'!B84)*VLOOKUP(A84,'Output - State'!$B$2:$G$52,3,FALSE)</f>
        <v>0</v>
      </c>
      <c r="E84" s="98">
        <f>SUMIFS(Input!$C$115:$C$3257,Input!$A$115:$A$3257,"="&amp;'Output - County'!A84,Input!$B$115:$B$3257,"="&amp;'Output - County'!B84)*VLOOKUP(A84,'Output - State'!$B$2:$G$52,4,FALSE)</f>
        <v>27.311513580168057</v>
      </c>
      <c r="F84" s="98">
        <f>SUMIFS(Input!$C$115:$C$3257,Input!$A$115:$A$3257,"="&amp;'Output - County'!A84,Input!$B$115:$B$3257,"="&amp;'Output - County'!B84)*VLOOKUP(A84,'Output - State'!$B$2:$G$52,5,FALSE)</f>
        <v>255.32127026777172</v>
      </c>
      <c r="G84" s="99">
        <f>SUMIFS(Input!$D$115:$D$3257,Input!$A$115:$A$3257,"="&amp;'Output - County'!A84,Input!$B$115:$B$3257,"="&amp;'Output - County'!B84)*VLOOKUP(A84,'Output - State'!$B$2:$G$52,6,FALSE)</f>
        <v>15.209348683107972</v>
      </c>
    </row>
    <row r="85" spans="1:7" x14ac:dyDescent="0.25">
      <c r="A85" s="88">
        <v>2</v>
      </c>
      <c r="B85" s="88">
        <v>180</v>
      </c>
      <c r="C85" s="97">
        <f>SUMIFS(Input!$C$115:$C$3257,Input!$A$115:$A$3257,"="&amp;'Output - County'!A85,Input!$B$115:$B$3257,"="&amp;'Output - County'!B85)*VLOOKUP(A85,'Output - State'!$B$2:$G$52,2,FALSE)</f>
        <v>1.3881554596277113</v>
      </c>
      <c r="D85" s="98">
        <f>SUMIFS(Input!$C$115:$C$3257,Input!$A$115:$A$3257,"="&amp;'Output - County'!A85,Input!$B$115:$B$3257,"="&amp;'Output - County'!B85)*VLOOKUP(A85,'Output - State'!$B$2:$G$52,3,FALSE)</f>
        <v>0</v>
      </c>
      <c r="E85" s="98">
        <f>SUMIFS(Input!$C$115:$C$3257,Input!$A$115:$A$3257,"="&amp;'Output - County'!A85,Input!$B$115:$B$3257,"="&amp;'Output - County'!B85)*VLOOKUP(A85,'Output - State'!$B$2:$G$52,4,FALSE)</f>
        <v>0.5255500714214032</v>
      </c>
      <c r="F85" s="98">
        <f>SUMIFS(Input!$C$115:$C$3257,Input!$A$115:$A$3257,"="&amp;'Output - County'!A85,Input!$B$115:$B$3257,"="&amp;'Output - County'!B85)*VLOOKUP(A85,'Output - State'!$B$2:$G$52,5,FALSE)</f>
        <v>4.9130968677644837</v>
      </c>
      <c r="G85" s="99">
        <f>SUMIFS(Input!$D$115:$D$3257,Input!$A$115:$A$3257,"="&amp;'Output - County'!A85,Input!$B$115:$B$3257,"="&amp;'Output - County'!B85)*VLOOKUP(A85,'Output - State'!$B$2:$G$52,6,FALSE)</f>
        <v>1.4356488009288833</v>
      </c>
    </row>
    <row r="86" spans="1:7" x14ac:dyDescent="0.25">
      <c r="A86" s="88">
        <v>2</v>
      </c>
      <c r="B86" s="88">
        <v>185</v>
      </c>
      <c r="C86" s="97">
        <f>SUMIFS(Input!$C$115:$C$3257,Input!$A$115:$A$3257,"="&amp;'Output - County'!A86,Input!$B$115:$B$3257,"="&amp;'Output - County'!B86)*VLOOKUP(A86,'Output - State'!$B$2:$G$52,2,FALSE)</f>
        <v>1.4162606201857928</v>
      </c>
      <c r="D86" s="98">
        <f>SUMIFS(Input!$C$115:$C$3257,Input!$A$115:$A$3257,"="&amp;'Output - County'!A86,Input!$B$115:$B$3257,"="&amp;'Output - County'!B86)*VLOOKUP(A86,'Output - State'!$B$2:$G$52,3,FALSE)</f>
        <v>0</v>
      </c>
      <c r="E86" s="98">
        <f>SUMIFS(Input!$C$115:$C$3257,Input!$A$115:$A$3257,"="&amp;'Output - County'!A86,Input!$B$115:$B$3257,"="&amp;'Output - County'!B86)*VLOOKUP(A86,'Output - State'!$B$2:$G$52,4,FALSE)</f>
        <v>0.53619057212049004</v>
      </c>
      <c r="F86" s="98">
        <f>SUMIFS(Input!$C$115:$C$3257,Input!$A$115:$A$3257,"="&amp;'Output - County'!A86,Input!$B$115:$B$3257,"="&amp;'Output - County'!B86)*VLOOKUP(A86,'Output - State'!$B$2:$G$52,5,FALSE)</f>
        <v>5.0125694270864498</v>
      </c>
      <c r="G86" s="99">
        <f>SUMIFS(Input!$D$115:$D$3257,Input!$A$115:$A$3257,"="&amp;'Output - County'!A86,Input!$B$115:$B$3257,"="&amp;'Output - County'!B86)*VLOOKUP(A86,'Output - State'!$B$2:$G$52,6,FALSE)</f>
        <v>1.4001129395197525</v>
      </c>
    </row>
    <row r="87" spans="1:7" x14ac:dyDescent="0.25">
      <c r="A87" s="88">
        <v>2</v>
      </c>
      <c r="B87" s="88">
        <v>188</v>
      </c>
      <c r="C87" s="97">
        <f>SUMIFS(Input!$C$115:$C$3257,Input!$A$115:$A$3257,"="&amp;'Output - County'!A87,Input!$B$115:$B$3257,"="&amp;'Output - County'!B87)*VLOOKUP(A87,'Output - State'!$B$2:$G$52,2,FALSE)</f>
        <v>0.83660347899494014</v>
      </c>
      <c r="D87" s="98">
        <f>SUMIFS(Input!$C$115:$C$3257,Input!$A$115:$A$3257,"="&amp;'Output - County'!A87,Input!$B$115:$B$3257,"="&amp;'Output - County'!B87)*VLOOKUP(A87,'Output - State'!$B$2:$G$52,3,FALSE)</f>
        <v>0</v>
      </c>
      <c r="E87" s="98">
        <f>SUMIFS(Input!$C$115:$C$3257,Input!$A$115:$A$3257,"="&amp;'Output - County'!A87,Input!$B$115:$B$3257,"="&amp;'Output - County'!B87)*VLOOKUP(A87,'Output - State'!$B$2:$G$52,4,FALSE)</f>
        <v>0.31673471086235688</v>
      </c>
      <c r="F87" s="98">
        <f>SUMIFS(Input!$C$115:$C$3257,Input!$A$115:$A$3257,"="&amp;'Output - County'!A87,Input!$B$115:$B$3257,"="&amp;'Output - County'!B87)*VLOOKUP(A87,'Output - State'!$B$2:$G$52,5,FALSE)</f>
        <v>2.9609896382306156</v>
      </c>
      <c r="G87" s="99">
        <f>SUMIFS(Input!$D$115:$D$3257,Input!$A$115:$A$3257,"="&amp;'Output - County'!A87,Input!$B$115:$B$3257,"="&amp;'Output - County'!B87)*VLOOKUP(A87,'Output - State'!$B$2:$G$52,6,FALSE)</f>
        <v>1.0930830969448626</v>
      </c>
    </row>
    <row r="88" spans="1:7" x14ac:dyDescent="0.25">
      <c r="A88" s="88">
        <v>2</v>
      </c>
      <c r="B88" s="88">
        <v>195</v>
      </c>
      <c r="C88" s="97">
        <f>SUMIFS(Input!$C$115:$C$3257,Input!$A$115:$A$3257,"="&amp;'Output - County'!A88,Input!$B$115:$B$3257,"="&amp;'Output - County'!B88)*VLOOKUP(A88,'Output - State'!$B$2:$G$52,2,FALSE)</f>
        <v>0.51982633769235687</v>
      </c>
      <c r="D88" s="98">
        <f>SUMIFS(Input!$C$115:$C$3257,Input!$A$115:$A$3257,"="&amp;'Output - County'!A88,Input!$B$115:$B$3257,"="&amp;'Output - County'!B88)*VLOOKUP(A88,'Output - State'!$B$2:$G$52,3,FALSE)</f>
        <v>0</v>
      </c>
      <c r="E88" s="98">
        <f>SUMIFS(Input!$C$115:$C$3257,Input!$A$115:$A$3257,"="&amp;'Output - County'!A88,Input!$B$115:$B$3257,"="&amp;'Output - County'!B88)*VLOOKUP(A88,'Output - State'!$B$2:$G$52,4,FALSE)</f>
        <v>0.19680415979793259</v>
      </c>
      <c r="F88" s="98">
        <f>SUMIFS(Input!$C$115:$C$3257,Input!$A$115:$A$3257,"="&amp;'Output - County'!A88,Input!$B$115:$B$3257,"="&amp;'Output - County'!B88)*VLOOKUP(A88,'Output - State'!$B$2:$G$52,5,FALSE)</f>
        <v>1.8398207014816235</v>
      </c>
      <c r="G88" s="99">
        <f>SUMIFS(Input!$D$115:$D$3257,Input!$A$115:$A$3257,"="&amp;'Output - County'!A88,Input!$B$115:$B$3257,"="&amp;'Output - County'!B88)*VLOOKUP(A88,'Output - State'!$B$2:$G$52,6,FALSE)</f>
        <v>0.46054476386233489</v>
      </c>
    </row>
    <row r="89" spans="1:7" x14ac:dyDescent="0.25">
      <c r="A89" s="88">
        <v>2</v>
      </c>
      <c r="B89" s="88">
        <v>198</v>
      </c>
      <c r="C89" s="97">
        <f>SUMIFS(Input!$C$115:$C$3257,Input!$A$115:$A$3257,"="&amp;'Output - County'!A89,Input!$B$115:$B$3257,"="&amp;'Output - County'!B89)*VLOOKUP(A89,'Output - State'!$B$2:$G$52,2,FALSE)</f>
        <v>0.93410123715158955</v>
      </c>
      <c r="D89" s="98">
        <f>SUMIFS(Input!$C$115:$C$3257,Input!$A$115:$A$3257,"="&amp;'Output - County'!A89,Input!$B$115:$B$3257,"="&amp;'Output - County'!B89)*VLOOKUP(A89,'Output - State'!$B$2:$G$52,3,FALSE)</f>
        <v>0</v>
      </c>
      <c r="E89" s="98">
        <f>SUMIFS(Input!$C$115:$C$3257,Input!$A$115:$A$3257,"="&amp;'Output - County'!A89,Input!$B$115:$B$3257,"="&amp;'Output - County'!B89)*VLOOKUP(A89,'Output - State'!$B$2:$G$52,4,FALSE)</f>
        <v>0.35364696979364102</v>
      </c>
      <c r="F89" s="98">
        <f>SUMIFS(Input!$C$115:$C$3257,Input!$A$115:$A$3257,"="&amp;'Output - County'!A89,Input!$B$115:$B$3257,"="&amp;'Output - County'!B89)*VLOOKUP(A89,'Output - State'!$B$2:$G$52,5,FALSE)</f>
        <v>3.3060633307275356</v>
      </c>
      <c r="G89" s="99">
        <f>SUMIFS(Input!$D$115:$D$3257,Input!$A$115:$A$3257,"="&amp;'Output - County'!A89,Input!$B$115:$B$3257,"="&amp;'Output - County'!B89)*VLOOKUP(A89,'Output - State'!$B$2:$G$52,6,FALSE)</f>
        <v>0.90403231424828689</v>
      </c>
    </row>
    <row r="90" spans="1:7" x14ac:dyDescent="0.25">
      <c r="A90" s="88">
        <v>2</v>
      </c>
      <c r="B90" s="88">
        <v>220</v>
      </c>
      <c r="C90" s="97">
        <f>SUMIFS(Input!$C$115:$C$3257,Input!$A$115:$A$3257,"="&amp;'Output - County'!A90,Input!$B$115:$B$3257,"="&amp;'Output - County'!B90)*VLOOKUP(A90,'Output - State'!$B$2:$G$52,2,FALSE)</f>
        <v>2.5171847611674503</v>
      </c>
      <c r="D90" s="98">
        <f>SUMIFS(Input!$C$115:$C$3257,Input!$A$115:$A$3257,"="&amp;'Output - County'!A90,Input!$B$115:$B$3257,"="&amp;'Output - County'!B90)*VLOOKUP(A90,'Output - State'!$B$2:$G$52,3,FALSE)</f>
        <v>0</v>
      </c>
      <c r="E90" s="98">
        <f>SUMIFS(Input!$C$115:$C$3257,Input!$A$115:$A$3257,"="&amp;'Output - County'!A90,Input!$B$115:$B$3257,"="&amp;'Output - County'!B90)*VLOOKUP(A90,'Output - State'!$B$2:$G$52,4,FALSE)</f>
        <v>0.95299602205016076</v>
      </c>
      <c r="F90" s="98">
        <f>SUMIFS(Input!$C$115:$C$3257,Input!$A$115:$A$3257,"="&amp;'Output - County'!A90,Input!$B$115:$B$3257,"="&amp;'Output - County'!B90)*VLOOKUP(A90,'Output - State'!$B$2:$G$52,5,FALSE)</f>
        <v>8.9090688509722362</v>
      </c>
      <c r="G90" s="99">
        <f>SUMIFS(Input!$D$115:$D$3257,Input!$A$115:$A$3257,"="&amp;'Output - County'!A90,Input!$B$115:$B$3257,"="&amp;'Output - County'!B90)*VLOOKUP(A90,'Output - State'!$B$2:$G$52,6,FALSE)</f>
        <v>1.2153264601922724</v>
      </c>
    </row>
    <row r="91" spans="1:7" x14ac:dyDescent="0.25">
      <c r="A91" s="88">
        <v>2</v>
      </c>
      <c r="B91" s="88">
        <v>230</v>
      </c>
      <c r="C91" s="97">
        <f>SUMIFS(Input!$C$115:$C$3257,Input!$A$115:$A$3257,"="&amp;'Output - County'!A91,Input!$B$115:$B$3257,"="&amp;'Output - County'!B91)*VLOOKUP(A91,'Output - State'!$B$2:$G$52,2,FALSE)</f>
        <v>0.19911500063396836</v>
      </c>
      <c r="D91" s="98">
        <f>SUMIFS(Input!$C$115:$C$3257,Input!$A$115:$A$3257,"="&amp;'Output - County'!A91,Input!$B$115:$B$3257,"="&amp;'Output - County'!B91)*VLOOKUP(A91,'Output - State'!$B$2:$G$52,3,FALSE)</f>
        <v>0</v>
      </c>
      <c r="E91" s="98">
        <f>SUMIFS(Input!$C$115:$C$3257,Input!$A$115:$A$3257,"="&amp;'Output - County'!A91,Input!$B$115:$B$3257,"="&amp;'Output - County'!B91)*VLOOKUP(A91,'Output - State'!$B$2:$G$52,4,FALSE)</f>
        <v>7.5384138050589453E-2</v>
      </c>
      <c r="F91" s="98">
        <f>SUMIFS(Input!$C$115:$C$3257,Input!$A$115:$A$3257,"="&amp;'Output - County'!A91,Input!$B$115:$B$3257,"="&amp;'Output - County'!B91)*VLOOKUP(A91,'Output - State'!$B$2:$G$52,5,FALSE)</f>
        <v>0.70472747065522134</v>
      </c>
      <c r="G91" s="99">
        <f>SUMIFS(Input!$D$115:$D$3257,Input!$A$115:$A$3257,"="&amp;'Output - County'!A91,Input!$B$115:$B$3257,"="&amp;'Output - County'!B91)*VLOOKUP(A91,'Output - State'!$B$2:$G$52,6,FALSE)</f>
        <v>0.16630783139473204</v>
      </c>
    </row>
    <row r="92" spans="1:7" x14ac:dyDescent="0.25">
      <c r="A92" s="88">
        <v>2</v>
      </c>
      <c r="B92" s="88">
        <v>240</v>
      </c>
      <c r="C92" s="97">
        <f>SUMIFS(Input!$C$115:$C$3257,Input!$A$115:$A$3257,"="&amp;'Output - County'!A92,Input!$B$115:$B$3257,"="&amp;'Output - County'!B92)*VLOOKUP(A92,'Output - State'!$B$2:$G$52,2,FALSE)</f>
        <v>5.5618184463904603</v>
      </c>
      <c r="D92" s="98">
        <f>SUMIFS(Input!$C$115:$C$3257,Input!$A$115:$A$3257,"="&amp;'Output - County'!A92,Input!$B$115:$B$3257,"="&amp;'Output - County'!B92)*VLOOKUP(A92,'Output - State'!$B$2:$G$52,3,FALSE)</f>
        <v>0</v>
      </c>
      <c r="E92" s="98">
        <f>SUMIFS(Input!$C$115:$C$3257,Input!$A$115:$A$3257,"="&amp;'Output - County'!A92,Input!$B$115:$B$3257,"="&amp;'Output - County'!B92)*VLOOKUP(A92,'Output - State'!$B$2:$G$52,4,FALSE)</f>
        <v>2.1056820844239641</v>
      </c>
      <c r="F92" s="98">
        <f>SUMIFS(Input!$C$115:$C$3257,Input!$A$115:$A$3257,"="&amp;'Output - County'!A92,Input!$B$115:$B$3257,"="&amp;'Output - County'!B92)*VLOOKUP(A92,'Output - State'!$B$2:$G$52,5,FALSE)</f>
        <v>19.684937013729126</v>
      </c>
      <c r="G92" s="99">
        <f>SUMIFS(Input!$D$115:$D$3257,Input!$A$115:$A$3257,"="&amp;'Output - County'!A92,Input!$B$115:$B$3257,"="&amp;'Output - County'!B92)*VLOOKUP(A92,'Output - State'!$B$2:$G$52,6,FALSE)</f>
        <v>0.98647551271747025</v>
      </c>
    </row>
    <row r="93" spans="1:7" x14ac:dyDescent="0.25">
      <c r="A93" s="88">
        <v>2</v>
      </c>
      <c r="B93" s="88">
        <v>261</v>
      </c>
      <c r="C93" s="97">
        <f>SUMIFS(Input!$C$115:$C$3257,Input!$A$115:$A$3257,"="&amp;'Output - County'!A93,Input!$B$115:$B$3257,"="&amp;'Output - County'!B93)*VLOOKUP(A93,'Output - State'!$B$2:$G$52,2,FALSE)</f>
        <v>0</v>
      </c>
      <c r="D93" s="98">
        <f>SUMIFS(Input!$C$115:$C$3257,Input!$A$115:$A$3257,"="&amp;'Output - County'!A93,Input!$B$115:$B$3257,"="&amp;'Output - County'!B93)*VLOOKUP(A93,'Output - State'!$B$2:$G$52,3,FALSE)</f>
        <v>0</v>
      </c>
      <c r="E93" s="98">
        <f>SUMIFS(Input!$C$115:$C$3257,Input!$A$115:$A$3257,"="&amp;'Output - County'!A93,Input!$B$115:$B$3257,"="&amp;'Output - County'!B93)*VLOOKUP(A93,'Output - State'!$B$2:$G$52,4,FALSE)</f>
        <v>0</v>
      </c>
      <c r="F93" s="98">
        <f>SUMIFS(Input!$C$115:$C$3257,Input!$A$115:$A$3257,"="&amp;'Output - County'!A93,Input!$B$115:$B$3257,"="&amp;'Output - County'!B93)*VLOOKUP(A93,'Output - State'!$B$2:$G$52,5,FALSE)</f>
        <v>0</v>
      </c>
      <c r="G93" s="99">
        <f>SUMIFS(Input!$D$115:$D$3257,Input!$A$115:$A$3257,"="&amp;'Output - County'!A93,Input!$B$115:$B$3257,"="&amp;'Output - County'!B93)*VLOOKUP(A93,'Output - State'!$B$2:$G$52,6,FALSE)</f>
        <v>1.3020339620305514</v>
      </c>
    </row>
    <row r="94" spans="1:7" x14ac:dyDescent="0.25">
      <c r="A94" s="88">
        <v>2</v>
      </c>
      <c r="B94" s="88">
        <v>158</v>
      </c>
      <c r="C94" s="97">
        <f>SUMIFS(Input!$C$115:$C$3257,Input!$A$115:$A$3257,"="&amp;'Output - County'!A94,Input!$B$115:$B$3257,"="&amp;'Output - County'!B94)*VLOOKUP(A94,'Output - State'!$B$2:$G$52,2,FALSE)</f>
        <v>0.85005867234564136</v>
      </c>
      <c r="D94" s="98">
        <f>SUMIFS(Input!$C$115:$C$3257,Input!$A$115:$A$3257,"="&amp;'Output - County'!A94,Input!$B$115:$B$3257,"="&amp;'Output - County'!B94)*VLOOKUP(A94,'Output - State'!$B$2:$G$52,3,FALSE)</f>
        <v>0</v>
      </c>
      <c r="E94" s="98">
        <f>SUMIFS(Input!$C$115:$C$3257,Input!$A$115:$A$3257,"="&amp;'Output - County'!A94,Input!$B$115:$B$3257,"="&amp;'Output - County'!B94)*VLOOKUP(A94,'Output - State'!$B$2:$G$52,4,FALSE)</f>
        <v>0.3218287929245679</v>
      </c>
      <c r="F94" s="98">
        <f>SUMIFS(Input!$C$115:$C$3257,Input!$A$115:$A$3257,"="&amp;'Output - County'!A94,Input!$B$115:$B$3257,"="&amp;'Output - County'!B94)*VLOOKUP(A94,'Output - State'!$B$2:$G$52,5,FALSE)</f>
        <v>3.0086115870894448</v>
      </c>
      <c r="G94" s="99">
        <f>SUMIFS(Input!$D$115:$D$3257,Input!$A$115:$A$3257,"="&amp;'Output - County'!A94,Input!$B$115:$B$3257,"="&amp;'Output - County'!B94)*VLOOKUP(A94,'Output - State'!$B$2:$G$52,6,FALSE)</f>
        <v>1.1826334676958723</v>
      </c>
    </row>
    <row r="95" spans="1:7" x14ac:dyDescent="0.25">
      <c r="A95" s="88">
        <v>2</v>
      </c>
      <c r="B95" s="88">
        <v>275</v>
      </c>
      <c r="C95" s="97">
        <f>SUMIFS(Input!$C$115:$C$3257,Input!$A$115:$A$3257,"="&amp;'Output - County'!A95,Input!$B$115:$B$3257,"="&amp;'Output - County'!B95)*VLOOKUP(A95,'Output - State'!$B$2:$G$52,2,FALSE)</f>
        <v>0.29059317315781363</v>
      </c>
      <c r="D95" s="98">
        <f>SUMIFS(Input!$C$115:$C$3257,Input!$A$115:$A$3257,"="&amp;'Output - County'!A95,Input!$B$115:$B$3257,"="&amp;'Output - County'!B95)*VLOOKUP(A95,'Output - State'!$B$2:$G$52,3,FALSE)</f>
        <v>0</v>
      </c>
      <c r="E95" s="98">
        <f>SUMIFS(Input!$C$115:$C$3257,Input!$A$115:$A$3257,"="&amp;'Output - County'!A95,Input!$B$115:$B$3257,"="&amp;'Output - County'!B95)*VLOOKUP(A95,'Output - State'!$B$2:$G$52,4,FALSE)</f>
        <v>0.11001740608261514</v>
      </c>
      <c r="F95" s="98">
        <f>SUMIFS(Input!$C$115:$C$3257,Input!$A$115:$A$3257,"="&amp;'Output - County'!A95,Input!$B$115:$B$3257,"="&amp;'Output - County'!B95)*VLOOKUP(A95,'Output - State'!$B$2:$G$52,5,FALSE)</f>
        <v>1.0284960513127932</v>
      </c>
      <c r="G95" s="99">
        <f>SUMIFS(Input!$D$115:$D$3257,Input!$A$115:$A$3257,"="&amp;'Output - County'!A95,Input!$B$115:$B$3257,"="&amp;'Output - County'!B95)*VLOOKUP(A95,'Output - State'!$B$2:$G$52,6,FALSE)</f>
        <v>0.36104435191676865</v>
      </c>
    </row>
    <row r="96" spans="1:7" x14ac:dyDescent="0.25">
      <c r="A96" s="88">
        <v>2</v>
      </c>
      <c r="B96" s="88">
        <v>282</v>
      </c>
      <c r="C96" s="97">
        <f>SUMIFS(Input!$C$115:$C$3257,Input!$A$115:$A$3257,"="&amp;'Output - County'!A96,Input!$B$115:$B$3257,"="&amp;'Output - County'!B96)*VLOOKUP(A96,'Output - State'!$B$2:$G$52,2,FALSE)</f>
        <v>0.10760206206583803</v>
      </c>
      <c r="D96" s="98">
        <f>SUMIFS(Input!$C$115:$C$3257,Input!$A$115:$A$3257,"="&amp;'Output - County'!A96,Input!$B$115:$B$3257,"="&amp;'Output - County'!B96)*VLOOKUP(A96,'Output - State'!$B$2:$G$52,3,FALSE)</f>
        <v>0</v>
      </c>
      <c r="E96" s="98">
        <f>SUMIFS(Input!$C$115:$C$3257,Input!$A$115:$A$3257,"="&amp;'Output - County'!A96,Input!$B$115:$B$3257,"="&amp;'Output - County'!B96)*VLOOKUP(A96,'Output - State'!$B$2:$G$52,4,FALSE)</f>
        <v>4.0737707734087386E-2</v>
      </c>
      <c r="F96" s="98">
        <f>SUMIFS(Input!$C$115:$C$3257,Input!$A$115:$A$3257,"="&amp;'Output - County'!A96,Input!$B$115:$B$3257,"="&amp;'Output - County'!B96)*VLOOKUP(A96,'Output - State'!$B$2:$G$52,5,FALSE)</f>
        <v>0.38083584258095216</v>
      </c>
      <c r="G96" s="99">
        <f>SUMIFS(Input!$D$115:$D$3257,Input!$A$115:$A$3257,"="&amp;'Output - County'!A96,Input!$B$115:$B$3257,"="&amp;'Output - County'!B96)*VLOOKUP(A96,'Output - State'!$B$2:$G$52,6,FALSE)</f>
        <v>8.4717493599367769E-2</v>
      </c>
    </row>
    <row r="97" spans="1:7" x14ac:dyDescent="0.25">
      <c r="A97" s="88">
        <v>2</v>
      </c>
      <c r="B97" s="88">
        <v>290</v>
      </c>
      <c r="C97" s="97">
        <f>SUMIFS(Input!$C$115:$C$3257,Input!$A$115:$A$3257,"="&amp;'Output - County'!A97,Input!$B$115:$B$3257,"="&amp;'Output - County'!B97)*VLOOKUP(A97,'Output - State'!$B$2:$G$52,2,FALSE)</f>
        <v>3.3377114238513816</v>
      </c>
      <c r="D97" s="98">
        <f>SUMIFS(Input!$C$115:$C$3257,Input!$A$115:$A$3257,"="&amp;'Output - County'!A97,Input!$B$115:$B$3257,"="&amp;'Output - County'!B97)*VLOOKUP(A97,'Output - State'!$B$2:$G$52,3,FALSE)</f>
        <v>0</v>
      </c>
      <c r="E97" s="98">
        <f>SUMIFS(Input!$C$115:$C$3257,Input!$A$115:$A$3257,"="&amp;'Output - County'!A97,Input!$B$115:$B$3257,"="&amp;'Output - County'!B97)*VLOOKUP(A97,'Output - State'!$B$2:$G$52,4,FALSE)</f>
        <v>1.2636441149462956</v>
      </c>
      <c r="F97" s="98">
        <f>SUMIFS(Input!$C$115:$C$3257,Input!$A$115:$A$3257,"="&amp;'Output - County'!A97,Input!$B$115:$B$3257,"="&amp;'Output - County'!B97)*VLOOKUP(A97,'Output - State'!$B$2:$G$52,5,FALSE)</f>
        <v>11.813157833506533</v>
      </c>
      <c r="G97" s="99">
        <f>SUMIFS(Input!$D$115:$D$3257,Input!$A$115:$A$3257,"="&amp;'Output - County'!A97,Input!$B$115:$B$3257,"="&amp;'Output - County'!B97)*VLOOKUP(A97,'Output - State'!$B$2:$G$52,6,FALSE)</f>
        <v>0.76188886861176375</v>
      </c>
    </row>
    <row r="98" spans="1:7" x14ac:dyDescent="0.25">
      <c r="A98" s="88">
        <v>4</v>
      </c>
      <c r="B98" s="88">
        <v>1</v>
      </c>
      <c r="C98" s="97">
        <f>SUMIFS(Input!$C$115:$C$3257,Input!$A$115:$A$3257,"="&amp;'Output - County'!A98,Input!$B$115:$B$3257,"="&amp;'Output - County'!B98)*VLOOKUP(A98,'Output - State'!$B$2:$G$52,2,FALSE)</f>
        <v>14.502450347759739</v>
      </c>
      <c r="D98" s="98">
        <f>SUMIFS(Input!$C$115:$C$3257,Input!$A$115:$A$3257,"="&amp;'Output - County'!A98,Input!$B$115:$B$3257,"="&amp;'Output - County'!B98)*VLOOKUP(A98,'Output - State'!$B$2:$G$52,3,FALSE)</f>
        <v>0.37538544551755942</v>
      </c>
      <c r="E98" s="98">
        <f>SUMIFS(Input!$C$115:$C$3257,Input!$A$115:$A$3257,"="&amp;'Output - County'!A98,Input!$B$115:$B$3257,"="&amp;'Output - County'!B98)*VLOOKUP(A98,'Output - State'!$B$2:$G$52,4,FALSE)</f>
        <v>5.7162091835889823</v>
      </c>
      <c r="F98" s="98">
        <f>SUMIFS(Input!$C$115:$C$3257,Input!$A$115:$A$3257,"="&amp;'Output - County'!A98,Input!$B$115:$B$3257,"="&amp;'Output - County'!B98)*VLOOKUP(A98,'Output - State'!$B$2:$G$52,5,FALSE)</f>
        <v>53.437894812611873</v>
      </c>
      <c r="G98" s="99">
        <f>SUMIFS(Input!$D$115:$D$3257,Input!$A$115:$A$3257,"="&amp;'Output - County'!A98,Input!$B$115:$B$3257,"="&amp;'Output - County'!B98)*VLOOKUP(A98,'Output - State'!$B$2:$G$52,6,FALSE)</f>
        <v>6.0561420398403145</v>
      </c>
    </row>
    <row r="99" spans="1:7" x14ac:dyDescent="0.25">
      <c r="A99" s="88">
        <v>4</v>
      </c>
      <c r="B99" s="88">
        <v>3</v>
      </c>
      <c r="C99" s="97">
        <f>SUMIFS(Input!$C$115:$C$3257,Input!$A$115:$A$3257,"="&amp;'Output - County'!A99,Input!$B$115:$B$3257,"="&amp;'Output - County'!B99)*VLOOKUP(A99,'Output - State'!$B$2:$G$52,2,FALSE)</f>
        <v>26.376292330246198</v>
      </c>
      <c r="D99" s="98">
        <f>SUMIFS(Input!$C$115:$C$3257,Input!$A$115:$A$3257,"="&amp;'Output - County'!A99,Input!$B$115:$B$3257,"="&amp;'Output - County'!B99)*VLOOKUP(A99,'Output - State'!$B$2:$G$52,3,FALSE)</f>
        <v>0.68273126334270473</v>
      </c>
      <c r="E99" s="98">
        <f>SUMIFS(Input!$C$115:$C$3257,Input!$A$115:$A$3257,"="&amp;'Output - County'!A99,Input!$B$115:$B$3257,"="&amp;'Output - County'!B99)*VLOOKUP(A99,'Output - State'!$B$2:$G$52,4,FALSE)</f>
        <v>10.396339986123204</v>
      </c>
      <c r="F99" s="98">
        <f>SUMIFS(Input!$C$115:$C$3257,Input!$A$115:$A$3257,"="&amp;'Output - County'!A99,Input!$B$115:$B$3257,"="&amp;'Output - County'!B99)*VLOOKUP(A99,'Output - State'!$B$2:$G$52,5,FALSE)</f>
        <v>97.190026601823789</v>
      </c>
      <c r="G99" s="99">
        <f>SUMIFS(Input!$D$115:$D$3257,Input!$A$115:$A$3257,"="&amp;'Output - County'!A99,Input!$B$115:$B$3257,"="&amp;'Output - County'!B99)*VLOOKUP(A99,'Output - State'!$B$2:$G$52,6,FALSE)</f>
        <v>10.642592705995531</v>
      </c>
    </row>
    <row r="100" spans="1:7" x14ac:dyDescent="0.25">
      <c r="A100" s="88">
        <v>4</v>
      </c>
      <c r="B100" s="88">
        <v>5</v>
      </c>
      <c r="C100" s="97">
        <f>SUMIFS(Input!$C$115:$C$3257,Input!$A$115:$A$3257,"="&amp;'Output - County'!A100,Input!$B$115:$B$3257,"="&amp;'Output - County'!B100)*VLOOKUP(A100,'Output - State'!$B$2:$G$52,2,FALSE)</f>
        <v>44.279663045458229</v>
      </c>
      <c r="D100" s="98">
        <f>SUMIFS(Input!$C$115:$C$3257,Input!$A$115:$A$3257,"="&amp;'Output - County'!A100,Input!$B$115:$B$3257,"="&amp;'Output - County'!B100)*VLOOKUP(A100,'Output - State'!$B$2:$G$52,3,FALSE)</f>
        <v>1.1461470745358846</v>
      </c>
      <c r="E100" s="98">
        <f>SUMIFS(Input!$C$115:$C$3257,Input!$A$115:$A$3257,"="&amp;'Output - County'!A100,Input!$B$115:$B$3257,"="&amp;'Output - County'!B100)*VLOOKUP(A100,'Output - State'!$B$2:$G$52,4,FALSE)</f>
        <v>17.453037967875087</v>
      </c>
      <c r="F100" s="98">
        <f>SUMIFS(Input!$C$115:$C$3257,Input!$A$115:$A$3257,"="&amp;'Output - County'!A100,Input!$B$115:$B$3257,"="&amp;'Output - County'!B100)*VLOOKUP(A100,'Output - State'!$B$2:$G$52,5,FALSE)</f>
        <v>163.15946060291898</v>
      </c>
      <c r="G100" s="99">
        <f>SUMIFS(Input!$D$115:$D$3257,Input!$A$115:$A$3257,"="&amp;'Output - County'!A100,Input!$B$115:$B$3257,"="&amp;'Output - County'!B100)*VLOOKUP(A100,'Output - State'!$B$2:$G$52,6,FALSE)</f>
        <v>12.078498071090166</v>
      </c>
    </row>
    <row r="101" spans="1:7" x14ac:dyDescent="0.25">
      <c r="A101" s="88">
        <v>4</v>
      </c>
      <c r="B101" s="88">
        <v>7</v>
      </c>
      <c r="C101" s="97">
        <f>SUMIFS(Input!$C$115:$C$3257,Input!$A$115:$A$3257,"="&amp;'Output - County'!A101,Input!$B$115:$B$3257,"="&amp;'Output - County'!B101)*VLOOKUP(A101,'Output - State'!$B$2:$G$52,2,FALSE)</f>
        <v>9.2431804192864746</v>
      </c>
      <c r="D101" s="98">
        <f>SUMIFS(Input!$C$115:$C$3257,Input!$A$115:$A$3257,"="&amp;'Output - County'!A101,Input!$B$115:$B$3257,"="&amp;'Output - County'!B101)*VLOOKUP(A101,'Output - State'!$B$2:$G$52,3,FALSE)</f>
        <v>0.23925304458835978</v>
      </c>
      <c r="E101" s="98">
        <f>SUMIFS(Input!$C$115:$C$3257,Input!$A$115:$A$3257,"="&amp;'Output - County'!A101,Input!$B$115:$B$3257,"="&amp;'Output - County'!B101)*VLOOKUP(A101,'Output - State'!$B$2:$G$52,4,FALSE)</f>
        <v>3.643243143835829</v>
      </c>
      <c r="F101" s="98">
        <f>SUMIFS(Input!$C$115:$C$3257,Input!$A$115:$A$3257,"="&amp;'Output - County'!A101,Input!$B$115:$B$3257,"="&amp;'Output - County'!B101)*VLOOKUP(A101,'Output - State'!$B$2:$G$52,5,FALSE)</f>
        <v>34.05880324604076</v>
      </c>
      <c r="G101" s="99">
        <f>SUMIFS(Input!$D$115:$D$3257,Input!$A$115:$A$3257,"="&amp;'Output - County'!A101,Input!$B$115:$B$3257,"="&amp;'Output - County'!B101)*VLOOKUP(A101,'Output - State'!$B$2:$G$52,6,FALSE)</f>
        <v>4.5442181554171395</v>
      </c>
    </row>
    <row r="102" spans="1:7" x14ac:dyDescent="0.25">
      <c r="A102" s="88">
        <v>4</v>
      </c>
      <c r="B102" s="88">
        <v>9</v>
      </c>
      <c r="C102" s="97">
        <f>SUMIFS(Input!$C$115:$C$3257,Input!$A$115:$A$3257,"="&amp;'Output - County'!A102,Input!$B$115:$B$3257,"="&amp;'Output - County'!B102)*VLOOKUP(A102,'Output - State'!$B$2:$G$52,2,FALSE)</f>
        <v>4.8506135820826817</v>
      </c>
      <c r="D102" s="98">
        <f>SUMIFS(Input!$C$115:$C$3257,Input!$A$115:$A$3257,"="&amp;'Output - County'!A102,Input!$B$115:$B$3257,"="&amp;'Output - County'!B102)*VLOOKUP(A102,'Output - State'!$B$2:$G$52,3,FALSE)</f>
        <v>0.12555462676173942</v>
      </c>
      <c r="E102" s="98">
        <f>SUMIFS(Input!$C$115:$C$3257,Input!$A$115:$A$3257,"="&amp;'Output - County'!A102,Input!$B$115:$B$3257,"="&amp;'Output - County'!B102)*VLOOKUP(A102,'Output - State'!$B$2:$G$52,4,FALSE)</f>
        <v>1.9118922140095871</v>
      </c>
      <c r="F102" s="98">
        <f>SUMIFS(Input!$C$115:$C$3257,Input!$A$115:$A$3257,"="&amp;'Output - County'!A102,Input!$B$115:$B$3257,"="&amp;'Output - County'!B102)*VLOOKUP(A102,'Output - State'!$B$2:$G$52,5,FALSE)</f>
        <v>17.873295350809574</v>
      </c>
      <c r="G102" s="99">
        <f>SUMIFS(Input!$D$115:$D$3257,Input!$A$115:$A$3257,"="&amp;'Output - County'!A102,Input!$B$115:$B$3257,"="&amp;'Output - County'!B102)*VLOOKUP(A102,'Output - State'!$B$2:$G$52,6,FALSE)</f>
        <v>3.2096708160938903</v>
      </c>
    </row>
    <row r="103" spans="1:7" x14ac:dyDescent="0.25">
      <c r="A103" s="88">
        <v>4</v>
      </c>
      <c r="B103" s="88">
        <v>11</v>
      </c>
      <c r="C103" s="97">
        <f>SUMIFS(Input!$C$115:$C$3257,Input!$A$115:$A$3257,"="&amp;'Output - County'!A103,Input!$B$115:$B$3257,"="&amp;'Output - County'!B103)*VLOOKUP(A103,'Output - State'!$B$2:$G$52,2,FALSE)</f>
        <v>0.97404522262241744</v>
      </c>
      <c r="D103" s="98">
        <f>SUMIFS(Input!$C$115:$C$3257,Input!$A$115:$A$3257,"="&amp;'Output - County'!A103,Input!$B$115:$B$3257,"="&amp;'Output - County'!B103)*VLOOKUP(A103,'Output - State'!$B$2:$G$52,3,FALSE)</f>
        <v>2.5212456590471898E-2</v>
      </c>
      <c r="E103" s="98">
        <f>SUMIFS(Input!$C$115:$C$3257,Input!$A$115:$A$3257,"="&amp;'Output - County'!A103,Input!$B$115:$B$3257,"="&amp;'Output - County'!B103)*VLOOKUP(A103,'Output - State'!$B$2:$G$52,4,FALSE)</f>
        <v>0.38392451711757303</v>
      </c>
      <c r="F103" s="98">
        <f>SUMIFS(Input!$C$115:$C$3257,Input!$A$115:$A$3257,"="&amp;'Output - County'!A103,Input!$B$115:$B$3257,"="&amp;'Output - County'!B103)*VLOOKUP(A103,'Output - State'!$B$2:$G$52,5,FALSE)</f>
        <v>3.5891125224410372</v>
      </c>
      <c r="G103" s="99">
        <f>SUMIFS(Input!$D$115:$D$3257,Input!$A$115:$A$3257,"="&amp;'Output - County'!A103,Input!$B$115:$B$3257,"="&amp;'Output - County'!B103)*VLOOKUP(A103,'Output - State'!$B$2:$G$52,6,FALSE)</f>
        <v>0.79819445294966485</v>
      </c>
    </row>
    <row r="104" spans="1:7" x14ac:dyDescent="0.25">
      <c r="A104" s="88">
        <v>4</v>
      </c>
      <c r="B104" s="88">
        <v>12</v>
      </c>
      <c r="C104" s="97">
        <f>SUMIFS(Input!$C$115:$C$3257,Input!$A$115:$A$3257,"="&amp;'Output - County'!A104,Input!$B$115:$B$3257,"="&amp;'Output - County'!B104)*VLOOKUP(A104,'Output - State'!$B$2:$G$52,2,FALSE)</f>
        <v>17.586528972193243</v>
      </c>
      <c r="D104" s="98">
        <f>SUMIFS(Input!$C$115:$C$3257,Input!$A$115:$A$3257,"="&amp;'Output - County'!A104,Input!$B$115:$B$3257,"="&amp;'Output - County'!B104)*VLOOKUP(A104,'Output - State'!$B$2:$G$52,3,FALSE)</f>
        <v>0.45521459167443556</v>
      </c>
      <c r="E104" s="98">
        <f>SUMIFS(Input!$C$115:$C$3257,Input!$A$115:$A$3257,"="&amp;'Output - County'!A104,Input!$B$115:$B$3257,"="&amp;'Output - County'!B104)*VLOOKUP(A104,'Output - State'!$B$2:$G$52,4,FALSE)</f>
        <v>6.9318133148329499</v>
      </c>
      <c r="F104" s="98">
        <f>SUMIFS(Input!$C$115:$C$3257,Input!$A$115:$A$3257,"="&amp;'Output - County'!A104,Input!$B$115:$B$3257,"="&amp;'Output - County'!B104)*VLOOKUP(A104,'Output - State'!$B$2:$G$52,5,FALSE)</f>
        <v>64.801951587456173</v>
      </c>
      <c r="G104" s="99">
        <f>SUMIFS(Input!$D$115:$D$3257,Input!$A$115:$A$3257,"="&amp;'Output - County'!A104,Input!$B$115:$B$3257,"="&amp;'Output - County'!B104)*VLOOKUP(A104,'Output - State'!$B$2:$G$52,6,FALSE)</f>
        <v>1.7737654509992553</v>
      </c>
    </row>
    <row r="105" spans="1:7" x14ac:dyDescent="0.25">
      <c r="A105" s="88">
        <v>4</v>
      </c>
      <c r="B105" s="88">
        <v>13</v>
      </c>
      <c r="C105" s="97">
        <f>SUMIFS(Input!$C$115:$C$3257,Input!$A$115:$A$3257,"="&amp;'Output - County'!A105,Input!$B$115:$B$3257,"="&amp;'Output - County'!B105)*VLOOKUP(A105,'Output - State'!$B$2:$G$52,2,FALSE)</f>
        <v>846.58839421492428</v>
      </c>
      <c r="D105" s="98">
        <f>SUMIFS(Input!$C$115:$C$3257,Input!$A$115:$A$3257,"="&amp;'Output - County'!A105,Input!$B$115:$B$3257,"="&amp;'Output - County'!B105)*VLOOKUP(A105,'Output - State'!$B$2:$G$52,3,FALSE)</f>
        <v>21.913328707341936</v>
      </c>
      <c r="E105" s="98">
        <f>SUMIFS(Input!$C$115:$C$3257,Input!$A$115:$A$3257,"="&amp;'Output - County'!A105,Input!$B$115:$B$3257,"="&amp;'Output - County'!B105)*VLOOKUP(A105,'Output - State'!$B$2:$G$52,4,FALSE)</f>
        <v>333.68680724211168</v>
      </c>
      <c r="F105" s="98">
        <f>SUMIFS(Input!$C$115:$C$3257,Input!$A$115:$A$3257,"="&amp;'Output - County'!A105,Input!$B$115:$B$3257,"="&amp;'Output - County'!B105)*VLOOKUP(A105,'Output - State'!$B$2:$G$52,5,FALSE)</f>
        <v>3119.4660539984907</v>
      </c>
      <c r="G105" s="99">
        <f>SUMIFS(Input!$D$115:$D$3257,Input!$A$115:$A$3257,"="&amp;'Output - County'!A105,Input!$B$115:$B$3257,"="&amp;'Output - County'!B105)*VLOOKUP(A105,'Output - State'!$B$2:$G$52,6,FALSE)</f>
        <v>371.64609449508202</v>
      </c>
    </row>
    <row r="106" spans="1:7" x14ac:dyDescent="0.25">
      <c r="A106" s="88">
        <v>4</v>
      </c>
      <c r="B106" s="88">
        <v>15</v>
      </c>
      <c r="C106" s="97">
        <f>SUMIFS(Input!$C$115:$C$3257,Input!$A$115:$A$3257,"="&amp;'Output - County'!A106,Input!$B$115:$B$3257,"="&amp;'Output - County'!B106)*VLOOKUP(A106,'Output - State'!$B$2:$G$52,2,FALSE)</f>
        <v>46.161288113539264</v>
      </c>
      <c r="D106" s="98">
        <f>SUMIFS(Input!$C$115:$C$3257,Input!$A$115:$A$3257,"="&amp;'Output - County'!A106,Input!$B$115:$B$3257,"="&amp;'Output - County'!B106)*VLOOKUP(A106,'Output - State'!$B$2:$G$52,3,FALSE)</f>
        <v>1.1948515794671992</v>
      </c>
      <c r="E106" s="98">
        <f>SUMIFS(Input!$C$115:$C$3257,Input!$A$115:$A$3257,"="&amp;'Output - County'!A106,Input!$B$115:$B$3257,"="&amp;'Output - County'!B106)*VLOOKUP(A106,'Output - State'!$B$2:$G$52,4,FALSE)</f>
        <v>18.194689360317025</v>
      </c>
      <c r="F106" s="98">
        <f>SUMIFS(Input!$C$115:$C$3257,Input!$A$115:$A$3257,"="&amp;'Output - County'!A106,Input!$B$115:$B$3257,"="&amp;'Output - County'!B106)*VLOOKUP(A106,'Output - State'!$B$2:$G$52,5,FALSE)</f>
        <v>170.09277739103132</v>
      </c>
      <c r="G106" s="99">
        <f>SUMIFS(Input!$D$115:$D$3257,Input!$A$115:$A$3257,"="&amp;'Output - County'!A106,Input!$B$115:$B$3257,"="&amp;'Output - County'!B106)*VLOOKUP(A106,'Output - State'!$B$2:$G$52,6,FALSE)</f>
        <v>17.653189488516396</v>
      </c>
    </row>
    <row r="107" spans="1:7" x14ac:dyDescent="0.25">
      <c r="A107" s="88">
        <v>4</v>
      </c>
      <c r="B107" s="88">
        <v>17</v>
      </c>
      <c r="C107" s="97">
        <f>SUMIFS(Input!$C$115:$C$3257,Input!$A$115:$A$3257,"="&amp;'Output - County'!A107,Input!$B$115:$B$3257,"="&amp;'Output - County'!B107)*VLOOKUP(A107,'Output - State'!$B$2:$G$52,2,FALSE)</f>
        <v>24.067061287095779</v>
      </c>
      <c r="D107" s="98">
        <f>SUMIFS(Input!$C$115:$C$3257,Input!$A$115:$A$3257,"="&amp;'Output - County'!A107,Input!$B$115:$B$3257,"="&amp;'Output - County'!B107)*VLOOKUP(A107,'Output - State'!$B$2:$G$52,3,FALSE)</f>
        <v>0.62295848680153876</v>
      </c>
      <c r="E107" s="98">
        <f>SUMIFS(Input!$C$115:$C$3257,Input!$A$115:$A$3257,"="&amp;'Output - County'!A107,Input!$B$115:$B$3257,"="&amp;'Output - County'!B107)*VLOOKUP(A107,'Output - State'!$B$2:$G$52,4,FALSE)</f>
        <v>9.486145682446498</v>
      </c>
      <c r="F107" s="98">
        <f>SUMIFS(Input!$C$115:$C$3257,Input!$A$115:$A$3257,"="&amp;'Output - County'!A107,Input!$B$115:$B$3257,"="&amp;'Output - County'!B107)*VLOOKUP(A107,'Output - State'!$B$2:$G$52,5,FALSE)</f>
        <v>88.68108896557446</v>
      </c>
      <c r="G107" s="99">
        <f>SUMIFS(Input!$D$115:$D$3257,Input!$A$115:$A$3257,"="&amp;'Output - County'!A107,Input!$B$115:$B$3257,"="&amp;'Output - County'!B107)*VLOOKUP(A107,'Output - State'!$B$2:$G$52,6,FALSE)</f>
        <v>9.2911523623770513</v>
      </c>
    </row>
    <row r="108" spans="1:7" x14ac:dyDescent="0.25">
      <c r="A108" s="88">
        <v>4</v>
      </c>
      <c r="B108" s="88">
        <v>19</v>
      </c>
      <c r="C108" s="97">
        <f>SUMIFS(Input!$C$115:$C$3257,Input!$A$115:$A$3257,"="&amp;'Output - County'!A108,Input!$B$115:$B$3257,"="&amp;'Output - County'!B108)*VLOOKUP(A108,'Output - State'!$B$2:$G$52,2,FALSE)</f>
        <v>165.64395942485376</v>
      </c>
      <c r="D108" s="98">
        <f>SUMIFS(Input!$C$115:$C$3257,Input!$A$115:$A$3257,"="&amp;'Output - County'!A108,Input!$B$115:$B$3257,"="&amp;'Output - County'!B108)*VLOOKUP(A108,'Output - State'!$B$2:$G$52,3,FALSE)</f>
        <v>4.2875741695331193</v>
      </c>
      <c r="E108" s="98">
        <f>SUMIFS(Input!$C$115:$C$3257,Input!$A$115:$A$3257,"="&amp;'Output - County'!A108,Input!$B$115:$B$3257,"="&amp;'Output - County'!B108)*VLOOKUP(A108,'Output - State'!$B$2:$G$52,4,FALSE)</f>
        <v>65.289347618187506</v>
      </c>
      <c r="F108" s="98">
        <f>SUMIFS(Input!$C$115:$C$3257,Input!$A$115:$A$3257,"="&amp;'Output - County'!A108,Input!$B$115:$B$3257,"="&amp;'Output - County'!B108)*VLOOKUP(A108,'Output - State'!$B$2:$G$52,5,FALSE)</f>
        <v>610.35647548052066</v>
      </c>
      <c r="G108" s="99">
        <f>SUMIFS(Input!$D$115:$D$3257,Input!$A$115:$A$3257,"="&amp;'Output - County'!A108,Input!$B$115:$B$3257,"="&amp;'Output - County'!B108)*VLOOKUP(A108,'Output - State'!$B$2:$G$52,6,FALSE)</f>
        <v>87.843622335201204</v>
      </c>
    </row>
    <row r="109" spans="1:7" x14ac:dyDescent="0.25">
      <c r="A109" s="88">
        <v>4</v>
      </c>
      <c r="B109" s="88">
        <v>21</v>
      </c>
      <c r="C109" s="97">
        <f>SUMIFS(Input!$C$115:$C$3257,Input!$A$115:$A$3257,"="&amp;'Output - County'!A109,Input!$B$115:$B$3257,"="&amp;'Output - County'!B109)*VLOOKUP(A109,'Output - State'!$B$2:$G$52,2,FALSE)</f>
        <v>71.759833206633161</v>
      </c>
      <c r="D109" s="98">
        <f>SUMIFS(Input!$C$115:$C$3257,Input!$A$115:$A$3257,"="&amp;'Output - County'!A109,Input!$B$115:$B$3257,"="&amp;'Output - County'!B109)*VLOOKUP(A109,'Output - State'!$B$2:$G$52,3,FALSE)</f>
        <v>1.8574514176977628</v>
      </c>
      <c r="E109" s="98">
        <f>SUMIFS(Input!$C$115:$C$3257,Input!$A$115:$A$3257,"="&amp;'Output - County'!A109,Input!$B$115:$B$3257,"="&amp;'Output - County'!B109)*VLOOKUP(A109,'Output - State'!$B$2:$G$52,4,FALSE)</f>
        <v>28.284476605840243</v>
      </c>
      <c r="F109" s="98">
        <f>SUMIFS(Input!$C$115:$C$3257,Input!$A$115:$A$3257,"="&amp;'Output - County'!A109,Input!$B$115:$B$3257,"="&amp;'Output - County'!B109)*VLOOKUP(A109,'Output - State'!$B$2:$G$52,5,FALSE)</f>
        <v>264.41700034911673</v>
      </c>
      <c r="G109" s="99">
        <f>SUMIFS(Input!$D$115:$D$3257,Input!$A$115:$A$3257,"="&amp;'Output - County'!A109,Input!$B$115:$B$3257,"="&amp;'Output - County'!B109)*VLOOKUP(A109,'Output - State'!$B$2:$G$52,6,FALSE)</f>
        <v>37.755864599841289</v>
      </c>
    </row>
    <row r="110" spans="1:7" x14ac:dyDescent="0.25">
      <c r="A110" s="88">
        <v>4</v>
      </c>
      <c r="B110" s="88">
        <v>23</v>
      </c>
      <c r="C110" s="97">
        <f>SUMIFS(Input!$C$115:$C$3257,Input!$A$115:$A$3257,"="&amp;'Output - County'!A110,Input!$B$115:$B$3257,"="&amp;'Output - County'!B110)*VLOOKUP(A110,'Output - State'!$B$2:$G$52,2,FALSE)</f>
        <v>9.4081793579623643</v>
      </c>
      <c r="D110" s="98">
        <f>SUMIFS(Input!$C$115:$C$3257,Input!$A$115:$A$3257,"="&amp;'Output - County'!A110,Input!$B$115:$B$3257,"="&amp;'Output - County'!B110)*VLOOKUP(A110,'Output - State'!$B$2:$G$52,3,FALSE)</f>
        <v>0.24352392286199862</v>
      </c>
      <c r="E110" s="98">
        <f>SUMIFS(Input!$C$115:$C$3257,Input!$A$115:$A$3257,"="&amp;'Output - County'!A110,Input!$B$115:$B$3257,"="&amp;'Output - County'!B110)*VLOOKUP(A110,'Output - State'!$B$2:$G$52,4,FALSE)</f>
        <v>3.7082782534845409</v>
      </c>
      <c r="F110" s="98">
        <f>SUMIFS(Input!$C$115:$C$3257,Input!$A$115:$A$3257,"="&amp;'Output - County'!A110,Input!$B$115:$B$3257,"="&amp;'Output - County'!B110)*VLOOKUP(A110,'Output - State'!$B$2:$G$52,5,FALSE)</f>
        <v>34.666782981721546</v>
      </c>
      <c r="G110" s="99">
        <f>SUMIFS(Input!$D$115:$D$3257,Input!$A$115:$A$3257,"="&amp;'Output - County'!A110,Input!$B$115:$B$3257,"="&amp;'Output - County'!B110)*VLOOKUP(A110,'Output - State'!$B$2:$G$52,6,FALSE)</f>
        <v>3.9191769964935927</v>
      </c>
    </row>
    <row r="111" spans="1:7" x14ac:dyDescent="0.25">
      <c r="A111" s="88">
        <v>4</v>
      </c>
      <c r="B111" s="88">
        <v>25</v>
      </c>
      <c r="C111" s="97">
        <f>SUMIFS(Input!$C$115:$C$3257,Input!$A$115:$A$3257,"="&amp;'Output - County'!A111,Input!$B$115:$B$3257,"="&amp;'Output - County'!B111)*VLOOKUP(A111,'Output - State'!$B$2:$G$52,2,FALSE)</f>
        <v>57.627935889693276</v>
      </c>
      <c r="D111" s="98">
        <f>SUMIFS(Input!$C$115:$C$3257,Input!$A$115:$A$3257,"="&amp;'Output - County'!A111,Input!$B$115:$B$3257,"="&amp;'Output - County'!B111)*VLOOKUP(A111,'Output - State'!$B$2:$G$52,3,FALSE)</f>
        <v>1.4916574695635185</v>
      </c>
      <c r="E111" s="98">
        <f>SUMIFS(Input!$C$115:$C$3257,Input!$A$115:$A$3257,"="&amp;'Output - County'!A111,Input!$B$115:$B$3257,"="&amp;'Output - County'!B111)*VLOOKUP(A111,'Output - State'!$B$2:$G$52,4,FALSE)</f>
        <v>22.714322646505583</v>
      </c>
      <c r="F111" s="98">
        <f>SUMIFS(Input!$C$115:$C$3257,Input!$A$115:$A$3257,"="&amp;'Output - County'!A111,Input!$B$115:$B$3257,"="&amp;'Output - County'!B111)*VLOOKUP(A111,'Output - State'!$B$2:$G$52,5,FALSE)</f>
        <v>212.34450058414279</v>
      </c>
      <c r="G111" s="99">
        <f>SUMIFS(Input!$D$115:$D$3257,Input!$A$115:$A$3257,"="&amp;'Output - County'!A111,Input!$B$115:$B$3257,"="&amp;'Output - County'!B111)*VLOOKUP(A111,'Output - State'!$B$2:$G$52,6,FALSE)</f>
        <v>19.595884982467965</v>
      </c>
    </row>
    <row r="112" spans="1:7" x14ac:dyDescent="0.25">
      <c r="A112" s="88">
        <v>4</v>
      </c>
      <c r="B112" s="88">
        <v>27</v>
      </c>
      <c r="C112" s="97">
        <f>SUMIFS(Input!$C$115:$C$3257,Input!$A$115:$A$3257,"="&amp;'Output - County'!A112,Input!$B$115:$B$3257,"="&amp;'Output - County'!B112)*VLOOKUP(A112,'Output - State'!$B$2:$G$52,2,FALSE)</f>
        <v>31.713717991160895</v>
      </c>
      <c r="D112" s="98">
        <f>SUMIFS(Input!$C$115:$C$3257,Input!$A$115:$A$3257,"="&amp;'Output - County'!A112,Input!$B$115:$B$3257,"="&amp;'Output - County'!B112)*VLOOKUP(A112,'Output - State'!$B$2:$G$52,3,FALSE)</f>
        <v>0.82088666891861983</v>
      </c>
      <c r="E112" s="98">
        <f>SUMIFS(Input!$C$115:$C$3257,Input!$A$115:$A$3257,"="&amp;'Output - County'!A112,Input!$B$115:$B$3257,"="&amp;'Output - County'!B112)*VLOOKUP(A112,'Output - State'!$B$2:$G$52,4,FALSE)</f>
        <v>12.500111476322244</v>
      </c>
      <c r="F112" s="98">
        <f>SUMIFS(Input!$C$115:$C$3257,Input!$A$115:$A$3257,"="&amp;'Output - County'!A112,Input!$B$115:$B$3257,"="&amp;'Output - County'!B112)*VLOOKUP(A112,'Output - State'!$B$2:$G$52,5,FALSE)</f>
        <v>116.85710245443336</v>
      </c>
      <c r="G112" s="99">
        <f>SUMIFS(Input!$D$115:$D$3257,Input!$A$115:$A$3257,"="&amp;'Output - County'!A112,Input!$B$115:$B$3257,"="&amp;'Output - County'!B112)*VLOOKUP(A112,'Output - State'!$B$2:$G$52,6,FALSE)</f>
        <v>17.906584552944864</v>
      </c>
    </row>
    <row r="113" spans="1:7" x14ac:dyDescent="0.25">
      <c r="A113" s="88">
        <v>5</v>
      </c>
      <c r="B113" s="88">
        <v>1</v>
      </c>
      <c r="C113" s="97">
        <f>SUMIFS(Input!$C$115:$C$3257,Input!$A$115:$A$3257,"="&amp;'Output - County'!A113,Input!$B$115:$B$3257,"="&amp;'Output - County'!B113)*VLOOKUP(A113,'Output - State'!$B$2:$G$52,2,FALSE)</f>
        <v>3.9089999476316848</v>
      </c>
      <c r="D113" s="98">
        <f>SUMIFS(Input!$C$115:$C$3257,Input!$A$115:$A$3257,"="&amp;'Output - County'!A113,Input!$B$115:$B$3257,"="&amp;'Output - County'!B113)*VLOOKUP(A113,'Output - State'!$B$2:$G$52,3,FALSE)</f>
        <v>0.19696692273439656</v>
      </c>
      <c r="E113" s="98">
        <f>SUMIFS(Input!$C$115:$C$3257,Input!$A$115:$A$3257,"="&amp;'Output - County'!A113,Input!$B$115:$B$3257,"="&amp;'Output - County'!B113)*VLOOKUP(A113,'Output - State'!$B$2:$G$52,4,FALSE)</f>
        <v>0.82723205981466019</v>
      </c>
      <c r="F113" s="98">
        <f>SUMIFS(Input!$C$115:$C$3257,Input!$A$115:$A$3257,"="&amp;'Output - County'!A113,Input!$B$115:$B$3257,"="&amp;'Output - County'!B113)*VLOOKUP(A113,'Output - State'!$B$2:$G$52,5,FALSE)</f>
        <v>14.93457795394823</v>
      </c>
      <c r="G113" s="99">
        <f>SUMIFS(Input!$D$115:$D$3257,Input!$A$115:$A$3257,"="&amp;'Output - County'!A113,Input!$B$115:$B$3257,"="&amp;'Output - County'!B113)*VLOOKUP(A113,'Output - State'!$B$2:$G$52,6,FALSE)</f>
        <v>8.2029527897574948</v>
      </c>
    </row>
    <row r="114" spans="1:7" x14ac:dyDescent="0.25">
      <c r="A114" s="88">
        <v>5</v>
      </c>
      <c r="B114" s="88">
        <v>3</v>
      </c>
      <c r="C114" s="97">
        <f>SUMIFS(Input!$C$115:$C$3257,Input!$A$115:$A$3257,"="&amp;'Output - County'!A114,Input!$B$115:$B$3257,"="&amp;'Output - County'!B114)*VLOOKUP(A114,'Output - State'!$B$2:$G$52,2,FALSE)</f>
        <v>3.5207587326346061</v>
      </c>
      <c r="D114" s="98">
        <f>SUMIFS(Input!$C$115:$C$3257,Input!$A$115:$A$3257,"="&amp;'Output - County'!A114,Input!$B$115:$B$3257,"="&amp;'Output - County'!B114)*VLOOKUP(A114,'Output - State'!$B$2:$G$52,3,FALSE)</f>
        <v>0.17740420121454373</v>
      </c>
      <c r="E114" s="98">
        <f>SUMIFS(Input!$C$115:$C$3257,Input!$A$115:$A$3257,"="&amp;'Output - County'!A114,Input!$B$115:$B$3257,"="&amp;'Output - County'!B114)*VLOOKUP(A114,'Output - State'!$B$2:$G$52,4,FALSE)</f>
        <v>0.74507151126270588</v>
      </c>
      <c r="F114" s="98">
        <f>SUMIFS(Input!$C$115:$C$3257,Input!$A$115:$A$3257,"="&amp;'Output - County'!A114,Input!$B$115:$B$3257,"="&amp;'Output - County'!B114)*VLOOKUP(A114,'Output - State'!$B$2:$G$52,5,FALSE)</f>
        <v>13.451278192375613</v>
      </c>
      <c r="G114" s="99">
        <f>SUMIFS(Input!$D$115:$D$3257,Input!$A$115:$A$3257,"="&amp;'Output - County'!A114,Input!$B$115:$B$3257,"="&amp;'Output - County'!B114)*VLOOKUP(A114,'Output - State'!$B$2:$G$52,6,FALSE)</f>
        <v>9.2688732087655321</v>
      </c>
    </row>
    <row r="115" spans="1:7" x14ac:dyDescent="0.25">
      <c r="A115" s="88">
        <v>5</v>
      </c>
      <c r="B115" s="88">
        <v>5</v>
      </c>
      <c r="C115" s="97">
        <f>SUMIFS(Input!$C$115:$C$3257,Input!$A$115:$A$3257,"="&amp;'Output - County'!A115,Input!$B$115:$B$3257,"="&amp;'Output - County'!B115)*VLOOKUP(A115,'Output - State'!$B$2:$G$52,2,FALSE)</f>
        <v>8.1480071498677518</v>
      </c>
      <c r="D115" s="98">
        <f>SUMIFS(Input!$C$115:$C$3257,Input!$A$115:$A$3257,"="&amp;'Output - County'!A115,Input!$B$115:$B$3257,"="&amp;'Output - County'!B115)*VLOOKUP(A115,'Output - State'!$B$2:$G$52,3,FALSE)</f>
        <v>0.41056227071572438</v>
      </c>
      <c r="E115" s="98">
        <f>SUMIFS(Input!$C$115:$C$3257,Input!$A$115:$A$3257,"="&amp;'Output - County'!A115,Input!$B$115:$B$3257,"="&amp;'Output - County'!B115)*VLOOKUP(A115,'Output - State'!$B$2:$G$52,4,FALSE)</f>
        <v>1.7243010560932259</v>
      </c>
      <c r="F115" s="98">
        <f>SUMIFS(Input!$C$115:$C$3257,Input!$A$115:$A$3257,"="&amp;'Output - County'!A115,Input!$B$115:$B$3257,"="&amp;'Output - County'!B115)*VLOOKUP(A115,'Output - State'!$B$2:$G$52,5,FALSE)</f>
        <v>31.129969193975828</v>
      </c>
      <c r="G115" s="99">
        <f>SUMIFS(Input!$D$115:$D$3257,Input!$A$115:$A$3257,"="&amp;'Output - County'!A115,Input!$B$115:$B$3257,"="&amp;'Output - County'!B115)*VLOOKUP(A115,'Output - State'!$B$2:$G$52,6,FALSE)</f>
        <v>19.279256274232306</v>
      </c>
    </row>
    <row r="116" spans="1:7" x14ac:dyDescent="0.25">
      <c r="A116" s="88">
        <v>5</v>
      </c>
      <c r="B116" s="88">
        <v>7</v>
      </c>
      <c r="C116" s="97">
        <f>SUMIFS(Input!$C$115:$C$3257,Input!$A$115:$A$3257,"="&amp;'Output - County'!A116,Input!$B$115:$B$3257,"="&amp;'Output - County'!B116)*VLOOKUP(A116,'Output - State'!$B$2:$G$52,2,FALSE)</f>
        <v>65.588224773408314</v>
      </c>
      <c r="D116" s="98">
        <f>SUMIFS(Input!$C$115:$C$3257,Input!$A$115:$A$3257,"="&amp;'Output - County'!A116,Input!$B$115:$B$3257,"="&amp;'Output - County'!B116)*VLOOKUP(A116,'Output - State'!$B$2:$G$52,3,FALSE)</f>
        <v>3.3048633855974101</v>
      </c>
      <c r="E116" s="98">
        <f>SUMIFS(Input!$C$115:$C$3257,Input!$A$115:$A$3257,"="&amp;'Output - County'!A116,Input!$B$115:$B$3257,"="&amp;'Output - County'!B116)*VLOOKUP(A116,'Output - State'!$B$2:$G$52,4,FALSE)</f>
        <v>13.879939372157207</v>
      </c>
      <c r="F116" s="98">
        <f>SUMIFS(Input!$C$115:$C$3257,Input!$A$115:$A$3257,"="&amp;'Output - County'!A116,Input!$B$115:$B$3257,"="&amp;'Output - County'!B116)*VLOOKUP(A116,'Output - State'!$B$2:$G$52,5,FALSE)</f>
        <v>250.58390096244602</v>
      </c>
      <c r="G116" s="99">
        <f>SUMIFS(Input!$D$115:$D$3257,Input!$A$115:$A$3257,"="&amp;'Output - County'!A116,Input!$B$115:$B$3257,"="&amp;'Output - County'!B116)*VLOOKUP(A116,'Output - State'!$B$2:$G$52,6,FALSE)</f>
        <v>126.05667563921124</v>
      </c>
    </row>
    <row r="117" spans="1:7" x14ac:dyDescent="0.25">
      <c r="A117" s="88">
        <v>5</v>
      </c>
      <c r="B117" s="88">
        <v>9</v>
      </c>
      <c r="C117" s="97">
        <f>SUMIFS(Input!$C$115:$C$3257,Input!$A$115:$A$3257,"="&amp;'Output - County'!A117,Input!$B$115:$B$3257,"="&amp;'Output - County'!B117)*VLOOKUP(A117,'Output - State'!$B$2:$G$52,2,FALSE)</f>
        <v>7.7817872207802079</v>
      </c>
      <c r="D117" s="98">
        <f>SUMIFS(Input!$C$115:$C$3257,Input!$A$115:$A$3257,"="&amp;'Output - County'!A117,Input!$B$115:$B$3257,"="&amp;'Output - County'!B117)*VLOOKUP(A117,'Output - State'!$B$2:$G$52,3,FALSE)</f>
        <v>0.39210915906498484</v>
      </c>
      <c r="E117" s="98">
        <f>SUMIFS(Input!$C$115:$C$3257,Input!$A$115:$A$3257,"="&amp;'Output - County'!A117,Input!$B$115:$B$3257,"="&amp;'Output - County'!B117)*VLOOKUP(A117,'Output - State'!$B$2:$G$52,4,FALSE)</f>
        <v>1.6468007055322562</v>
      </c>
      <c r="F117" s="98">
        <f>SUMIFS(Input!$C$115:$C$3257,Input!$A$115:$A$3257,"="&amp;'Output - County'!A117,Input!$B$115:$B$3257,"="&amp;'Output - County'!B117)*VLOOKUP(A117,'Output - State'!$B$2:$G$52,5,FALSE)</f>
        <v>29.730803127841451</v>
      </c>
      <c r="G117" s="99">
        <f>SUMIFS(Input!$D$115:$D$3257,Input!$A$115:$A$3257,"="&amp;'Output - County'!A117,Input!$B$115:$B$3257,"="&amp;'Output - County'!B117)*VLOOKUP(A117,'Output - State'!$B$2:$G$52,6,FALSE)</f>
        <v>17.332792900391546</v>
      </c>
    </row>
    <row r="118" spans="1:7" x14ac:dyDescent="0.25">
      <c r="A118" s="88">
        <v>5</v>
      </c>
      <c r="B118" s="88">
        <v>11</v>
      </c>
      <c r="C118" s="97">
        <f>SUMIFS(Input!$C$115:$C$3257,Input!$A$115:$A$3257,"="&amp;'Output - County'!A118,Input!$B$115:$B$3257,"="&amp;'Output - County'!B118)*VLOOKUP(A118,'Output - State'!$B$2:$G$52,2,FALSE)</f>
        <v>2.1846387970796641</v>
      </c>
      <c r="D118" s="98">
        <f>SUMIFS(Input!$C$115:$C$3257,Input!$A$115:$A$3257,"="&amp;'Output - County'!A118,Input!$B$115:$B$3257,"="&amp;'Output - County'!B118)*VLOOKUP(A118,'Output - State'!$B$2:$G$52,3,FALSE)</f>
        <v>0.11007971013344697</v>
      </c>
      <c r="E118" s="98">
        <f>SUMIFS(Input!$C$115:$C$3257,Input!$A$115:$A$3257,"="&amp;'Output - County'!A118,Input!$B$115:$B$3257,"="&amp;'Output - County'!B118)*VLOOKUP(A118,'Output - State'!$B$2:$G$52,4,FALSE)</f>
        <v>0.46231856645435571</v>
      </c>
      <c r="F118" s="98">
        <f>SUMIFS(Input!$C$115:$C$3257,Input!$A$115:$A$3257,"="&amp;'Output - County'!A118,Input!$B$115:$B$3257,"="&amp;'Output - County'!B118)*VLOOKUP(A118,'Output - State'!$B$2:$G$52,5,FALSE)</f>
        <v>8.346548696162861</v>
      </c>
      <c r="G118" s="99">
        <f>SUMIFS(Input!$D$115:$D$3257,Input!$A$115:$A$3257,"="&amp;'Output - County'!A118,Input!$B$115:$B$3257,"="&amp;'Output - County'!B118)*VLOOKUP(A118,'Output - State'!$B$2:$G$52,6,FALSE)</f>
        <v>5.0051915327333871</v>
      </c>
    </row>
    <row r="119" spans="1:7" x14ac:dyDescent="0.25">
      <c r="A119" s="88">
        <v>5</v>
      </c>
      <c r="B119" s="88">
        <v>13</v>
      </c>
      <c r="C119" s="97">
        <f>SUMIFS(Input!$C$115:$C$3257,Input!$A$115:$A$3257,"="&amp;'Output - County'!A119,Input!$B$115:$B$3257,"="&amp;'Output - County'!B119)*VLOOKUP(A119,'Output - State'!$B$2:$G$52,2,FALSE)</f>
        <v>1.5590010172293316</v>
      </c>
      <c r="D119" s="98">
        <f>SUMIFS(Input!$C$115:$C$3257,Input!$A$115:$A$3257,"="&amp;'Output - County'!A119,Input!$B$115:$B$3257,"="&amp;'Output - County'!B119)*VLOOKUP(A119,'Output - State'!$B$2:$G$52,3,FALSE)</f>
        <v>7.855503633083917E-2</v>
      </c>
      <c r="E119" s="98">
        <f>SUMIFS(Input!$C$115:$C$3257,Input!$A$115:$A$3257,"="&amp;'Output - County'!A119,Input!$B$115:$B$3257,"="&amp;'Output - County'!B119)*VLOOKUP(A119,'Output - State'!$B$2:$G$52,4,FALSE)</f>
        <v>0.32991958045871145</v>
      </c>
      <c r="F119" s="98">
        <f>SUMIFS(Input!$C$115:$C$3257,Input!$A$115:$A$3257,"="&amp;'Output - County'!A119,Input!$B$115:$B$3257,"="&amp;'Output - County'!B119)*VLOOKUP(A119,'Output - State'!$B$2:$G$52,5,FALSE)</f>
        <v>5.9562605612727983</v>
      </c>
      <c r="G119" s="99">
        <f>SUMIFS(Input!$D$115:$D$3257,Input!$A$115:$A$3257,"="&amp;'Output - County'!A119,Input!$B$115:$B$3257,"="&amp;'Output - County'!B119)*VLOOKUP(A119,'Output - State'!$B$2:$G$52,6,FALSE)</f>
        <v>2.4238103440921863</v>
      </c>
    </row>
    <row r="120" spans="1:7" x14ac:dyDescent="0.25">
      <c r="A120" s="88">
        <v>5</v>
      </c>
      <c r="B120" s="88">
        <v>15</v>
      </c>
      <c r="C120" s="97">
        <f>SUMIFS(Input!$C$115:$C$3257,Input!$A$115:$A$3257,"="&amp;'Output - County'!A120,Input!$B$115:$B$3257,"="&amp;'Output - County'!B120)*VLOOKUP(A120,'Output - State'!$B$2:$G$52,2,FALSE)</f>
        <v>4.3069851622440449</v>
      </c>
      <c r="D120" s="98">
        <f>SUMIFS(Input!$C$115:$C$3257,Input!$A$115:$A$3257,"="&amp;'Output - County'!A120,Input!$B$115:$B$3257,"="&amp;'Output - County'!B120)*VLOOKUP(A120,'Output - State'!$B$2:$G$52,3,FALSE)</f>
        <v>0.21702062548859544</v>
      </c>
      <c r="E120" s="98">
        <f>SUMIFS(Input!$C$115:$C$3257,Input!$A$115:$A$3257,"="&amp;'Output - County'!A120,Input!$B$115:$B$3257,"="&amp;'Output - County'!B120)*VLOOKUP(A120,'Output - State'!$B$2:$G$52,4,FALSE)</f>
        <v>0.91145465722324481</v>
      </c>
      <c r="F120" s="98">
        <f>SUMIFS(Input!$C$115:$C$3257,Input!$A$115:$A$3257,"="&amp;'Output - County'!A120,Input!$B$115:$B$3257,"="&amp;'Output - County'!B120)*VLOOKUP(A120,'Output - State'!$B$2:$G$52,5,FALSE)</f>
        <v>16.455105273409615</v>
      </c>
      <c r="G120" s="99">
        <f>SUMIFS(Input!$D$115:$D$3257,Input!$A$115:$A$3257,"="&amp;'Output - County'!A120,Input!$B$115:$B$3257,"="&amp;'Output - County'!B120)*VLOOKUP(A120,'Output - State'!$B$2:$G$52,6,FALSE)</f>
        <v>13.02276685831557</v>
      </c>
    </row>
    <row r="121" spans="1:7" x14ac:dyDescent="0.25">
      <c r="A121" s="88">
        <v>5</v>
      </c>
      <c r="B121" s="88">
        <v>17</v>
      </c>
      <c r="C121" s="97">
        <f>SUMIFS(Input!$C$115:$C$3257,Input!$A$115:$A$3257,"="&amp;'Output - County'!A121,Input!$B$115:$B$3257,"="&amp;'Output - County'!B121)*VLOOKUP(A121,'Output - State'!$B$2:$G$52,2,FALSE)</f>
        <v>2.3931329388176077</v>
      </c>
      <c r="D121" s="98">
        <f>SUMIFS(Input!$C$115:$C$3257,Input!$A$115:$A$3257,"="&amp;'Output - County'!A121,Input!$B$115:$B$3257,"="&amp;'Output - County'!B121)*VLOOKUP(A121,'Output - State'!$B$2:$G$52,3,FALSE)</f>
        <v>0.12058532539474991</v>
      </c>
      <c r="E121" s="98">
        <f>SUMIFS(Input!$C$115:$C$3257,Input!$A$115:$A$3257,"="&amp;'Output - County'!A121,Input!$B$115:$B$3257,"="&amp;'Output - County'!B121)*VLOOKUP(A121,'Output - State'!$B$2:$G$52,4,FALSE)</f>
        <v>0.50644060294444659</v>
      </c>
      <c r="F121" s="98">
        <f>SUMIFS(Input!$C$115:$C$3257,Input!$A$115:$A$3257,"="&amp;'Output - County'!A121,Input!$B$115:$B$3257,"="&amp;'Output - County'!B121)*VLOOKUP(A121,'Output - State'!$B$2:$G$52,5,FALSE)</f>
        <v>9.1431135604354647</v>
      </c>
      <c r="G121" s="99">
        <f>SUMIFS(Input!$D$115:$D$3257,Input!$A$115:$A$3257,"="&amp;'Output - County'!A121,Input!$B$115:$B$3257,"="&amp;'Output - County'!B121)*VLOOKUP(A121,'Output - State'!$B$2:$G$52,6,FALSE)</f>
        <v>4.8198140685580766</v>
      </c>
    </row>
    <row r="122" spans="1:7" x14ac:dyDescent="0.25">
      <c r="A122" s="88">
        <v>5</v>
      </c>
      <c r="B122" s="88">
        <v>19</v>
      </c>
      <c r="C122" s="97">
        <f>SUMIFS(Input!$C$115:$C$3257,Input!$A$115:$A$3257,"="&amp;'Output - County'!A122,Input!$B$115:$B$3257,"="&amp;'Output - County'!B122)*VLOOKUP(A122,'Output - State'!$B$2:$G$52,2,FALSE)</f>
        <v>13.806974780660344</v>
      </c>
      <c r="D122" s="98">
        <f>SUMIFS(Input!$C$115:$C$3257,Input!$A$115:$A$3257,"="&amp;'Output - County'!A122,Input!$B$115:$B$3257,"="&amp;'Output - County'!B122)*VLOOKUP(A122,'Output - State'!$B$2:$G$52,3,FALSE)</f>
        <v>0.69570666954491522</v>
      </c>
      <c r="E122" s="98">
        <f>SUMIFS(Input!$C$115:$C$3257,Input!$A$115:$A$3257,"="&amp;'Output - County'!A122,Input!$B$115:$B$3257,"="&amp;'Output - County'!B122)*VLOOKUP(A122,'Output - State'!$B$2:$G$52,4,FALSE)</f>
        <v>2.9218655258705284</v>
      </c>
      <c r="F122" s="98">
        <f>SUMIFS(Input!$C$115:$C$3257,Input!$A$115:$A$3257,"="&amp;'Output - County'!A122,Input!$B$115:$B$3257,"="&amp;'Output - County'!B122)*VLOOKUP(A122,'Output - State'!$B$2:$G$52,5,FALSE)</f>
        <v>52.750407759636509</v>
      </c>
      <c r="G122" s="99">
        <f>SUMIFS(Input!$D$115:$D$3257,Input!$A$115:$A$3257,"="&amp;'Output - County'!A122,Input!$B$115:$B$3257,"="&amp;'Output - County'!B122)*VLOOKUP(A122,'Output - State'!$B$2:$G$52,6,FALSE)</f>
        <v>10.334793627773568</v>
      </c>
    </row>
    <row r="123" spans="1:7" x14ac:dyDescent="0.25">
      <c r="A123" s="88">
        <v>5</v>
      </c>
      <c r="B123" s="88">
        <v>21</v>
      </c>
      <c r="C123" s="97">
        <f>SUMIFS(Input!$C$115:$C$3257,Input!$A$115:$A$3257,"="&amp;'Output - County'!A123,Input!$B$115:$B$3257,"="&amp;'Output - County'!B123)*VLOOKUP(A123,'Output - State'!$B$2:$G$52,2,FALSE)</f>
        <v>2.4290030606516266</v>
      </c>
      <c r="D123" s="98">
        <f>SUMIFS(Input!$C$115:$C$3257,Input!$A$115:$A$3257,"="&amp;'Output - County'!A123,Input!$B$115:$B$3257,"="&amp;'Output - County'!B123)*VLOOKUP(A123,'Output - State'!$B$2:$G$52,3,FALSE)</f>
        <v>0.12239275123522227</v>
      </c>
      <c r="E123" s="98">
        <f>SUMIFS(Input!$C$115:$C$3257,Input!$A$115:$A$3257,"="&amp;'Output - County'!A123,Input!$B$115:$B$3257,"="&amp;'Output - County'!B123)*VLOOKUP(A123,'Output - State'!$B$2:$G$52,4,FALSE)</f>
        <v>0.51403152521819495</v>
      </c>
      <c r="F123" s="98">
        <f>SUMIFS(Input!$C$115:$C$3257,Input!$A$115:$A$3257,"="&amp;'Output - County'!A123,Input!$B$115:$B$3257,"="&amp;'Output - County'!B123)*VLOOKUP(A123,'Output - State'!$B$2:$G$52,5,FALSE)</f>
        <v>9.2801575967425869</v>
      </c>
      <c r="G123" s="99">
        <f>SUMIFS(Input!$D$115:$D$3257,Input!$A$115:$A$3257,"="&amp;'Output - County'!A123,Input!$B$115:$B$3257,"="&amp;'Output - County'!B123)*VLOOKUP(A123,'Output - State'!$B$2:$G$52,6,FALSE)</f>
        <v>6.8589661744864934</v>
      </c>
    </row>
    <row r="124" spans="1:7" x14ac:dyDescent="0.25">
      <c r="A124" s="88">
        <v>5</v>
      </c>
      <c r="B124" s="88">
        <v>23</v>
      </c>
      <c r="C124" s="97">
        <f>SUMIFS(Input!$C$115:$C$3257,Input!$A$115:$A$3257,"="&amp;'Output - County'!A124,Input!$B$115:$B$3257,"="&amp;'Output - County'!B124)*VLOOKUP(A124,'Output - State'!$B$2:$G$52,2,FALSE)</f>
        <v>4.658579072255959</v>
      </c>
      <c r="D124" s="98">
        <f>SUMIFS(Input!$C$115:$C$3257,Input!$A$115:$A$3257,"="&amp;'Output - County'!A124,Input!$B$115:$B$3257,"="&amp;'Output - County'!B124)*VLOOKUP(A124,'Output - State'!$B$2:$G$52,3,FALSE)</f>
        <v>0.23473676041695699</v>
      </c>
      <c r="E124" s="98">
        <f>SUMIFS(Input!$C$115:$C$3257,Input!$A$115:$A$3257,"="&amp;'Output - County'!A124,Input!$B$115:$B$3257,"="&amp;'Output - County'!B124)*VLOOKUP(A124,'Output - State'!$B$2:$G$52,4,FALSE)</f>
        <v>0.98585981411603552</v>
      </c>
      <c r="F124" s="98">
        <f>SUMIFS(Input!$C$115:$C$3257,Input!$A$115:$A$3257,"="&amp;'Output - County'!A124,Input!$B$115:$B$3257,"="&amp;'Output - County'!B124)*VLOOKUP(A124,'Output - State'!$B$2:$G$52,5,FALSE)</f>
        <v>17.798391722003124</v>
      </c>
      <c r="G124" s="99">
        <f>SUMIFS(Input!$D$115:$D$3257,Input!$A$115:$A$3257,"="&amp;'Output - County'!A124,Input!$B$115:$B$3257,"="&amp;'Output - County'!B124)*VLOOKUP(A124,'Output - State'!$B$2:$G$52,6,FALSE)</f>
        <v>11.586091510956914</v>
      </c>
    </row>
    <row r="125" spans="1:7" x14ac:dyDescent="0.25">
      <c r="A125" s="88">
        <v>5</v>
      </c>
      <c r="B125" s="88">
        <v>25</v>
      </c>
      <c r="C125" s="97">
        <f>SUMIFS(Input!$C$115:$C$3257,Input!$A$115:$A$3257,"="&amp;'Output - County'!A125,Input!$B$115:$B$3257,"="&amp;'Output - County'!B125)*VLOOKUP(A125,'Output - State'!$B$2:$G$52,2,FALSE)</f>
        <v>1.5830226021821916</v>
      </c>
      <c r="D125" s="98">
        <f>SUMIFS(Input!$C$115:$C$3257,Input!$A$115:$A$3257,"="&amp;'Output - County'!A125,Input!$B$115:$B$3257,"="&amp;'Output - County'!B125)*VLOOKUP(A125,'Output - State'!$B$2:$G$52,3,FALSE)</f>
        <v>7.9765437387568347E-2</v>
      </c>
      <c r="E125" s="98">
        <f>SUMIFS(Input!$C$115:$C$3257,Input!$A$115:$A$3257,"="&amp;'Output - County'!A125,Input!$B$115:$B$3257,"="&amp;'Output - County'!B125)*VLOOKUP(A125,'Output - State'!$B$2:$G$52,4,FALSE)</f>
        <v>0.33500308658989125</v>
      </c>
      <c r="F125" s="98">
        <f>SUMIFS(Input!$C$115:$C$3257,Input!$A$115:$A$3257,"="&amp;'Output - County'!A125,Input!$B$115:$B$3257,"="&amp;'Output - County'!B125)*VLOOKUP(A125,'Output - State'!$B$2:$G$52,5,FALSE)</f>
        <v>6.0480365238877969</v>
      </c>
      <c r="G125" s="99">
        <f>SUMIFS(Input!$D$115:$D$3257,Input!$A$115:$A$3257,"="&amp;'Output - County'!A125,Input!$B$115:$B$3257,"="&amp;'Output - County'!B125)*VLOOKUP(A125,'Output - State'!$B$2:$G$52,6,FALSE)</f>
        <v>3.7075492835062125</v>
      </c>
    </row>
    <row r="126" spans="1:7" x14ac:dyDescent="0.25">
      <c r="A126" s="88">
        <v>5</v>
      </c>
      <c r="B126" s="88">
        <v>27</v>
      </c>
      <c r="C126" s="97">
        <f>SUMIFS(Input!$C$115:$C$3257,Input!$A$115:$A$3257,"="&amp;'Output - County'!A126,Input!$B$115:$B$3257,"="&amp;'Output - County'!B126)*VLOOKUP(A126,'Output - State'!$B$2:$G$52,2,FALSE)</f>
        <v>4.7646449598499236</v>
      </c>
      <c r="D126" s="98">
        <f>SUMIFS(Input!$C$115:$C$3257,Input!$A$115:$A$3257,"="&amp;'Output - County'!A126,Input!$B$115:$B$3257,"="&amp;'Output - County'!B126)*VLOOKUP(A126,'Output - State'!$B$2:$G$52,3,FALSE)</f>
        <v>0.24008121469333346</v>
      </c>
      <c r="E126" s="98">
        <f>SUMIFS(Input!$C$115:$C$3257,Input!$A$115:$A$3257,"="&amp;'Output - County'!A126,Input!$B$115:$B$3257,"="&amp;'Output - County'!B126)*VLOOKUP(A126,'Output - State'!$B$2:$G$52,4,FALSE)</f>
        <v>1.0083057347724389</v>
      </c>
      <c r="F126" s="98">
        <f>SUMIFS(Input!$C$115:$C$3257,Input!$A$115:$A$3257,"="&amp;'Output - County'!A126,Input!$B$115:$B$3257,"="&amp;'Output - County'!B126)*VLOOKUP(A126,'Output - State'!$B$2:$G$52,5,FALSE)</f>
        <v>18.203623056806926</v>
      </c>
      <c r="G126" s="99">
        <f>SUMIFS(Input!$D$115:$D$3257,Input!$A$115:$A$3257,"="&amp;'Output - County'!A126,Input!$B$115:$B$3257,"="&amp;'Output - County'!B126)*VLOOKUP(A126,'Output - State'!$B$2:$G$52,6,FALSE)</f>
        <v>10.937270386343329</v>
      </c>
    </row>
    <row r="127" spans="1:7" x14ac:dyDescent="0.25">
      <c r="A127" s="88">
        <v>5</v>
      </c>
      <c r="B127" s="88">
        <v>29</v>
      </c>
      <c r="C127" s="97">
        <f>SUMIFS(Input!$C$115:$C$3257,Input!$A$115:$A$3257,"="&amp;'Output - County'!A127,Input!$B$115:$B$3257,"="&amp;'Output - County'!B127)*VLOOKUP(A127,'Output - State'!$B$2:$G$52,2,FALSE)</f>
        <v>9.949091322644918</v>
      </c>
      <c r="D127" s="98">
        <f>SUMIFS(Input!$C$115:$C$3257,Input!$A$115:$A$3257,"="&amp;'Output - County'!A127,Input!$B$115:$B$3257,"="&amp;'Output - County'!B127)*VLOOKUP(A127,'Output - State'!$B$2:$G$52,3,FALSE)</f>
        <v>0.50131540754103343</v>
      </c>
      <c r="E127" s="98">
        <f>SUMIFS(Input!$C$115:$C$3257,Input!$A$115:$A$3257,"="&amp;'Output - County'!A127,Input!$B$115:$B$3257,"="&amp;'Output - County'!B127)*VLOOKUP(A127,'Output - State'!$B$2:$G$52,4,FALSE)</f>
        <v>2.1054508616972707</v>
      </c>
      <c r="F127" s="98">
        <f>SUMIFS(Input!$C$115:$C$3257,Input!$A$115:$A$3257,"="&amp;'Output - County'!A127,Input!$B$115:$B$3257,"="&amp;'Output - County'!B127)*VLOOKUP(A127,'Output - State'!$B$2:$G$52,5,FALSE)</f>
        <v>38.011123540437175</v>
      </c>
      <c r="G127" s="99">
        <f>SUMIFS(Input!$D$115:$D$3257,Input!$A$115:$A$3257,"="&amp;'Output - County'!A127,Input!$B$115:$B$3257,"="&amp;'Output - County'!B127)*VLOOKUP(A127,'Output - State'!$B$2:$G$52,6,FALSE)</f>
        <v>9.6396281371161532</v>
      </c>
    </row>
    <row r="128" spans="1:7" x14ac:dyDescent="0.25">
      <c r="A128" s="88">
        <v>5</v>
      </c>
      <c r="B128" s="88">
        <v>31</v>
      </c>
      <c r="C128" s="97">
        <f>SUMIFS(Input!$C$115:$C$3257,Input!$A$115:$A$3257,"="&amp;'Output - County'!A128,Input!$B$115:$B$3257,"="&amp;'Output - County'!B128)*VLOOKUP(A128,'Output - State'!$B$2:$G$52,2,FALSE)</f>
        <v>26.605125637070287</v>
      </c>
      <c r="D128" s="98">
        <f>SUMIFS(Input!$C$115:$C$3257,Input!$A$115:$A$3257,"="&amp;'Output - County'!A128,Input!$B$115:$B$3257,"="&amp;'Output - County'!B128)*VLOOKUP(A128,'Output - State'!$B$2:$G$52,3,FALSE)</f>
        <v>1.3405806589664075</v>
      </c>
      <c r="E128" s="98">
        <f>SUMIFS(Input!$C$115:$C$3257,Input!$A$115:$A$3257,"="&amp;'Output - County'!A128,Input!$B$115:$B$3257,"="&amp;'Output - County'!B128)*VLOOKUP(A128,'Output - State'!$B$2:$G$52,4,FALSE)</f>
        <v>5.6302412835067095</v>
      </c>
      <c r="F128" s="98">
        <f>SUMIFS(Input!$C$115:$C$3257,Input!$A$115:$A$3257,"="&amp;'Output - County'!A128,Input!$B$115:$B$3257,"="&amp;'Output - County'!B128)*VLOOKUP(A128,'Output - State'!$B$2:$G$52,5,FALSE)</f>
        <v>101.64654083511661</v>
      </c>
      <c r="G128" s="99">
        <f>SUMIFS(Input!$D$115:$D$3257,Input!$A$115:$A$3257,"="&amp;'Output - County'!A128,Input!$B$115:$B$3257,"="&amp;'Output - County'!B128)*VLOOKUP(A128,'Output - State'!$B$2:$G$52,6,FALSE)</f>
        <v>50.515358987772146</v>
      </c>
    </row>
    <row r="129" spans="1:7" x14ac:dyDescent="0.25">
      <c r="A129" s="88">
        <v>5</v>
      </c>
      <c r="B129" s="88">
        <v>33</v>
      </c>
      <c r="C129" s="97">
        <f>SUMIFS(Input!$C$115:$C$3257,Input!$A$115:$A$3257,"="&amp;'Output - County'!A129,Input!$B$115:$B$3257,"="&amp;'Output - County'!B129)*VLOOKUP(A129,'Output - State'!$B$2:$G$52,2,FALSE)</f>
        <v>23.543300521448298</v>
      </c>
      <c r="D129" s="98">
        <f>SUMIFS(Input!$C$115:$C$3257,Input!$A$115:$A$3257,"="&amp;'Output - County'!A129,Input!$B$115:$B$3257,"="&amp;'Output - County'!B129)*VLOOKUP(A129,'Output - State'!$B$2:$G$52,3,FALSE)</f>
        <v>1.1863012322449173</v>
      </c>
      <c r="E129" s="98">
        <f>SUMIFS(Input!$C$115:$C$3257,Input!$A$115:$A$3257,"="&amp;'Output - County'!A129,Input!$B$115:$B$3257,"="&amp;'Output - County'!B129)*VLOOKUP(A129,'Output - State'!$B$2:$G$52,4,FALSE)</f>
        <v>4.9822904185488346</v>
      </c>
      <c r="F129" s="98">
        <f>SUMIFS(Input!$C$115:$C$3257,Input!$A$115:$A$3257,"="&amp;'Output - County'!A129,Input!$B$115:$B$3257,"="&amp;'Output - County'!B129)*VLOOKUP(A129,'Output - State'!$B$2:$G$52,5,FALSE)</f>
        <v>89.948647132580888</v>
      </c>
      <c r="G129" s="99">
        <f>SUMIFS(Input!$D$115:$D$3257,Input!$A$115:$A$3257,"="&amp;'Output - County'!A129,Input!$B$115:$B$3257,"="&amp;'Output - County'!B129)*VLOOKUP(A129,'Output - State'!$B$2:$G$52,6,FALSE)</f>
        <v>29.382328071786734</v>
      </c>
    </row>
    <row r="130" spans="1:7" x14ac:dyDescent="0.25">
      <c r="A130" s="88">
        <v>5</v>
      </c>
      <c r="B130" s="88">
        <v>35</v>
      </c>
      <c r="C130" s="97">
        <f>SUMIFS(Input!$C$115:$C$3257,Input!$A$115:$A$3257,"="&amp;'Output - County'!A130,Input!$B$115:$B$3257,"="&amp;'Output - County'!B130)*VLOOKUP(A130,'Output - State'!$B$2:$G$52,2,FALSE)</f>
        <v>26.092027183556201</v>
      </c>
      <c r="D130" s="98">
        <f>SUMIFS(Input!$C$115:$C$3257,Input!$A$115:$A$3257,"="&amp;'Output - County'!A130,Input!$B$115:$B$3257,"="&amp;'Output - County'!B130)*VLOOKUP(A130,'Output - State'!$B$2:$G$52,3,FALSE)</f>
        <v>1.3147266234579962</v>
      </c>
      <c r="E130" s="98">
        <f>SUMIFS(Input!$C$115:$C$3257,Input!$A$115:$A$3257,"="&amp;'Output - County'!A130,Input!$B$115:$B$3257,"="&amp;'Output - County'!B130)*VLOOKUP(A130,'Output - State'!$B$2:$G$52,4,FALSE)</f>
        <v>5.5216581429913631</v>
      </c>
      <c r="F130" s="98">
        <f>SUMIFS(Input!$C$115:$C$3257,Input!$A$115:$A$3257,"="&amp;'Output - County'!A130,Input!$B$115:$B$3257,"="&amp;'Output - County'!B130)*VLOOKUP(A130,'Output - State'!$B$2:$G$52,5,FALSE)</f>
        <v>99.686216211244698</v>
      </c>
      <c r="G130" s="99">
        <f>SUMIFS(Input!$D$115:$D$3257,Input!$A$115:$A$3257,"="&amp;'Output - County'!A130,Input!$B$115:$B$3257,"="&amp;'Output - County'!B130)*VLOOKUP(A130,'Output - State'!$B$2:$G$52,6,FALSE)</f>
        <v>22.430673165212585</v>
      </c>
    </row>
    <row r="131" spans="1:7" x14ac:dyDescent="0.25">
      <c r="A131" s="88">
        <v>5</v>
      </c>
      <c r="B131" s="88">
        <v>37</v>
      </c>
      <c r="C131" s="97">
        <f>SUMIFS(Input!$C$115:$C$3257,Input!$A$115:$A$3257,"="&amp;'Output - County'!A131,Input!$B$115:$B$3257,"="&amp;'Output - County'!B131)*VLOOKUP(A131,'Output - State'!$B$2:$G$52,2,FALSE)</f>
        <v>3.3553229702947176</v>
      </c>
      <c r="D131" s="98">
        <f>SUMIFS(Input!$C$115:$C$3257,Input!$A$115:$A$3257,"="&amp;'Output - County'!A131,Input!$B$115:$B$3257,"="&amp;'Output - County'!B131)*VLOOKUP(A131,'Output - State'!$B$2:$G$52,3,FALSE)</f>
        <v>0.16906821414499951</v>
      </c>
      <c r="E131" s="98">
        <f>SUMIFS(Input!$C$115:$C$3257,Input!$A$115:$A$3257,"="&amp;'Output - County'!A131,Input!$B$115:$B$3257,"="&amp;'Output - County'!B131)*VLOOKUP(A131,'Output - State'!$B$2:$G$52,4,FALSE)</f>
        <v>0.71006159356486886</v>
      </c>
      <c r="F131" s="98">
        <f>SUMIFS(Input!$C$115:$C$3257,Input!$A$115:$A$3257,"="&amp;'Output - County'!A131,Input!$B$115:$B$3257,"="&amp;'Output - County'!B131)*VLOOKUP(A131,'Output - State'!$B$2:$G$52,5,FALSE)</f>
        <v>12.81922055048876</v>
      </c>
      <c r="G131" s="99">
        <f>SUMIFS(Input!$D$115:$D$3257,Input!$A$115:$A$3257,"="&amp;'Output - County'!A131,Input!$B$115:$B$3257,"="&amp;'Output - County'!B131)*VLOOKUP(A131,'Output - State'!$B$2:$G$52,6,FALSE)</f>
        <v>7.6931647632753908</v>
      </c>
    </row>
    <row r="132" spans="1:7" x14ac:dyDescent="0.25">
      <c r="A132" s="88">
        <v>5</v>
      </c>
      <c r="B132" s="88">
        <v>39</v>
      </c>
      <c r="C132" s="97">
        <f>SUMIFS(Input!$C$115:$C$3257,Input!$A$115:$A$3257,"="&amp;'Output - County'!A132,Input!$B$115:$B$3257,"="&amp;'Output - County'!B132)*VLOOKUP(A132,'Output - State'!$B$2:$G$52,2,FALSE)</f>
        <v>1.3742187395618641</v>
      </c>
      <c r="D132" s="98">
        <f>SUMIFS(Input!$C$115:$C$3257,Input!$A$115:$A$3257,"="&amp;'Output - County'!A132,Input!$B$115:$B$3257,"="&amp;'Output - County'!B132)*VLOOKUP(A132,'Output - State'!$B$2:$G$52,3,FALSE)</f>
        <v>6.9244215891953037E-2</v>
      </c>
      <c r="E132" s="98">
        <f>SUMIFS(Input!$C$115:$C$3257,Input!$A$115:$A$3257,"="&amp;'Output - County'!A132,Input!$B$115:$B$3257,"="&amp;'Output - County'!B132)*VLOOKUP(A132,'Output - State'!$B$2:$G$52,4,FALSE)</f>
        <v>0.29081550621468022</v>
      </c>
      <c r="F132" s="98">
        <f>SUMIFS(Input!$C$115:$C$3257,Input!$A$115:$A$3257,"="&amp;'Output - County'!A132,Input!$B$115:$B$3257,"="&amp;'Output - County'!B132)*VLOOKUP(A132,'Output - State'!$B$2:$G$52,5,FALSE)</f>
        <v>5.2502883516786634</v>
      </c>
      <c r="G132" s="99">
        <f>SUMIFS(Input!$D$115:$D$3257,Input!$A$115:$A$3257,"="&amp;'Output - County'!A132,Input!$B$115:$B$3257,"="&amp;'Output - County'!B132)*VLOOKUP(A132,'Output - State'!$B$2:$G$52,6,FALSE)</f>
        <v>3.3136221721336772</v>
      </c>
    </row>
    <row r="133" spans="1:7" x14ac:dyDescent="0.25">
      <c r="A133" s="88">
        <v>5</v>
      </c>
      <c r="B133" s="88">
        <v>41</v>
      </c>
      <c r="C133" s="97">
        <f>SUMIFS(Input!$C$115:$C$3257,Input!$A$115:$A$3257,"="&amp;'Output - County'!A133,Input!$B$115:$B$3257,"="&amp;'Output - County'!B133)*VLOOKUP(A133,'Output - State'!$B$2:$G$52,2,FALSE)</f>
        <v>2.6409813092958756</v>
      </c>
      <c r="D133" s="98">
        <f>SUMIFS(Input!$C$115:$C$3257,Input!$A$115:$A$3257,"="&amp;'Output - County'!A133,Input!$B$115:$B$3257,"="&amp;'Output - County'!B133)*VLOOKUP(A133,'Output - State'!$B$2:$G$52,3,FALSE)</f>
        <v>0.13307392388332651</v>
      </c>
      <c r="E133" s="98">
        <f>SUMIFS(Input!$C$115:$C$3257,Input!$A$115:$A$3257,"="&amp;'Output - County'!A133,Input!$B$115:$B$3257,"="&amp;'Output - County'!B133)*VLOOKUP(A133,'Output - State'!$B$2:$G$52,4,FALSE)</f>
        <v>0.55889087687107153</v>
      </c>
      <c r="F133" s="98">
        <f>SUMIFS(Input!$C$115:$C$3257,Input!$A$115:$A$3257,"="&amp;'Output - County'!A133,Input!$B$115:$B$3257,"="&amp;'Output - County'!B133)*VLOOKUP(A133,'Output - State'!$B$2:$G$52,5,FALSE)</f>
        <v>10.09003370862051</v>
      </c>
      <c r="G133" s="99">
        <f>SUMIFS(Input!$D$115:$D$3257,Input!$A$115:$A$3257,"="&amp;'Output - County'!A133,Input!$B$115:$B$3257,"="&amp;'Output - County'!B133)*VLOOKUP(A133,'Output - State'!$B$2:$G$52,6,FALSE)</f>
        <v>5.3296020950401806</v>
      </c>
    </row>
    <row r="134" spans="1:7" x14ac:dyDescent="0.25">
      <c r="A134" s="88">
        <v>5</v>
      </c>
      <c r="B134" s="88">
        <v>43</v>
      </c>
      <c r="C134" s="97">
        <f>SUMIFS(Input!$C$115:$C$3257,Input!$A$115:$A$3257,"="&amp;'Output - County'!A134,Input!$B$115:$B$3257,"="&amp;'Output - County'!B134)*VLOOKUP(A134,'Output - State'!$B$2:$G$52,2,FALSE)</f>
        <v>4.9060392444161005</v>
      </c>
      <c r="D134" s="98">
        <f>SUMIFS(Input!$C$115:$C$3257,Input!$A$115:$A$3257,"="&amp;'Output - County'!A134,Input!$B$115:$B$3257,"="&amp;'Output - County'!B134)*VLOOKUP(A134,'Output - State'!$B$2:$G$52,3,FALSE)</f>
        <v>0.2472057983455038</v>
      </c>
      <c r="E134" s="98">
        <f>SUMIFS(Input!$C$115:$C$3257,Input!$A$115:$A$3257,"="&amp;'Output - County'!A134,Input!$B$115:$B$3257,"="&amp;'Output - County'!B134)*VLOOKUP(A134,'Output - State'!$B$2:$G$52,4,FALSE)</f>
        <v>1.0382279365720484</v>
      </c>
      <c r="F134" s="98">
        <f>SUMIFS(Input!$C$115:$C$3257,Input!$A$115:$A$3257,"="&amp;'Output - County'!A134,Input!$B$115:$B$3257,"="&amp;'Output - County'!B134)*VLOOKUP(A134,'Output - State'!$B$2:$G$52,5,FALSE)</f>
        <v>18.743828734316768</v>
      </c>
      <c r="G134" s="99">
        <f>SUMIFS(Input!$D$115:$D$3257,Input!$A$115:$A$3257,"="&amp;'Output - County'!A134,Input!$B$115:$B$3257,"="&amp;'Output - County'!B134)*VLOOKUP(A134,'Output - State'!$B$2:$G$52,6,FALSE)</f>
        <v>8.4810189860204606</v>
      </c>
    </row>
    <row r="135" spans="1:7" x14ac:dyDescent="0.25">
      <c r="A135" s="88">
        <v>5</v>
      </c>
      <c r="B135" s="88">
        <v>45</v>
      </c>
      <c r="C135" s="97">
        <f>SUMIFS(Input!$C$115:$C$3257,Input!$A$115:$A$3257,"="&amp;'Output - County'!A135,Input!$B$115:$B$3257,"="&amp;'Output - County'!B135)*VLOOKUP(A135,'Output - State'!$B$2:$G$52,2,FALSE)</f>
        <v>33.983868419699732</v>
      </c>
      <c r="D135" s="98">
        <f>SUMIFS(Input!$C$115:$C$3257,Input!$A$115:$A$3257,"="&amp;'Output - County'!A135,Input!$B$115:$B$3257,"="&amp;'Output - County'!B135)*VLOOKUP(A135,'Output - State'!$B$2:$G$52,3,FALSE)</f>
        <v>1.712381190819497</v>
      </c>
      <c r="E135" s="98">
        <f>SUMIFS(Input!$C$115:$C$3257,Input!$A$115:$A$3257,"="&amp;'Output - County'!A135,Input!$B$115:$B$3257,"="&amp;'Output - County'!B135)*VLOOKUP(A135,'Output - State'!$B$2:$G$52,4,FALSE)</f>
        <v>7.191748746461589</v>
      </c>
      <c r="F135" s="98">
        <f>SUMIFS(Input!$C$115:$C$3257,Input!$A$115:$A$3257,"="&amp;'Output - County'!A135,Input!$B$115:$B$3257,"="&amp;'Output - County'!B135)*VLOOKUP(A135,'Output - State'!$B$2:$G$52,5,FALSE)</f>
        <v>129.83748756461895</v>
      </c>
      <c r="G135" s="99">
        <f>SUMIFS(Input!$D$115:$D$3257,Input!$A$115:$A$3257,"="&amp;'Output - County'!A135,Input!$B$115:$B$3257,"="&amp;'Output - County'!B135)*VLOOKUP(A135,'Output - State'!$B$2:$G$52,6,FALSE)</f>
        <v>57.930457554784574</v>
      </c>
    </row>
    <row r="136" spans="1:7" x14ac:dyDescent="0.25">
      <c r="A136" s="88">
        <v>5</v>
      </c>
      <c r="B136" s="88">
        <v>47</v>
      </c>
      <c r="C136" s="97">
        <f>SUMIFS(Input!$C$115:$C$3257,Input!$A$115:$A$3257,"="&amp;'Output - County'!A136,Input!$B$115:$B$3257,"="&amp;'Output - County'!B136)*VLOOKUP(A136,'Output - State'!$B$2:$G$52,2,FALSE)</f>
        <v>8.0584879772403752</v>
      </c>
      <c r="D136" s="98">
        <f>SUMIFS(Input!$C$115:$C$3257,Input!$A$115:$A$3257,"="&amp;'Output - County'!A136,Input!$B$115:$B$3257,"="&amp;'Output - County'!B136)*VLOOKUP(A136,'Output - State'!$B$2:$G$52,3,FALSE)</f>
        <v>0.40605157330094782</v>
      </c>
      <c r="E136" s="98">
        <f>SUMIFS(Input!$C$115:$C$3257,Input!$A$115:$A$3257,"="&amp;'Output - County'!A136,Input!$B$115:$B$3257,"="&amp;'Output - County'!B136)*VLOOKUP(A136,'Output - State'!$B$2:$G$52,4,FALSE)</f>
        <v>1.7053567914328194</v>
      </c>
      <c r="F136" s="98">
        <f>SUMIFS(Input!$C$115:$C$3257,Input!$A$115:$A$3257,"="&amp;'Output - County'!A136,Input!$B$115:$B$3257,"="&amp;'Output - County'!B136)*VLOOKUP(A136,'Output - State'!$B$2:$G$52,5,FALSE)</f>
        <v>30.787955615084247</v>
      </c>
      <c r="G136" s="99">
        <f>SUMIFS(Input!$D$115:$D$3257,Input!$A$115:$A$3257,"="&amp;'Output - County'!A136,Input!$B$115:$B$3257,"="&amp;'Output - County'!B136)*VLOOKUP(A136,'Output - State'!$B$2:$G$52,6,FALSE)</f>
        <v>8.2492971558013224</v>
      </c>
    </row>
    <row r="137" spans="1:7" x14ac:dyDescent="0.25">
      <c r="A137" s="88">
        <v>5</v>
      </c>
      <c r="B137" s="88">
        <v>49</v>
      </c>
      <c r="C137" s="97">
        <f>SUMIFS(Input!$C$115:$C$3257,Input!$A$115:$A$3257,"="&amp;'Output - County'!A137,Input!$B$115:$B$3257,"="&amp;'Output - County'!B137)*VLOOKUP(A137,'Output - State'!$B$2:$G$52,2,FALSE)</f>
        <v>1.9844724489430408</v>
      </c>
      <c r="D137" s="98">
        <f>SUMIFS(Input!$C$115:$C$3257,Input!$A$115:$A$3257,"="&amp;'Output - County'!A137,Input!$B$115:$B$3257,"="&amp;'Output - County'!B137)*VLOOKUP(A137,'Output - State'!$B$2:$G$52,3,FALSE)</f>
        <v>9.9993716233309049E-2</v>
      </c>
      <c r="E137" s="98">
        <f>SUMIFS(Input!$C$115:$C$3257,Input!$A$115:$A$3257,"="&amp;'Output - County'!A137,Input!$B$115:$B$3257,"="&amp;'Output - County'!B137)*VLOOKUP(A137,'Output - State'!$B$2:$G$52,4,FALSE)</f>
        <v>0.41995887786572872</v>
      </c>
      <c r="F137" s="98">
        <f>SUMIFS(Input!$C$115:$C$3257,Input!$A$115:$A$3257,"="&amp;'Output - County'!A137,Input!$B$115:$B$3257,"="&amp;'Output - County'!B137)*VLOOKUP(A137,'Output - State'!$B$2:$G$52,5,FALSE)</f>
        <v>7.5818006864283749</v>
      </c>
      <c r="G137" s="99">
        <f>SUMIFS(Input!$D$115:$D$3257,Input!$A$115:$A$3257,"="&amp;'Output - County'!A137,Input!$B$115:$B$3257,"="&amp;'Output - County'!B137)*VLOOKUP(A137,'Output - State'!$B$2:$G$52,6,FALSE)</f>
        <v>5.7003570233908016</v>
      </c>
    </row>
    <row r="138" spans="1:7" x14ac:dyDescent="0.25">
      <c r="A138" s="88">
        <v>5</v>
      </c>
      <c r="B138" s="88">
        <v>51</v>
      </c>
      <c r="C138" s="97">
        <f>SUMIFS(Input!$C$115:$C$3257,Input!$A$115:$A$3257,"="&amp;'Output - County'!A138,Input!$B$115:$B$3257,"="&amp;'Output - County'!B138)*VLOOKUP(A138,'Output - State'!$B$2:$G$52,2,FALSE)</f>
        <v>22.840525166957626</v>
      </c>
      <c r="D138" s="98">
        <f>SUMIFS(Input!$C$115:$C$3257,Input!$A$115:$A$3257,"="&amp;'Output - County'!A138,Input!$B$115:$B$3257,"="&amp;'Output - County'!B138)*VLOOKUP(A138,'Output - State'!$B$2:$G$52,3,FALSE)</f>
        <v>1.1508897457261036</v>
      </c>
      <c r="E138" s="98">
        <f>SUMIFS(Input!$C$115:$C$3257,Input!$A$115:$A$3257,"="&amp;'Output - County'!A138,Input!$B$115:$B$3257,"="&amp;'Output - County'!B138)*VLOOKUP(A138,'Output - State'!$B$2:$G$52,4,FALSE)</f>
        <v>4.8335673917208295</v>
      </c>
      <c r="F138" s="98">
        <f>SUMIFS(Input!$C$115:$C$3257,Input!$A$115:$A$3257,"="&amp;'Output - County'!A138,Input!$B$115:$B$3257,"="&amp;'Output - County'!B138)*VLOOKUP(A138,'Output - State'!$B$2:$G$52,5,FALSE)</f>
        <v>87.263650085672893</v>
      </c>
      <c r="G138" s="99">
        <f>SUMIFS(Input!$D$115:$D$3257,Input!$A$115:$A$3257,"="&amp;'Output - County'!A138,Input!$B$115:$B$3257,"="&amp;'Output - County'!B138)*VLOOKUP(A138,'Output - State'!$B$2:$G$52,6,FALSE)</f>
        <v>45.880922383389382</v>
      </c>
    </row>
    <row r="139" spans="1:7" x14ac:dyDescent="0.25">
      <c r="A139" s="88">
        <v>5</v>
      </c>
      <c r="B139" s="88">
        <v>53</v>
      </c>
      <c r="C139" s="97">
        <f>SUMIFS(Input!$C$115:$C$3257,Input!$A$115:$A$3257,"="&amp;'Output - County'!A139,Input!$B$115:$B$3257,"="&amp;'Output - County'!B139)*VLOOKUP(A139,'Output - State'!$B$2:$G$52,2,FALSE)</f>
        <v>3.5899172145887666</v>
      </c>
      <c r="D139" s="98">
        <f>SUMIFS(Input!$C$115:$C$3257,Input!$A$115:$A$3257,"="&amp;'Output - County'!A139,Input!$B$115:$B$3257,"="&amp;'Output - County'!B139)*VLOOKUP(A139,'Output - State'!$B$2:$G$52,3,FALSE)</f>
        <v>0.18088896293211457</v>
      </c>
      <c r="E139" s="98">
        <f>SUMIFS(Input!$C$115:$C$3257,Input!$A$115:$A$3257,"="&amp;'Output - County'!A139,Input!$B$115:$B$3257,"="&amp;'Output - County'!B139)*VLOOKUP(A139,'Output - State'!$B$2:$G$52,4,FALSE)</f>
        <v>0.75970699712789669</v>
      </c>
      <c r="F139" s="98">
        <f>SUMIFS(Input!$C$115:$C$3257,Input!$A$115:$A$3257,"="&amp;'Output - County'!A139,Input!$B$115:$B$3257,"="&amp;'Output - County'!B139)*VLOOKUP(A139,'Output - State'!$B$2:$G$52,5,FALSE)</f>
        <v>13.715502483436781</v>
      </c>
      <c r="G139" s="99">
        <f>SUMIFS(Input!$D$115:$D$3257,Input!$A$115:$A$3257,"="&amp;'Output - County'!A139,Input!$B$115:$B$3257,"="&amp;'Output - County'!B139)*VLOOKUP(A139,'Output - State'!$B$2:$G$52,6,FALSE)</f>
        <v>8.4346746199766329</v>
      </c>
    </row>
    <row r="140" spans="1:7" x14ac:dyDescent="0.25">
      <c r="A140" s="88">
        <v>5</v>
      </c>
      <c r="B140" s="88">
        <v>55</v>
      </c>
      <c r="C140" s="97">
        <f>SUMIFS(Input!$C$115:$C$3257,Input!$A$115:$A$3257,"="&amp;'Output - County'!A140,Input!$B$115:$B$3257,"="&amp;'Output - County'!B140)*VLOOKUP(A140,'Output - State'!$B$2:$G$52,2,FALSE)</f>
        <v>10.292218014023435</v>
      </c>
      <c r="D140" s="98">
        <f>SUMIFS(Input!$C$115:$C$3257,Input!$A$115:$A$3257,"="&amp;'Output - County'!A140,Input!$B$115:$B$3257,"="&amp;'Output - County'!B140)*VLOOKUP(A140,'Output - State'!$B$2:$G$52,3,FALSE)</f>
        <v>0.5186048957513899</v>
      </c>
      <c r="E140" s="98">
        <f>SUMIFS(Input!$C$115:$C$3257,Input!$A$115:$A$3257,"="&amp;'Output - County'!A140,Input!$B$115:$B$3257,"="&amp;'Output - County'!B140)*VLOOKUP(A140,'Output - State'!$B$2:$G$52,4,FALSE)</f>
        <v>2.1780641652247912</v>
      </c>
      <c r="F140" s="98">
        <f>SUMIFS(Input!$C$115:$C$3257,Input!$A$115:$A$3257,"="&amp;'Output - County'!A140,Input!$B$115:$B$3257,"="&amp;'Output - County'!B140)*VLOOKUP(A140,'Output - State'!$B$2:$G$52,5,FALSE)</f>
        <v>39.322060452466943</v>
      </c>
      <c r="G140" s="99">
        <f>SUMIFS(Input!$D$115:$D$3257,Input!$A$115:$A$3257,"="&amp;'Output - County'!A140,Input!$B$115:$B$3257,"="&amp;'Output - County'!B140)*VLOOKUP(A140,'Output - State'!$B$2:$G$52,6,FALSE)</f>
        <v>20.993997817853931</v>
      </c>
    </row>
    <row r="141" spans="1:7" x14ac:dyDescent="0.25">
      <c r="A141" s="88">
        <v>5</v>
      </c>
      <c r="B141" s="88">
        <v>57</v>
      </c>
      <c r="C141" s="97">
        <f>SUMIFS(Input!$C$115:$C$3257,Input!$A$115:$A$3257,"="&amp;'Output - County'!A141,Input!$B$115:$B$3257,"="&amp;'Output - County'!B141)*VLOOKUP(A141,'Output - State'!$B$2:$G$52,2,FALSE)</f>
        <v>12.086744252513405</v>
      </c>
      <c r="D141" s="98">
        <f>SUMIFS(Input!$C$115:$C$3257,Input!$A$115:$A$3257,"="&amp;'Output - County'!A141,Input!$B$115:$B$3257,"="&amp;'Output - County'!B141)*VLOOKUP(A141,'Output - State'!$B$2:$G$52,3,FALSE)</f>
        <v>0.60902759099231729</v>
      </c>
      <c r="E141" s="98">
        <f>SUMIFS(Input!$C$115:$C$3257,Input!$A$115:$A$3257,"="&amp;'Output - County'!A141,Input!$B$115:$B$3257,"="&amp;'Output - County'!B141)*VLOOKUP(A141,'Output - State'!$B$2:$G$52,4,FALSE)</f>
        <v>2.5578261648525751</v>
      </c>
      <c r="F141" s="98">
        <f>SUMIFS(Input!$C$115:$C$3257,Input!$A$115:$A$3257,"="&amp;'Output - County'!A141,Input!$B$115:$B$3257,"="&amp;'Output - County'!B141)*VLOOKUP(A141,'Output - State'!$B$2:$G$52,5,FALSE)</f>
        <v>46.178159802217856</v>
      </c>
      <c r="G141" s="99">
        <f>SUMIFS(Input!$D$115:$D$3257,Input!$A$115:$A$3257,"="&amp;'Output - County'!A141,Input!$B$115:$B$3257,"="&amp;'Output - County'!B141)*VLOOKUP(A141,'Output - State'!$B$2:$G$52,6,FALSE)</f>
        <v>10.056727431510602</v>
      </c>
    </row>
    <row r="142" spans="1:7" x14ac:dyDescent="0.25">
      <c r="A142" s="88">
        <v>5</v>
      </c>
      <c r="B142" s="88">
        <v>59</v>
      </c>
      <c r="C142" s="97">
        <f>SUMIFS(Input!$C$115:$C$3257,Input!$A$115:$A$3257,"="&amp;'Output - County'!A142,Input!$B$115:$B$3257,"="&amp;'Output - County'!B142)*VLOOKUP(A142,'Output - State'!$B$2:$G$52,2,FALSE)</f>
        <v>14.333960941518065</v>
      </c>
      <c r="D142" s="98">
        <f>SUMIFS(Input!$C$115:$C$3257,Input!$A$115:$A$3257,"="&amp;'Output - County'!A142,Input!$B$115:$B$3257,"="&amp;'Output - County'!B142)*VLOOKUP(A142,'Output - State'!$B$2:$G$52,3,FALSE)</f>
        <v>0.72226047968007445</v>
      </c>
      <c r="E142" s="98">
        <f>SUMIFS(Input!$C$115:$C$3257,Input!$A$115:$A$3257,"="&amp;'Output - County'!A142,Input!$B$115:$B$3257,"="&amp;'Output - County'!B142)*VLOOKUP(A142,'Output - State'!$B$2:$G$52,4,FALSE)</f>
        <v>3.033387616732738</v>
      </c>
      <c r="F142" s="98">
        <f>SUMIFS(Input!$C$115:$C$3257,Input!$A$115:$A$3257,"="&amp;'Output - County'!A142,Input!$B$115:$B$3257,"="&amp;'Output - County'!B142)*VLOOKUP(A142,'Output - State'!$B$2:$G$52,5,FALSE)</f>
        <v>54.763791235057091</v>
      </c>
      <c r="G142" s="99">
        <f>SUMIFS(Input!$D$115:$D$3257,Input!$A$115:$A$3257,"="&amp;'Output - County'!A142,Input!$B$115:$B$3257,"="&amp;'Output - County'!B142)*VLOOKUP(A142,'Output - State'!$B$2:$G$52,6,FALSE)</f>
        <v>15.618051356769922</v>
      </c>
    </row>
    <row r="143" spans="1:7" x14ac:dyDescent="0.25">
      <c r="A143" s="88">
        <v>5</v>
      </c>
      <c r="B143" s="88">
        <v>61</v>
      </c>
      <c r="C143" s="97">
        <f>SUMIFS(Input!$C$115:$C$3257,Input!$A$115:$A$3257,"="&amp;'Output - County'!A143,Input!$B$115:$B$3257,"="&amp;'Output - County'!B143)*VLOOKUP(A143,'Output - State'!$B$2:$G$52,2,FALSE)</f>
        <v>1.9768004330153219</v>
      </c>
      <c r="D143" s="98">
        <f>SUMIFS(Input!$C$115:$C$3257,Input!$A$115:$A$3257,"="&amp;'Output - County'!A143,Input!$B$115:$B$3257,"="&amp;'Output - County'!B143)*VLOOKUP(A143,'Output - State'!$B$2:$G$52,3,FALSE)</f>
        <v>9.9607138236712342E-2</v>
      </c>
      <c r="E143" s="98">
        <f>SUMIFS(Input!$C$115:$C$3257,Input!$A$115:$A$3257,"="&amp;'Output - County'!A143,Input!$B$115:$B$3257,"="&amp;'Output - County'!B143)*VLOOKUP(A143,'Output - State'!$B$2:$G$52,4,FALSE)</f>
        <v>0.41833530722775442</v>
      </c>
      <c r="F143" s="98">
        <f>SUMIFS(Input!$C$115:$C$3257,Input!$A$115:$A$3257,"="&amp;'Output - County'!A143,Input!$B$115:$B$3257,"="&amp;'Output - County'!B143)*VLOOKUP(A143,'Output - State'!$B$2:$G$52,5,FALSE)</f>
        <v>7.5524892713678886</v>
      </c>
      <c r="G143" s="99">
        <f>SUMIFS(Input!$D$115:$D$3257,Input!$A$115:$A$3257,"="&amp;'Output - County'!A143,Input!$B$115:$B$3257,"="&amp;'Output - County'!B143)*VLOOKUP(A143,'Output - State'!$B$2:$G$52,6,FALSE)</f>
        <v>6.1638006838290789</v>
      </c>
    </row>
    <row r="144" spans="1:7" x14ac:dyDescent="0.25">
      <c r="A144" s="88">
        <v>5</v>
      </c>
      <c r="B144" s="88">
        <v>63</v>
      </c>
      <c r="C144" s="97">
        <f>SUMIFS(Input!$C$115:$C$3257,Input!$A$115:$A$3257,"="&amp;'Output - County'!A144,Input!$B$115:$B$3257,"="&amp;'Output - County'!B144)*VLOOKUP(A144,'Output - State'!$B$2:$G$52,2,FALSE)</f>
        <v>7.742749964454541</v>
      </c>
      <c r="D144" s="98">
        <f>SUMIFS(Input!$C$115:$C$3257,Input!$A$115:$A$3257,"="&amp;'Output - County'!A144,Input!$B$115:$B$3257,"="&amp;'Output - County'!B144)*VLOOKUP(A144,'Output - State'!$B$2:$G$52,3,FALSE)</f>
        <v>0.39014214746266468</v>
      </c>
      <c r="E144" s="98">
        <f>SUMIFS(Input!$C$115:$C$3257,Input!$A$115:$A$3257,"="&amp;'Output - County'!A144,Input!$B$115:$B$3257,"="&amp;'Output - County'!B144)*VLOOKUP(A144,'Output - State'!$B$2:$G$52,4,FALSE)</f>
        <v>1.6385395465677084</v>
      </c>
      <c r="F144" s="98">
        <f>SUMIFS(Input!$C$115:$C$3257,Input!$A$115:$A$3257,"="&amp;'Output - County'!A144,Input!$B$115:$B$3257,"="&amp;'Output - County'!B144)*VLOOKUP(A144,'Output - State'!$B$2:$G$52,5,FALSE)</f>
        <v>29.581658856796587</v>
      </c>
      <c r="G144" s="99">
        <f>SUMIFS(Input!$D$115:$D$3257,Input!$A$115:$A$3257,"="&amp;'Output - County'!A144,Input!$B$115:$B$3257,"="&amp;'Output - County'!B144)*VLOOKUP(A144,'Output - State'!$B$2:$G$52,6,FALSE)</f>
        <v>17.518170364566856</v>
      </c>
    </row>
    <row r="145" spans="1:7" x14ac:dyDescent="0.25">
      <c r="A145" s="88">
        <v>5</v>
      </c>
      <c r="B145" s="88">
        <v>65</v>
      </c>
      <c r="C145" s="97">
        <f>SUMIFS(Input!$C$115:$C$3257,Input!$A$115:$A$3257,"="&amp;'Output - County'!A145,Input!$B$115:$B$3257,"="&amp;'Output - County'!B145)*VLOOKUP(A145,'Output - State'!$B$2:$G$52,2,FALSE)</f>
        <v>1.5629830551428778</v>
      </c>
      <c r="D145" s="98">
        <f>SUMIFS(Input!$C$115:$C$3257,Input!$A$115:$A$3257,"="&amp;'Output - County'!A145,Input!$B$115:$B$3257,"="&amp;'Output - County'!B145)*VLOOKUP(A145,'Output - State'!$B$2:$G$52,3,FALSE)</f>
        <v>7.8755683494960538E-2</v>
      </c>
      <c r="E145" s="98">
        <f>SUMIFS(Input!$C$115:$C$3257,Input!$A$115:$A$3257,"="&amp;'Output - County'!A145,Input!$B$115:$B$3257,"="&amp;'Output - County'!B145)*VLOOKUP(A145,'Output - State'!$B$2:$G$52,4,FALSE)</f>
        <v>0.33076226899020622</v>
      </c>
      <c r="F145" s="98">
        <f>SUMIFS(Input!$C$115:$C$3257,Input!$A$115:$A$3257,"="&amp;'Output - County'!A145,Input!$B$115:$B$3257,"="&amp;'Output - County'!B145)*VLOOKUP(A145,'Output - State'!$B$2:$G$52,5,FALSE)</f>
        <v>5.9714741853280922</v>
      </c>
      <c r="G145" s="99">
        <f>SUMIFS(Input!$D$115:$D$3257,Input!$A$115:$A$3257,"="&amp;'Output - County'!A145,Input!$B$115:$B$3257,"="&amp;'Output - County'!B145)*VLOOKUP(A145,'Output - State'!$B$2:$G$52,6,FALSE)</f>
        <v>6.3028337819605618</v>
      </c>
    </row>
    <row r="146" spans="1:7" x14ac:dyDescent="0.25">
      <c r="A146" s="88">
        <v>5</v>
      </c>
      <c r="B146" s="88">
        <v>67</v>
      </c>
      <c r="C146" s="97">
        <f>SUMIFS(Input!$C$115:$C$3257,Input!$A$115:$A$3257,"="&amp;'Output - County'!A146,Input!$B$115:$B$3257,"="&amp;'Output - County'!B146)*VLOOKUP(A146,'Output - State'!$B$2:$G$52,2,FALSE)</f>
        <v>6.268630462048761</v>
      </c>
      <c r="D146" s="98">
        <f>SUMIFS(Input!$C$115:$C$3257,Input!$A$115:$A$3257,"="&amp;'Output - County'!A146,Input!$B$115:$B$3257,"="&amp;'Output - County'!B146)*VLOOKUP(A146,'Output - State'!$B$2:$G$52,3,FALSE)</f>
        <v>0.31586412596830776</v>
      </c>
      <c r="E146" s="98">
        <f>SUMIFS(Input!$C$115:$C$3257,Input!$A$115:$A$3257,"="&amp;'Output - County'!A146,Input!$B$115:$B$3257,"="&amp;'Output - County'!B146)*VLOOKUP(A146,'Output - State'!$B$2:$G$52,4,FALSE)</f>
        <v>1.3265827983649086</v>
      </c>
      <c r="F146" s="98">
        <f>SUMIFS(Input!$C$115:$C$3257,Input!$A$115:$A$3257,"="&amp;'Output - County'!A146,Input!$B$115:$B$3257,"="&amp;'Output - County'!B146)*VLOOKUP(A146,'Output - State'!$B$2:$G$52,5,FALSE)</f>
        <v>23.949693413703457</v>
      </c>
      <c r="G146" s="99">
        <f>SUMIFS(Input!$D$115:$D$3257,Input!$A$115:$A$3257,"="&amp;'Output - County'!A146,Input!$B$115:$B$3257,"="&amp;'Output - County'!B146)*VLOOKUP(A146,'Output - State'!$B$2:$G$52,6,FALSE)</f>
        <v>7.7858534953630469</v>
      </c>
    </row>
    <row r="147" spans="1:7" x14ac:dyDescent="0.25">
      <c r="A147" s="88">
        <v>5</v>
      </c>
      <c r="B147" s="88">
        <v>69</v>
      </c>
      <c r="C147" s="97">
        <f>SUMIFS(Input!$C$115:$C$3257,Input!$A$115:$A$3257,"="&amp;'Output - County'!A147,Input!$B$115:$B$3257,"="&amp;'Output - County'!B147)*VLOOKUP(A147,'Output - State'!$B$2:$G$52,2,FALSE)</f>
        <v>20.859926264239842</v>
      </c>
      <c r="D147" s="98">
        <f>SUMIFS(Input!$C$115:$C$3257,Input!$A$115:$A$3257,"="&amp;'Output - County'!A147,Input!$B$115:$B$3257,"="&amp;'Output - County'!B147)*VLOOKUP(A147,'Output - State'!$B$2:$G$52,3,FALSE)</f>
        <v>1.0510912099712493</v>
      </c>
      <c r="E147" s="98">
        <f>SUMIFS(Input!$C$115:$C$3257,Input!$A$115:$A$3257,"="&amp;'Output - County'!A147,Input!$B$115:$B$3257,"="&amp;'Output - County'!B147)*VLOOKUP(A147,'Output - State'!$B$2:$G$52,4,FALSE)</f>
        <v>4.4144282431121056</v>
      </c>
      <c r="F147" s="98">
        <f>SUMIFS(Input!$C$115:$C$3257,Input!$A$115:$A$3257,"="&amp;'Output - County'!A147,Input!$B$115:$B$3257,"="&amp;'Output - County'!B147)*VLOOKUP(A147,'Output - State'!$B$2:$G$52,5,FALSE)</f>
        <v>79.69664852404226</v>
      </c>
      <c r="G147" s="99">
        <f>SUMIFS(Input!$D$115:$D$3257,Input!$A$115:$A$3257,"="&amp;'Output - County'!A147,Input!$B$115:$B$3257,"="&amp;'Output - County'!B147)*VLOOKUP(A147,'Output - State'!$B$2:$G$52,6,FALSE)</f>
        <v>31.560513275846635</v>
      </c>
    </row>
    <row r="148" spans="1:7" x14ac:dyDescent="0.25">
      <c r="A148" s="88">
        <v>5</v>
      </c>
      <c r="B148" s="88">
        <v>71</v>
      </c>
      <c r="C148" s="97">
        <f>SUMIFS(Input!$C$115:$C$3257,Input!$A$115:$A$3257,"="&amp;'Output - County'!A148,Input!$B$115:$B$3257,"="&amp;'Output - County'!B148)*VLOOKUP(A148,'Output - State'!$B$2:$G$52,2,FALSE)</f>
        <v>10.457400488725765</v>
      </c>
      <c r="D148" s="98">
        <f>SUMIFS(Input!$C$115:$C$3257,Input!$A$115:$A$3257,"="&amp;'Output - County'!A148,Input!$B$115:$B$3257,"="&amp;'Output - County'!B148)*VLOOKUP(A148,'Output - State'!$B$2:$G$52,3,FALSE)</f>
        <v>0.52692812014833112</v>
      </c>
      <c r="E148" s="98">
        <f>SUMIFS(Input!$C$115:$C$3257,Input!$A$115:$A$3257,"="&amp;'Output - County'!A148,Input!$B$115:$B$3257,"="&amp;'Output - County'!B148)*VLOOKUP(A148,'Output - State'!$B$2:$G$52,4,FALSE)</f>
        <v>2.2130204815777956</v>
      </c>
      <c r="F148" s="98">
        <f>SUMIFS(Input!$C$115:$C$3257,Input!$A$115:$A$3257,"="&amp;'Output - County'!A148,Input!$B$115:$B$3257,"="&amp;'Output - County'!B148)*VLOOKUP(A148,'Output - State'!$B$2:$G$52,5,FALSE)</f>
        <v>39.953150393146693</v>
      </c>
      <c r="G148" s="99">
        <f>SUMIFS(Input!$D$115:$D$3257,Input!$A$115:$A$3257,"="&amp;'Output - County'!A148,Input!$B$115:$B$3257,"="&amp;'Output - County'!B148)*VLOOKUP(A148,'Output - State'!$B$2:$G$52,6,FALSE)</f>
        <v>12.373945733701985</v>
      </c>
    </row>
    <row r="149" spans="1:7" x14ac:dyDescent="0.25">
      <c r="A149" s="88">
        <v>5</v>
      </c>
      <c r="B149" s="88">
        <v>73</v>
      </c>
      <c r="C149" s="97">
        <f>SUMIFS(Input!$C$115:$C$3257,Input!$A$115:$A$3257,"="&amp;'Output - County'!A149,Input!$B$115:$B$3257,"="&amp;'Output - County'!B149)*VLOOKUP(A149,'Output - State'!$B$2:$G$52,2,FALSE)</f>
        <v>1.3356934886934848</v>
      </c>
      <c r="D149" s="98">
        <f>SUMIFS(Input!$C$115:$C$3257,Input!$A$115:$A$3257,"="&amp;'Output - County'!A149,Input!$B$115:$B$3257,"="&amp;'Output - County'!B149)*VLOOKUP(A149,'Output - State'!$B$2:$G$52,3,FALSE)</f>
        <v>6.7303003251182159E-2</v>
      </c>
      <c r="E149" s="98">
        <f>SUMIFS(Input!$C$115:$C$3257,Input!$A$115:$A$3257,"="&amp;'Output - County'!A149,Input!$B$115:$B$3257,"="&amp;'Output - County'!B149)*VLOOKUP(A149,'Output - State'!$B$2:$G$52,4,FALSE)</f>
        <v>0.28266269908813257</v>
      </c>
      <c r="F149" s="98">
        <f>SUMIFS(Input!$C$115:$C$3257,Input!$A$115:$A$3257,"="&amp;'Output - County'!A149,Input!$B$115:$B$3257,"="&amp;'Output - County'!B149)*VLOOKUP(A149,'Output - State'!$B$2:$G$52,5,FALSE)</f>
        <v>5.1031002293974614</v>
      </c>
      <c r="G149" s="99">
        <f>SUMIFS(Input!$D$115:$D$3257,Input!$A$115:$A$3257,"="&amp;'Output - County'!A149,Input!$B$115:$B$3257,"="&amp;'Output - County'!B149)*VLOOKUP(A149,'Output - State'!$B$2:$G$52,6,FALSE)</f>
        <v>3.0958036517276875</v>
      </c>
    </row>
    <row r="150" spans="1:7" x14ac:dyDescent="0.25">
      <c r="A150" s="88">
        <v>5</v>
      </c>
      <c r="B150" s="88">
        <v>75</v>
      </c>
      <c r="C150" s="97">
        <f>SUMIFS(Input!$C$115:$C$3257,Input!$A$115:$A$3257,"="&amp;'Output - County'!A150,Input!$B$115:$B$3257,"="&amp;'Output - County'!B150)*VLOOKUP(A150,'Output - State'!$B$2:$G$52,2,FALSE)</f>
        <v>6.1811830969712087</v>
      </c>
      <c r="D150" s="98">
        <f>SUMIFS(Input!$C$115:$C$3257,Input!$A$115:$A$3257,"="&amp;'Output - County'!A150,Input!$B$115:$B$3257,"="&amp;'Output - County'!B150)*VLOOKUP(A150,'Output - State'!$B$2:$G$52,3,FALSE)</f>
        <v>0.31145782291604179</v>
      </c>
      <c r="E150" s="98">
        <f>SUMIFS(Input!$C$115:$C$3257,Input!$A$115:$A$3257,"="&amp;'Output - County'!A150,Input!$B$115:$B$3257,"="&amp;'Output - County'!B150)*VLOOKUP(A150,'Output - State'!$B$2:$G$52,4,FALSE)</f>
        <v>1.3080769746484626</v>
      </c>
      <c r="F150" s="98">
        <f>SUMIFS(Input!$C$115:$C$3257,Input!$A$115:$A$3257,"="&amp;'Output - County'!A150,Input!$B$115:$B$3257,"="&amp;'Output - County'!B150)*VLOOKUP(A150,'Output - State'!$B$2:$G$52,5,FALSE)</f>
        <v>23.615595304694956</v>
      </c>
      <c r="G150" s="99">
        <f>SUMIFS(Input!$D$115:$D$3257,Input!$A$115:$A$3257,"="&amp;'Output - County'!A150,Input!$B$115:$B$3257,"="&amp;'Output - County'!B150)*VLOOKUP(A150,'Output - State'!$B$2:$G$52,6,FALSE)</f>
        <v>7.6004760311877355</v>
      </c>
    </row>
    <row r="151" spans="1:7" x14ac:dyDescent="0.25">
      <c r="A151" s="88">
        <v>5</v>
      </c>
      <c r="B151" s="88">
        <v>77</v>
      </c>
      <c r="C151" s="97">
        <f>SUMIFS(Input!$C$115:$C$3257,Input!$A$115:$A$3257,"="&amp;'Output - County'!A151,Input!$B$115:$B$3257,"="&amp;'Output - County'!B151)*VLOOKUP(A151,'Output - State'!$B$2:$G$52,2,FALSE)</f>
        <v>1.4279073954087194</v>
      </c>
      <c r="D151" s="98">
        <f>SUMIFS(Input!$C$115:$C$3257,Input!$A$115:$A$3257,"="&amp;'Output - County'!A151,Input!$B$115:$B$3257,"="&amp;'Output - County'!B151)*VLOOKUP(A151,'Output - State'!$B$2:$G$52,3,FALSE)</f>
        <v>7.1949483088057264E-2</v>
      </c>
      <c r="E151" s="98">
        <f>SUMIFS(Input!$C$115:$C$3257,Input!$A$115:$A$3257,"="&amp;'Output - County'!A151,Input!$B$115:$B$3257,"="&amp;'Output - County'!B151)*VLOOKUP(A151,'Output - State'!$B$2:$G$52,4,FALSE)</f>
        <v>0.30217722991891882</v>
      </c>
      <c r="F151" s="98">
        <f>SUMIFS(Input!$C$115:$C$3257,Input!$A$115:$A$3257,"="&amp;'Output - County'!A151,Input!$B$115:$B$3257,"="&amp;'Output - County'!B151)*VLOOKUP(A151,'Output - State'!$B$2:$G$52,5,FALSE)</f>
        <v>5.4554092078386507</v>
      </c>
      <c r="G151" s="99">
        <f>SUMIFS(Input!$D$115:$D$3257,Input!$A$115:$A$3257,"="&amp;'Output - County'!A151,Input!$B$115:$B$3257,"="&amp;'Output - County'!B151)*VLOOKUP(A151,'Output - State'!$B$2:$G$52,6,FALSE)</f>
        <v>4.1617240707357235</v>
      </c>
    </row>
    <row r="152" spans="1:7" x14ac:dyDescent="0.25">
      <c r="A152" s="88">
        <v>5</v>
      </c>
      <c r="B152" s="88">
        <v>79</v>
      </c>
      <c r="C152" s="97">
        <f>SUMIFS(Input!$C$115:$C$3257,Input!$A$115:$A$3257,"="&amp;'Output - County'!A152,Input!$B$115:$B$3257,"="&amp;'Output - County'!B152)*VLOOKUP(A152,'Output - State'!$B$2:$G$52,2,FALSE)</f>
        <v>2.2572009106080841</v>
      </c>
      <c r="D152" s="98">
        <f>SUMIFS(Input!$C$115:$C$3257,Input!$A$115:$A$3257,"="&amp;'Output - County'!A152,Input!$B$115:$B$3257,"="&amp;'Output - County'!B152)*VLOOKUP(A152,'Output - State'!$B$2:$G$52,3,FALSE)</f>
        <v>0.11373597424198348</v>
      </c>
      <c r="E152" s="98">
        <f>SUMIFS(Input!$C$115:$C$3257,Input!$A$115:$A$3257,"="&amp;'Output - County'!A152,Input!$B$115:$B$3257,"="&amp;'Output - County'!B152)*VLOOKUP(A152,'Output - State'!$B$2:$G$52,4,FALSE)</f>
        <v>0.47767433709717383</v>
      </c>
      <c r="F152" s="98">
        <f>SUMIFS(Input!$C$115:$C$3257,Input!$A$115:$A$3257,"="&amp;'Output - County'!A152,Input!$B$115:$B$3257,"="&amp;'Output - County'!B152)*VLOOKUP(A152,'Output - State'!$B$2:$G$52,5,FALSE)</f>
        <v>8.6237767738071174</v>
      </c>
      <c r="G152" s="99">
        <f>SUMIFS(Input!$D$115:$D$3257,Input!$A$115:$A$3257,"="&amp;'Output - County'!A152,Input!$B$115:$B$3257,"="&amp;'Output - County'!B152)*VLOOKUP(A152,'Output - State'!$B$2:$G$52,6,FALSE)</f>
        <v>6.1174563177852512</v>
      </c>
    </row>
    <row r="153" spans="1:7" x14ac:dyDescent="0.25">
      <c r="A153" s="88">
        <v>5</v>
      </c>
      <c r="B153" s="88">
        <v>81</v>
      </c>
      <c r="C153" s="97">
        <f>SUMIFS(Input!$C$115:$C$3257,Input!$A$115:$A$3257,"="&amp;'Output - County'!A153,Input!$B$115:$B$3257,"="&amp;'Output - County'!B153)*VLOOKUP(A153,'Output - State'!$B$2:$G$52,2,FALSE)</f>
        <v>2.4658033848099872</v>
      </c>
      <c r="D153" s="98">
        <f>SUMIFS(Input!$C$115:$C$3257,Input!$A$115:$A$3257,"="&amp;'Output - County'!A153,Input!$B$115:$B$3257,"="&amp;'Output - County'!B153)*VLOOKUP(A153,'Output - State'!$B$2:$G$52,3,FALSE)</f>
        <v>0.124247048165948</v>
      </c>
      <c r="E153" s="98">
        <f>SUMIFS(Input!$C$115:$C$3257,Input!$A$115:$A$3257,"="&amp;'Output - County'!A153,Input!$B$115:$B$3257,"="&amp;'Output - County'!B153)*VLOOKUP(A153,'Output - State'!$B$2:$G$52,4,FALSE)</f>
        <v>0.52181929916631475</v>
      </c>
      <c r="F153" s="98">
        <f>SUMIFS(Input!$C$115:$C$3257,Input!$A$115:$A$3257,"="&amp;'Output - County'!A153,Input!$B$115:$B$3257,"="&amp;'Output - County'!B153)*VLOOKUP(A153,'Output - State'!$B$2:$G$52,5,FALSE)</f>
        <v>9.4207555290108083</v>
      </c>
      <c r="G153" s="99">
        <f>SUMIFS(Input!$D$115:$D$3257,Input!$A$115:$A$3257,"="&amp;'Output - County'!A153,Input!$B$115:$B$3257,"="&amp;'Output - County'!B153)*VLOOKUP(A153,'Output - State'!$B$2:$G$52,6,FALSE)</f>
        <v>5.7003570233908016</v>
      </c>
    </row>
    <row r="154" spans="1:7" x14ac:dyDescent="0.25">
      <c r="A154" s="88">
        <v>5</v>
      </c>
      <c r="B154" s="88">
        <v>83</v>
      </c>
      <c r="C154" s="97">
        <f>SUMIFS(Input!$C$115:$C$3257,Input!$A$115:$A$3257,"="&amp;'Output - County'!A154,Input!$B$115:$B$3257,"="&amp;'Output - County'!B154)*VLOOKUP(A154,'Output - State'!$B$2:$G$52,2,FALSE)</f>
        <v>3.01230986382711</v>
      </c>
      <c r="D154" s="98">
        <f>SUMIFS(Input!$C$115:$C$3257,Input!$A$115:$A$3257,"="&amp;'Output - County'!A154,Input!$B$115:$B$3257,"="&amp;'Output - County'!B154)*VLOOKUP(A154,'Output - State'!$B$2:$G$52,3,FALSE)</f>
        <v>0.15178444925791529</v>
      </c>
      <c r="E154" s="98">
        <f>SUMIFS(Input!$C$115:$C$3257,Input!$A$115:$A$3257,"="&amp;'Output - County'!A154,Input!$B$115:$B$3257,"="&amp;'Output - County'!B154)*VLOOKUP(A154,'Output - State'!$B$2:$G$52,4,FALSE)</f>
        <v>0.63747232715197499</v>
      </c>
      <c r="F154" s="98">
        <f>SUMIFS(Input!$C$115:$C$3257,Input!$A$115:$A$3257,"="&amp;'Output - County'!A154,Input!$B$115:$B$3257,"="&amp;'Output - County'!B154)*VLOOKUP(A154,'Output - State'!$B$2:$G$52,5,FALSE)</f>
        <v>11.508717596691046</v>
      </c>
      <c r="G154" s="99">
        <f>SUMIFS(Input!$D$115:$D$3257,Input!$A$115:$A$3257,"="&amp;'Output - County'!A154,Input!$B$115:$B$3257,"="&amp;'Output - County'!B154)*VLOOKUP(A154,'Output - State'!$B$2:$G$52,6,FALSE)</f>
        <v>10.056727431510602</v>
      </c>
    </row>
    <row r="155" spans="1:7" x14ac:dyDescent="0.25">
      <c r="A155" s="88">
        <v>5</v>
      </c>
      <c r="B155" s="88">
        <v>85</v>
      </c>
      <c r="C155" s="97">
        <f>SUMIFS(Input!$C$115:$C$3257,Input!$A$115:$A$3257,"="&amp;'Output - County'!A155,Input!$B$115:$B$3257,"="&amp;'Output - County'!B155)*VLOOKUP(A155,'Output - State'!$B$2:$G$52,2,FALSE)</f>
        <v>21.308454845213799</v>
      </c>
      <c r="D155" s="98">
        <f>SUMIFS(Input!$C$115:$C$3257,Input!$A$115:$A$3257,"="&amp;'Output - County'!A155,Input!$B$115:$B$3257,"="&amp;'Output - County'!B155)*VLOOKUP(A155,'Output - State'!$B$2:$G$52,3,FALSE)</f>
        <v>1.0736916948871909</v>
      </c>
      <c r="E155" s="98">
        <f>SUMIFS(Input!$C$115:$C$3257,Input!$A$115:$A$3257,"="&amp;'Output - County'!A155,Input!$B$115:$B$3257,"="&amp;'Output - County'!B155)*VLOOKUP(A155,'Output - State'!$B$2:$G$52,4,FALSE)</f>
        <v>4.5093469504274211</v>
      </c>
      <c r="F155" s="98">
        <f>SUMIFS(Input!$C$115:$C$3257,Input!$A$115:$A$3257,"="&amp;'Output - County'!A155,Input!$B$115:$B$3257,"="&amp;'Output - County'!B155)*VLOOKUP(A155,'Output - State'!$B$2:$G$52,5,FALSE)</f>
        <v>81.410279925134432</v>
      </c>
      <c r="G155" s="99">
        <f>SUMIFS(Input!$D$115:$D$3257,Input!$A$115:$A$3257,"="&amp;'Output - County'!A155,Input!$B$115:$B$3257,"="&amp;'Output - County'!B155)*VLOOKUP(A155,'Output - State'!$B$2:$G$52,6,FALSE)</f>
        <v>34.016764676169501</v>
      </c>
    </row>
    <row r="156" spans="1:7" x14ac:dyDescent="0.25">
      <c r="A156" s="88">
        <v>5</v>
      </c>
      <c r="B156" s="88">
        <v>87</v>
      </c>
      <c r="C156" s="97">
        <f>SUMIFS(Input!$C$115:$C$3257,Input!$A$115:$A$3257,"="&amp;'Output - County'!A156,Input!$B$115:$B$3257,"="&amp;'Output - County'!B156)*VLOOKUP(A156,'Output - State'!$B$2:$G$52,2,FALSE)</f>
        <v>2.6698418209318513</v>
      </c>
      <c r="D156" s="98">
        <f>SUMIFS(Input!$C$115:$C$3257,Input!$A$115:$A$3257,"="&amp;'Output - County'!A156,Input!$B$115:$B$3257,"="&amp;'Output - County'!B156)*VLOOKUP(A156,'Output - State'!$B$2:$G$52,3,FALSE)</f>
        <v>0.13452814906665567</v>
      </c>
      <c r="E156" s="98">
        <f>SUMIFS(Input!$C$115:$C$3257,Input!$A$115:$A$3257,"="&amp;'Output - County'!A156,Input!$B$115:$B$3257,"="&amp;'Output - County'!B156)*VLOOKUP(A156,'Output - State'!$B$2:$G$52,4,FALSE)</f>
        <v>0.56499840841565441</v>
      </c>
      <c r="F156" s="98">
        <f>SUMIFS(Input!$C$115:$C$3257,Input!$A$115:$A$3257,"="&amp;'Output - County'!A156,Input!$B$115:$B$3257,"="&amp;'Output - County'!B156)*VLOOKUP(A156,'Output - State'!$B$2:$G$52,5,FALSE)</f>
        <v>10.200297092246148</v>
      </c>
      <c r="G156" s="99">
        <f>SUMIFS(Input!$D$115:$D$3257,Input!$A$115:$A$3257,"="&amp;'Output - County'!A156,Input!$B$115:$B$3257,"="&amp;'Output - County'!B156)*VLOOKUP(A156,'Output - State'!$B$2:$G$52,6,FALSE)</f>
        <v>7.6004760311877355</v>
      </c>
    </row>
    <row r="157" spans="1:7" x14ac:dyDescent="0.25">
      <c r="A157" s="88">
        <v>5</v>
      </c>
      <c r="B157" s="88">
        <v>89</v>
      </c>
      <c r="C157" s="97">
        <f>SUMIFS(Input!$C$115:$C$3257,Input!$A$115:$A$3257,"="&amp;'Output - County'!A157,Input!$B$115:$B$3257,"="&amp;'Output - County'!B157)*VLOOKUP(A157,'Output - State'!$B$2:$G$52,2,FALSE)</f>
        <v>2.4619302070586788</v>
      </c>
      <c r="D157" s="98">
        <f>SUMIFS(Input!$C$115:$C$3257,Input!$A$115:$A$3257,"="&amp;'Output - County'!A157,Input!$B$115:$B$3257,"="&amp;'Output - County'!B157)*VLOOKUP(A157,'Output - State'!$B$2:$G$52,3,FALSE)</f>
        <v>0.12405188625418059</v>
      </c>
      <c r="E157" s="98">
        <f>SUMIFS(Input!$C$115:$C$3257,Input!$A$115:$A$3257,"="&amp;'Output - County'!A157,Input!$B$115:$B$3257,"="&amp;'Output - County'!B157)*VLOOKUP(A157,'Output - State'!$B$2:$G$52,4,FALSE)</f>
        <v>0.52099964788666087</v>
      </c>
      <c r="F157" s="98">
        <f>SUMIFS(Input!$C$115:$C$3257,Input!$A$115:$A$3257,"="&amp;'Output - County'!A157,Input!$B$115:$B$3257,"="&amp;'Output - County'!B157)*VLOOKUP(A157,'Output - State'!$B$2:$G$52,5,FALSE)</f>
        <v>9.405957811990767</v>
      </c>
      <c r="G157" s="99">
        <f>SUMIFS(Input!$D$115:$D$3257,Input!$A$115:$A$3257,"="&amp;'Output - County'!A157,Input!$B$115:$B$3257,"="&amp;'Output - County'!B157)*VLOOKUP(A157,'Output - State'!$B$2:$G$52,6,FALSE)</f>
        <v>7.7395091293192184</v>
      </c>
    </row>
    <row r="158" spans="1:7" x14ac:dyDescent="0.25">
      <c r="A158" s="88">
        <v>5</v>
      </c>
      <c r="B158" s="88">
        <v>91</v>
      </c>
      <c r="C158" s="97">
        <f>SUMIFS(Input!$C$115:$C$3257,Input!$A$115:$A$3257,"="&amp;'Output - County'!A158,Input!$B$115:$B$3257,"="&amp;'Output - County'!B158)*VLOOKUP(A158,'Output - State'!$B$2:$G$52,2,FALSE)</f>
        <v>17.31835881741647</v>
      </c>
      <c r="D158" s="98">
        <f>SUMIFS(Input!$C$115:$C$3257,Input!$A$115:$A$3257,"="&amp;'Output - County'!A158,Input!$B$115:$B$3257,"="&amp;'Output - County'!B158)*VLOOKUP(A158,'Output - State'!$B$2:$G$52,3,FALSE)</f>
        <v>0.87263849802385085</v>
      </c>
      <c r="E158" s="98">
        <f>SUMIFS(Input!$C$115:$C$3257,Input!$A$115:$A$3257,"="&amp;'Output - County'!A158,Input!$B$115:$B$3257,"="&amp;'Output - County'!B158)*VLOOKUP(A158,'Output - State'!$B$2:$G$52,4,FALSE)</f>
        <v>3.6649531412300407</v>
      </c>
      <c r="F158" s="98">
        <f>SUMIFS(Input!$C$115:$C$3257,Input!$A$115:$A$3257,"="&amp;'Output - County'!A158,Input!$B$115:$B$3257,"="&amp;'Output - County'!B158)*VLOOKUP(A158,'Output - State'!$B$2:$G$52,5,FALSE)</f>
        <v>66.165869342069072</v>
      </c>
      <c r="G158" s="99">
        <f>SUMIFS(Input!$D$115:$D$3257,Input!$A$115:$A$3257,"="&amp;'Output - County'!A158,Input!$B$115:$B$3257,"="&amp;'Output - County'!B158)*VLOOKUP(A158,'Output - State'!$B$2:$G$52,6,FALSE)</f>
        <v>20.113454863021204</v>
      </c>
    </row>
    <row r="159" spans="1:7" x14ac:dyDescent="0.25">
      <c r="A159" s="88">
        <v>5</v>
      </c>
      <c r="B159" s="88">
        <v>93</v>
      </c>
      <c r="C159" s="97">
        <f>SUMIFS(Input!$C$115:$C$3257,Input!$A$115:$A$3257,"="&amp;'Output - County'!A159,Input!$B$115:$B$3257,"="&amp;'Output - County'!B159)*VLOOKUP(A159,'Output - State'!$B$2:$G$52,2,FALSE)</f>
        <v>14.598636922856965</v>
      </c>
      <c r="D159" s="98">
        <f>SUMIFS(Input!$C$115:$C$3257,Input!$A$115:$A$3257,"="&amp;'Output - County'!A159,Input!$B$115:$B$3257,"="&amp;'Output - County'!B159)*VLOOKUP(A159,'Output - State'!$B$2:$G$52,3,FALSE)</f>
        <v>0.73559698882933011</v>
      </c>
      <c r="E159" s="98">
        <f>SUMIFS(Input!$C$115:$C$3257,Input!$A$115:$A$3257,"="&amp;'Output - County'!A159,Input!$B$115:$B$3257,"="&amp;'Output - County'!B159)*VLOOKUP(A159,'Output - State'!$B$2:$G$52,4,FALSE)</f>
        <v>3.0893989905264618</v>
      </c>
      <c r="F159" s="98">
        <f>SUMIFS(Input!$C$115:$C$3257,Input!$A$115:$A$3257,"="&amp;'Output - County'!A159,Input!$B$115:$B$3257,"="&amp;'Output - County'!B159)*VLOOKUP(A159,'Output - State'!$B$2:$G$52,5,FALSE)</f>
        <v>55.775002319426228</v>
      </c>
      <c r="G159" s="99">
        <f>SUMIFS(Input!$D$115:$D$3257,Input!$A$115:$A$3257,"="&amp;'Output - County'!A159,Input!$B$115:$B$3257,"="&amp;'Output - County'!B159)*VLOOKUP(A159,'Output - State'!$B$2:$G$52,6,FALSE)</f>
        <v>19.093878810056996</v>
      </c>
    </row>
    <row r="160" spans="1:7" x14ac:dyDescent="0.25">
      <c r="A160" s="88">
        <v>5</v>
      </c>
      <c r="B160" s="88">
        <v>95</v>
      </c>
      <c r="C160" s="97">
        <f>SUMIFS(Input!$C$115:$C$3257,Input!$A$115:$A$3257,"="&amp;'Output - County'!A160,Input!$B$115:$B$3257,"="&amp;'Output - County'!B160)*VLOOKUP(A160,'Output - State'!$B$2:$G$52,2,FALSE)</f>
        <v>6.3751585150514911</v>
      </c>
      <c r="D160" s="98">
        <f>SUMIFS(Input!$C$115:$C$3257,Input!$A$115:$A$3257,"="&amp;'Output - County'!A160,Input!$B$115:$B$3257,"="&amp;'Output - County'!B160)*VLOOKUP(A160,'Output - State'!$B$2:$G$52,3,FALSE)</f>
        <v>0.32123186786289309</v>
      </c>
      <c r="E160" s="98">
        <f>SUMIFS(Input!$C$115:$C$3257,Input!$A$115:$A$3257,"="&amp;'Output - County'!A160,Input!$B$115:$B$3257,"="&amp;'Output - County'!B160)*VLOOKUP(A160,'Output - State'!$B$2:$G$52,4,FALSE)</f>
        <v>1.3491265235872341</v>
      </c>
      <c r="F160" s="98">
        <f>SUMIFS(Input!$C$115:$C$3257,Input!$A$115:$A$3257,"="&amp;'Output - County'!A160,Input!$B$115:$B$3257,"="&amp;'Output - County'!B160)*VLOOKUP(A160,'Output - State'!$B$2:$G$52,5,FALSE)</f>
        <v>24.356690480258933</v>
      </c>
      <c r="G160" s="99">
        <f>SUMIFS(Input!$D$115:$D$3257,Input!$A$115:$A$3257,"="&amp;'Output - County'!A160,Input!$B$115:$B$3257,"="&amp;'Output - County'!B160)*VLOOKUP(A160,'Output - State'!$B$2:$G$52,6,FALSE)</f>
        <v>3.1884923838153432</v>
      </c>
    </row>
    <row r="161" spans="1:7" x14ac:dyDescent="0.25">
      <c r="A161" s="88">
        <v>5</v>
      </c>
      <c r="B161" s="88">
        <v>97</v>
      </c>
      <c r="C161" s="97">
        <f>SUMIFS(Input!$C$115:$C$3257,Input!$A$115:$A$3257,"="&amp;'Output - County'!A161,Input!$B$115:$B$3257,"="&amp;'Output - County'!B161)*VLOOKUP(A161,'Output - State'!$B$2:$G$52,2,FALSE)</f>
        <v>1.6153624808751759</v>
      </c>
      <c r="D161" s="98">
        <f>SUMIFS(Input!$C$115:$C$3257,Input!$A$115:$A$3257,"="&amp;'Output - County'!A161,Input!$B$115:$B$3257,"="&amp;'Output - County'!B161)*VLOOKUP(A161,'Output - State'!$B$2:$G$52,3,FALSE)</f>
        <v>8.1394981125889471E-2</v>
      </c>
      <c r="E161" s="98">
        <f>SUMIFS(Input!$C$115:$C$3257,Input!$A$115:$A$3257,"="&amp;'Output - County'!A161,Input!$B$115:$B$3257,"="&amp;'Output - County'!B161)*VLOOKUP(A161,'Output - State'!$B$2:$G$52,4,FALSE)</f>
        <v>0.34184693023884349</v>
      </c>
      <c r="F161" s="98">
        <f>SUMIFS(Input!$C$115:$C$3257,Input!$A$115:$A$3257,"="&amp;'Output - County'!A161,Input!$B$115:$B$3257,"="&amp;'Output - County'!B161)*VLOOKUP(A161,'Output - State'!$B$2:$G$52,5,FALSE)</f>
        <v>6.1715930462290736</v>
      </c>
      <c r="G161" s="99">
        <f>SUMIFS(Input!$D$115:$D$3257,Input!$A$115:$A$3257,"="&amp;'Output - County'!A161,Input!$B$115:$B$3257,"="&amp;'Output - County'!B161)*VLOOKUP(A161,'Output - State'!$B$2:$G$52,6,FALSE)</f>
        <v>4.1292830145050443</v>
      </c>
    </row>
    <row r="162" spans="1:7" x14ac:dyDescent="0.25">
      <c r="A162" s="88">
        <v>5</v>
      </c>
      <c r="B162" s="88">
        <v>99</v>
      </c>
      <c r="C162" s="97">
        <f>SUMIFS(Input!$C$115:$C$3257,Input!$A$115:$A$3257,"="&amp;'Output - County'!A162,Input!$B$115:$B$3257,"="&amp;'Output - County'!B162)*VLOOKUP(A162,'Output - State'!$B$2:$G$52,2,FALSE)</f>
        <v>6.5049307937384047</v>
      </c>
      <c r="D162" s="98">
        <f>SUMIFS(Input!$C$115:$C$3257,Input!$A$115:$A$3257,"="&amp;'Output - County'!A162,Input!$B$115:$B$3257,"="&amp;'Output - County'!B162)*VLOOKUP(A162,'Output - State'!$B$2:$G$52,3,FALSE)</f>
        <v>0.32777084118896799</v>
      </c>
      <c r="E162" s="98">
        <f>SUMIFS(Input!$C$115:$C$3257,Input!$A$115:$A$3257,"="&amp;'Output - County'!A162,Input!$B$115:$B$3257,"="&amp;'Output - County'!B162)*VLOOKUP(A162,'Output - State'!$B$2:$G$52,4,FALSE)</f>
        <v>1.3765892482849047</v>
      </c>
      <c r="F162" s="98">
        <f>SUMIFS(Input!$C$115:$C$3257,Input!$A$115:$A$3257,"="&amp;'Output - County'!A162,Input!$B$115:$B$3257,"="&amp;'Output - County'!B162)*VLOOKUP(A162,'Output - State'!$B$2:$G$52,5,FALSE)</f>
        <v>24.852493559889421</v>
      </c>
      <c r="G162" s="99">
        <f>SUMIFS(Input!$D$115:$D$3257,Input!$A$115:$A$3257,"="&amp;'Output - County'!A162,Input!$B$115:$B$3257,"="&amp;'Output - County'!B162)*VLOOKUP(A162,'Output - State'!$B$2:$G$52,6,FALSE)</f>
        <v>3.8512168182420781</v>
      </c>
    </row>
    <row r="163" spans="1:7" x14ac:dyDescent="0.25">
      <c r="A163" s="88">
        <v>5</v>
      </c>
      <c r="B163" s="88">
        <v>101</v>
      </c>
      <c r="C163" s="97">
        <f>SUMIFS(Input!$C$115:$C$3257,Input!$A$115:$A$3257,"="&amp;'Output - County'!A163,Input!$B$115:$B$3257,"="&amp;'Output - County'!B163)*VLOOKUP(A163,'Output - State'!$B$2:$G$52,2,FALSE)</f>
        <v>1.0131120966982523</v>
      </c>
      <c r="D163" s="98">
        <f>SUMIFS(Input!$C$115:$C$3257,Input!$A$115:$A$3257,"="&amp;'Output - County'!A163,Input!$B$115:$B$3257,"="&amp;'Output - County'!B163)*VLOOKUP(A163,'Output - State'!$B$2:$G$52,3,FALSE)</f>
        <v>5.1048752812735819E-2</v>
      </c>
      <c r="E163" s="98">
        <f>SUMIFS(Input!$C$115:$C$3257,Input!$A$115:$A$3257,"="&amp;'Output - County'!A163,Input!$B$115:$B$3257,"="&amp;'Output - County'!B163)*VLOOKUP(A163,'Output - State'!$B$2:$G$52,4,FALSE)</f>
        <v>0.21439724169927518</v>
      </c>
      <c r="F163" s="98">
        <f>SUMIFS(Input!$C$115:$C$3257,Input!$A$115:$A$3257,"="&amp;'Output - County'!A163,Input!$B$115:$B$3257,"="&amp;'Output - County'!B163)*VLOOKUP(A163,'Output - State'!$B$2:$G$52,5,FALSE)</f>
        <v>3.8706579142818671</v>
      </c>
      <c r="G163" s="99">
        <f>SUMIFS(Input!$D$115:$D$3257,Input!$A$115:$A$3257,"="&amp;'Output - County'!A163,Input!$B$115:$B$3257,"="&amp;'Output - County'!B163)*VLOOKUP(A163,'Output - State'!$B$2:$G$52,6,FALSE)</f>
        <v>3.6148605514185568</v>
      </c>
    </row>
    <row r="164" spans="1:7" x14ac:dyDescent="0.25">
      <c r="A164" s="88">
        <v>5</v>
      </c>
      <c r="B164" s="88">
        <v>103</v>
      </c>
      <c r="C164" s="97">
        <f>SUMIFS(Input!$C$115:$C$3257,Input!$A$115:$A$3257,"="&amp;'Output - County'!A164,Input!$B$115:$B$3257,"="&amp;'Output - County'!B164)*VLOOKUP(A164,'Output - State'!$B$2:$G$52,2,FALSE)</f>
        <v>4.6828724569787594</v>
      </c>
      <c r="D164" s="98">
        <f>SUMIFS(Input!$C$115:$C$3257,Input!$A$115:$A$3257,"="&amp;'Output - County'!A164,Input!$B$115:$B$3257,"="&amp;'Output - County'!B164)*VLOOKUP(A164,'Output - State'!$B$2:$G$52,3,FALSE)</f>
        <v>0.23596085693672078</v>
      </c>
      <c r="E164" s="98">
        <f>SUMIFS(Input!$C$115:$C$3257,Input!$A$115:$A$3257,"="&amp;'Output - County'!A164,Input!$B$115:$B$3257,"="&amp;'Output - County'!B164)*VLOOKUP(A164,'Output - State'!$B$2:$G$52,4,FALSE)</f>
        <v>0.99100083917444914</v>
      </c>
      <c r="F164" s="98">
        <f>SUMIFS(Input!$C$115:$C$3257,Input!$A$115:$A$3257,"="&amp;'Output - County'!A164,Input!$B$115:$B$3257,"="&amp;'Output - County'!B164)*VLOOKUP(A164,'Output - State'!$B$2:$G$52,5,FALSE)</f>
        <v>17.891206112580882</v>
      </c>
      <c r="G164" s="99">
        <f>SUMIFS(Input!$D$115:$D$3257,Input!$A$115:$A$3257,"="&amp;'Output - County'!A164,Input!$B$115:$B$3257,"="&amp;'Output - County'!B164)*VLOOKUP(A164,'Output - State'!$B$2:$G$52,6,FALSE)</f>
        <v>10.937270386343329</v>
      </c>
    </row>
    <row r="165" spans="1:7" x14ac:dyDescent="0.25">
      <c r="A165" s="88">
        <v>5</v>
      </c>
      <c r="B165" s="88">
        <v>105</v>
      </c>
      <c r="C165" s="97">
        <f>SUMIFS(Input!$C$115:$C$3257,Input!$A$115:$A$3257,"="&amp;'Output - County'!A165,Input!$B$115:$B$3257,"="&amp;'Output - County'!B165)*VLOOKUP(A165,'Output - State'!$B$2:$G$52,2,FALSE)</f>
        <v>1.3783280100720747</v>
      </c>
      <c r="D165" s="98">
        <f>SUMIFS(Input!$C$115:$C$3257,Input!$A$115:$A$3257,"="&amp;'Output - County'!A165,Input!$B$115:$B$3257,"="&amp;'Output - County'!B165)*VLOOKUP(A165,'Output - State'!$B$2:$G$52,3,FALSE)</f>
        <v>6.9451274059751114E-2</v>
      </c>
      <c r="E165" s="98">
        <f>SUMIFS(Input!$C$115:$C$3257,Input!$A$115:$A$3257,"="&amp;'Output - County'!A165,Input!$B$115:$B$3257,"="&amp;'Output - County'!B165)*VLOOKUP(A165,'Output - State'!$B$2:$G$52,4,FALSE)</f>
        <v>0.29168512001719682</v>
      </c>
      <c r="F165" s="98">
        <f>SUMIFS(Input!$C$115:$C$3257,Input!$A$115:$A$3257,"="&amp;'Output - County'!A165,Input!$B$115:$B$3257,"="&amp;'Output - County'!B165)*VLOOKUP(A165,'Output - State'!$B$2:$G$52,5,FALSE)</f>
        <v>5.2659880758001192</v>
      </c>
      <c r="G165" s="99">
        <f>SUMIFS(Input!$D$115:$D$3257,Input!$A$115:$A$3257,"="&amp;'Output - County'!A165,Input!$B$115:$B$3257,"="&amp;'Output - County'!B165)*VLOOKUP(A165,'Output - State'!$B$2:$G$52,6,FALSE)</f>
        <v>4.8198140685580766</v>
      </c>
    </row>
    <row r="166" spans="1:7" x14ac:dyDescent="0.25">
      <c r="A166" s="88">
        <v>5</v>
      </c>
      <c r="B166" s="88">
        <v>107</v>
      </c>
      <c r="C166" s="97">
        <f>SUMIFS(Input!$C$115:$C$3257,Input!$A$115:$A$3257,"="&amp;'Output - County'!A166,Input!$B$115:$B$3257,"="&amp;'Output - County'!B166)*VLOOKUP(A166,'Output - State'!$B$2:$G$52,2,FALSE)</f>
        <v>3.5489373345035786</v>
      </c>
      <c r="D166" s="98">
        <f>SUMIFS(Input!$C$115:$C$3257,Input!$A$115:$A$3257,"="&amp;'Output - County'!A166,Input!$B$115:$B$3257,"="&amp;'Output - County'!B166)*VLOOKUP(A166,'Output - State'!$B$2:$G$52,3,FALSE)</f>
        <v>0.1788240662878221</v>
      </c>
      <c r="E166" s="98">
        <f>SUMIFS(Input!$C$115:$C$3257,Input!$A$115:$A$3257,"="&amp;'Output - County'!A166,Input!$B$115:$B$3257,"="&amp;'Output - County'!B166)*VLOOKUP(A166,'Output - State'!$B$2:$G$52,4,FALSE)</f>
        <v>0.75103473540674559</v>
      </c>
      <c r="F166" s="98">
        <f>SUMIFS(Input!$C$115:$C$3257,Input!$A$115:$A$3257,"="&amp;'Output - County'!A166,Input!$B$115:$B$3257,"="&amp;'Output - County'!B166)*VLOOKUP(A166,'Output - State'!$B$2:$G$52,5,FALSE)</f>
        <v>13.558936297231922</v>
      </c>
      <c r="G166" s="99">
        <f>SUMIFS(Input!$D$115:$D$3257,Input!$A$115:$A$3257,"="&amp;'Output - County'!A166,Input!$B$115:$B$3257,"="&amp;'Output - County'!B166)*VLOOKUP(A166,'Output - State'!$B$2:$G$52,6,FALSE)</f>
        <v>8.3883302539328053</v>
      </c>
    </row>
    <row r="167" spans="1:7" x14ac:dyDescent="0.25">
      <c r="A167" s="88">
        <v>5</v>
      </c>
      <c r="B167" s="88">
        <v>109</v>
      </c>
      <c r="C167" s="97">
        <f>SUMIFS(Input!$C$115:$C$3257,Input!$A$115:$A$3257,"="&amp;'Output - County'!A167,Input!$B$115:$B$3257,"="&amp;'Output - County'!B167)*VLOOKUP(A167,'Output - State'!$B$2:$G$52,2,FALSE)</f>
        <v>1.7768552557343511</v>
      </c>
      <c r="D167" s="98">
        <f>SUMIFS(Input!$C$115:$C$3257,Input!$A$115:$A$3257,"="&amp;'Output - County'!A167,Input!$B$115:$B$3257,"="&amp;'Output - County'!B167)*VLOOKUP(A167,'Output - State'!$B$2:$G$52,3,FALSE)</f>
        <v>8.9532288706853272E-2</v>
      </c>
      <c r="E167" s="98">
        <f>SUMIFS(Input!$C$115:$C$3257,Input!$A$115:$A$3257,"="&amp;'Output - County'!A167,Input!$B$115:$B$3257,"="&amp;'Output - County'!B167)*VLOOKUP(A167,'Output - State'!$B$2:$G$52,4,FALSE)</f>
        <v>0.37602242335259473</v>
      </c>
      <c r="F167" s="98">
        <f>SUMIFS(Input!$C$115:$C$3257,Input!$A$115:$A$3257,"="&amp;'Output - County'!A167,Input!$B$115:$B$3257,"="&amp;'Output - County'!B167)*VLOOKUP(A167,'Output - State'!$B$2:$G$52,5,FALSE)</f>
        <v>6.7885862586733454</v>
      </c>
      <c r="G167" s="99">
        <f>SUMIFS(Input!$D$115:$D$3257,Input!$A$115:$A$3257,"="&amp;'Output - County'!A167,Input!$B$115:$B$3257,"="&amp;'Output - County'!B167)*VLOOKUP(A167,'Output - State'!$B$2:$G$52,6,FALSE)</f>
        <v>4.9588471666895595</v>
      </c>
    </row>
    <row r="168" spans="1:7" x14ac:dyDescent="0.25">
      <c r="A168" s="88">
        <v>5</v>
      </c>
      <c r="B168" s="88">
        <v>111</v>
      </c>
      <c r="C168" s="97">
        <f>SUMIFS(Input!$C$115:$C$3257,Input!$A$115:$A$3257,"="&amp;'Output - County'!A168,Input!$B$115:$B$3257,"="&amp;'Output - County'!B168)*VLOOKUP(A168,'Output - State'!$B$2:$G$52,2,FALSE)</f>
        <v>7.5178427373907883</v>
      </c>
      <c r="D168" s="98">
        <f>SUMIFS(Input!$C$115:$C$3257,Input!$A$115:$A$3257,"="&amp;'Output - County'!A168,Input!$B$115:$B$3257,"="&amp;'Output - County'!B168)*VLOOKUP(A168,'Output - State'!$B$2:$G$52,3,FALSE)</f>
        <v>0.37880950867807917</v>
      </c>
      <c r="E168" s="98">
        <f>SUMIFS(Input!$C$115:$C$3257,Input!$A$115:$A$3257,"="&amp;'Output - County'!A168,Input!$B$115:$B$3257,"="&amp;'Output - County'!B168)*VLOOKUP(A168,'Output - State'!$B$2:$G$52,4,FALSE)</f>
        <v>1.5909441331106495</v>
      </c>
      <c r="F168" s="98">
        <f>SUMIFS(Input!$C$115:$C$3257,Input!$A$115:$A$3257,"="&amp;'Output - County'!A168,Input!$B$115:$B$3257,"="&amp;'Output - County'!B168)*VLOOKUP(A168,'Output - State'!$B$2:$G$52,5,FALSE)</f>
        <v>28.722386776983697</v>
      </c>
      <c r="G168" s="99">
        <f>SUMIFS(Input!$D$115:$D$3257,Input!$A$115:$A$3257,"="&amp;'Output - County'!A168,Input!$B$115:$B$3257,"="&amp;'Output - County'!B168)*VLOOKUP(A168,'Output - State'!$B$2:$G$52,6,FALSE)</f>
        <v>11.076303484474808</v>
      </c>
    </row>
    <row r="169" spans="1:7" x14ac:dyDescent="0.25">
      <c r="A169" s="88">
        <v>5</v>
      </c>
      <c r="B169" s="88">
        <v>113</v>
      </c>
      <c r="C169" s="97">
        <f>SUMIFS(Input!$C$115:$C$3257,Input!$A$115:$A$3257,"="&amp;'Output - County'!A169,Input!$B$115:$B$3257,"="&amp;'Output - County'!B169)*VLOOKUP(A169,'Output - State'!$B$2:$G$52,2,FALSE)</f>
        <v>3.1459745370516714</v>
      </c>
      <c r="D169" s="98">
        <f>SUMIFS(Input!$C$115:$C$3257,Input!$A$115:$A$3257,"="&amp;'Output - County'!A169,Input!$B$115:$B$3257,"="&amp;'Output - County'!B169)*VLOOKUP(A169,'Output - State'!$B$2:$G$52,3,FALSE)</f>
        <v>0.15851955279233498</v>
      </c>
      <c r="E169" s="98">
        <f>SUMIFS(Input!$C$115:$C$3257,Input!$A$115:$A$3257,"="&amp;'Output - County'!A169,Input!$B$115:$B$3257,"="&amp;'Output - County'!B169)*VLOOKUP(A169,'Output - State'!$B$2:$G$52,4,FALSE)</f>
        <v>0.66575876983228222</v>
      </c>
      <c r="F169" s="98">
        <f>SUMIFS(Input!$C$115:$C$3257,Input!$A$115:$A$3257,"="&amp;'Output - County'!A169,Input!$B$115:$B$3257,"="&amp;'Output - County'!B169)*VLOOKUP(A169,'Output - State'!$B$2:$G$52,5,FALSE)</f>
        <v>12.019391812271598</v>
      </c>
      <c r="G169" s="99">
        <f>SUMIFS(Input!$D$115:$D$3257,Input!$A$115:$A$3257,"="&amp;'Output - County'!A169,Input!$B$115:$B$3257,"="&amp;'Output - County'!B169)*VLOOKUP(A169,'Output - State'!$B$2:$G$52,6,FALSE)</f>
        <v>9.2688732087655321</v>
      </c>
    </row>
    <row r="170" spans="1:7" x14ac:dyDescent="0.25">
      <c r="A170" s="88">
        <v>5</v>
      </c>
      <c r="B170" s="88">
        <v>115</v>
      </c>
      <c r="C170" s="97">
        <f>SUMIFS(Input!$C$115:$C$3257,Input!$A$115:$A$3257,"="&amp;'Output - County'!A170,Input!$B$115:$B$3257,"="&amp;'Output - County'!B170)*VLOOKUP(A170,'Output - State'!$B$2:$G$52,2,FALSE)</f>
        <v>19.214546474918688</v>
      </c>
      <c r="D170" s="98">
        <f>SUMIFS(Input!$C$115:$C$3257,Input!$A$115:$A$3257,"="&amp;'Output - County'!A170,Input!$B$115:$B$3257,"="&amp;'Output - County'!B170)*VLOOKUP(A170,'Output - State'!$B$2:$G$52,3,FALSE)</f>
        <v>0.96818371491530586</v>
      </c>
      <c r="E170" s="98">
        <f>SUMIFS(Input!$C$115:$C$3257,Input!$A$115:$A$3257,"="&amp;'Output - County'!A170,Input!$B$115:$B$3257,"="&amp;'Output - County'!B170)*VLOOKUP(A170,'Output - State'!$B$2:$G$52,4,FALSE)</f>
        <v>4.0662289771790903</v>
      </c>
      <c r="F170" s="98">
        <f>SUMIFS(Input!$C$115:$C$3257,Input!$A$115:$A$3257,"="&amp;'Output - County'!A170,Input!$B$115:$B$3257,"="&amp;'Output - County'!B170)*VLOOKUP(A170,'Output - State'!$B$2:$G$52,5,FALSE)</f>
        <v>73.410372479869991</v>
      </c>
      <c r="G170" s="99">
        <f>SUMIFS(Input!$D$115:$D$3257,Input!$A$115:$A$3257,"="&amp;'Output - County'!A170,Input!$B$115:$B$3257,"="&amp;'Output - County'!B170)*VLOOKUP(A170,'Output - State'!$B$2:$G$52,6,FALSE)</f>
        <v>29.475016803874389</v>
      </c>
    </row>
    <row r="171" spans="1:7" x14ac:dyDescent="0.25">
      <c r="A171" s="88">
        <v>5</v>
      </c>
      <c r="B171" s="88">
        <v>117</v>
      </c>
      <c r="C171" s="97">
        <f>SUMIFS(Input!$C$115:$C$3257,Input!$A$115:$A$3257,"="&amp;'Output - County'!A171,Input!$B$115:$B$3257,"="&amp;'Output - County'!B171)*VLOOKUP(A171,'Output - State'!$B$2:$G$52,2,FALSE)</f>
        <v>10.32315744245799</v>
      </c>
      <c r="D171" s="98">
        <f>SUMIFS(Input!$C$115:$C$3257,Input!$A$115:$A$3257,"="&amp;'Output - County'!A171,Input!$B$115:$B$3257,"="&amp;'Output - County'!B171)*VLOOKUP(A171,'Output - State'!$B$2:$G$52,3,FALSE)</f>
        <v>0.52016387351848026</v>
      </c>
      <c r="E171" s="98">
        <f>SUMIFS(Input!$C$115:$C$3257,Input!$A$115:$A$3257,"="&amp;'Output - County'!A171,Input!$B$115:$B$3257,"="&amp;'Output - County'!B171)*VLOOKUP(A171,'Output - State'!$B$2:$G$52,4,FALSE)</f>
        <v>2.1846116421898167</v>
      </c>
      <c r="F171" s="98">
        <f>SUMIFS(Input!$C$115:$C$3257,Input!$A$115:$A$3257,"="&amp;'Output - County'!A171,Input!$B$115:$B$3257,"="&amp;'Output - County'!B171)*VLOOKUP(A171,'Output - State'!$B$2:$G$52,5,FALSE)</f>
        <v>39.440266467303651</v>
      </c>
      <c r="G171" s="99">
        <f>SUMIFS(Input!$D$115:$D$3257,Input!$A$115:$A$3257,"="&amp;'Output - County'!A171,Input!$B$115:$B$3257,"="&amp;'Output - County'!B171)*VLOOKUP(A171,'Output - State'!$B$2:$G$52,6,FALSE)</f>
        <v>3.7446247763412743</v>
      </c>
    </row>
    <row r="172" spans="1:7" x14ac:dyDescent="0.25">
      <c r="A172" s="88">
        <v>5</v>
      </c>
      <c r="B172" s="88">
        <v>119</v>
      </c>
      <c r="C172" s="97">
        <f>SUMIFS(Input!$C$115:$C$3257,Input!$A$115:$A$3257,"="&amp;'Output - County'!A172,Input!$B$115:$B$3257,"="&amp;'Output - County'!B172)*VLOOKUP(A172,'Output - State'!$B$2:$G$52,2,FALSE)</f>
        <v>157.21461246259577</v>
      </c>
      <c r="D172" s="98">
        <f>SUMIFS(Input!$C$115:$C$3257,Input!$A$115:$A$3257,"="&amp;'Output - County'!A172,Input!$B$115:$B$3257,"="&amp;'Output - County'!B172)*VLOOKUP(A172,'Output - State'!$B$2:$G$52,3,FALSE)</f>
        <v>7.9217392787122884</v>
      </c>
      <c r="E172" s="98">
        <f>SUMIFS(Input!$C$115:$C$3257,Input!$A$115:$A$3257,"="&amp;'Output - County'!A172,Input!$B$115:$B$3257,"="&amp;'Output - County'!B172)*VLOOKUP(A172,'Output - State'!$B$2:$G$52,4,FALSE)</f>
        <v>33.270138000178484</v>
      </c>
      <c r="F172" s="98">
        <f>SUMIFS(Input!$C$115:$C$3257,Input!$A$115:$A$3257,"="&amp;'Output - County'!A172,Input!$B$115:$B$3257,"="&amp;'Output - County'!B172)*VLOOKUP(A172,'Output - State'!$B$2:$G$52,5,FALSE)</f>
        <v>600.64822634365123</v>
      </c>
      <c r="G172" s="99">
        <f>SUMIFS(Input!$D$115:$D$3257,Input!$A$115:$A$3257,"="&amp;'Output - County'!A172,Input!$B$115:$B$3257,"="&amp;'Output - County'!B172)*VLOOKUP(A172,'Output - State'!$B$2:$G$52,6,FALSE)</f>
        <v>181.66991489180441</v>
      </c>
    </row>
    <row r="173" spans="1:7" x14ac:dyDescent="0.25">
      <c r="A173" s="88">
        <v>5</v>
      </c>
      <c r="B173" s="88">
        <v>121</v>
      </c>
      <c r="C173" s="97">
        <f>SUMIFS(Input!$C$115:$C$3257,Input!$A$115:$A$3257,"="&amp;'Output - County'!A173,Input!$B$115:$B$3257,"="&amp;'Output - County'!B173)*VLOOKUP(A173,'Output - State'!$B$2:$G$52,2,FALSE)</f>
        <v>3.7544852366231218</v>
      </c>
      <c r="D173" s="98">
        <f>SUMIFS(Input!$C$115:$C$3257,Input!$A$115:$A$3257,"="&amp;'Output - County'!A173,Input!$B$115:$B$3257,"="&amp;'Output - County'!B173)*VLOOKUP(A173,'Output - State'!$B$2:$G$52,3,FALSE)</f>
        <v>0.18918122625133821</v>
      </c>
      <c r="E173" s="98">
        <f>SUMIFS(Input!$C$115:$C$3257,Input!$A$115:$A$3257,"="&amp;'Output - County'!A173,Input!$B$115:$B$3257,"="&amp;'Output - County'!B173)*VLOOKUP(A173,'Output - State'!$B$2:$G$52,4,FALSE)</f>
        <v>0.79453328151543778</v>
      </c>
      <c r="F173" s="98">
        <f>SUMIFS(Input!$C$115:$C$3257,Input!$A$115:$A$3257,"="&amp;'Output - County'!A173,Input!$B$115:$B$3257,"="&amp;'Output - County'!B173)*VLOOKUP(A173,'Output - State'!$B$2:$G$52,5,FALSE)</f>
        <v>14.34424486939875</v>
      </c>
      <c r="G173" s="99">
        <f>SUMIFS(Input!$D$115:$D$3257,Input!$A$115:$A$3257,"="&amp;'Output - County'!A173,Input!$B$115:$B$3257,"="&amp;'Output - County'!B173)*VLOOKUP(A173,'Output - State'!$B$2:$G$52,6,FALSE)</f>
        <v>8.3419858878889777</v>
      </c>
    </row>
    <row r="174" spans="1:7" x14ac:dyDescent="0.25">
      <c r="A174" s="88">
        <v>5</v>
      </c>
      <c r="B174" s="88">
        <v>123</v>
      </c>
      <c r="C174" s="97">
        <f>SUMIFS(Input!$C$115:$C$3257,Input!$A$115:$A$3257,"="&amp;'Output - County'!A174,Input!$B$115:$B$3257,"="&amp;'Output - County'!B174)*VLOOKUP(A174,'Output - State'!$B$2:$G$52,2,FALSE)</f>
        <v>20.810295573569594</v>
      </c>
      <c r="D174" s="98">
        <f>SUMIFS(Input!$C$115:$C$3257,Input!$A$115:$A$3257,"="&amp;'Output - County'!A174,Input!$B$115:$B$3257,"="&amp;'Output - County'!B174)*VLOOKUP(A174,'Output - State'!$B$2:$G$52,3,FALSE)</f>
        <v>1.0485904157667307</v>
      </c>
      <c r="E174" s="98">
        <f>SUMIFS(Input!$C$115:$C$3257,Input!$A$115:$A$3257,"="&amp;'Output - County'!A174,Input!$B$115:$B$3257,"="&amp;'Output - County'!B174)*VLOOKUP(A174,'Output - State'!$B$2:$G$52,4,FALSE)</f>
        <v>4.4039252758511198</v>
      </c>
      <c r="F174" s="98">
        <f>SUMIFS(Input!$C$115:$C$3257,Input!$A$115:$A$3257,"="&amp;'Output - County'!A174,Input!$B$115:$B$3257,"="&amp;'Output - County'!B174)*VLOOKUP(A174,'Output - State'!$B$2:$G$52,5,FALSE)</f>
        <v>79.507031376778755</v>
      </c>
      <c r="G174" s="99">
        <f>SUMIFS(Input!$D$115:$D$3257,Input!$A$115:$A$3257,"="&amp;'Output - County'!A174,Input!$B$115:$B$3257,"="&amp;'Output - County'!B174)*VLOOKUP(A174,'Output - State'!$B$2:$G$52,6,FALSE)</f>
        <v>11.817813341176052</v>
      </c>
    </row>
    <row r="175" spans="1:7" x14ac:dyDescent="0.25">
      <c r="A175" s="88">
        <v>5</v>
      </c>
      <c r="B175" s="88">
        <v>125</v>
      </c>
      <c r="C175" s="97">
        <f>SUMIFS(Input!$C$115:$C$3257,Input!$A$115:$A$3257,"="&amp;'Output - County'!A175,Input!$B$115:$B$3257,"="&amp;'Output - County'!B175)*VLOOKUP(A175,'Output - State'!$B$2:$G$52,2,FALSE)</f>
        <v>37.473585294035615</v>
      </c>
      <c r="D175" s="98">
        <f>SUMIFS(Input!$C$115:$C$3257,Input!$A$115:$A$3257,"="&amp;'Output - County'!A175,Input!$B$115:$B$3257,"="&amp;'Output - County'!B175)*VLOOKUP(A175,'Output - State'!$B$2:$G$52,3,FALSE)</f>
        <v>1.8882212530248395</v>
      </c>
      <c r="E175" s="98">
        <f>SUMIFS(Input!$C$115:$C$3257,Input!$A$115:$A$3257,"="&amp;'Output - County'!A175,Input!$B$115:$B$3257,"="&amp;'Output - County'!B175)*VLOOKUP(A175,'Output - State'!$B$2:$G$52,4,FALSE)</f>
        <v>7.9302511043027195</v>
      </c>
      <c r="F175" s="98">
        <f>SUMIFS(Input!$C$115:$C$3257,Input!$A$115:$A$3257,"="&amp;'Output - County'!A175,Input!$B$115:$B$3257,"="&amp;'Output - County'!B175)*VLOOKUP(A175,'Output - State'!$B$2:$G$52,5,FALSE)</f>
        <v>143.1701684024772</v>
      </c>
      <c r="G175" s="99">
        <f>SUMIFS(Input!$D$115:$D$3257,Input!$A$115:$A$3257,"="&amp;'Output - County'!A175,Input!$B$115:$B$3257,"="&amp;'Output - County'!B175)*VLOOKUP(A175,'Output - State'!$B$2:$G$52,6,FALSE)</f>
        <v>56.076682913031462</v>
      </c>
    </row>
    <row r="176" spans="1:7" x14ac:dyDescent="0.25">
      <c r="A176" s="88">
        <v>5</v>
      </c>
      <c r="B176" s="88">
        <v>127</v>
      </c>
      <c r="C176" s="97">
        <f>SUMIFS(Input!$C$115:$C$3257,Input!$A$115:$A$3257,"="&amp;'Output - County'!A176,Input!$B$115:$B$3257,"="&amp;'Output - County'!B176)*VLOOKUP(A176,'Output - State'!$B$2:$G$52,2,FALSE)</f>
        <v>1.8496377907715387</v>
      </c>
      <c r="D176" s="98">
        <f>SUMIFS(Input!$C$115:$C$3257,Input!$A$115:$A$3257,"="&amp;'Output - County'!A176,Input!$B$115:$B$3257,"="&amp;'Output - County'!B176)*VLOOKUP(A176,'Output - State'!$B$2:$G$52,3,FALSE)</f>
        <v>9.3199659427533055E-2</v>
      </c>
      <c r="E176" s="98">
        <f>SUMIFS(Input!$C$115:$C$3257,Input!$A$115:$A$3257,"="&amp;'Output - County'!A176,Input!$B$115:$B$3257,"="&amp;'Output - County'!B176)*VLOOKUP(A176,'Output - State'!$B$2:$G$52,4,FALSE)</f>
        <v>0.3914248401302729</v>
      </c>
      <c r="F176" s="98">
        <f>SUMIFS(Input!$C$115:$C$3257,Input!$A$115:$A$3257,"="&amp;'Output - County'!A176,Input!$B$115:$B$3257,"="&amp;'Output - County'!B176)*VLOOKUP(A176,'Output - State'!$B$2:$G$52,5,FALSE)</f>
        <v>7.0666564704310613</v>
      </c>
      <c r="G176" s="99">
        <f>SUMIFS(Input!$D$115:$D$3257,Input!$A$115:$A$3257,"="&amp;'Output - County'!A176,Input!$B$115:$B$3257,"="&amp;'Output - County'!B176)*VLOOKUP(A176,'Output - State'!$B$2:$G$52,6,FALSE)</f>
        <v>4.773469702514249</v>
      </c>
    </row>
    <row r="177" spans="1:7" x14ac:dyDescent="0.25">
      <c r="A177" s="88">
        <v>5</v>
      </c>
      <c r="B177" s="88">
        <v>129</v>
      </c>
      <c r="C177" s="97">
        <f>SUMIFS(Input!$C$115:$C$3257,Input!$A$115:$A$3257,"="&amp;'Output - County'!A177,Input!$B$115:$B$3257,"="&amp;'Output - County'!B177)*VLOOKUP(A177,'Output - State'!$B$2:$G$52,2,FALSE)</f>
        <v>1.6501251390516116</v>
      </c>
      <c r="D177" s="98">
        <f>SUMIFS(Input!$C$115:$C$3257,Input!$A$115:$A$3257,"="&amp;'Output - County'!A177,Input!$B$115:$B$3257,"="&amp;'Output - County'!B177)*VLOOKUP(A177,'Output - State'!$B$2:$G$52,3,FALSE)</f>
        <v>8.3146604021466286E-2</v>
      </c>
      <c r="E177" s="98">
        <f>SUMIFS(Input!$C$115:$C$3257,Input!$A$115:$A$3257,"="&amp;'Output - County'!A177,Input!$B$115:$B$3257,"="&amp;'Output - County'!B177)*VLOOKUP(A177,'Output - State'!$B$2:$G$52,4,FALSE)</f>
        <v>0.34920348836449616</v>
      </c>
      <c r="F177" s="98">
        <f>SUMIFS(Input!$C$115:$C$3257,Input!$A$115:$A$3257,"="&amp;'Output - County'!A177,Input!$B$115:$B$3257,"="&amp;'Output - County'!B177)*VLOOKUP(A177,'Output - State'!$B$2:$G$52,5,FALSE)</f>
        <v>6.3044059486024748</v>
      </c>
      <c r="G177" s="99">
        <f>SUMIFS(Input!$D$115:$D$3257,Input!$A$115:$A$3257,"="&amp;'Output - County'!A177,Input!$B$115:$B$3257,"="&amp;'Output - County'!B177)*VLOOKUP(A177,'Output - State'!$B$2:$G$52,6,FALSE)</f>
        <v>3.6751082272755329</v>
      </c>
    </row>
    <row r="178" spans="1:7" x14ac:dyDescent="0.25">
      <c r="A178" s="88">
        <v>5</v>
      </c>
      <c r="B178" s="88">
        <v>131</v>
      </c>
      <c r="C178" s="97">
        <f>SUMIFS(Input!$C$115:$C$3257,Input!$A$115:$A$3257,"="&amp;'Output - County'!A178,Input!$B$115:$B$3257,"="&amp;'Output - County'!B178)*VLOOKUP(A178,'Output - State'!$B$2:$G$52,2,FALSE)</f>
        <v>31.865556859442798</v>
      </c>
      <c r="D178" s="98">
        <f>SUMIFS(Input!$C$115:$C$3257,Input!$A$115:$A$3257,"="&amp;'Output - County'!A178,Input!$B$115:$B$3257,"="&amp;'Output - County'!B178)*VLOOKUP(A178,'Output - State'!$B$2:$G$52,3,FALSE)</f>
        <v>1.6056435814549088</v>
      </c>
      <c r="E178" s="98">
        <f>SUMIFS(Input!$C$115:$C$3257,Input!$A$115:$A$3257,"="&amp;'Output - County'!A178,Input!$B$115:$B$3257,"="&amp;'Output - County'!B178)*VLOOKUP(A178,'Output - State'!$B$2:$G$52,4,FALSE)</f>
        <v>6.7434665109035601</v>
      </c>
      <c r="F178" s="98">
        <f>SUMIFS(Input!$C$115:$C$3257,Input!$A$115:$A$3257,"="&amp;'Output - County'!A178,Input!$B$115:$B$3257,"="&amp;'Output - County'!B178)*VLOOKUP(A178,'Output - State'!$B$2:$G$52,5,FALSE)</f>
        <v>121.74434621101675</v>
      </c>
      <c r="G178" s="99">
        <f>SUMIFS(Input!$D$115:$D$3257,Input!$A$115:$A$3257,"="&amp;'Output - County'!A178,Input!$B$115:$B$3257,"="&amp;'Output - County'!B178)*VLOOKUP(A178,'Output - State'!$B$2:$G$52,6,FALSE)</f>
        <v>59.3207885360994</v>
      </c>
    </row>
    <row r="179" spans="1:7" x14ac:dyDescent="0.25">
      <c r="A179" s="88">
        <v>5</v>
      </c>
      <c r="B179" s="88">
        <v>133</v>
      </c>
      <c r="C179" s="97">
        <f>SUMIFS(Input!$C$115:$C$3257,Input!$A$115:$A$3257,"="&amp;'Output - County'!A179,Input!$B$115:$B$3257,"="&amp;'Output - County'!B179)*VLOOKUP(A179,'Output - State'!$B$2:$G$52,2,FALSE)</f>
        <v>3.3204645126504979</v>
      </c>
      <c r="D179" s="98">
        <f>SUMIFS(Input!$C$115:$C$3257,Input!$A$115:$A$3257,"="&amp;'Output - County'!A179,Input!$B$115:$B$3257,"="&amp;'Output - County'!B179)*VLOOKUP(A179,'Output - State'!$B$2:$G$52,3,FALSE)</f>
        <v>0.16731176410012061</v>
      </c>
      <c r="E179" s="98">
        <f>SUMIFS(Input!$C$115:$C$3257,Input!$A$115:$A$3257,"="&amp;'Output - County'!A179,Input!$B$115:$B$3257,"="&amp;'Output - County'!B179)*VLOOKUP(A179,'Output - State'!$B$2:$G$52,4,FALSE)</f>
        <v>0.70268476212324638</v>
      </c>
      <c r="F179" s="98">
        <f>SUMIFS(Input!$C$115:$C$3257,Input!$A$115:$A$3257,"="&amp;'Output - County'!A179,Input!$B$115:$B$3257,"="&amp;'Output - County'!B179)*VLOOKUP(A179,'Output - State'!$B$2:$G$52,5,FALSE)</f>
        <v>12.686041640277361</v>
      </c>
      <c r="G179" s="99">
        <f>SUMIFS(Input!$D$115:$D$3257,Input!$A$115:$A$3257,"="&amp;'Output - County'!A179,Input!$B$115:$B$3257,"="&amp;'Output - County'!B179)*VLOOKUP(A179,'Output - State'!$B$2:$G$52,6,FALSE)</f>
        <v>7.9248865934945298</v>
      </c>
    </row>
    <row r="180" spans="1:7" x14ac:dyDescent="0.25">
      <c r="A180" s="88">
        <v>5</v>
      </c>
      <c r="B180" s="88">
        <v>135</v>
      </c>
      <c r="C180" s="97">
        <f>SUMIFS(Input!$C$115:$C$3257,Input!$A$115:$A$3257,"="&amp;'Output - County'!A180,Input!$B$115:$B$3257,"="&amp;'Output - County'!B180)*VLOOKUP(A180,'Output - State'!$B$2:$G$52,2,FALSE)</f>
        <v>2.5006969897068201</v>
      </c>
      <c r="D180" s="98">
        <f>SUMIFS(Input!$C$115:$C$3257,Input!$A$115:$A$3257,"="&amp;'Output - County'!A180,Input!$B$115:$B$3257,"="&amp;'Output - County'!B180)*VLOOKUP(A180,'Output - State'!$B$2:$G$52,3,FALSE)</f>
        <v>0.12600526921268992</v>
      </c>
      <c r="E180" s="98">
        <f>SUMIFS(Input!$C$115:$C$3257,Input!$A$115:$A$3257,"="&amp;'Output - County'!A180,Input!$B$115:$B$3257,"="&amp;'Output - County'!B180)*VLOOKUP(A180,'Output - State'!$B$2:$G$52,4,FALSE)</f>
        <v>0.52920356855487127</v>
      </c>
      <c r="F180" s="98">
        <f>SUMIFS(Input!$C$115:$C$3257,Input!$A$115:$A$3257,"="&amp;'Output - County'!A180,Input!$B$115:$B$3257,"="&amp;'Output - County'!B180)*VLOOKUP(A180,'Output - State'!$B$2:$G$52,5,FALSE)</f>
        <v>9.554068721491598</v>
      </c>
      <c r="G180" s="99">
        <f>SUMIFS(Input!$D$115:$D$3257,Input!$A$115:$A$3257,"="&amp;'Output - County'!A180,Input!$B$115:$B$3257,"="&amp;'Output - County'!B180)*VLOOKUP(A180,'Output - State'!$B$2:$G$52,6,FALSE)</f>
        <v>8.0175753255821842</v>
      </c>
    </row>
    <row r="181" spans="1:7" x14ac:dyDescent="0.25">
      <c r="A181" s="88">
        <v>5</v>
      </c>
      <c r="B181" s="88">
        <v>137</v>
      </c>
      <c r="C181" s="97">
        <f>SUMIFS(Input!$C$115:$C$3257,Input!$A$115:$A$3257,"="&amp;'Output - County'!A181,Input!$B$115:$B$3257,"="&amp;'Output - County'!B181)*VLOOKUP(A181,'Output - State'!$B$2:$G$52,2,FALSE)</f>
        <v>1.758075236644685</v>
      </c>
      <c r="D181" s="98">
        <f>SUMIFS(Input!$C$115:$C$3257,Input!$A$115:$A$3257,"="&amp;'Output - County'!A181,Input!$B$115:$B$3257,"="&amp;'Output - County'!B181)*VLOOKUP(A181,'Output - State'!$B$2:$G$52,3,FALSE)</f>
        <v>8.858599998376801E-2</v>
      </c>
      <c r="E181" s="98">
        <f>SUMIFS(Input!$C$115:$C$3257,Input!$A$115:$A$3257,"="&amp;'Output - County'!A181,Input!$B$115:$B$3257,"="&amp;'Output - County'!B181)*VLOOKUP(A181,'Output - State'!$B$2:$G$52,4,FALSE)</f>
        <v>0.37204815011569808</v>
      </c>
      <c r="F181" s="98">
        <f>SUMIFS(Input!$C$115:$C$3257,Input!$A$115:$A$3257,"="&amp;'Output - County'!A181,Input!$B$115:$B$3257,"="&amp;'Output - County'!B181)*VLOOKUP(A181,'Output - State'!$B$2:$G$52,5,FALSE)</f>
        <v>6.7168360251535981</v>
      </c>
      <c r="G181" s="99">
        <f>SUMIFS(Input!$D$115:$D$3257,Input!$A$115:$A$3257,"="&amp;'Output - County'!A181,Input!$B$115:$B$3257,"="&amp;'Output - County'!B181)*VLOOKUP(A181,'Output - State'!$B$2:$G$52,6,FALSE)</f>
        <v>5.7930457554784569</v>
      </c>
    </row>
    <row r="182" spans="1:7" x14ac:dyDescent="0.25">
      <c r="A182" s="88">
        <v>5</v>
      </c>
      <c r="B182" s="88">
        <v>139</v>
      </c>
      <c r="C182" s="97">
        <f>SUMIFS(Input!$C$115:$C$3257,Input!$A$115:$A$3257,"="&amp;'Output - County'!A182,Input!$B$115:$B$3257,"="&amp;'Output - County'!B182)*VLOOKUP(A182,'Output - State'!$B$2:$G$52,2,FALSE)</f>
        <v>8.7811394309026003</v>
      </c>
      <c r="D182" s="98">
        <f>SUMIFS(Input!$C$115:$C$3257,Input!$A$115:$A$3257,"="&amp;'Output - County'!A182,Input!$B$115:$B$3257,"="&amp;'Output - County'!B182)*VLOOKUP(A182,'Output - State'!$B$2:$G$52,3,FALSE)</f>
        <v>0.44246457789145044</v>
      </c>
      <c r="E182" s="98">
        <f>SUMIFS(Input!$C$115:$C$3257,Input!$A$115:$A$3257,"="&amp;'Output - County'!A182,Input!$B$115:$B$3257,"="&amp;'Output - County'!B182)*VLOOKUP(A182,'Output - State'!$B$2:$G$52,4,FALSE)</f>
        <v>1.8582860466258888</v>
      </c>
      <c r="F182" s="98">
        <f>SUMIFS(Input!$C$115:$C$3257,Input!$A$115:$A$3257,"="&amp;'Output - County'!A182,Input!$B$115:$B$3257,"="&amp;'Output - County'!B182)*VLOOKUP(A182,'Output - State'!$B$2:$G$52,5,FALSE)</f>
        <v>33.548890537785198</v>
      </c>
      <c r="G182" s="99">
        <f>SUMIFS(Input!$D$115:$D$3257,Input!$A$115:$A$3257,"="&amp;'Output - County'!A182,Input!$B$115:$B$3257,"="&amp;'Output - County'!B182)*VLOOKUP(A182,'Output - State'!$B$2:$G$52,6,FALSE)</f>
        <v>18.120647123136614</v>
      </c>
    </row>
    <row r="183" spans="1:7" x14ac:dyDescent="0.25">
      <c r="A183" s="88">
        <v>5</v>
      </c>
      <c r="B183" s="88">
        <v>141</v>
      </c>
      <c r="C183" s="97">
        <f>SUMIFS(Input!$C$115:$C$3257,Input!$A$115:$A$3257,"="&amp;'Output - County'!A183,Input!$B$115:$B$3257,"="&amp;'Output - County'!B183)*VLOOKUP(A183,'Output - State'!$B$2:$G$52,2,FALSE)</f>
        <v>3.2437032110755162</v>
      </c>
      <c r="D183" s="98">
        <f>SUMIFS(Input!$C$115:$C$3257,Input!$A$115:$A$3257,"="&amp;'Output - County'!A183,Input!$B$115:$B$3257,"="&amp;'Output - County'!B183)*VLOOKUP(A183,'Output - State'!$B$2:$G$52,3,FALSE)</f>
        <v>0.16344391105359618</v>
      </c>
      <c r="E183" s="98">
        <f>SUMIFS(Input!$C$115:$C$3257,Input!$A$115:$A$3257,"="&amp;'Output - County'!A183,Input!$B$115:$B$3257,"="&amp;'Output - County'!B183)*VLOOKUP(A183,'Output - State'!$B$2:$G$52,4,FALSE)</f>
        <v>0.68644034911055296</v>
      </c>
      <c r="F183" s="98">
        <f>SUMIFS(Input!$C$115:$C$3257,Input!$A$115:$A$3257,"="&amp;'Output - County'!A183,Input!$B$115:$B$3257,"="&amp;'Output - County'!B183)*VLOOKUP(A183,'Output - State'!$B$2:$G$52,5,FALSE)</f>
        <v>12.39277030295932</v>
      </c>
      <c r="G183" s="99">
        <f>SUMIFS(Input!$D$115:$D$3257,Input!$A$115:$A$3257,"="&amp;'Output - County'!A183,Input!$B$115:$B$3257,"="&amp;'Output - County'!B183)*VLOOKUP(A183,'Output - State'!$B$2:$G$52,6,FALSE)</f>
        <v>7.6931647632753908</v>
      </c>
    </row>
    <row r="184" spans="1:7" x14ac:dyDescent="0.25">
      <c r="A184" s="88">
        <v>5</v>
      </c>
      <c r="B184" s="88">
        <v>143</v>
      </c>
      <c r="C184" s="97">
        <f>SUMIFS(Input!$C$115:$C$3257,Input!$A$115:$A$3257,"="&amp;'Output - County'!A184,Input!$B$115:$B$3257,"="&amp;'Output - County'!B184)*VLOOKUP(A184,'Output - State'!$B$2:$G$52,2,FALSE)</f>
        <v>57.902449127939462</v>
      </c>
      <c r="D184" s="98">
        <f>SUMIFS(Input!$C$115:$C$3257,Input!$A$115:$A$3257,"="&amp;'Output - County'!A184,Input!$B$115:$B$3257,"="&amp;'Output - County'!B184)*VLOOKUP(A184,'Output - State'!$B$2:$G$52,3,FALSE)</f>
        <v>2.9175920635212482</v>
      </c>
      <c r="E184" s="98">
        <f>SUMIFS(Input!$C$115:$C$3257,Input!$A$115:$A$3257,"="&amp;'Output - County'!A184,Input!$B$115:$B$3257,"="&amp;'Output - County'!B184)*VLOOKUP(A184,'Output - State'!$B$2:$G$52,4,FALSE)</f>
        <v>12.253456869304637</v>
      </c>
      <c r="F184" s="98">
        <f>SUMIFS(Input!$C$115:$C$3257,Input!$A$115:$A$3257,"="&amp;'Output - County'!A184,Input!$B$115:$B$3257,"="&amp;'Output - County'!B184)*VLOOKUP(A184,'Output - State'!$B$2:$G$52,5,FALSE)</f>
        <v>221.21991604263184</v>
      </c>
      <c r="G184" s="99">
        <f>SUMIFS(Input!$D$115:$D$3257,Input!$A$115:$A$3257,"="&amp;'Output - County'!A184,Input!$B$115:$B$3257,"="&amp;'Output - County'!B184)*VLOOKUP(A184,'Output - State'!$B$2:$G$52,6,FALSE)</f>
        <v>109.83614752387155</v>
      </c>
    </row>
    <row r="185" spans="1:7" x14ac:dyDescent="0.25">
      <c r="A185" s="88">
        <v>5</v>
      </c>
      <c r="B185" s="88">
        <v>145</v>
      </c>
      <c r="C185" s="97">
        <f>SUMIFS(Input!$C$115:$C$3257,Input!$A$115:$A$3257,"="&amp;'Output - County'!A185,Input!$B$115:$B$3257,"="&amp;'Output - County'!B185)*VLOOKUP(A185,'Output - State'!$B$2:$G$52,2,FALSE)</f>
        <v>20.751838253908073</v>
      </c>
      <c r="D185" s="98">
        <f>SUMIFS(Input!$C$115:$C$3257,Input!$A$115:$A$3257,"="&amp;'Output - County'!A185,Input!$B$115:$B$3257,"="&amp;'Output - County'!B185)*VLOOKUP(A185,'Output - State'!$B$2:$G$52,3,FALSE)</f>
        <v>1.0456448648536365</v>
      </c>
      <c r="E185" s="98">
        <f>SUMIFS(Input!$C$115:$C$3257,Input!$A$115:$A$3257,"="&amp;'Output - County'!A185,Input!$B$115:$B$3257,"="&amp;'Output - County'!B185)*VLOOKUP(A185,'Output - State'!$B$2:$G$52,4,FALSE)</f>
        <v>4.3915543959322942</v>
      </c>
      <c r="F185" s="98">
        <f>SUMIFS(Input!$C$115:$C$3257,Input!$A$115:$A$3257,"="&amp;'Output - County'!A185,Input!$B$115:$B$3257,"="&amp;'Output - County'!B185)*VLOOKUP(A185,'Output - State'!$B$2:$G$52,5,FALSE)</f>
        <v>79.283691543276632</v>
      </c>
      <c r="G185" s="99">
        <f>SUMIFS(Input!$D$115:$D$3257,Input!$A$115:$A$3257,"="&amp;'Output - County'!A185,Input!$B$115:$B$3257,"="&amp;'Output - County'!B185)*VLOOKUP(A185,'Output - State'!$B$2:$G$52,6,FALSE)</f>
        <v>36.333982978360879</v>
      </c>
    </row>
    <row r="186" spans="1:7" x14ac:dyDescent="0.25">
      <c r="A186" s="88">
        <v>5</v>
      </c>
      <c r="B186" s="88">
        <v>147</v>
      </c>
      <c r="C186" s="97">
        <f>SUMIFS(Input!$C$115:$C$3257,Input!$A$115:$A$3257,"="&amp;'Output - County'!A186,Input!$B$115:$B$3257,"="&amp;'Output - County'!B186)*VLOOKUP(A186,'Output - State'!$B$2:$G$52,2,FALSE)</f>
        <v>1.0987479425144331</v>
      </c>
      <c r="D186" s="98">
        <f>SUMIFS(Input!$C$115:$C$3257,Input!$A$115:$A$3257,"="&amp;'Output - County'!A186,Input!$B$115:$B$3257,"="&amp;'Output - County'!B186)*VLOOKUP(A186,'Output - State'!$B$2:$G$52,3,FALSE)</f>
        <v>5.5363776924309341E-2</v>
      </c>
      <c r="E186" s="98">
        <f>SUMIFS(Input!$C$115:$C$3257,Input!$A$115:$A$3257,"="&amp;'Output - County'!A186,Input!$B$115:$B$3257,"="&amp;'Output - County'!B186)*VLOOKUP(A186,'Output - State'!$B$2:$G$52,4,FALSE)</f>
        <v>0.2325197073113327</v>
      </c>
      <c r="F186" s="98">
        <f>SUMIFS(Input!$C$115:$C$3257,Input!$A$115:$A$3257,"="&amp;'Output - County'!A186,Input!$B$115:$B$3257,"="&amp;'Output - County'!B186)*VLOOKUP(A186,'Output - State'!$B$2:$G$52,5,FALSE)</f>
        <v>4.1978350010374967</v>
      </c>
      <c r="G186" s="99">
        <f>SUMIFS(Input!$D$115:$D$3257,Input!$A$115:$A$3257,"="&amp;'Output - County'!A186,Input!$B$115:$B$3257,"="&amp;'Output - County'!B186)*VLOOKUP(A186,'Output - State'!$B$2:$G$52,6,FALSE)</f>
        <v>2.9984804830356495</v>
      </c>
    </row>
    <row r="187" spans="1:7" x14ac:dyDescent="0.25">
      <c r="A187" s="88">
        <v>5</v>
      </c>
      <c r="B187" s="88">
        <v>149</v>
      </c>
      <c r="C187" s="97">
        <f>SUMIFS(Input!$C$115:$C$3257,Input!$A$115:$A$3257,"="&amp;'Output - County'!A187,Input!$B$115:$B$3257,"="&amp;'Output - County'!B187)*VLOOKUP(A187,'Output - State'!$B$2:$G$52,2,FALSE)</f>
        <v>3.4894158026071431</v>
      </c>
      <c r="D187" s="98">
        <f>SUMIFS(Input!$C$115:$C$3257,Input!$A$115:$A$3257,"="&amp;'Output - County'!A187,Input!$B$115:$B$3257,"="&amp;'Output - County'!B187)*VLOOKUP(A187,'Output - State'!$B$2:$G$52,3,FALSE)</f>
        <v>0.17582489178510025</v>
      </c>
      <c r="E187" s="98">
        <f>SUMIFS(Input!$C$115:$C$3257,Input!$A$115:$A$3257,"="&amp;'Output - County'!A187,Input!$B$115:$B$3257,"="&amp;'Output - County'!B187)*VLOOKUP(A187,'Output - State'!$B$2:$G$52,4,FALSE)</f>
        <v>0.73843864431090311</v>
      </c>
      <c r="F187" s="98">
        <f>SUMIFS(Input!$C$115:$C$3257,Input!$A$115:$A$3257,"="&amp;'Output - County'!A187,Input!$B$115:$B$3257,"="&amp;'Output - County'!B187)*VLOOKUP(A187,'Output - State'!$B$2:$G$52,5,FALSE)</f>
        <v>13.331530574552314</v>
      </c>
      <c r="G187" s="99">
        <f>SUMIFS(Input!$D$115:$D$3257,Input!$A$115:$A$3257,"="&amp;'Output - County'!A187,Input!$B$115:$B$3257,"="&amp;'Output - County'!B187)*VLOOKUP(A187,'Output - State'!$B$2:$G$52,6,FALSE)</f>
        <v>9.9640386994229466</v>
      </c>
    </row>
    <row r="188" spans="1:7" x14ac:dyDescent="0.25">
      <c r="A188" s="88">
        <v>6</v>
      </c>
      <c r="B188" s="88">
        <v>1</v>
      </c>
      <c r="C188" s="97">
        <f>SUMIFS(Input!$C$115:$C$3257,Input!$A$115:$A$3257,"="&amp;'Output - County'!A188,Input!$B$115:$B$3257,"="&amp;'Output - County'!B188)*VLOOKUP(A188,'Output - State'!$B$2:$G$52,2,FALSE)</f>
        <v>220.81336057976279</v>
      </c>
      <c r="D188" s="98">
        <f>SUMIFS(Input!$C$115:$C$3257,Input!$A$115:$A$3257,"="&amp;'Output - County'!A188,Input!$B$115:$B$3257,"="&amp;'Output - County'!B188)*VLOOKUP(A188,'Output - State'!$B$2:$G$52,3,FALSE)</f>
        <v>26.976619386320742</v>
      </c>
      <c r="E188" s="98">
        <f>SUMIFS(Input!$C$115:$C$3257,Input!$A$115:$A$3257,"="&amp;'Output - County'!A188,Input!$B$115:$B$3257,"="&amp;'Output - County'!B188)*VLOOKUP(A188,'Output - State'!$B$2:$G$52,4,FALSE)</f>
        <v>631.67360889918086</v>
      </c>
      <c r="F188" s="98">
        <f>SUMIFS(Input!$C$115:$C$3257,Input!$A$115:$A$3257,"="&amp;'Output - County'!A188,Input!$B$115:$B$3257,"="&amp;'Output - County'!B188)*VLOOKUP(A188,'Output - State'!$B$2:$G$52,5,FALSE)</f>
        <v>430.5052915984711</v>
      </c>
      <c r="G188" s="99">
        <f>SUMIFS(Input!$D$115:$D$3257,Input!$A$115:$A$3257,"="&amp;'Output - County'!A188,Input!$B$115:$B$3257,"="&amp;'Output - County'!B188)*VLOOKUP(A188,'Output - State'!$B$2:$G$52,6,FALSE)</f>
        <v>144.32817204266726</v>
      </c>
    </row>
    <row r="189" spans="1:7" x14ac:dyDescent="0.25">
      <c r="A189" s="88">
        <v>6</v>
      </c>
      <c r="B189" s="88">
        <v>3</v>
      </c>
      <c r="C189" s="97">
        <f>SUMIFS(Input!$C$115:$C$3257,Input!$A$115:$A$3257,"="&amp;'Output - County'!A189,Input!$B$115:$B$3257,"="&amp;'Output - County'!B189)*VLOOKUP(A189,'Output - State'!$B$2:$G$52,2,FALSE)</f>
        <v>1.7821581897407051</v>
      </c>
      <c r="D189" s="98">
        <f>SUMIFS(Input!$C$115:$C$3257,Input!$A$115:$A$3257,"="&amp;'Output - County'!A189,Input!$B$115:$B$3257,"="&amp;'Output - County'!B189)*VLOOKUP(A189,'Output - State'!$B$2:$G$52,3,FALSE)</f>
        <v>0.2177250644826042</v>
      </c>
      <c r="E189" s="98">
        <f>SUMIFS(Input!$C$115:$C$3257,Input!$A$115:$A$3257,"="&amp;'Output - County'!A189,Input!$B$115:$B$3257,"="&amp;'Output - County'!B189)*VLOOKUP(A189,'Output - State'!$B$2:$G$52,4,FALSE)</f>
        <v>5.0981620513678054</v>
      </c>
      <c r="F189" s="98">
        <f>SUMIFS(Input!$C$115:$C$3257,Input!$A$115:$A$3257,"="&amp;'Output - County'!A189,Input!$B$115:$B$3257,"="&amp;'Output - County'!B189)*VLOOKUP(A189,'Output - State'!$B$2:$G$52,5,FALSE)</f>
        <v>3.4745566533406627</v>
      </c>
      <c r="G189" s="99">
        <f>SUMIFS(Input!$D$115:$D$3257,Input!$A$115:$A$3257,"="&amp;'Output - County'!A189,Input!$B$115:$B$3257,"="&amp;'Output - County'!B189)*VLOOKUP(A189,'Output - State'!$B$2:$G$52,6,FALSE)</f>
        <v>9.4202220075752893E-2</v>
      </c>
    </row>
    <row r="190" spans="1:7" x14ac:dyDescent="0.25">
      <c r="A190" s="88">
        <v>6</v>
      </c>
      <c r="B190" s="88">
        <v>5</v>
      </c>
      <c r="C190" s="97">
        <f>SUMIFS(Input!$C$115:$C$3257,Input!$A$115:$A$3257,"="&amp;'Output - County'!A190,Input!$B$115:$B$3257,"="&amp;'Output - County'!B190)*VLOOKUP(A190,'Output - State'!$B$2:$G$52,2,FALSE)</f>
        <v>6.0333081264777393</v>
      </c>
      <c r="D190" s="98">
        <f>SUMIFS(Input!$C$115:$C$3257,Input!$A$115:$A$3257,"="&amp;'Output - County'!A190,Input!$B$115:$B$3257,"="&amp;'Output - County'!B190)*VLOOKUP(A190,'Output - State'!$B$2:$G$52,3,FALSE)</f>
        <v>0.73708518606415518</v>
      </c>
      <c r="E190" s="98">
        <f>SUMIFS(Input!$C$115:$C$3257,Input!$A$115:$A$3257,"="&amp;'Output - County'!A190,Input!$B$115:$B$3257,"="&amp;'Output - County'!B190)*VLOOKUP(A190,'Output - State'!$B$2:$G$52,4,FALSE)</f>
        <v>17.259288603944327</v>
      </c>
      <c r="F190" s="98">
        <f>SUMIFS(Input!$C$115:$C$3257,Input!$A$115:$A$3257,"="&amp;'Output - County'!A190,Input!$B$115:$B$3257,"="&amp;'Output - County'!B190)*VLOOKUP(A190,'Output - State'!$B$2:$G$52,5,FALSE)</f>
        <v>11.762744190266037</v>
      </c>
      <c r="G190" s="99">
        <f>SUMIFS(Input!$D$115:$D$3257,Input!$A$115:$A$3257,"="&amp;'Output - County'!A190,Input!$B$115:$B$3257,"="&amp;'Output - County'!B190)*VLOOKUP(A190,'Output - State'!$B$2:$G$52,6,FALSE)</f>
        <v>3.4051077715455631</v>
      </c>
    </row>
    <row r="191" spans="1:7" x14ac:dyDescent="0.25">
      <c r="A191" s="88">
        <v>6</v>
      </c>
      <c r="B191" s="88">
        <v>7</v>
      </c>
      <c r="C191" s="97">
        <f>SUMIFS(Input!$C$115:$C$3257,Input!$A$115:$A$3257,"="&amp;'Output - County'!A191,Input!$B$115:$B$3257,"="&amp;'Output - County'!B191)*VLOOKUP(A191,'Output - State'!$B$2:$G$52,2,FALSE)</f>
        <v>26.795379678994994</v>
      </c>
      <c r="D191" s="98">
        <f>SUMIFS(Input!$C$115:$C$3257,Input!$A$115:$A$3257,"="&amp;'Output - County'!A191,Input!$B$115:$B$3257,"="&amp;'Output - County'!B191)*VLOOKUP(A191,'Output - State'!$B$2:$G$52,3,FALSE)</f>
        <v>3.2735734695323919</v>
      </c>
      <c r="E191" s="98">
        <f>SUMIFS(Input!$C$115:$C$3257,Input!$A$115:$A$3257,"="&amp;'Output - County'!A191,Input!$B$115:$B$3257,"="&amp;'Output - County'!B191)*VLOOKUP(A191,'Output - State'!$B$2:$G$52,4,FALSE)</f>
        <v>76.652672370975083</v>
      </c>
      <c r="F191" s="98">
        <f>SUMIFS(Input!$C$115:$C$3257,Input!$A$115:$A$3257,"="&amp;'Output - County'!A191,Input!$B$115:$B$3257,"="&amp;'Output - County'!B191)*VLOOKUP(A191,'Output - State'!$B$2:$G$52,5,FALSE)</f>
        <v>52.2411900797578</v>
      </c>
      <c r="G191" s="99">
        <f>SUMIFS(Input!$D$115:$D$3257,Input!$A$115:$A$3257,"="&amp;'Output - County'!A191,Input!$B$115:$B$3257,"="&amp;'Output - County'!B191)*VLOOKUP(A191,'Output - State'!$B$2:$G$52,6,FALSE)</f>
        <v>19.877532676535012</v>
      </c>
    </row>
    <row r="192" spans="1:7" x14ac:dyDescent="0.25">
      <c r="A192" s="88">
        <v>6</v>
      </c>
      <c r="B192" s="88">
        <v>9</v>
      </c>
      <c r="C192" s="97">
        <f>SUMIFS(Input!$C$115:$C$3257,Input!$A$115:$A$3257,"="&amp;'Output - County'!A192,Input!$B$115:$B$3257,"="&amp;'Output - County'!B192)*VLOOKUP(A192,'Output - State'!$B$2:$G$52,2,FALSE)</f>
        <v>6.3049269434472928</v>
      </c>
      <c r="D192" s="98">
        <f>SUMIFS(Input!$C$115:$C$3257,Input!$A$115:$A$3257,"="&amp;'Output - County'!A192,Input!$B$115:$B$3257,"="&amp;'Output - County'!B192)*VLOOKUP(A192,'Output - State'!$B$2:$G$52,3,FALSE)</f>
        <v>0.77026867380380926</v>
      </c>
      <c r="E192" s="98">
        <f>SUMIFS(Input!$C$115:$C$3257,Input!$A$115:$A$3257,"="&amp;'Output - County'!A192,Input!$B$115:$B$3257,"="&amp;'Output - County'!B192)*VLOOKUP(A192,'Output - State'!$B$2:$G$52,4,FALSE)</f>
        <v>18.036299731847105</v>
      </c>
      <c r="F192" s="98">
        <f>SUMIFS(Input!$C$115:$C$3257,Input!$A$115:$A$3257,"="&amp;'Output - County'!A192,Input!$B$115:$B$3257,"="&amp;'Output - County'!B192)*VLOOKUP(A192,'Output - State'!$B$2:$G$52,5,FALSE)</f>
        <v>12.292301539948557</v>
      </c>
      <c r="G192" s="99">
        <f>SUMIFS(Input!$D$115:$D$3257,Input!$A$115:$A$3257,"="&amp;'Output - County'!A192,Input!$B$115:$B$3257,"="&amp;'Output - County'!B192)*VLOOKUP(A192,'Output - State'!$B$2:$G$52,6,FALSE)</f>
        <v>3.9495793187723915</v>
      </c>
    </row>
    <row r="193" spans="1:7" x14ac:dyDescent="0.25">
      <c r="A193" s="88">
        <v>6</v>
      </c>
      <c r="B193" s="88">
        <v>11</v>
      </c>
      <c r="C193" s="97">
        <f>SUMIFS(Input!$C$115:$C$3257,Input!$A$115:$A$3257,"="&amp;'Output - County'!A193,Input!$B$115:$B$3257,"="&amp;'Output - County'!B193)*VLOOKUP(A193,'Output - State'!$B$2:$G$52,2,FALSE)</f>
        <v>10.006699575580711</v>
      </c>
      <c r="D193" s="98">
        <f>SUMIFS(Input!$C$115:$C$3257,Input!$A$115:$A$3257,"="&amp;'Output - County'!A193,Input!$B$115:$B$3257,"="&amp;'Output - County'!B193)*VLOOKUP(A193,'Output - State'!$B$2:$G$52,3,FALSE)</f>
        <v>1.222511740480428</v>
      </c>
      <c r="E193" s="98">
        <f>SUMIFS(Input!$C$115:$C$3257,Input!$A$115:$A$3257,"="&amp;'Output - County'!A193,Input!$B$115:$B$3257,"="&amp;'Output - County'!B193)*VLOOKUP(A193,'Output - State'!$B$2:$G$52,4,FALSE)</f>
        <v>28.625840472156089</v>
      </c>
      <c r="F193" s="98">
        <f>SUMIFS(Input!$C$115:$C$3257,Input!$A$115:$A$3257,"="&amp;'Output - County'!A193,Input!$B$115:$B$3257,"="&amp;'Output - County'!B193)*VLOOKUP(A193,'Output - State'!$B$2:$G$52,5,FALSE)</f>
        <v>19.509404265271105</v>
      </c>
      <c r="G193" s="99">
        <f>SUMIFS(Input!$D$115:$D$3257,Input!$A$115:$A$3257,"="&amp;'Output - County'!A193,Input!$B$115:$B$3257,"="&amp;'Output - County'!B193)*VLOOKUP(A193,'Output - State'!$B$2:$G$52,6,FALSE)</f>
        <v>1.8494747794689099</v>
      </c>
    </row>
    <row r="194" spans="1:7" x14ac:dyDescent="0.25">
      <c r="A194" s="88">
        <v>6</v>
      </c>
      <c r="B194" s="88">
        <v>13</v>
      </c>
      <c r="C194" s="97">
        <f>SUMIFS(Input!$C$115:$C$3257,Input!$A$115:$A$3257,"="&amp;'Output - County'!A194,Input!$B$115:$B$3257,"="&amp;'Output - County'!B194)*VLOOKUP(A194,'Output - State'!$B$2:$G$52,2,FALSE)</f>
        <v>137.0716377932105</v>
      </c>
      <c r="D194" s="98">
        <f>SUMIFS(Input!$C$115:$C$3257,Input!$A$115:$A$3257,"="&amp;'Output - County'!A194,Input!$B$115:$B$3257,"="&amp;'Output - County'!B194)*VLOOKUP(A194,'Output - State'!$B$2:$G$52,3,FALSE)</f>
        <v>16.745949573424266</v>
      </c>
      <c r="E194" s="98">
        <f>SUMIFS(Input!$C$115:$C$3257,Input!$A$115:$A$3257,"="&amp;'Output - County'!A194,Input!$B$115:$B$3257,"="&amp;'Output - County'!B194)*VLOOKUP(A194,'Output - State'!$B$2:$G$52,4,FALSE)</f>
        <v>392.11638233856934</v>
      </c>
      <c r="F194" s="98">
        <f>SUMIFS(Input!$C$115:$C$3257,Input!$A$115:$A$3257,"="&amp;'Output - County'!A194,Input!$B$115:$B$3257,"="&amp;'Output - County'!B194)*VLOOKUP(A194,'Output - State'!$B$2:$G$52,5,FALSE)</f>
        <v>267.23956033779183</v>
      </c>
      <c r="G194" s="99">
        <f>SUMIFS(Input!$D$115:$D$3257,Input!$A$115:$A$3257,"="&amp;'Output - County'!A194,Input!$B$115:$B$3257,"="&amp;'Output - County'!B194)*VLOOKUP(A194,'Output - State'!$B$2:$G$52,6,FALSE)</f>
        <v>99.387663382675072</v>
      </c>
    </row>
    <row r="195" spans="1:7" x14ac:dyDescent="0.25">
      <c r="A195" s="88">
        <v>6</v>
      </c>
      <c r="B195" s="88">
        <v>15</v>
      </c>
      <c r="C195" s="97">
        <f>SUMIFS(Input!$C$115:$C$3257,Input!$A$115:$A$3257,"="&amp;'Output - County'!A195,Input!$B$115:$B$3257,"="&amp;'Output - County'!B195)*VLOOKUP(A195,'Output - State'!$B$2:$G$52,2,FALSE)</f>
        <v>4.0710118716364798</v>
      </c>
      <c r="D195" s="98">
        <f>SUMIFS(Input!$C$115:$C$3257,Input!$A$115:$A$3257,"="&amp;'Output - County'!A195,Input!$B$115:$B$3257,"="&amp;'Output - County'!B195)*VLOOKUP(A195,'Output - State'!$B$2:$G$52,3,FALSE)</f>
        <v>0.4973527756200255</v>
      </c>
      <c r="E195" s="98">
        <f>SUMIFS(Input!$C$115:$C$3257,Input!$A$115:$A$3257,"="&amp;'Output - County'!A195,Input!$B$115:$B$3257,"="&amp;'Output - County'!B195)*VLOOKUP(A195,'Output - State'!$B$2:$G$52,4,FALSE)</f>
        <v>11.645811440377594</v>
      </c>
      <c r="F195" s="98">
        <f>SUMIFS(Input!$C$115:$C$3257,Input!$A$115:$A$3257,"="&amp;'Output - County'!A195,Input!$B$115:$B$3257,"="&amp;'Output - County'!B195)*VLOOKUP(A195,'Output - State'!$B$2:$G$52,5,FALSE)</f>
        <v>7.9369841946978763</v>
      </c>
      <c r="G195" s="99">
        <f>SUMIFS(Input!$D$115:$D$3257,Input!$A$115:$A$3257,"="&amp;'Output - County'!A195,Input!$B$115:$B$3257,"="&amp;'Output - County'!B195)*VLOOKUP(A195,'Output - State'!$B$2:$G$52,6,FALSE)</f>
        <v>2.3939463266957386</v>
      </c>
    </row>
    <row r="196" spans="1:7" x14ac:dyDescent="0.25">
      <c r="A196" s="88">
        <v>6</v>
      </c>
      <c r="B196" s="88">
        <v>17</v>
      </c>
      <c r="C196" s="97">
        <f>SUMIFS(Input!$C$115:$C$3257,Input!$A$115:$A$3257,"="&amp;'Output - County'!A196,Input!$B$115:$B$3257,"="&amp;'Output - County'!B196)*VLOOKUP(A196,'Output - State'!$B$2:$G$52,2,FALSE)</f>
        <v>24.529764460965648</v>
      </c>
      <c r="D196" s="98">
        <f>SUMIFS(Input!$C$115:$C$3257,Input!$A$115:$A$3257,"="&amp;'Output - County'!A196,Input!$B$115:$B$3257,"="&amp;'Output - County'!B196)*VLOOKUP(A196,'Output - State'!$B$2:$G$52,3,FALSE)</f>
        <v>2.9967847858578085</v>
      </c>
      <c r="E196" s="98">
        <f>SUMIFS(Input!$C$115:$C$3257,Input!$A$115:$A$3257,"="&amp;'Output - County'!A196,Input!$B$115:$B$3257,"="&amp;'Output - County'!B196)*VLOOKUP(A196,'Output - State'!$B$2:$G$52,4,FALSE)</f>
        <v>70.171500500794963</v>
      </c>
      <c r="F196" s="98">
        <f>SUMIFS(Input!$C$115:$C$3257,Input!$A$115:$A$3257,"="&amp;'Output - County'!A196,Input!$B$115:$B$3257,"="&amp;'Output - County'!B196)*VLOOKUP(A196,'Output - State'!$B$2:$G$52,5,FALSE)</f>
        <v>47.824069043572429</v>
      </c>
      <c r="G196" s="99">
        <f>SUMIFS(Input!$D$115:$D$3257,Input!$A$115:$A$3257,"="&amp;'Output - County'!A196,Input!$B$115:$B$3257,"="&amp;'Output - County'!B196)*VLOOKUP(A196,'Output - State'!$B$2:$G$52,6,FALSE)</f>
        <v>16.506994527035598</v>
      </c>
    </row>
    <row r="197" spans="1:7" x14ac:dyDescent="0.25">
      <c r="A197" s="88">
        <v>6</v>
      </c>
      <c r="B197" s="88">
        <v>19</v>
      </c>
      <c r="C197" s="97">
        <f>SUMIFS(Input!$C$115:$C$3257,Input!$A$115:$A$3257,"="&amp;'Output - County'!A197,Input!$B$115:$B$3257,"="&amp;'Output - County'!B197)*VLOOKUP(A197,'Output - State'!$B$2:$G$52,2,FALSE)</f>
        <v>130.34357215941083</v>
      </c>
      <c r="D197" s="98">
        <f>SUMIFS(Input!$C$115:$C$3257,Input!$A$115:$A$3257,"="&amp;'Output - County'!A197,Input!$B$115:$B$3257,"="&amp;'Output - County'!B197)*VLOOKUP(A197,'Output - State'!$B$2:$G$52,3,FALSE)</f>
        <v>15.923986331106613</v>
      </c>
      <c r="E197" s="98">
        <f>SUMIFS(Input!$C$115:$C$3257,Input!$A$115:$A$3257,"="&amp;'Output - County'!A197,Input!$B$115:$B$3257,"="&amp;'Output - County'!B197)*VLOOKUP(A197,'Output - State'!$B$2:$G$52,4,FALSE)</f>
        <v>372.86962349818828</v>
      </c>
      <c r="F197" s="98">
        <f>SUMIFS(Input!$C$115:$C$3257,Input!$A$115:$A$3257,"="&amp;'Output - County'!A197,Input!$B$115:$B$3257,"="&amp;'Output - County'!B197)*VLOOKUP(A197,'Output - State'!$B$2:$G$52,5,FALSE)</f>
        <v>254.12229311280291</v>
      </c>
      <c r="G197" s="99">
        <f>SUMIFS(Input!$D$115:$D$3257,Input!$A$115:$A$3257,"="&amp;'Output - County'!A197,Input!$B$115:$B$3257,"="&amp;'Output - County'!B197)*VLOOKUP(A197,'Output - State'!$B$2:$G$52,6,FALSE)</f>
        <v>85.732662674446672</v>
      </c>
    </row>
    <row r="198" spans="1:7" x14ac:dyDescent="0.25">
      <c r="A198" s="88">
        <v>6</v>
      </c>
      <c r="B198" s="88">
        <v>21</v>
      </c>
      <c r="C198" s="97">
        <f>SUMIFS(Input!$C$115:$C$3257,Input!$A$115:$A$3257,"="&amp;'Output - County'!A198,Input!$B$115:$B$3257,"="&amp;'Output - County'!B198)*VLOOKUP(A198,'Output - State'!$B$2:$G$52,2,FALSE)</f>
        <v>7.9560139833764874</v>
      </c>
      <c r="D198" s="98">
        <f>SUMIFS(Input!$C$115:$C$3257,Input!$A$115:$A$3257,"="&amp;'Output - County'!A198,Input!$B$115:$B$3257,"="&amp;'Output - County'!B198)*VLOOKUP(A198,'Output - State'!$B$2:$G$52,3,FALSE)</f>
        <v>0.97198086428409369</v>
      </c>
      <c r="E198" s="98">
        <f>SUMIFS(Input!$C$115:$C$3257,Input!$A$115:$A$3257,"="&amp;'Output - County'!A198,Input!$B$115:$B$3257,"="&amp;'Output - County'!B198)*VLOOKUP(A198,'Output - State'!$B$2:$G$52,4,FALSE)</f>
        <v>22.759510801958069</v>
      </c>
      <c r="F198" s="98">
        <f>SUMIFS(Input!$C$115:$C$3257,Input!$A$115:$A$3257,"="&amp;'Output - County'!A198,Input!$B$115:$B$3257,"="&amp;'Output - County'!B198)*VLOOKUP(A198,'Output - State'!$B$2:$G$52,5,FALSE)</f>
        <v>15.511317389863201</v>
      </c>
      <c r="G198" s="99">
        <f>SUMIFS(Input!$D$115:$D$3257,Input!$A$115:$A$3257,"="&amp;'Output - County'!A198,Input!$B$115:$B$3257,"="&amp;'Output - County'!B198)*VLOOKUP(A198,'Output - State'!$B$2:$G$52,6,FALSE)</f>
        <v>2.4198735432303495</v>
      </c>
    </row>
    <row r="199" spans="1:7" x14ac:dyDescent="0.25">
      <c r="A199" s="88">
        <v>6</v>
      </c>
      <c r="B199" s="88">
        <v>23</v>
      </c>
      <c r="C199" s="97">
        <f>SUMIFS(Input!$C$115:$C$3257,Input!$A$115:$A$3257,"="&amp;'Output - County'!A199,Input!$B$115:$B$3257,"="&amp;'Output - County'!B199)*VLOOKUP(A199,'Output - State'!$B$2:$G$52,2,FALSE)</f>
        <v>20.659661572062042</v>
      </c>
      <c r="D199" s="98">
        <f>SUMIFS(Input!$C$115:$C$3257,Input!$A$115:$A$3257,"="&amp;'Output - County'!A199,Input!$B$115:$B$3257,"="&amp;'Output - County'!B199)*VLOOKUP(A199,'Output - State'!$B$2:$G$52,3,FALSE)</f>
        <v>2.523976925202382</v>
      </c>
      <c r="E199" s="98">
        <f>SUMIFS(Input!$C$115:$C$3257,Input!$A$115:$A$3257,"="&amp;'Output - County'!A199,Input!$B$115:$B$3257,"="&amp;'Output - County'!B199)*VLOOKUP(A199,'Output - State'!$B$2:$G$52,4,FALSE)</f>
        <v>59.100422862076506</v>
      </c>
      <c r="F199" s="98">
        <f>SUMIFS(Input!$C$115:$C$3257,Input!$A$115:$A$3257,"="&amp;'Output - County'!A199,Input!$B$115:$B$3257,"="&amp;'Output - County'!B199)*VLOOKUP(A199,'Output - State'!$B$2:$G$52,5,FALSE)</f>
        <v>40.278783883611744</v>
      </c>
      <c r="G199" s="99">
        <f>SUMIFS(Input!$D$115:$D$3257,Input!$A$115:$A$3257,"="&amp;'Output - County'!A199,Input!$B$115:$B$3257,"="&amp;'Output - County'!B199)*VLOOKUP(A199,'Output - State'!$B$2:$G$52,6,FALSE)</f>
        <v>11.753671495690268</v>
      </c>
    </row>
    <row r="200" spans="1:7" x14ac:dyDescent="0.25">
      <c r="A200" s="88">
        <v>6</v>
      </c>
      <c r="B200" s="88">
        <v>25</v>
      </c>
      <c r="C200" s="97">
        <f>SUMIFS(Input!$C$115:$C$3257,Input!$A$115:$A$3257,"="&amp;'Output - County'!A200,Input!$B$115:$B$3257,"="&amp;'Output - County'!B200)*VLOOKUP(A200,'Output - State'!$B$2:$G$52,2,FALSE)</f>
        <v>34.907465464407537</v>
      </c>
      <c r="D200" s="98">
        <f>SUMIFS(Input!$C$115:$C$3257,Input!$A$115:$A$3257,"="&amp;'Output - County'!A200,Input!$B$115:$B$3257,"="&amp;'Output - County'!B200)*VLOOKUP(A200,'Output - State'!$B$2:$G$52,3,FALSE)</f>
        <v>4.2646215206452602</v>
      </c>
      <c r="E200" s="98">
        <f>SUMIFS(Input!$C$115:$C$3257,Input!$A$115:$A$3257,"="&amp;'Output - County'!A200,Input!$B$115:$B$3257,"="&amp;'Output - County'!B200)*VLOOKUP(A200,'Output - State'!$B$2:$G$52,4,FALSE)</f>
        <v>99.858652708022291</v>
      </c>
      <c r="F200" s="98">
        <f>SUMIFS(Input!$C$115:$C$3257,Input!$A$115:$A$3257,"="&amp;'Output - County'!A200,Input!$B$115:$B$3257,"="&amp;'Output - County'!B200)*VLOOKUP(A200,'Output - State'!$B$2:$G$52,5,FALSE)</f>
        <v>68.05679040100442</v>
      </c>
      <c r="G200" s="99">
        <f>SUMIFS(Input!$D$115:$D$3257,Input!$A$115:$A$3257,"="&amp;'Output - County'!A200,Input!$B$115:$B$3257,"="&amp;'Output - County'!B200)*VLOOKUP(A200,'Output - State'!$B$2:$G$52,6,FALSE)</f>
        <v>15.729178030997272</v>
      </c>
    </row>
    <row r="201" spans="1:7" x14ac:dyDescent="0.25">
      <c r="A201" s="88">
        <v>6</v>
      </c>
      <c r="B201" s="88">
        <v>27</v>
      </c>
      <c r="C201" s="97">
        <f>SUMIFS(Input!$C$115:$C$3257,Input!$A$115:$A$3257,"="&amp;'Output - County'!A201,Input!$B$115:$B$3257,"="&amp;'Output - County'!B201)*VLOOKUP(A201,'Output - State'!$B$2:$G$52,2,FALSE)</f>
        <v>8.90539250959573</v>
      </c>
      <c r="D201" s="98">
        <f>SUMIFS(Input!$C$115:$C$3257,Input!$A$115:$A$3257,"="&amp;'Output - County'!A201,Input!$B$115:$B$3257,"="&amp;'Output - County'!B201)*VLOOKUP(A201,'Output - State'!$B$2:$G$52,3,FALSE)</f>
        <v>1.0879657987469311</v>
      </c>
      <c r="E201" s="98">
        <f>SUMIFS(Input!$C$115:$C$3257,Input!$A$115:$A$3257,"="&amp;'Output - County'!A201,Input!$B$115:$B$3257,"="&amp;'Output - County'!B201)*VLOOKUP(A201,'Output - State'!$B$2:$G$52,4,FALSE)</f>
        <v>25.475367117417164</v>
      </c>
      <c r="F201" s="98">
        <f>SUMIFS(Input!$C$115:$C$3257,Input!$A$115:$A$3257,"="&amp;'Output - County'!A201,Input!$B$115:$B$3257,"="&amp;'Output - County'!B201)*VLOOKUP(A201,'Output - State'!$B$2:$G$52,5,FALSE)</f>
        <v>17.362258284898882</v>
      </c>
      <c r="G201" s="99">
        <f>SUMIFS(Input!$D$115:$D$3257,Input!$A$115:$A$3257,"="&amp;'Output - County'!A201,Input!$B$115:$B$3257,"="&amp;'Output - County'!B201)*VLOOKUP(A201,'Output - State'!$B$2:$G$52,6,FALSE)</f>
        <v>1.5469905865651161</v>
      </c>
    </row>
    <row r="202" spans="1:7" x14ac:dyDescent="0.25">
      <c r="A202" s="88">
        <v>6</v>
      </c>
      <c r="B202" s="88">
        <v>29</v>
      </c>
      <c r="C202" s="97">
        <f>SUMIFS(Input!$C$115:$C$3257,Input!$A$115:$A$3257,"="&amp;'Output - County'!A202,Input!$B$115:$B$3257,"="&amp;'Output - County'!B202)*VLOOKUP(A202,'Output - State'!$B$2:$G$52,2,FALSE)</f>
        <v>143.03125408076792</v>
      </c>
      <c r="D202" s="98">
        <f>SUMIFS(Input!$C$115:$C$3257,Input!$A$115:$A$3257,"="&amp;'Output - County'!A202,Input!$B$115:$B$3257,"="&amp;'Output - County'!B202)*VLOOKUP(A202,'Output - State'!$B$2:$G$52,3,FALSE)</f>
        <v>17.474031877211679</v>
      </c>
      <c r="E202" s="98">
        <f>SUMIFS(Input!$C$115:$C$3257,Input!$A$115:$A$3257,"="&amp;'Output - County'!A202,Input!$B$115:$B$3257,"="&amp;'Output - County'!B202)*VLOOKUP(A202,'Output - State'!$B$2:$G$52,4,FALSE)</f>
        <v>409.16486309232295</v>
      </c>
      <c r="F202" s="98">
        <f>SUMIFS(Input!$C$115:$C$3257,Input!$A$115:$A$3257,"="&amp;'Output - County'!A202,Input!$B$115:$B$3257,"="&amp;'Output - County'!B202)*VLOOKUP(A202,'Output - State'!$B$2:$G$52,5,FALSE)</f>
        <v>278.85863239463475</v>
      </c>
      <c r="G202" s="99">
        <f>SUMIFS(Input!$D$115:$D$3257,Input!$A$115:$A$3257,"="&amp;'Output - County'!A202,Input!$B$115:$B$3257,"="&amp;'Output - County'!B202)*VLOOKUP(A202,'Output - State'!$B$2:$G$52,6,FALSE)</f>
        <v>77.26310527314044</v>
      </c>
    </row>
    <row r="203" spans="1:7" x14ac:dyDescent="0.25">
      <c r="A203" s="88">
        <v>6</v>
      </c>
      <c r="B203" s="88">
        <v>31</v>
      </c>
      <c r="C203" s="97">
        <f>SUMIFS(Input!$C$115:$C$3257,Input!$A$115:$A$3257,"="&amp;'Output - County'!A203,Input!$B$115:$B$3257,"="&amp;'Output - County'!B203)*VLOOKUP(A203,'Output - State'!$B$2:$G$52,2,FALSE)</f>
        <v>25.167310799917814</v>
      </c>
      <c r="D203" s="98">
        <f>SUMIFS(Input!$C$115:$C$3257,Input!$A$115:$A$3257,"="&amp;'Output - County'!A203,Input!$B$115:$B$3257,"="&amp;'Output - County'!B203)*VLOOKUP(A203,'Output - State'!$B$2:$G$52,3,FALSE)</f>
        <v>3.0746733922442062</v>
      </c>
      <c r="E203" s="98">
        <f>SUMIFS(Input!$C$115:$C$3257,Input!$A$115:$A$3257,"="&amp;'Output - County'!A203,Input!$B$115:$B$3257,"="&amp;'Output - County'!B203)*VLOOKUP(A203,'Output - State'!$B$2:$G$52,4,FALSE)</f>
        <v>71.995308606015584</v>
      </c>
      <c r="F203" s="98">
        <f>SUMIFS(Input!$C$115:$C$3257,Input!$A$115:$A$3257,"="&amp;'Output - County'!A203,Input!$B$115:$B$3257,"="&amp;'Output - County'!B203)*VLOOKUP(A203,'Output - State'!$B$2:$G$52,5,FALSE)</f>
        <v>49.067051224711761</v>
      </c>
      <c r="G203" s="99">
        <f>SUMIFS(Input!$D$115:$D$3257,Input!$A$115:$A$3257,"="&amp;'Output - County'!A203,Input!$B$115:$B$3257,"="&amp;'Output - County'!B203)*VLOOKUP(A203,'Output - State'!$B$2:$G$52,6,FALSE)</f>
        <v>13.050032322420812</v>
      </c>
    </row>
    <row r="204" spans="1:7" x14ac:dyDescent="0.25">
      <c r="A204" s="88">
        <v>6</v>
      </c>
      <c r="B204" s="88">
        <v>33</v>
      </c>
      <c r="C204" s="97">
        <f>SUMIFS(Input!$C$115:$C$3257,Input!$A$115:$A$3257,"="&amp;'Output - County'!A204,Input!$B$115:$B$3257,"="&amp;'Output - County'!B204)*VLOOKUP(A204,'Output - State'!$B$2:$G$52,2,FALSE)</f>
        <v>10.870318382300182</v>
      </c>
      <c r="D204" s="98">
        <f>SUMIFS(Input!$C$115:$C$3257,Input!$A$115:$A$3257,"="&amp;'Output - County'!A204,Input!$B$115:$B$3257,"="&amp;'Output - County'!B204)*VLOOKUP(A204,'Output - State'!$B$2:$G$52,3,FALSE)</f>
        <v>1.3280194678324786</v>
      </c>
      <c r="E204" s="98">
        <f>SUMIFS(Input!$C$115:$C$3257,Input!$A$115:$A$3257,"="&amp;'Output - County'!A204,Input!$B$115:$B$3257,"="&amp;'Output - County'!B204)*VLOOKUP(A204,'Output - State'!$B$2:$G$52,4,FALSE)</f>
        <v>31.096366743398793</v>
      </c>
      <c r="F204" s="98">
        <f>SUMIFS(Input!$C$115:$C$3257,Input!$A$115:$A$3257,"="&amp;'Output - County'!A204,Input!$B$115:$B$3257,"="&amp;'Output - County'!B204)*VLOOKUP(A204,'Output - State'!$B$2:$G$52,5,FALSE)</f>
        <v>21.1931450735289</v>
      </c>
      <c r="G204" s="99">
        <f>SUMIFS(Input!$D$115:$D$3257,Input!$A$115:$A$3257,"="&amp;'Output - County'!A204,Input!$B$115:$B$3257,"="&amp;'Output - County'!B204)*VLOOKUP(A204,'Output - State'!$B$2:$G$52,6,FALSE)</f>
        <v>5.5570667439182664</v>
      </c>
    </row>
    <row r="205" spans="1:7" x14ac:dyDescent="0.25">
      <c r="A205" s="88">
        <v>6</v>
      </c>
      <c r="B205" s="88">
        <v>35</v>
      </c>
      <c r="C205" s="97">
        <f>SUMIFS(Input!$C$115:$C$3257,Input!$A$115:$A$3257,"="&amp;'Output - County'!A205,Input!$B$115:$B$3257,"="&amp;'Output - County'!B205)*VLOOKUP(A205,'Output - State'!$B$2:$G$52,2,FALSE)</f>
        <v>5.7721787015342692</v>
      </c>
      <c r="D205" s="98">
        <f>SUMIFS(Input!$C$115:$C$3257,Input!$A$115:$A$3257,"="&amp;'Output - County'!A205,Input!$B$115:$B$3257,"="&amp;'Output - County'!B205)*VLOOKUP(A205,'Output - State'!$B$2:$G$52,3,FALSE)</f>
        <v>0.70518318027622096</v>
      </c>
      <c r="E205" s="98">
        <f>SUMIFS(Input!$C$115:$C$3257,Input!$A$115:$A$3257,"="&amp;'Output - County'!A205,Input!$B$115:$B$3257,"="&amp;'Output - County'!B205)*VLOOKUP(A205,'Output - State'!$B$2:$G$52,4,FALSE)</f>
        <v>16.51228413912968</v>
      </c>
      <c r="F205" s="98">
        <f>SUMIFS(Input!$C$115:$C$3257,Input!$A$115:$A$3257,"="&amp;'Output - County'!A205,Input!$B$115:$B$3257,"="&amp;'Output - County'!B205)*VLOOKUP(A205,'Output - State'!$B$2:$G$52,5,FALSE)</f>
        <v>11.253637318584593</v>
      </c>
      <c r="G205" s="99">
        <f>SUMIFS(Input!$D$115:$D$3257,Input!$A$115:$A$3257,"="&amp;'Output - County'!A205,Input!$B$115:$B$3257,"="&amp;'Output - County'!B205)*VLOOKUP(A205,'Output - State'!$B$2:$G$52,6,FALSE)</f>
        <v>2.6445760865303103</v>
      </c>
    </row>
    <row r="206" spans="1:7" x14ac:dyDescent="0.25">
      <c r="A206" s="88">
        <v>6</v>
      </c>
      <c r="B206" s="88">
        <v>37</v>
      </c>
      <c r="C206" s="97">
        <f>SUMIFS(Input!$C$115:$C$3257,Input!$A$115:$A$3257,"="&amp;'Output - County'!A206,Input!$B$115:$B$3257,"="&amp;'Output - County'!B206)*VLOOKUP(A206,'Output - State'!$B$2:$G$52,2,FALSE)</f>
        <v>1218.6249147004655</v>
      </c>
      <c r="D206" s="98">
        <f>SUMIFS(Input!$C$115:$C$3257,Input!$A$115:$A$3257,"="&amp;'Output - County'!A206,Input!$B$115:$B$3257,"="&amp;'Output - County'!B206)*VLOOKUP(A206,'Output - State'!$B$2:$G$52,3,FALSE)</f>
        <v>148.87858421359911</v>
      </c>
      <c r="E206" s="98">
        <f>SUMIFS(Input!$C$115:$C$3257,Input!$A$115:$A$3257,"="&amp;'Output - County'!A206,Input!$B$115:$B$3257,"="&amp;'Output - County'!B206)*VLOOKUP(A206,'Output - State'!$B$2:$G$52,4,FALSE)</f>
        <v>3486.0807142384851</v>
      </c>
      <c r="F206" s="98">
        <f>SUMIFS(Input!$C$115:$C$3257,Input!$A$115:$A$3257,"="&amp;'Output - County'!A206,Input!$B$115:$B$3257,"="&amp;'Output - County'!B206)*VLOOKUP(A206,'Output - State'!$B$2:$G$52,5,FALSE)</f>
        <v>2375.8728768714141</v>
      </c>
      <c r="G206" s="99">
        <f>SUMIFS(Input!$D$115:$D$3257,Input!$A$115:$A$3257,"="&amp;'Output - County'!A206,Input!$B$115:$B$3257,"="&amp;'Output - County'!B206)*VLOOKUP(A206,'Output - State'!$B$2:$G$52,6,FALSE)</f>
        <v>872.88295666523322</v>
      </c>
    </row>
    <row r="207" spans="1:7" x14ac:dyDescent="0.25">
      <c r="A207" s="88">
        <v>6</v>
      </c>
      <c r="B207" s="88">
        <v>39</v>
      </c>
      <c r="C207" s="97">
        <f>SUMIFS(Input!$C$115:$C$3257,Input!$A$115:$A$3257,"="&amp;'Output - County'!A207,Input!$B$115:$B$3257,"="&amp;'Output - County'!B207)*VLOOKUP(A207,'Output - State'!$B$2:$G$52,2,FALSE)</f>
        <v>25.997772784219165</v>
      </c>
      <c r="D207" s="98">
        <f>SUMIFS(Input!$C$115:$C$3257,Input!$A$115:$A$3257,"="&amp;'Output - County'!A207,Input!$B$115:$B$3257,"="&amp;'Output - County'!B207)*VLOOKUP(A207,'Output - State'!$B$2:$G$52,3,FALSE)</f>
        <v>3.1761303729562664</v>
      </c>
      <c r="E207" s="98">
        <f>SUMIFS(Input!$C$115:$C$3257,Input!$A$115:$A$3257,"="&amp;'Output - County'!A207,Input!$B$115:$B$3257,"="&amp;'Output - County'!B207)*VLOOKUP(A207,'Output - State'!$B$2:$G$52,4,FALSE)</f>
        <v>74.37098423225433</v>
      </c>
      <c r="F207" s="98">
        <f>SUMIFS(Input!$C$115:$C$3257,Input!$A$115:$A$3257,"="&amp;'Output - County'!A207,Input!$B$115:$B$3257,"="&amp;'Output - County'!B207)*VLOOKUP(A207,'Output - State'!$B$2:$G$52,5,FALSE)</f>
        <v>50.686148356218688</v>
      </c>
      <c r="G207" s="99">
        <f>SUMIFS(Input!$D$115:$D$3257,Input!$A$115:$A$3257,"="&amp;'Output - County'!A207,Input!$B$115:$B$3257,"="&amp;'Output - County'!B207)*VLOOKUP(A207,'Output - State'!$B$2:$G$52,6,FALSE)</f>
        <v>13.568576653113031</v>
      </c>
    </row>
    <row r="208" spans="1:7" x14ac:dyDescent="0.25">
      <c r="A208" s="88">
        <v>6</v>
      </c>
      <c r="B208" s="88">
        <v>41</v>
      </c>
      <c r="C208" s="97">
        <f>SUMIFS(Input!$C$115:$C$3257,Input!$A$115:$A$3257,"="&amp;'Output - County'!A208,Input!$B$115:$B$3257,"="&amp;'Output - County'!B208)*VLOOKUP(A208,'Output - State'!$B$2:$G$52,2,FALSE)</f>
        <v>40.955208477976328</v>
      </c>
      <c r="D208" s="98">
        <f>SUMIFS(Input!$C$115:$C$3257,Input!$A$115:$A$3257,"="&amp;'Output - County'!A208,Input!$B$115:$B$3257,"="&amp;'Output - County'!B208)*VLOOKUP(A208,'Output - State'!$B$2:$G$52,3,FALSE)</f>
        <v>5.0034702071331099</v>
      </c>
      <c r="E208" s="98">
        <f>SUMIFS(Input!$C$115:$C$3257,Input!$A$115:$A$3257,"="&amp;'Output - County'!A208,Input!$B$115:$B$3257,"="&amp;'Output - County'!B208)*VLOOKUP(A208,'Output - State'!$B$2:$G$52,4,FALSE)</f>
        <v>117.1592347246429</v>
      </c>
      <c r="F208" s="98">
        <f>SUMIFS(Input!$C$115:$C$3257,Input!$A$115:$A$3257,"="&amp;'Output - County'!A208,Input!$B$115:$B$3257,"="&amp;'Output - County'!B208)*VLOOKUP(A208,'Output - State'!$B$2:$G$52,5,FALSE)</f>
        <v>79.847677341600445</v>
      </c>
      <c r="G208" s="99">
        <f>SUMIFS(Input!$D$115:$D$3257,Input!$A$115:$A$3257,"="&amp;'Output - County'!A208,Input!$B$115:$B$3257,"="&amp;'Output - County'!B208)*VLOOKUP(A208,'Output - State'!$B$2:$G$52,6,FALSE)</f>
        <v>22.470254329996102</v>
      </c>
    </row>
    <row r="209" spans="1:7" x14ac:dyDescent="0.25">
      <c r="A209" s="88">
        <v>6</v>
      </c>
      <c r="B209" s="88">
        <v>43</v>
      </c>
      <c r="C209" s="97">
        <f>SUMIFS(Input!$C$115:$C$3257,Input!$A$115:$A$3257,"="&amp;'Output - County'!A209,Input!$B$115:$B$3257,"="&amp;'Output - County'!B209)*VLOOKUP(A209,'Output - State'!$B$2:$G$52,2,FALSE)</f>
        <v>2.5574606511970104</v>
      </c>
      <c r="D209" s="98">
        <f>SUMIFS(Input!$C$115:$C$3257,Input!$A$115:$A$3257,"="&amp;'Output - County'!A209,Input!$B$115:$B$3257,"="&amp;'Output - County'!B209)*VLOOKUP(A209,'Output - State'!$B$2:$G$52,3,FALSE)</f>
        <v>0.31244324347807023</v>
      </c>
      <c r="E209" s="98">
        <f>SUMIFS(Input!$C$115:$C$3257,Input!$A$115:$A$3257,"="&amp;'Output - County'!A209,Input!$B$115:$B$3257,"="&amp;'Output - County'!B209)*VLOOKUP(A209,'Output - State'!$B$2:$G$52,4,FALSE)</f>
        <v>7.3160446221084374</v>
      </c>
      <c r="F209" s="98">
        <f>SUMIFS(Input!$C$115:$C$3257,Input!$A$115:$A$3257,"="&amp;'Output - County'!A209,Input!$B$115:$B$3257,"="&amp;'Output - County'!B209)*VLOOKUP(A209,'Output - State'!$B$2:$G$52,5,FALSE)</f>
        <v>4.9861128896567761</v>
      </c>
      <c r="G209" s="99">
        <f>SUMIFS(Input!$D$115:$D$3257,Input!$A$115:$A$3257,"="&amp;'Output - County'!A209,Input!$B$115:$B$3257,"="&amp;'Output - County'!B209)*VLOOKUP(A209,'Output - State'!$B$2:$G$52,6,FALSE)</f>
        <v>1.5037785590074313</v>
      </c>
    </row>
    <row r="210" spans="1:7" x14ac:dyDescent="0.25">
      <c r="A210" s="88">
        <v>6</v>
      </c>
      <c r="B210" s="88">
        <v>45</v>
      </c>
      <c r="C210" s="97">
        <f>SUMIFS(Input!$C$115:$C$3257,Input!$A$115:$A$3257,"="&amp;'Output - County'!A210,Input!$B$115:$B$3257,"="&amp;'Output - County'!B210)*VLOOKUP(A210,'Output - State'!$B$2:$G$52,2,FALSE)</f>
        <v>15.65034355560163</v>
      </c>
      <c r="D210" s="98">
        <f>SUMIFS(Input!$C$115:$C$3257,Input!$A$115:$A$3257,"="&amp;'Output - County'!A210,Input!$B$115:$B$3257,"="&amp;'Output - County'!B210)*VLOOKUP(A210,'Output - State'!$B$2:$G$52,3,FALSE)</f>
        <v>1.9119919204894171</v>
      </c>
      <c r="E210" s="98">
        <f>SUMIFS(Input!$C$115:$C$3257,Input!$A$115:$A$3257,"="&amp;'Output - County'!A210,Input!$B$115:$B$3257,"="&amp;'Output - County'!B210)*VLOOKUP(A210,'Output - State'!$B$2:$G$52,4,FALSE)</f>
        <v>44.770429508081804</v>
      </c>
      <c r="F210" s="98">
        <f>SUMIFS(Input!$C$115:$C$3257,Input!$A$115:$A$3257,"="&amp;'Output - County'!A210,Input!$B$115:$B$3257,"="&amp;'Output - County'!B210)*VLOOKUP(A210,'Output - State'!$B$2:$G$52,5,FALSE)</f>
        <v>30.512445887923409</v>
      </c>
      <c r="G210" s="99">
        <f>SUMIFS(Input!$D$115:$D$3257,Input!$A$115:$A$3257,"="&amp;'Output - County'!A210,Input!$B$115:$B$3257,"="&amp;'Output - County'!B210)*VLOOKUP(A210,'Output - State'!$B$2:$G$52,6,FALSE)</f>
        <v>7.5534624170833045</v>
      </c>
    </row>
    <row r="211" spans="1:7" x14ac:dyDescent="0.25">
      <c r="A211" s="88">
        <v>6</v>
      </c>
      <c r="B211" s="88">
        <v>47</v>
      </c>
      <c r="C211" s="97">
        <f>SUMIFS(Input!$C$115:$C$3257,Input!$A$115:$A$3257,"="&amp;'Output - County'!A211,Input!$B$115:$B$3257,"="&amp;'Output - County'!B211)*VLOOKUP(A211,'Output - State'!$B$2:$G$52,2,FALSE)</f>
        <v>47.533827903592631</v>
      </c>
      <c r="D211" s="98">
        <f>SUMIFS(Input!$C$115:$C$3257,Input!$A$115:$A$3257,"="&amp;'Output - County'!A211,Input!$B$115:$B$3257,"="&amp;'Output - County'!B211)*VLOOKUP(A211,'Output - State'!$B$2:$G$52,3,FALSE)</f>
        <v>5.8071757069558938</v>
      </c>
      <c r="E211" s="98">
        <f>SUMIFS(Input!$C$115:$C$3257,Input!$A$115:$A$3257,"="&amp;'Output - County'!A211,Input!$B$115:$B$3257,"="&amp;'Output - County'!B211)*VLOOKUP(A211,'Output - State'!$B$2:$G$52,4,FALSE)</f>
        <v>135.97847765107909</v>
      </c>
      <c r="F211" s="98">
        <f>SUMIFS(Input!$C$115:$C$3257,Input!$A$115:$A$3257,"="&amp;'Output - County'!A211,Input!$B$115:$B$3257,"="&amp;'Output - County'!B211)*VLOOKUP(A211,'Output - State'!$B$2:$G$52,5,FALSE)</f>
        <v>92.673579119936377</v>
      </c>
      <c r="G211" s="99">
        <f>SUMIFS(Input!$D$115:$D$3257,Input!$A$115:$A$3257,"="&amp;'Output - County'!A211,Input!$B$115:$B$3257,"="&amp;'Output - County'!B211)*VLOOKUP(A211,'Output - State'!$B$2:$G$52,6,FALSE)</f>
        <v>23.680191101611275</v>
      </c>
    </row>
    <row r="212" spans="1:7" x14ac:dyDescent="0.25">
      <c r="A212" s="88">
        <v>6</v>
      </c>
      <c r="B212" s="88">
        <v>49</v>
      </c>
      <c r="C212" s="97">
        <f>SUMIFS(Input!$C$115:$C$3257,Input!$A$115:$A$3257,"="&amp;'Output - County'!A212,Input!$B$115:$B$3257,"="&amp;'Output - County'!B212)*VLOOKUP(A212,'Output - State'!$B$2:$G$52,2,FALSE)</f>
        <v>1.7217229173653426</v>
      </c>
      <c r="D212" s="98">
        <f>SUMIFS(Input!$C$115:$C$3257,Input!$A$115:$A$3257,"="&amp;'Output - County'!A212,Input!$B$115:$B$3257,"="&amp;'Output - County'!B212)*VLOOKUP(A212,'Output - State'!$B$2:$G$52,3,FALSE)</f>
        <v>0.21034172800288126</v>
      </c>
      <c r="E212" s="98">
        <f>SUMIFS(Input!$C$115:$C$3257,Input!$A$115:$A$3257,"="&amp;'Output - County'!A212,Input!$B$115:$B$3257,"="&amp;'Output - County'!B212)*VLOOKUP(A212,'Output - State'!$B$2:$G$52,4,FALSE)</f>
        <v>4.9252768305373369</v>
      </c>
      <c r="F212" s="98">
        <f>SUMIFS(Input!$C$115:$C$3257,Input!$A$115:$A$3257,"="&amp;'Output - County'!A212,Input!$B$115:$B$3257,"="&amp;'Output - County'!B212)*VLOOKUP(A212,'Output - State'!$B$2:$G$52,5,FALSE)</f>
        <v>3.3567299761483183</v>
      </c>
      <c r="G212" s="99">
        <f>SUMIFS(Input!$D$115:$D$3257,Input!$A$115:$A$3257,"="&amp;'Output - County'!A212,Input!$B$115:$B$3257,"="&amp;'Output - County'!B212)*VLOOKUP(A212,'Output - State'!$B$2:$G$52,6,FALSE)</f>
        <v>0.7605316850152527</v>
      </c>
    </row>
    <row r="213" spans="1:7" x14ac:dyDescent="0.25">
      <c r="A213" s="88">
        <v>6</v>
      </c>
      <c r="B213" s="88">
        <v>51</v>
      </c>
      <c r="C213" s="97">
        <f>SUMIFS(Input!$C$115:$C$3257,Input!$A$115:$A$3257,"="&amp;'Output - County'!A213,Input!$B$115:$B$3257,"="&amp;'Output - County'!B213)*VLOOKUP(A213,'Output - State'!$B$2:$G$52,2,FALSE)</f>
        <v>5.0206486851758916</v>
      </c>
      <c r="D213" s="98">
        <f>SUMIFS(Input!$C$115:$C$3257,Input!$A$115:$A$3257,"="&amp;'Output - County'!A213,Input!$B$115:$B$3257,"="&amp;'Output - County'!B213)*VLOOKUP(A213,'Output - State'!$B$2:$G$52,3,FALSE)</f>
        <v>0.6133692648706266</v>
      </c>
      <c r="E213" s="98">
        <f>SUMIFS(Input!$C$115:$C$3257,Input!$A$115:$A$3257,"="&amp;'Output - County'!A213,Input!$B$115:$B$3257,"="&amp;'Output - County'!B213)*VLOOKUP(A213,'Output - State'!$B$2:$G$52,4,FALSE)</f>
        <v>14.36240662998468</v>
      </c>
      <c r="F213" s="98">
        <f>SUMIFS(Input!$C$115:$C$3257,Input!$A$115:$A$3257,"="&amp;'Output - County'!A213,Input!$B$115:$B$3257,"="&amp;'Output - County'!B213)*VLOOKUP(A213,'Output - State'!$B$2:$G$52,5,FALSE)</f>
        <v>9.788428655540411</v>
      </c>
      <c r="G213" s="99">
        <f>SUMIFS(Input!$D$115:$D$3257,Input!$A$115:$A$3257,"="&amp;'Output - County'!A213,Input!$B$115:$B$3257,"="&amp;'Output - County'!B213)*VLOOKUP(A213,'Output - State'!$B$2:$G$52,6,FALSE)</f>
        <v>1.2445063936613225</v>
      </c>
    </row>
    <row r="214" spans="1:7" x14ac:dyDescent="0.25">
      <c r="A214" s="88">
        <v>6</v>
      </c>
      <c r="B214" s="88">
        <v>53</v>
      </c>
      <c r="C214" s="97">
        <f>SUMIFS(Input!$C$115:$C$3257,Input!$A$115:$A$3257,"="&amp;'Output - County'!A214,Input!$B$115:$B$3257,"="&amp;'Output - County'!B214)*VLOOKUP(A214,'Output - State'!$B$2:$G$52,2,FALSE)</f>
        <v>56.920635044172521</v>
      </c>
      <c r="D214" s="98">
        <f>SUMIFS(Input!$C$115:$C$3257,Input!$A$115:$A$3257,"="&amp;'Output - County'!A214,Input!$B$115:$B$3257,"="&amp;'Output - County'!B214)*VLOOKUP(A214,'Output - State'!$B$2:$G$52,3,FALSE)</f>
        <v>6.9539556065931318</v>
      </c>
      <c r="E214" s="98">
        <f>SUMIFS(Input!$C$115:$C$3257,Input!$A$115:$A$3257,"="&amp;'Output - County'!A214,Input!$B$115:$B$3257,"="&amp;'Output - County'!B214)*VLOOKUP(A214,'Output - State'!$B$2:$G$52,4,FALSE)</f>
        <v>162.83101196767387</v>
      </c>
      <c r="F214" s="98">
        <f>SUMIFS(Input!$C$115:$C$3257,Input!$A$115:$A$3257,"="&amp;'Output - County'!A214,Input!$B$115:$B$3257,"="&amp;'Output - County'!B214)*VLOOKUP(A214,'Output - State'!$B$2:$G$52,5,FALSE)</f>
        <v>110.97441985993422</v>
      </c>
      <c r="G214" s="99">
        <f>SUMIFS(Input!$D$115:$D$3257,Input!$A$115:$A$3257,"="&amp;'Output - County'!A214,Input!$B$115:$B$3257,"="&amp;'Output - County'!B214)*VLOOKUP(A214,'Output - State'!$B$2:$G$52,6,FALSE)</f>
        <v>37.508039920070416</v>
      </c>
    </row>
    <row r="215" spans="1:7" x14ac:dyDescent="0.25">
      <c r="A215" s="88">
        <v>6</v>
      </c>
      <c r="B215" s="88">
        <v>55</v>
      </c>
      <c r="C215" s="97">
        <f>SUMIFS(Input!$C$115:$C$3257,Input!$A$115:$A$3257,"="&amp;'Output - County'!A215,Input!$B$115:$B$3257,"="&amp;'Output - County'!B215)*VLOOKUP(A215,'Output - State'!$B$2:$G$52,2,FALSE)</f>
        <v>17.705560761632412</v>
      </c>
      <c r="D215" s="98">
        <f>SUMIFS(Input!$C$115:$C$3257,Input!$A$115:$A$3257,"="&amp;'Output - County'!A215,Input!$B$115:$B$3257,"="&amp;'Output - County'!B215)*VLOOKUP(A215,'Output - State'!$B$2:$G$52,3,FALSE)</f>
        <v>2.1630764208916595</v>
      </c>
      <c r="E215" s="98">
        <f>SUMIFS(Input!$C$115:$C$3257,Input!$A$115:$A$3257,"="&amp;'Output - County'!A215,Input!$B$115:$B$3257,"="&amp;'Output - County'!B215)*VLOOKUP(A215,'Output - State'!$B$2:$G$52,4,FALSE)</f>
        <v>50.649722618772934</v>
      </c>
      <c r="F215" s="98">
        <f>SUMIFS(Input!$C$115:$C$3257,Input!$A$115:$A$3257,"="&amp;'Output - County'!A215,Input!$B$115:$B$3257,"="&amp;'Output - County'!B215)*VLOOKUP(A215,'Output - State'!$B$2:$G$52,5,FALSE)</f>
        <v>34.519367752874935</v>
      </c>
      <c r="G215" s="99">
        <f>SUMIFS(Input!$D$115:$D$3257,Input!$A$115:$A$3257,"="&amp;'Output - County'!A215,Input!$B$115:$B$3257,"="&amp;'Output - County'!B215)*VLOOKUP(A215,'Output - State'!$B$2:$G$52,6,FALSE)</f>
        <v>12.012943661036378</v>
      </c>
    </row>
    <row r="216" spans="1:7" x14ac:dyDescent="0.25">
      <c r="A216" s="88">
        <v>6</v>
      </c>
      <c r="B216" s="88">
        <v>57</v>
      </c>
      <c r="C216" s="97">
        <f>SUMIFS(Input!$C$115:$C$3257,Input!$A$115:$A$3257,"="&amp;'Output - County'!A216,Input!$B$115:$B$3257,"="&amp;'Output - County'!B216)*VLOOKUP(A216,'Output - State'!$B$2:$G$52,2,FALSE)</f>
        <v>17.255856099857226</v>
      </c>
      <c r="D216" s="98">
        <f>SUMIFS(Input!$C$115:$C$3257,Input!$A$115:$A$3257,"="&amp;'Output - County'!A216,Input!$B$115:$B$3257,"="&amp;'Output - County'!B216)*VLOOKUP(A216,'Output - State'!$B$2:$G$52,3,FALSE)</f>
        <v>2.1081363055602726</v>
      </c>
      <c r="E216" s="98">
        <f>SUMIFS(Input!$C$115:$C$3257,Input!$A$115:$A$3257,"="&amp;'Output - County'!A216,Input!$B$115:$B$3257,"="&amp;'Output - County'!B216)*VLOOKUP(A216,'Output - State'!$B$2:$G$52,4,FALSE)</f>
        <v>49.363267098615651</v>
      </c>
      <c r="F216" s="98">
        <f>SUMIFS(Input!$C$115:$C$3257,Input!$A$115:$A$3257,"="&amp;'Output - County'!A216,Input!$B$115:$B$3257,"="&amp;'Output - County'!B216)*VLOOKUP(A216,'Output - State'!$B$2:$G$52,5,FALSE)</f>
        <v>33.642608139949317</v>
      </c>
      <c r="G216" s="99">
        <f>SUMIFS(Input!$D$115:$D$3257,Input!$A$115:$A$3257,"="&amp;'Output - County'!A216,Input!$B$115:$B$3257,"="&amp;'Output - County'!B216)*VLOOKUP(A216,'Output - State'!$B$2:$G$52,6,FALSE)</f>
        <v>8.5991934839792776</v>
      </c>
    </row>
    <row r="217" spans="1:7" x14ac:dyDescent="0.25">
      <c r="A217" s="88">
        <v>6</v>
      </c>
      <c r="B217" s="88">
        <v>59</v>
      </c>
      <c r="C217" s="97">
        <f>SUMIFS(Input!$C$115:$C$3257,Input!$A$115:$A$3257,"="&amp;'Output - County'!A217,Input!$B$115:$B$3257,"="&amp;'Output - County'!B217)*VLOOKUP(A217,'Output - State'!$B$2:$G$52,2,FALSE)</f>
        <v>436.69353422909802</v>
      </c>
      <c r="D217" s="98">
        <f>SUMIFS(Input!$C$115:$C$3257,Input!$A$115:$A$3257,"="&amp;'Output - County'!A217,Input!$B$115:$B$3257,"="&amp;'Output - County'!B217)*VLOOKUP(A217,'Output - State'!$B$2:$G$52,3,FALSE)</f>
        <v>53.350554651380428</v>
      </c>
      <c r="E217" s="98">
        <f>SUMIFS(Input!$C$115:$C$3257,Input!$A$115:$A$3257,"="&amp;'Output - County'!A217,Input!$B$115:$B$3257,"="&amp;'Output - County'!B217)*VLOOKUP(A217,'Output - State'!$B$2:$G$52,4,FALSE)</f>
        <v>1249.2350101695495</v>
      </c>
      <c r="F217" s="98">
        <f>SUMIFS(Input!$C$115:$C$3257,Input!$A$115:$A$3257,"="&amp;'Output - County'!A217,Input!$B$115:$B$3257,"="&amp;'Output - County'!B217)*VLOOKUP(A217,'Output - State'!$B$2:$G$52,5,FALSE)</f>
        <v>851.39267297440244</v>
      </c>
      <c r="G217" s="99">
        <f>SUMIFS(Input!$D$115:$D$3257,Input!$A$115:$A$3257,"="&amp;'Output - County'!A217,Input!$B$115:$B$3257,"="&amp;'Output - County'!B217)*VLOOKUP(A217,'Output - State'!$B$2:$G$52,6,FALSE)</f>
        <v>274.82849526687539</v>
      </c>
    </row>
    <row r="218" spans="1:7" x14ac:dyDescent="0.25">
      <c r="A218" s="88">
        <v>6</v>
      </c>
      <c r="B218" s="88">
        <v>61</v>
      </c>
      <c r="C218" s="97">
        <f>SUMIFS(Input!$C$115:$C$3257,Input!$A$115:$A$3257,"="&amp;'Output - County'!A218,Input!$B$115:$B$3257,"="&amp;'Output - County'!B218)*VLOOKUP(A218,'Output - State'!$B$2:$G$52,2,FALSE)</f>
        <v>54.510743550546295</v>
      </c>
      <c r="D218" s="98">
        <f>SUMIFS(Input!$C$115:$C$3257,Input!$A$115:$A$3257,"="&amp;'Output - County'!A218,Input!$B$115:$B$3257,"="&amp;'Output - County'!B218)*VLOOKUP(A218,'Output - State'!$B$2:$G$52,3,FALSE)</f>
        <v>6.6595407876021246</v>
      </c>
      <c r="E218" s="98">
        <f>SUMIFS(Input!$C$115:$C$3257,Input!$A$115:$A$3257,"="&amp;'Output - County'!A218,Input!$B$115:$B$3257,"="&amp;'Output - County'!B218)*VLOOKUP(A218,'Output - State'!$B$2:$G$52,4,FALSE)</f>
        <v>155.93711364178685</v>
      </c>
      <c r="F218" s="98">
        <f>SUMIFS(Input!$C$115:$C$3257,Input!$A$115:$A$3257,"="&amp;'Output - County'!A218,Input!$B$115:$B$3257,"="&amp;'Output - County'!B218)*VLOOKUP(A218,'Output - State'!$B$2:$G$52,5,FALSE)</f>
        <v>106.27601285475903</v>
      </c>
      <c r="G218" s="99">
        <f>SUMIFS(Input!$D$115:$D$3257,Input!$A$115:$A$3257,"="&amp;'Output - County'!A218,Input!$B$115:$B$3257,"="&amp;'Output - County'!B218)*VLOOKUP(A218,'Output - State'!$B$2:$G$52,6,FALSE)</f>
        <v>33.878229605224895</v>
      </c>
    </row>
    <row r="219" spans="1:7" x14ac:dyDescent="0.25">
      <c r="A219" s="88">
        <v>6</v>
      </c>
      <c r="B219" s="88">
        <v>63</v>
      </c>
      <c r="C219" s="97">
        <f>SUMIFS(Input!$C$115:$C$3257,Input!$A$115:$A$3257,"="&amp;'Output - County'!A219,Input!$B$115:$B$3257,"="&amp;'Output - County'!B219)*VLOOKUP(A219,'Output - State'!$B$2:$G$52,2,FALSE)</f>
        <v>3.609943848444908</v>
      </c>
      <c r="D219" s="98">
        <f>SUMIFS(Input!$C$115:$C$3257,Input!$A$115:$A$3257,"="&amp;'Output - County'!A219,Input!$B$115:$B$3257,"="&amp;'Output - County'!B219)*VLOOKUP(A219,'Output - State'!$B$2:$G$52,3,FALSE)</f>
        <v>0.44102440608574894</v>
      </c>
      <c r="E219" s="98">
        <f>SUMIFS(Input!$C$115:$C$3257,Input!$A$115:$A$3257,"="&amp;'Output - County'!A219,Input!$B$115:$B$3257,"="&amp;'Output - County'!B219)*VLOOKUP(A219,'Output - State'!$B$2:$G$52,4,FALSE)</f>
        <v>10.326849121282653</v>
      </c>
      <c r="F219" s="98">
        <f>SUMIFS(Input!$C$115:$C$3257,Input!$A$115:$A$3257,"="&amp;'Output - County'!A219,Input!$B$115:$B$3257,"="&amp;'Output - County'!B219)*VLOOKUP(A219,'Output - State'!$B$2:$G$52,5,FALSE)</f>
        <v>7.0380701831106185</v>
      </c>
      <c r="G219" s="99">
        <f>SUMIFS(Input!$D$115:$D$3257,Input!$A$115:$A$3257,"="&amp;'Output - County'!A219,Input!$B$115:$B$3257,"="&amp;'Output - County'!B219)*VLOOKUP(A219,'Output - State'!$B$2:$G$52,6,FALSE)</f>
        <v>1.6161298306574121</v>
      </c>
    </row>
    <row r="220" spans="1:7" x14ac:dyDescent="0.25">
      <c r="A220" s="88">
        <v>6</v>
      </c>
      <c r="B220" s="88">
        <v>65</v>
      </c>
      <c r="C220" s="97">
        <f>SUMIFS(Input!$C$115:$C$3257,Input!$A$115:$A$3257,"="&amp;'Output - County'!A220,Input!$B$115:$B$3257,"="&amp;'Output - County'!B220)*VLOOKUP(A220,'Output - State'!$B$2:$G$52,2,FALSE)</f>
        <v>333.83456711377511</v>
      </c>
      <c r="D220" s="98">
        <f>SUMIFS(Input!$C$115:$C$3257,Input!$A$115:$A$3257,"="&amp;'Output - County'!A220,Input!$B$115:$B$3257,"="&amp;'Output - County'!B220)*VLOOKUP(A220,'Output - State'!$B$2:$G$52,3,FALSE)</f>
        <v>40.784343987973436</v>
      </c>
      <c r="E220" s="98">
        <f>SUMIFS(Input!$C$115:$C$3257,Input!$A$115:$A$3257,"="&amp;'Output - County'!A220,Input!$B$115:$B$3257,"="&amp;'Output - County'!B220)*VLOOKUP(A220,'Output - State'!$B$2:$G$52,4,FALSE)</f>
        <v>954.98970365917467</v>
      </c>
      <c r="F220" s="98">
        <f>SUMIFS(Input!$C$115:$C$3257,Input!$A$115:$A$3257,"="&amp;'Output - County'!A220,Input!$B$115:$B$3257,"="&amp;'Output - County'!B220)*VLOOKUP(A220,'Output - State'!$B$2:$G$52,5,FALSE)</f>
        <v>650.85530732209065</v>
      </c>
      <c r="G220" s="99">
        <f>SUMIFS(Input!$D$115:$D$3257,Input!$A$115:$A$3257,"="&amp;'Output - County'!A220,Input!$B$115:$B$3257,"="&amp;'Output - County'!B220)*VLOOKUP(A220,'Output - State'!$B$2:$G$52,6,FALSE)</f>
        <v>211.73893503265558</v>
      </c>
    </row>
    <row r="221" spans="1:7" x14ac:dyDescent="0.25">
      <c r="A221" s="88">
        <v>6</v>
      </c>
      <c r="B221" s="88">
        <v>67</v>
      </c>
      <c r="C221" s="97">
        <f>SUMIFS(Input!$C$115:$C$3257,Input!$A$115:$A$3257,"="&amp;'Output - County'!A221,Input!$B$115:$B$3257,"="&amp;'Output - County'!B221)*VLOOKUP(A221,'Output - State'!$B$2:$G$52,2,FALSE)</f>
        <v>189.96949231722786</v>
      </c>
      <c r="D221" s="98">
        <f>SUMIFS(Input!$C$115:$C$3257,Input!$A$115:$A$3257,"="&amp;'Output - County'!A221,Input!$B$115:$B$3257,"="&amp;'Output - County'!B221)*VLOOKUP(A221,'Output - State'!$B$2:$G$52,3,FALSE)</f>
        <v>23.208444796089537</v>
      </c>
      <c r="E221" s="98">
        <f>SUMIFS(Input!$C$115:$C$3257,Input!$A$115:$A$3257,"="&amp;'Output - County'!A221,Input!$B$115:$B$3257,"="&amp;'Output - County'!B221)*VLOOKUP(A221,'Output - State'!$B$2:$G$52,4,FALSE)</f>
        <v>543.43955672656091</v>
      </c>
      <c r="F221" s="98">
        <f>SUMIFS(Input!$C$115:$C$3257,Input!$A$115:$A$3257,"="&amp;'Output - County'!A221,Input!$B$115:$B$3257,"="&amp;'Output - County'!B221)*VLOOKUP(A221,'Output - State'!$B$2:$G$52,5,FALSE)</f>
        <v>370.37102949800845</v>
      </c>
      <c r="G221" s="99">
        <f>SUMIFS(Input!$D$115:$D$3257,Input!$A$115:$A$3257,"="&amp;'Output - County'!A221,Input!$B$115:$B$3257,"="&amp;'Output - County'!B221)*VLOOKUP(A221,'Output - State'!$B$2:$G$52,6,FALSE)</f>
        <v>133.0930448776692</v>
      </c>
    </row>
    <row r="222" spans="1:7" x14ac:dyDescent="0.25">
      <c r="A222" s="88">
        <v>6</v>
      </c>
      <c r="B222" s="88">
        <v>69</v>
      </c>
      <c r="C222" s="97">
        <f>SUMIFS(Input!$C$115:$C$3257,Input!$A$115:$A$3257,"="&amp;'Output - County'!A222,Input!$B$115:$B$3257,"="&amp;'Output - County'!B222)*VLOOKUP(A222,'Output - State'!$B$2:$G$52,2,FALSE)</f>
        <v>10.255048638264109</v>
      </c>
      <c r="D222" s="98">
        <f>SUMIFS(Input!$C$115:$C$3257,Input!$A$115:$A$3257,"="&amp;'Output - County'!A222,Input!$B$115:$B$3257,"="&amp;'Output - County'!B222)*VLOOKUP(A222,'Output - State'!$B$2:$G$52,3,FALSE)</f>
        <v>1.2528523780277629</v>
      </c>
      <c r="E222" s="98">
        <f>SUMIFS(Input!$C$115:$C$3257,Input!$A$115:$A$3257,"="&amp;'Output - County'!A222,Input!$B$115:$B$3257,"="&amp;'Output - County'!B222)*VLOOKUP(A222,'Output - State'!$B$2:$G$52,4,FALSE)</f>
        <v>29.336284569741768</v>
      </c>
      <c r="F222" s="98">
        <f>SUMIFS(Input!$C$115:$C$3257,Input!$A$115:$A$3257,"="&amp;'Output - County'!A222,Input!$B$115:$B$3257,"="&amp;'Output - County'!B222)*VLOOKUP(A222,'Output - State'!$B$2:$G$52,5,FALSE)</f>
        <v>19.993594104907658</v>
      </c>
      <c r="G222" s="99">
        <f>SUMIFS(Input!$D$115:$D$3257,Input!$A$115:$A$3257,"="&amp;'Output - County'!A222,Input!$B$115:$B$3257,"="&amp;'Output - County'!B222)*VLOOKUP(A222,'Output - State'!$B$2:$G$52,6,FALSE)</f>
        <v>5.3150793895952315</v>
      </c>
    </row>
    <row r="223" spans="1:7" x14ac:dyDescent="0.25">
      <c r="A223" s="88">
        <v>6</v>
      </c>
      <c r="B223" s="88">
        <v>71</v>
      </c>
      <c r="C223" s="97">
        <f>SUMIFS(Input!$C$115:$C$3257,Input!$A$115:$A$3257,"="&amp;'Output - County'!A223,Input!$B$115:$B$3257,"="&amp;'Output - County'!B223)*VLOOKUP(A223,'Output - State'!$B$2:$G$52,2,FALSE)</f>
        <v>354.5366565484531</v>
      </c>
      <c r="D223" s="98">
        <f>SUMIFS(Input!$C$115:$C$3257,Input!$A$115:$A$3257,"="&amp;'Output - County'!A223,Input!$B$115:$B$3257,"="&amp;'Output - County'!B223)*VLOOKUP(A223,'Output - State'!$B$2:$G$52,3,FALSE)</f>
        <v>43.313504296546093</v>
      </c>
      <c r="E223" s="98">
        <f>SUMIFS(Input!$C$115:$C$3257,Input!$A$115:$A$3257,"="&amp;'Output - County'!A223,Input!$B$115:$B$3257,"="&amp;'Output - County'!B223)*VLOOKUP(A223,'Output - State'!$B$2:$G$52,4,FALSE)</f>
        <v>1014.2114985298384</v>
      </c>
      <c r="F223" s="98">
        <f>SUMIFS(Input!$C$115:$C$3257,Input!$A$115:$A$3257,"="&amp;'Output - County'!A223,Input!$B$115:$B$3257,"="&amp;'Output - County'!B223)*VLOOKUP(A223,'Output - State'!$B$2:$G$52,5,FALSE)</f>
        <v>691.21681001999605</v>
      </c>
      <c r="G223" s="99">
        <f>SUMIFS(Input!$D$115:$D$3257,Input!$A$115:$A$3257,"="&amp;'Output - County'!A223,Input!$B$115:$B$3257,"="&amp;'Output - County'!B223)*VLOOKUP(A223,'Output - State'!$B$2:$G$52,6,FALSE)</f>
        <v>187.54019960035208</v>
      </c>
    </row>
    <row r="224" spans="1:7" x14ac:dyDescent="0.25">
      <c r="A224" s="88">
        <v>6</v>
      </c>
      <c r="B224" s="88">
        <v>73</v>
      </c>
      <c r="C224" s="97">
        <f>SUMIFS(Input!$C$115:$C$3257,Input!$A$115:$A$3257,"="&amp;'Output - County'!A224,Input!$B$115:$B$3257,"="&amp;'Output - County'!B224)*VLOOKUP(A224,'Output - State'!$B$2:$G$52,2,FALSE)</f>
        <v>446.47288515952022</v>
      </c>
      <c r="D224" s="98">
        <f>SUMIFS(Input!$C$115:$C$3257,Input!$A$115:$A$3257,"="&amp;'Output - County'!A224,Input!$B$115:$B$3257,"="&amp;'Output - County'!B224)*VLOOKUP(A224,'Output - State'!$B$2:$G$52,3,FALSE)</f>
        <v>54.545291361163734</v>
      </c>
      <c r="E224" s="98">
        <f>SUMIFS(Input!$C$115:$C$3257,Input!$A$115:$A$3257,"="&amp;'Output - County'!A224,Input!$B$115:$B$3257,"="&amp;'Output - County'!B224)*VLOOKUP(A224,'Output - State'!$B$2:$G$52,4,FALSE)</f>
        <v>1277.2104817564689</v>
      </c>
      <c r="F224" s="98">
        <f>SUMIFS(Input!$C$115:$C$3257,Input!$A$115:$A$3257,"="&amp;'Output - County'!A224,Input!$B$115:$B$3257,"="&amp;'Output - County'!B224)*VLOOKUP(A224,'Output - State'!$B$2:$G$52,5,FALSE)</f>
        <v>870.45883053339855</v>
      </c>
      <c r="G224" s="99">
        <f>SUMIFS(Input!$D$115:$D$3257,Input!$A$115:$A$3257,"="&amp;'Output - County'!A224,Input!$B$115:$B$3257,"="&amp;'Output - County'!B224)*VLOOKUP(A224,'Output - State'!$B$2:$G$52,6,FALSE)</f>
        <v>287.79210353418085</v>
      </c>
    </row>
    <row r="225" spans="1:7" x14ac:dyDescent="0.25">
      <c r="A225" s="88">
        <v>6</v>
      </c>
      <c r="B225" s="88">
        <v>75</v>
      </c>
      <c r="C225" s="97">
        <f>SUMIFS(Input!$C$115:$C$3257,Input!$A$115:$A$3257,"="&amp;'Output - County'!A225,Input!$B$115:$B$3257,"="&amp;'Output - County'!B225)*VLOOKUP(A225,'Output - State'!$B$2:$G$52,2,FALSE)</f>
        <v>42.159687731243373</v>
      </c>
      <c r="D225" s="98">
        <f>SUMIFS(Input!$C$115:$C$3257,Input!$A$115:$A$3257,"="&amp;'Output - County'!A225,Input!$B$115:$B$3257,"="&amp;'Output - County'!B225)*VLOOKUP(A225,'Output - State'!$B$2:$G$52,3,FALSE)</f>
        <v>5.1506206254266065</v>
      </c>
      <c r="E225" s="98">
        <f>SUMIFS(Input!$C$115:$C$3257,Input!$A$115:$A$3257,"="&amp;'Output - County'!A225,Input!$B$115:$B$3257,"="&amp;'Output - County'!B225)*VLOOKUP(A225,'Output - State'!$B$2:$G$52,4,FALSE)</f>
        <v>120.60484940465024</v>
      </c>
      <c r="F225" s="98">
        <f>SUMIFS(Input!$C$115:$C$3257,Input!$A$115:$A$3257,"="&amp;'Output - County'!A225,Input!$B$115:$B$3257,"="&amp;'Output - County'!B225)*VLOOKUP(A225,'Output - State'!$B$2:$G$52,5,FALSE)</f>
        <v>82.195971352391211</v>
      </c>
      <c r="G225" s="99">
        <f>SUMIFS(Input!$D$115:$D$3257,Input!$A$115:$A$3257,"="&amp;'Output - County'!A225,Input!$B$115:$B$3257,"="&amp;'Output - County'!B225)*VLOOKUP(A225,'Output - State'!$B$2:$G$52,6,FALSE)</f>
        <v>76.139592556640636</v>
      </c>
    </row>
    <row r="226" spans="1:7" x14ac:dyDescent="0.25">
      <c r="A226" s="88">
        <v>6</v>
      </c>
      <c r="B226" s="88">
        <v>77</v>
      </c>
      <c r="C226" s="97">
        <f>SUMIFS(Input!$C$115:$C$3257,Input!$A$115:$A$3257,"="&amp;'Output - County'!A226,Input!$B$115:$B$3257,"="&amp;'Output - County'!B226)*VLOOKUP(A226,'Output - State'!$B$2:$G$52,2,FALSE)</f>
        <v>111.37306612980244</v>
      </c>
      <c r="D226" s="98">
        <f>SUMIFS(Input!$C$115:$C$3257,Input!$A$115:$A$3257,"="&amp;'Output - County'!A226,Input!$B$115:$B$3257,"="&amp;'Output - County'!B226)*VLOOKUP(A226,'Output - State'!$B$2:$G$52,3,FALSE)</f>
        <v>13.606372399671569</v>
      </c>
      <c r="E226" s="98">
        <f>SUMIFS(Input!$C$115:$C$3257,Input!$A$115:$A$3257,"="&amp;'Output - County'!A226,Input!$B$115:$B$3257,"="&amp;'Output - County'!B226)*VLOOKUP(A226,'Output - State'!$B$2:$G$52,4,FALSE)</f>
        <v>318.60131303498235</v>
      </c>
      <c r="F226" s="98">
        <f>SUMIFS(Input!$C$115:$C$3257,Input!$A$115:$A$3257,"="&amp;'Output - County'!A226,Input!$B$115:$B$3257,"="&amp;'Output - County'!B226)*VLOOKUP(A226,'Output - State'!$B$2:$G$52,5,FALSE)</f>
        <v>217.13674473563827</v>
      </c>
      <c r="G226" s="99">
        <f>SUMIFS(Input!$D$115:$D$3257,Input!$A$115:$A$3257,"="&amp;'Output - County'!A226,Input!$B$115:$B$3257,"="&amp;'Output - County'!B226)*VLOOKUP(A226,'Output - State'!$B$2:$G$52,6,FALSE)</f>
        <v>64.990889446757961</v>
      </c>
    </row>
    <row r="227" spans="1:7" x14ac:dyDescent="0.25">
      <c r="A227" s="88">
        <v>6</v>
      </c>
      <c r="B227" s="88">
        <v>79</v>
      </c>
      <c r="C227" s="97">
        <f>SUMIFS(Input!$C$115:$C$3257,Input!$A$115:$A$3257,"="&amp;'Output - County'!A227,Input!$B$115:$B$3257,"="&amp;'Output - County'!B227)*VLOOKUP(A227,'Output - State'!$B$2:$G$52,2,FALSE)</f>
        <v>47.941980705413549</v>
      </c>
      <c r="D227" s="98">
        <f>SUMIFS(Input!$C$115:$C$3257,Input!$A$115:$A$3257,"="&amp;'Output - County'!A227,Input!$B$115:$B$3257,"="&amp;'Output - County'!B227)*VLOOKUP(A227,'Output - State'!$B$2:$G$52,3,FALSE)</f>
        <v>5.8570394595715607</v>
      </c>
      <c r="E227" s="98">
        <f>SUMIFS(Input!$C$115:$C$3257,Input!$A$115:$A$3257,"="&amp;'Output - County'!A227,Input!$B$115:$B$3257,"="&amp;'Output - County'!B227)*VLOOKUP(A227,'Output - State'!$B$2:$G$52,4,FALSE)</f>
        <v>137.1460671150119</v>
      </c>
      <c r="F227" s="98">
        <f>SUMIFS(Input!$C$115:$C$3257,Input!$A$115:$A$3257,"="&amp;'Output - County'!A227,Input!$B$115:$B$3257,"="&amp;'Output - County'!B227)*VLOOKUP(A227,'Output - State'!$B$2:$G$52,5,FALSE)</f>
        <v>93.469327803364322</v>
      </c>
      <c r="G227" s="99">
        <f>SUMIFS(Input!$D$115:$D$3257,Input!$A$115:$A$3257,"="&amp;'Output - County'!A227,Input!$B$115:$B$3257,"="&amp;'Output - County'!B227)*VLOOKUP(A227,'Output - State'!$B$2:$G$52,6,FALSE)</f>
        <v>24.458007597649605</v>
      </c>
    </row>
    <row r="228" spans="1:7" x14ac:dyDescent="0.25">
      <c r="A228" s="88">
        <v>6</v>
      </c>
      <c r="B228" s="88">
        <v>81</v>
      </c>
      <c r="C228" s="97">
        <f>SUMIFS(Input!$C$115:$C$3257,Input!$A$115:$A$3257,"="&amp;'Output - County'!A228,Input!$B$115:$B$3257,"="&amp;'Output - County'!B228)*VLOOKUP(A228,'Output - State'!$B$2:$G$52,2,FALSE)</f>
        <v>100.85732613211596</v>
      </c>
      <c r="D228" s="98">
        <f>SUMIFS(Input!$C$115:$C$3257,Input!$A$115:$A$3257,"="&amp;'Output - County'!A228,Input!$B$115:$B$3257,"="&amp;'Output - County'!B228)*VLOOKUP(A228,'Output - State'!$B$2:$G$52,3,FALSE)</f>
        <v>12.321671534025233</v>
      </c>
      <c r="E228" s="98">
        <f>SUMIFS(Input!$C$115:$C$3257,Input!$A$115:$A$3257,"="&amp;'Output - County'!A228,Input!$B$115:$B$3257,"="&amp;'Output - County'!B228)*VLOOKUP(A228,'Output - State'!$B$2:$G$52,4,FALSE)</f>
        <v>288.51927716023437</v>
      </c>
      <c r="F228" s="98">
        <f>SUMIFS(Input!$C$115:$C$3257,Input!$A$115:$A$3257,"="&amp;'Output - County'!A228,Input!$B$115:$B$3257,"="&amp;'Output - County'!B228)*VLOOKUP(A228,'Output - State'!$B$2:$G$52,5,FALSE)</f>
        <v>196.63489782659474</v>
      </c>
      <c r="G228" s="99">
        <f>SUMIFS(Input!$D$115:$D$3257,Input!$A$115:$A$3257,"="&amp;'Output - County'!A228,Input!$B$115:$B$3257,"="&amp;'Output - County'!B228)*VLOOKUP(A228,'Output - State'!$B$2:$G$52,6,FALSE)</f>
        <v>66.460098383719227</v>
      </c>
    </row>
    <row r="229" spans="1:7" x14ac:dyDescent="0.25">
      <c r="A229" s="88">
        <v>6</v>
      </c>
      <c r="B229" s="88">
        <v>83</v>
      </c>
      <c r="C229" s="97">
        <f>SUMIFS(Input!$C$115:$C$3257,Input!$A$115:$A$3257,"="&amp;'Output - County'!A229,Input!$B$115:$B$3257,"="&amp;'Output - County'!B229)*VLOOKUP(A229,'Output - State'!$B$2:$G$52,2,FALSE)</f>
        <v>54.94257809247766</v>
      </c>
      <c r="D229" s="98">
        <f>SUMIFS(Input!$C$115:$C$3257,Input!$A$115:$A$3257,"="&amp;'Output - County'!A229,Input!$B$115:$B$3257,"="&amp;'Output - County'!B229)*VLOOKUP(A229,'Output - State'!$B$2:$G$52,3,FALSE)</f>
        <v>6.712297722440498</v>
      </c>
      <c r="E229" s="98">
        <f>SUMIFS(Input!$C$115:$C$3257,Input!$A$115:$A$3257,"="&amp;'Output - County'!A229,Input!$B$115:$B$3257,"="&amp;'Output - County'!B229)*VLOOKUP(A229,'Output - State'!$B$2:$G$52,4,FALSE)</f>
        <v>157.17244869050361</v>
      </c>
      <c r="F229" s="98">
        <f>SUMIFS(Input!$C$115:$C$3257,Input!$A$115:$A$3257,"="&amp;'Output - County'!A229,Input!$B$115:$B$3257,"="&amp;'Output - County'!B229)*VLOOKUP(A229,'Output - State'!$B$2:$G$52,5,FALSE)</f>
        <v>107.11793226990828</v>
      </c>
      <c r="G229" s="99">
        <f>SUMIFS(Input!$D$115:$D$3257,Input!$A$115:$A$3257,"="&amp;'Output - County'!A229,Input!$B$115:$B$3257,"="&amp;'Output - County'!B229)*VLOOKUP(A229,'Output - State'!$B$2:$G$52,6,FALSE)</f>
        <v>38.545128581454854</v>
      </c>
    </row>
    <row r="230" spans="1:7" x14ac:dyDescent="0.25">
      <c r="A230" s="88">
        <v>6</v>
      </c>
      <c r="B230" s="88">
        <v>85</v>
      </c>
      <c r="C230" s="97">
        <f>SUMIFS(Input!$C$115:$C$3257,Input!$A$115:$A$3257,"="&amp;'Output - County'!A230,Input!$B$115:$B$3257,"="&amp;'Output - County'!B230)*VLOOKUP(A230,'Output - State'!$B$2:$G$52,2,FALSE)</f>
        <v>223.52848437891353</v>
      </c>
      <c r="D230" s="98">
        <f>SUMIFS(Input!$C$115:$C$3257,Input!$A$115:$A$3257,"="&amp;'Output - County'!A230,Input!$B$115:$B$3257,"="&amp;'Output - County'!B230)*VLOOKUP(A230,'Output - State'!$B$2:$G$52,3,FALSE)</f>
        <v>27.308324230285439</v>
      </c>
      <c r="E230" s="98">
        <f>SUMIFS(Input!$C$115:$C$3257,Input!$A$115:$A$3257,"="&amp;'Output - County'!A230,Input!$B$115:$B$3257,"="&amp;'Output - County'!B230)*VLOOKUP(A230,'Output - State'!$B$2:$G$52,4,FALSE)</f>
        <v>639.44067536796047</v>
      </c>
      <c r="F230" s="98">
        <f>SUMIFS(Input!$C$115:$C$3257,Input!$A$115:$A$3257,"="&amp;'Output - County'!A230,Input!$B$115:$B$3257,"="&amp;'Output - County'!B230)*VLOOKUP(A230,'Output - State'!$B$2:$G$52,5,FALSE)</f>
        <v>435.79878996202285</v>
      </c>
      <c r="G230" s="99">
        <f>SUMIFS(Input!$D$115:$D$3257,Input!$A$115:$A$3257,"="&amp;'Output - County'!A230,Input!$B$115:$B$3257,"="&amp;'Output - County'!B230)*VLOOKUP(A230,'Output - State'!$B$2:$G$52,6,FALSE)</f>
        <v>166.79842637266336</v>
      </c>
    </row>
    <row r="231" spans="1:7" x14ac:dyDescent="0.25">
      <c r="A231" s="88">
        <v>6</v>
      </c>
      <c r="B231" s="88">
        <v>87</v>
      </c>
      <c r="C231" s="97">
        <f>SUMIFS(Input!$C$115:$C$3257,Input!$A$115:$A$3257,"="&amp;'Output - County'!A231,Input!$B$115:$B$3257,"="&amp;'Output - County'!B231)*VLOOKUP(A231,'Output - State'!$B$2:$G$52,2,FALSE)</f>
        <v>30.078204072456469</v>
      </c>
      <c r="D231" s="98">
        <f>SUMIFS(Input!$C$115:$C$3257,Input!$A$115:$A$3257,"="&amp;'Output - County'!A231,Input!$B$115:$B$3257,"="&amp;'Output - County'!B231)*VLOOKUP(A231,'Output - State'!$B$2:$G$52,3,FALSE)</f>
        <v>3.6746339123517009</v>
      </c>
      <c r="E231" s="98">
        <f>SUMIFS(Input!$C$115:$C$3257,Input!$A$115:$A$3257,"="&amp;'Output - County'!A231,Input!$B$115:$B$3257,"="&amp;'Output - County'!B231)*VLOOKUP(A231,'Output - State'!$B$2:$G$52,4,FALSE)</f>
        <v>86.043741491772323</v>
      </c>
      <c r="F231" s="98">
        <f>SUMIFS(Input!$C$115:$C$3257,Input!$A$115:$A$3257,"="&amp;'Output - County'!A231,Input!$B$115:$B$3257,"="&amp;'Output - County'!B231)*VLOOKUP(A231,'Output - State'!$B$2:$G$52,5,FALSE)</f>
        <v>58.641496968177265</v>
      </c>
      <c r="G231" s="99">
        <f>SUMIFS(Input!$D$115:$D$3257,Input!$A$115:$A$3257,"="&amp;'Output - County'!A231,Input!$B$115:$B$3257,"="&amp;'Output - County'!B231)*VLOOKUP(A231,'Output - State'!$B$2:$G$52,6,FALSE)</f>
        <v>23.680191101611275</v>
      </c>
    </row>
    <row r="232" spans="1:7" x14ac:dyDescent="0.25">
      <c r="A232" s="88">
        <v>6</v>
      </c>
      <c r="B232" s="88">
        <v>89</v>
      </c>
      <c r="C232" s="97">
        <f>SUMIFS(Input!$C$115:$C$3257,Input!$A$115:$A$3257,"="&amp;'Output - County'!A232,Input!$B$115:$B$3257,"="&amp;'Output - County'!B232)*VLOOKUP(A232,'Output - State'!$B$2:$G$52,2,FALSE)</f>
        <v>29.982734882271473</v>
      </c>
      <c r="D232" s="98">
        <f>SUMIFS(Input!$C$115:$C$3257,Input!$A$115:$A$3257,"="&amp;'Output - County'!A232,Input!$B$115:$B$3257,"="&amp;'Output - County'!B232)*VLOOKUP(A232,'Output - State'!$B$2:$G$52,3,FALSE)</f>
        <v>3.6629705057535729</v>
      </c>
      <c r="E232" s="98">
        <f>SUMIFS(Input!$C$115:$C$3257,Input!$A$115:$A$3257,"="&amp;'Output - County'!A232,Input!$B$115:$B$3257,"="&amp;'Output - County'!B232)*VLOOKUP(A232,'Output - State'!$B$2:$G$52,4,FALSE)</f>
        <v>85.770635880116842</v>
      </c>
      <c r="F232" s="98">
        <f>SUMIFS(Input!$C$115:$C$3257,Input!$A$115:$A$3257,"="&amp;'Output - County'!A232,Input!$B$115:$B$3257,"="&amp;'Output - County'!B232)*VLOOKUP(A232,'Output - State'!$B$2:$G$52,5,FALSE)</f>
        <v>58.455366964760124</v>
      </c>
      <c r="G232" s="99">
        <f>SUMIFS(Input!$D$115:$D$3257,Input!$A$115:$A$3257,"="&amp;'Output - County'!A232,Input!$B$115:$B$3257,"="&amp;'Output - County'!B232)*VLOOKUP(A232,'Output - State'!$B$2:$G$52,6,FALSE)</f>
        <v>15.556329920766531</v>
      </c>
    </row>
    <row r="233" spans="1:7" x14ac:dyDescent="0.25">
      <c r="A233" s="88">
        <v>6</v>
      </c>
      <c r="B233" s="88">
        <v>91</v>
      </c>
      <c r="C233" s="97">
        <f>SUMIFS(Input!$C$115:$C$3257,Input!$A$115:$A$3257,"="&amp;'Output - County'!A233,Input!$B$115:$B$3257,"="&amp;'Output - County'!B233)*VLOOKUP(A233,'Output - State'!$B$2:$G$52,2,FALSE)</f>
        <v>1.4247635170051467</v>
      </c>
      <c r="D233" s="98">
        <f>SUMIFS(Input!$C$115:$C$3257,Input!$A$115:$A$3257,"="&amp;'Output - County'!A233,Input!$B$115:$B$3257,"="&amp;'Output - County'!B233)*VLOOKUP(A233,'Output - State'!$B$2:$G$52,3,FALSE)</f>
        <v>0.17406239827539721</v>
      </c>
      <c r="E233" s="98">
        <f>SUMIFS(Input!$C$115:$C$3257,Input!$A$115:$A$3257,"="&amp;'Output - County'!A233,Input!$B$115:$B$3257,"="&amp;'Output - County'!B233)*VLOOKUP(A233,'Output - State'!$B$2:$G$52,4,FALSE)</f>
        <v>4.0757747187559126</v>
      </c>
      <c r="F233" s="98">
        <f>SUMIFS(Input!$C$115:$C$3257,Input!$A$115:$A$3257,"="&amp;'Output - County'!A233,Input!$B$115:$B$3257,"="&amp;'Output - County'!B233)*VLOOKUP(A233,'Output - State'!$B$2:$G$52,5,FALSE)</f>
        <v>2.7777677570628767</v>
      </c>
      <c r="G233" s="99">
        <f>SUMIFS(Input!$D$115:$D$3257,Input!$A$115:$A$3257,"="&amp;'Output - County'!A233,Input!$B$115:$B$3257,"="&amp;'Output - County'!B233)*VLOOKUP(A233,'Output - State'!$B$2:$G$52,6,FALSE)</f>
        <v>0.25927216534610886</v>
      </c>
    </row>
    <row r="234" spans="1:7" x14ac:dyDescent="0.25">
      <c r="A234" s="88">
        <v>6</v>
      </c>
      <c r="B234" s="88">
        <v>93</v>
      </c>
      <c r="C234" s="97">
        <f>SUMIFS(Input!$C$115:$C$3257,Input!$A$115:$A$3257,"="&amp;'Output - County'!A234,Input!$B$115:$B$3257,"="&amp;'Output - County'!B234)*VLOOKUP(A234,'Output - State'!$B$2:$G$52,2,FALSE)</f>
        <v>13.376444394729965</v>
      </c>
      <c r="D234" s="98">
        <f>SUMIFS(Input!$C$115:$C$3257,Input!$A$115:$A$3257,"="&amp;'Output - County'!A234,Input!$B$115:$B$3257,"="&amp;'Output - County'!B234)*VLOOKUP(A234,'Output - State'!$B$2:$G$52,3,FALSE)</f>
        <v>1.6341911931029471</v>
      </c>
      <c r="E234" s="98">
        <f>SUMIFS(Input!$C$115:$C$3257,Input!$A$115:$A$3257,"="&amp;'Output - County'!A234,Input!$B$115:$B$3257,"="&amp;'Output - County'!B234)*VLOOKUP(A234,'Output - State'!$B$2:$G$52,4,FALSE)</f>
        <v>38.265560031663618</v>
      </c>
      <c r="F234" s="98">
        <f>SUMIFS(Input!$C$115:$C$3257,Input!$A$115:$A$3257,"="&amp;'Output - County'!A234,Input!$B$115:$B$3257,"="&amp;'Output - County'!B234)*VLOOKUP(A234,'Output - State'!$B$2:$G$52,5,FALSE)</f>
        <v>26.079174193011799</v>
      </c>
      <c r="G234" s="99">
        <f>SUMIFS(Input!$D$115:$D$3257,Input!$A$115:$A$3257,"="&amp;'Output - County'!A234,Input!$B$115:$B$3257,"="&amp;'Output - County'!B234)*VLOOKUP(A234,'Output - State'!$B$2:$G$52,6,FALSE)</f>
        <v>3.7680888030301154</v>
      </c>
    </row>
    <row r="235" spans="1:7" x14ac:dyDescent="0.25">
      <c r="A235" s="88">
        <v>6</v>
      </c>
      <c r="B235" s="88">
        <v>95</v>
      </c>
      <c r="C235" s="97">
        <f>SUMIFS(Input!$C$115:$C$3257,Input!$A$115:$A$3257,"="&amp;'Output - County'!A235,Input!$B$115:$B$3257,"="&amp;'Output - County'!B235)*VLOOKUP(A235,'Output - State'!$B$2:$G$52,2,FALSE)</f>
        <v>79.166047719931939</v>
      </c>
      <c r="D235" s="98">
        <f>SUMIFS(Input!$C$115:$C$3257,Input!$A$115:$A$3257,"="&amp;'Output - County'!A235,Input!$B$115:$B$3257,"="&amp;'Output - County'!B235)*VLOOKUP(A235,'Output - State'!$B$2:$G$52,3,FALSE)</f>
        <v>9.6716626749968331</v>
      </c>
      <c r="E235" s="98">
        <f>SUMIFS(Input!$C$115:$C$3257,Input!$A$115:$A$3257,"="&amp;'Output - County'!A235,Input!$B$115:$B$3257,"="&amp;'Output - County'!B235)*VLOOKUP(A235,'Output - State'!$B$2:$G$52,4,FALSE)</f>
        <v>226.46774150910346</v>
      </c>
      <c r="F235" s="98">
        <f>SUMIFS(Input!$C$115:$C$3257,Input!$A$115:$A$3257,"="&amp;'Output - County'!A235,Input!$B$115:$B$3257,"="&amp;'Output - County'!B235)*VLOOKUP(A235,'Output - State'!$B$2:$G$52,5,FALSE)</f>
        <v>154.34483841414479</v>
      </c>
      <c r="G235" s="99">
        <f>SUMIFS(Input!$D$115:$D$3257,Input!$A$115:$A$3257,"="&amp;'Output - County'!A235,Input!$B$115:$B$3257,"="&amp;'Output - County'!B235)*VLOOKUP(A235,'Output - State'!$B$2:$G$52,6,FALSE)</f>
        <v>38.545128581454854</v>
      </c>
    </row>
    <row r="236" spans="1:7" x14ac:dyDescent="0.25">
      <c r="A236" s="88">
        <v>6</v>
      </c>
      <c r="B236" s="88">
        <v>97</v>
      </c>
      <c r="C236" s="97">
        <f>SUMIFS(Input!$C$115:$C$3257,Input!$A$115:$A$3257,"="&amp;'Output - County'!A236,Input!$B$115:$B$3257,"="&amp;'Output - County'!B236)*VLOOKUP(A236,'Output - State'!$B$2:$G$52,2,FALSE)</f>
        <v>64.599746578934102</v>
      </c>
      <c r="D236" s="98">
        <f>SUMIFS(Input!$C$115:$C$3257,Input!$A$115:$A$3257,"="&amp;'Output - County'!A236,Input!$B$115:$B$3257,"="&amp;'Output - County'!B236)*VLOOKUP(A236,'Output - State'!$B$2:$G$52,3,FALSE)</f>
        <v>7.8921074854217625</v>
      </c>
      <c r="E236" s="98">
        <f>SUMIFS(Input!$C$115:$C$3257,Input!$A$115:$A$3257,"="&amp;'Output - County'!A236,Input!$B$115:$B$3257,"="&amp;'Output - County'!B236)*VLOOKUP(A236,'Output - State'!$B$2:$G$52,4,FALSE)</f>
        <v>184.79839692828634</v>
      </c>
      <c r="F236" s="98">
        <f>SUMIFS(Input!$C$115:$C$3257,Input!$A$115:$A$3257,"="&amp;'Output - County'!A236,Input!$B$115:$B$3257,"="&amp;'Output - County'!B236)*VLOOKUP(A236,'Output - State'!$B$2:$G$52,5,FALSE)</f>
        <v>125.9458787508719</v>
      </c>
      <c r="G236" s="99">
        <f>SUMIFS(Input!$D$115:$D$3257,Input!$A$115:$A$3257,"="&amp;'Output - County'!A236,Input!$B$115:$B$3257,"="&amp;'Output - County'!B236)*VLOOKUP(A236,'Output - State'!$B$2:$G$52,6,FALSE)</f>
        <v>43.12560350256944</v>
      </c>
    </row>
    <row r="237" spans="1:7" x14ac:dyDescent="0.25">
      <c r="A237" s="88">
        <v>6</v>
      </c>
      <c r="B237" s="88">
        <v>99</v>
      </c>
      <c r="C237" s="97">
        <f>SUMIFS(Input!$C$115:$C$3257,Input!$A$115:$A$3257,"="&amp;'Output - County'!A237,Input!$B$115:$B$3257,"="&amp;'Output - County'!B237)*VLOOKUP(A237,'Output - State'!$B$2:$G$52,2,FALSE)</f>
        <v>73.712099083870967</v>
      </c>
      <c r="D237" s="98">
        <f>SUMIFS(Input!$C$115:$C$3257,Input!$A$115:$A$3257,"="&amp;'Output - County'!A237,Input!$B$115:$B$3257,"="&amp;'Output - County'!B237)*VLOOKUP(A237,'Output - State'!$B$2:$G$52,3,FALSE)</f>
        <v>9.005357447263961</v>
      </c>
      <c r="E237" s="98">
        <f>SUMIFS(Input!$C$115:$C$3257,Input!$A$115:$A$3257,"="&amp;'Output - County'!A237,Input!$B$115:$B$3257,"="&amp;'Output - County'!B237)*VLOOKUP(A237,'Output - State'!$B$2:$G$52,4,FALSE)</f>
        <v>210.86580778260262</v>
      </c>
      <c r="F237" s="98">
        <f>SUMIFS(Input!$C$115:$C$3257,Input!$A$115:$A$3257,"="&amp;'Output - County'!A237,Input!$B$115:$B$3257,"="&amp;'Output - County'!B237)*VLOOKUP(A237,'Output - State'!$B$2:$G$52,5,FALSE)</f>
        <v>143.71163333196239</v>
      </c>
      <c r="G237" s="99">
        <f>SUMIFS(Input!$D$115:$D$3257,Input!$A$115:$A$3257,"="&amp;'Output - County'!A237,Input!$B$115:$B$3257,"="&amp;'Output - County'!B237)*VLOOKUP(A237,'Output - State'!$B$2:$G$52,6,FALSE)</f>
        <v>47.360382203222549</v>
      </c>
    </row>
    <row r="238" spans="1:7" x14ac:dyDescent="0.25">
      <c r="A238" s="88">
        <v>6</v>
      </c>
      <c r="B238" s="88">
        <v>101</v>
      </c>
      <c r="C238" s="97">
        <f>SUMIFS(Input!$C$115:$C$3257,Input!$A$115:$A$3257,"="&amp;'Output - County'!A238,Input!$B$115:$B$3257,"="&amp;'Output - County'!B238)*VLOOKUP(A238,'Output - State'!$B$2:$G$52,2,FALSE)</f>
        <v>14.24505715254662</v>
      </c>
      <c r="D238" s="98">
        <f>SUMIFS(Input!$C$115:$C$3257,Input!$A$115:$A$3257,"="&amp;'Output - County'!A238,Input!$B$115:$B$3257,"="&amp;'Output - County'!B238)*VLOOKUP(A238,'Output - State'!$B$2:$G$52,3,FALSE)</f>
        <v>1.7403090280935432</v>
      </c>
      <c r="E238" s="98">
        <f>SUMIFS(Input!$C$115:$C$3257,Input!$A$115:$A$3257,"="&amp;'Output - County'!A238,Input!$B$115:$B$3257,"="&amp;'Output - County'!B238)*VLOOKUP(A238,'Output - State'!$B$2:$G$52,4,FALSE)</f>
        <v>40.750372336613431</v>
      </c>
      <c r="F238" s="98">
        <f>SUMIFS(Input!$C$115:$C$3257,Input!$A$115:$A$3257,"="&amp;'Output - County'!A238,Input!$B$115:$B$3257,"="&amp;'Output - County'!B238)*VLOOKUP(A238,'Output - State'!$B$2:$G$52,5,FALSE)</f>
        <v>27.772651379393071</v>
      </c>
      <c r="G238" s="99">
        <f>SUMIFS(Input!$D$115:$D$3257,Input!$A$115:$A$3257,"="&amp;'Output - County'!A238,Input!$B$115:$B$3257,"="&amp;'Output - County'!B238)*VLOOKUP(A238,'Output - State'!$B$2:$G$52,6,FALSE)</f>
        <v>8.3226365076100937</v>
      </c>
    </row>
    <row r="239" spans="1:7" x14ac:dyDescent="0.25">
      <c r="A239" s="88">
        <v>6</v>
      </c>
      <c r="B239" s="88">
        <v>103</v>
      </c>
      <c r="C239" s="97">
        <f>SUMIFS(Input!$C$115:$C$3257,Input!$A$115:$A$3257,"="&amp;'Output - County'!A239,Input!$B$115:$B$3257,"="&amp;'Output - County'!B239)*VLOOKUP(A239,'Output - State'!$B$2:$G$52,2,FALSE)</f>
        <v>14.919542850936208</v>
      </c>
      <c r="D239" s="98">
        <f>SUMIFS(Input!$C$115:$C$3257,Input!$A$115:$A$3257,"="&amp;'Output - County'!A239,Input!$B$115:$B$3257,"="&amp;'Output - County'!B239)*VLOOKUP(A239,'Output - State'!$B$2:$G$52,3,FALSE)</f>
        <v>1.8227104911173355</v>
      </c>
      <c r="E239" s="98">
        <f>SUMIFS(Input!$C$115:$C$3257,Input!$A$115:$A$3257,"="&amp;'Output - County'!A239,Input!$B$115:$B$3257,"="&amp;'Output - County'!B239)*VLOOKUP(A239,'Output - State'!$B$2:$G$52,4,FALSE)</f>
        <v>42.679851667637585</v>
      </c>
      <c r="F239" s="98">
        <f>SUMIFS(Input!$C$115:$C$3257,Input!$A$115:$A$3257,"="&amp;'Output - County'!A239,Input!$B$115:$B$3257,"="&amp;'Output - County'!B239)*VLOOKUP(A239,'Output - State'!$B$2:$G$52,5,FALSE)</f>
        <v>29.087651801024354</v>
      </c>
      <c r="G239" s="99">
        <f>SUMIFS(Input!$D$115:$D$3257,Input!$A$115:$A$3257,"="&amp;'Output - County'!A239,Input!$B$115:$B$3257,"="&amp;'Output - County'!B239)*VLOOKUP(A239,'Output - State'!$B$2:$G$52,6,FALSE)</f>
        <v>5.5311395273836563</v>
      </c>
    </row>
    <row r="240" spans="1:7" x14ac:dyDescent="0.25">
      <c r="A240" s="88">
        <v>6</v>
      </c>
      <c r="B240" s="88">
        <v>105</v>
      </c>
      <c r="C240" s="97">
        <f>SUMIFS(Input!$C$115:$C$3257,Input!$A$115:$A$3257,"="&amp;'Output - County'!A240,Input!$B$115:$B$3257,"="&amp;'Output - County'!B240)*VLOOKUP(A240,'Output - State'!$B$2:$G$52,2,FALSE)</f>
        <v>2.5084461521500487</v>
      </c>
      <c r="D240" s="98">
        <f>SUMIFS(Input!$C$115:$C$3257,Input!$A$115:$A$3257,"="&amp;'Output - County'!A240,Input!$B$115:$B$3257,"="&amp;'Output - County'!B240)*VLOOKUP(A240,'Output - State'!$B$2:$G$52,3,FALSE)</f>
        <v>0.30645517517581983</v>
      </c>
      <c r="E240" s="98">
        <f>SUMIFS(Input!$C$115:$C$3257,Input!$A$115:$A$3257,"="&amp;'Output - County'!A240,Input!$B$115:$B$3257,"="&amp;'Output - County'!B240)*VLOOKUP(A240,'Output - State'!$B$2:$G$52,4,FALSE)</f>
        <v>7.175830436607666</v>
      </c>
      <c r="F240" s="98">
        <f>SUMIFS(Input!$C$115:$C$3257,Input!$A$115:$A$3257,"="&amp;'Output - County'!A240,Input!$B$115:$B$3257,"="&amp;'Output - County'!B240)*VLOOKUP(A240,'Output - State'!$B$2:$G$52,5,FALSE)</f>
        <v>4.8905525433563408</v>
      </c>
      <c r="G240" s="99">
        <f>SUMIFS(Input!$D$115:$D$3257,Input!$A$115:$A$3257,"="&amp;'Output - County'!A240,Input!$B$115:$B$3257,"="&amp;'Output - County'!B240)*VLOOKUP(A240,'Output - State'!$B$2:$G$52,6,FALSE)</f>
        <v>1.0889430944536573</v>
      </c>
    </row>
    <row r="241" spans="1:7" x14ac:dyDescent="0.25">
      <c r="A241" s="88">
        <v>6</v>
      </c>
      <c r="B241" s="88">
        <v>107</v>
      </c>
      <c r="C241" s="97">
        <f>SUMIFS(Input!$C$115:$C$3257,Input!$A$115:$A$3257,"="&amp;'Output - County'!A241,Input!$B$115:$B$3257,"="&amp;'Output - County'!B241)*VLOOKUP(A241,'Output - State'!$B$2:$G$52,2,FALSE)</f>
        <v>59.612879701276597</v>
      </c>
      <c r="D241" s="98">
        <f>SUMIFS(Input!$C$115:$C$3257,Input!$A$115:$A$3257,"="&amp;'Output - County'!A241,Input!$B$115:$B$3257,"="&amp;'Output - County'!B241)*VLOOKUP(A241,'Output - State'!$B$2:$G$52,3,FALSE)</f>
        <v>7.2828653211994521</v>
      </c>
      <c r="E241" s="98">
        <f>SUMIFS(Input!$C$115:$C$3257,Input!$A$115:$A$3257,"="&amp;'Output - County'!A241,Input!$B$115:$B$3257,"="&amp;'Output - County'!B241)*VLOOKUP(A241,'Output - State'!$B$2:$G$52,4,FALSE)</f>
        <v>170.53262881788331</v>
      </c>
      <c r="F241" s="98">
        <f>SUMIFS(Input!$C$115:$C$3257,Input!$A$115:$A$3257,"="&amp;'Output - County'!A241,Input!$B$115:$B$3257,"="&amp;'Output - County'!B241)*VLOOKUP(A241,'Output - State'!$B$2:$G$52,5,FALSE)</f>
        <v>116.22331226444228</v>
      </c>
      <c r="G241" s="99">
        <f>SUMIFS(Input!$D$115:$D$3257,Input!$A$115:$A$3257,"="&amp;'Output - County'!A241,Input!$B$115:$B$3257,"="&amp;'Output - County'!B241)*VLOOKUP(A241,'Output - State'!$B$2:$G$52,6,FALSE)</f>
        <v>40.18718562864688</v>
      </c>
    </row>
    <row r="242" spans="1:7" x14ac:dyDescent="0.25">
      <c r="A242" s="88">
        <v>6</v>
      </c>
      <c r="B242" s="88">
        <v>109</v>
      </c>
      <c r="C242" s="97">
        <f>SUMIFS(Input!$C$115:$C$3257,Input!$A$115:$A$3257,"="&amp;'Output - County'!A242,Input!$B$115:$B$3257,"="&amp;'Output - County'!B242)*VLOOKUP(A242,'Output - State'!$B$2:$G$52,2,FALSE)</f>
        <v>8.3534550887304064</v>
      </c>
      <c r="D242" s="98">
        <f>SUMIFS(Input!$C$115:$C$3257,Input!$A$115:$A$3257,"="&amp;'Output - County'!A242,Input!$B$115:$B$3257,"="&amp;'Output - County'!B242)*VLOOKUP(A242,'Output - State'!$B$2:$G$52,3,FALSE)</f>
        <v>1.0205359761643749</v>
      </c>
      <c r="E242" s="98">
        <f>SUMIFS(Input!$C$115:$C$3257,Input!$A$115:$A$3257,"="&amp;'Output - County'!A242,Input!$B$115:$B$3257,"="&amp;'Output - County'!B242)*VLOOKUP(A242,'Output - State'!$B$2:$G$52,4,FALSE)</f>
        <v>23.89645766370878</v>
      </c>
      <c r="F242" s="98">
        <f>SUMIFS(Input!$C$115:$C$3257,Input!$A$115:$A$3257,"="&amp;'Output - County'!A242,Input!$B$115:$B$3257,"="&amp;'Output - County'!B242)*VLOOKUP(A242,'Output - State'!$B$2:$G$52,5,FALSE)</f>
        <v>16.286182182937178</v>
      </c>
      <c r="G242" s="99">
        <f>SUMIFS(Input!$D$115:$D$3257,Input!$A$115:$A$3257,"="&amp;'Output - County'!A242,Input!$B$115:$B$3257,"="&amp;'Output - County'!B242)*VLOOKUP(A242,'Output - State'!$B$2:$G$52,6,FALSE)</f>
        <v>4.7014685982761071</v>
      </c>
    </row>
    <row r="243" spans="1:7" x14ac:dyDescent="0.25">
      <c r="A243" s="88">
        <v>6</v>
      </c>
      <c r="B243" s="88">
        <v>111</v>
      </c>
      <c r="C243" s="97">
        <f>SUMIFS(Input!$C$115:$C$3257,Input!$A$115:$A$3257,"="&amp;'Output - County'!A243,Input!$B$115:$B$3257,"="&amp;'Output - County'!B243)*VLOOKUP(A243,'Output - State'!$B$2:$G$52,2,FALSE)</f>
        <v>101.78104518325141</v>
      </c>
      <c r="D243" s="98">
        <f>SUMIFS(Input!$C$115:$C$3257,Input!$A$115:$A$3257,"="&amp;'Output - County'!A243,Input!$B$115:$B$3257,"="&amp;'Output - County'!B243)*VLOOKUP(A243,'Output - State'!$B$2:$G$52,3,FALSE)</f>
        <v>12.434521667717091</v>
      </c>
      <c r="E243" s="98">
        <f>SUMIFS(Input!$C$115:$C$3257,Input!$A$115:$A$3257,"="&amp;'Output - County'!A243,Input!$B$115:$B$3257,"="&amp;'Output - County'!B243)*VLOOKUP(A243,'Output - State'!$B$2:$G$52,4,FALSE)</f>
        <v>291.1617302487054</v>
      </c>
      <c r="F243" s="98">
        <f>SUMIFS(Input!$C$115:$C$3257,Input!$A$115:$A$3257,"="&amp;'Output - County'!A243,Input!$B$115:$B$3257,"="&amp;'Output - County'!B243)*VLOOKUP(A243,'Output - State'!$B$2:$G$52,5,FALSE)</f>
        <v>198.43581213005913</v>
      </c>
      <c r="G243" s="99">
        <f>SUMIFS(Input!$D$115:$D$3257,Input!$A$115:$A$3257,"="&amp;'Output - County'!A243,Input!$B$115:$B$3257,"="&amp;'Output - County'!B243)*VLOOKUP(A243,'Output - State'!$B$2:$G$52,6,FALSE)</f>
        <v>73.287598737833449</v>
      </c>
    </row>
    <row r="244" spans="1:7" x14ac:dyDescent="0.25">
      <c r="A244" s="88">
        <v>6</v>
      </c>
      <c r="B244" s="88">
        <v>113</v>
      </c>
      <c r="C244" s="97">
        <f>SUMIFS(Input!$C$115:$C$3257,Input!$A$115:$A$3257,"="&amp;'Output - County'!A244,Input!$B$115:$B$3257,"="&amp;'Output - County'!B244)*VLOOKUP(A244,'Output - State'!$B$2:$G$52,2,FALSE)</f>
        <v>33.922304961845676</v>
      </c>
      <c r="D244" s="98">
        <f>SUMIFS(Input!$C$115:$C$3257,Input!$A$115:$A$3257,"="&amp;'Output - County'!A244,Input!$B$115:$B$3257,"="&amp;'Output - County'!B244)*VLOOKUP(A244,'Output - State'!$B$2:$G$52,3,FALSE)</f>
        <v>4.1442651262573946</v>
      </c>
      <c r="E244" s="98">
        <f>SUMIFS(Input!$C$115:$C$3257,Input!$A$115:$A$3257,"="&amp;'Output - County'!A244,Input!$B$115:$B$3257,"="&amp;'Output - County'!B244)*VLOOKUP(A244,'Output - State'!$B$2:$G$52,4,FALSE)</f>
        <v>97.04043605498876</v>
      </c>
      <c r="F244" s="98">
        <f>SUMIFS(Input!$C$115:$C$3257,Input!$A$115:$A$3257,"="&amp;'Output - County'!A244,Input!$B$115:$B$3257,"="&amp;'Output - County'!B244)*VLOOKUP(A244,'Output - State'!$B$2:$G$52,5,FALSE)</f>
        <v>66.136087739203788</v>
      </c>
      <c r="G244" s="99">
        <f>SUMIFS(Input!$D$115:$D$3257,Input!$A$115:$A$3257,"="&amp;'Output - County'!A244,Input!$B$115:$B$3257,"="&amp;'Output - County'!B244)*VLOOKUP(A244,'Output - State'!$B$2:$G$52,6,FALSE)</f>
        <v>19.013292125381319</v>
      </c>
    </row>
    <row r="245" spans="1:7" x14ac:dyDescent="0.25">
      <c r="A245" s="88">
        <v>6</v>
      </c>
      <c r="B245" s="88">
        <v>115</v>
      </c>
      <c r="C245" s="97">
        <f>SUMIFS(Input!$C$115:$C$3257,Input!$A$115:$A$3257,"="&amp;'Output - County'!A245,Input!$B$115:$B$3257,"="&amp;'Output - County'!B245)*VLOOKUP(A245,'Output - State'!$B$2:$G$52,2,FALSE)</f>
        <v>10.935526114076739</v>
      </c>
      <c r="D245" s="98">
        <f>SUMIFS(Input!$C$115:$C$3257,Input!$A$115:$A$3257,"="&amp;'Output - County'!A245,Input!$B$115:$B$3257,"="&amp;'Output - County'!B245)*VLOOKUP(A245,'Output - State'!$B$2:$G$52,3,FALSE)</f>
        <v>1.3359858524595813</v>
      </c>
      <c r="E245" s="98">
        <f>SUMIFS(Input!$C$115:$C$3257,Input!$A$115:$A$3257,"="&amp;'Output - County'!A245,Input!$B$115:$B$3257,"="&amp;'Output - County'!B245)*VLOOKUP(A245,'Output - State'!$B$2:$G$52,4,FALSE)</f>
        <v>31.282904383835408</v>
      </c>
      <c r="F245" s="98">
        <f>SUMIFS(Input!$C$115:$C$3257,Input!$A$115:$A$3257,"="&amp;'Output - County'!A245,Input!$B$115:$B$3257,"="&amp;'Output - County'!B245)*VLOOKUP(A245,'Output - State'!$B$2:$G$52,5,FALSE)</f>
        <v>21.32027630104718</v>
      </c>
      <c r="G245" s="99">
        <f>SUMIFS(Input!$D$115:$D$3257,Input!$A$115:$A$3257,"="&amp;'Output - County'!A245,Input!$B$115:$B$3257,"="&amp;'Output - County'!B245)*VLOOKUP(A245,'Output - State'!$B$2:$G$52,6,FALSE)</f>
        <v>6.7065066769526824</v>
      </c>
    </row>
    <row r="246" spans="1:7" x14ac:dyDescent="0.25">
      <c r="A246" s="88">
        <v>8</v>
      </c>
      <c r="B246" s="88">
        <v>1</v>
      </c>
      <c r="C246" s="97">
        <f>SUMIFS(Input!$C$115:$C$3257,Input!$A$115:$A$3257,"="&amp;'Output - County'!A246,Input!$B$115:$B$3257,"="&amp;'Output - County'!B246)*VLOOKUP(A246,'Output - State'!$B$2:$G$52,2,FALSE)</f>
        <v>85.986650844797452</v>
      </c>
      <c r="D246" s="98">
        <f>SUMIFS(Input!$C$115:$C$3257,Input!$A$115:$A$3257,"="&amp;'Output - County'!A246,Input!$B$115:$B$3257,"="&amp;'Output - County'!B246)*VLOOKUP(A246,'Output - State'!$B$2:$G$52,3,FALSE)</f>
        <v>7.9645229711379582</v>
      </c>
      <c r="E246" s="98">
        <f>SUMIFS(Input!$C$115:$C$3257,Input!$A$115:$A$3257,"="&amp;'Output - County'!A246,Input!$B$115:$B$3257,"="&amp;'Output - County'!B246)*VLOOKUP(A246,'Output - State'!$B$2:$G$52,4,FALSE)</f>
        <v>49.775014451897469</v>
      </c>
      <c r="F246" s="98">
        <f>SUMIFS(Input!$C$115:$C$3257,Input!$A$115:$A$3257,"="&amp;'Output - County'!A246,Input!$B$115:$B$3257,"="&amp;'Output - County'!B246)*VLOOKUP(A246,'Output - State'!$B$2:$G$52,5,FALSE)</f>
        <v>790.08431779261468</v>
      </c>
      <c r="G246" s="99">
        <f>SUMIFS(Input!$D$115:$D$3257,Input!$A$115:$A$3257,"="&amp;'Output - County'!A246,Input!$B$115:$B$3257,"="&amp;'Output - County'!B246)*VLOOKUP(A246,'Output - State'!$B$2:$G$52,6,FALSE)</f>
        <v>7.0396621602834903</v>
      </c>
    </row>
    <row r="247" spans="1:7" x14ac:dyDescent="0.25">
      <c r="A247" s="88">
        <v>8</v>
      </c>
      <c r="B247" s="88">
        <v>3</v>
      </c>
      <c r="C247" s="97">
        <f>SUMIFS(Input!$C$115:$C$3257,Input!$A$115:$A$3257,"="&amp;'Output - County'!A247,Input!$B$115:$B$3257,"="&amp;'Output - County'!B247)*VLOOKUP(A247,'Output - State'!$B$2:$G$52,2,FALSE)</f>
        <v>1.8317766348205244</v>
      </c>
      <c r="D247" s="98">
        <f>SUMIFS(Input!$C$115:$C$3257,Input!$A$115:$A$3257,"="&amp;'Output - County'!A247,Input!$B$115:$B$3257,"="&amp;'Output - County'!B247)*VLOOKUP(A247,'Output - State'!$B$2:$G$52,3,FALSE)</f>
        <v>0.16966851182929357</v>
      </c>
      <c r="E247" s="98">
        <f>SUMIFS(Input!$C$115:$C$3257,Input!$A$115:$A$3257,"="&amp;'Output - County'!A247,Input!$B$115:$B$3257,"="&amp;'Output - County'!B247)*VLOOKUP(A247,'Output - State'!$B$2:$G$52,4,FALSE)</f>
        <v>1.0603588763494245</v>
      </c>
      <c r="F247" s="98">
        <f>SUMIFS(Input!$C$115:$C$3257,Input!$A$115:$A$3257,"="&amp;'Output - County'!A247,Input!$B$115:$B$3257,"="&amp;'Output - County'!B247)*VLOOKUP(A247,'Output - State'!$B$2:$G$52,5,FALSE)</f>
        <v>16.83119389639759</v>
      </c>
      <c r="G247" s="99">
        <f>SUMIFS(Input!$D$115:$D$3257,Input!$A$115:$A$3257,"="&amp;'Output - County'!A247,Input!$B$115:$B$3257,"="&amp;'Output - County'!B247)*VLOOKUP(A247,'Output - State'!$B$2:$G$52,6,FALSE)</f>
        <v>0.2231751996019424</v>
      </c>
    </row>
    <row r="248" spans="1:7" x14ac:dyDescent="0.25">
      <c r="A248" s="88">
        <v>8</v>
      </c>
      <c r="B248" s="88">
        <v>5</v>
      </c>
      <c r="C248" s="97">
        <f>SUMIFS(Input!$C$115:$C$3257,Input!$A$115:$A$3257,"="&amp;'Output - County'!A248,Input!$B$115:$B$3257,"="&amp;'Output - County'!B248)*VLOOKUP(A248,'Output - State'!$B$2:$G$52,2,FALSE)</f>
        <v>79.650346607995914</v>
      </c>
      <c r="D248" s="98">
        <f>SUMIFS(Input!$C$115:$C$3257,Input!$A$115:$A$3257,"="&amp;'Output - County'!A248,Input!$B$115:$B$3257,"="&amp;'Output - County'!B248)*VLOOKUP(A248,'Output - State'!$B$2:$G$52,3,FALSE)</f>
        <v>7.3776220958240311</v>
      </c>
      <c r="E248" s="98">
        <f>SUMIFS(Input!$C$115:$C$3257,Input!$A$115:$A$3257,"="&amp;'Output - County'!A248,Input!$B$115:$B$3257,"="&amp;'Output - County'!B248)*VLOOKUP(A248,'Output - State'!$B$2:$G$52,4,FALSE)</f>
        <v>46.107123775149496</v>
      </c>
      <c r="F248" s="98">
        <f>SUMIFS(Input!$C$115:$C$3257,Input!$A$115:$A$3257,"="&amp;'Output - County'!A248,Input!$B$115:$B$3257,"="&amp;'Output - County'!B248)*VLOOKUP(A248,'Output - State'!$B$2:$G$52,5,FALSE)</f>
        <v>731.86348280165987</v>
      </c>
      <c r="G248" s="99">
        <f>SUMIFS(Input!$D$115:$D$3257,Input!$A$115:$A$3257,"="&amp;'Output - County'!A248,Input!$B$115:$B$3257,"="&amp;'Output - County'!B248)*VLOOKUP(A248,'Output - State'!$B$2:$G$52,6,FALSE)</f>
        <v>8.9821129716337307</v>
      </c>
    </row>
    <row r="249" spans="1:7" x14ac:dyDescent="0.25">
      <c r="A249" s="88">
        <v>8</v>
      </c>
      <c r="B249" s="88">
        <v>7</v>
      </c>
      <c r="C249" s="97">
        <f>SUMIFS(Input!$C$115:$C$3257,Input!$A$115:$A$3257,"="&amp;'Output - County'!A249,Input!$B$115:$B$3257,"="&amp;'Output - County'!B249)*VLOOKUP(A249,'Output - State'!$B$2:$G$52,2,FALSE)</f>
        <v>0.94503710147121145</v>
      </c>
      <c r="D249" s="98">
        <f>SUMIFS(Input!$C$115:$C$3257,Input!$A$115:$A$3257,"="&amp;'Output - County'!A249,Input!$B$115:$B$3257,"="&amp;'Output - County'!B249)*VLOOKUP(A249,'Output - State'!$B$2:$G$52,3,FALSE)</f>
        <v>8.7534165237236908E-2</v>
      </c>
      <c r="E249" s="98">
        <f>SUMIFS(Input!$C$115:$C$3257,Input!$A$115:$A$3257,"="&amp;'Output - County'!A249,Input!$B$115:$B$3257,"="&amp;'Output - County'!B249)*VLOOKUP(A249,'Output - State'!$B$2:$G$52,4,FALSE)</f>
        <v>0.54705276832112959</v>
      </c>
      <c r="F249" s="98">
        <f>SUMIFS(Input!$C$115:$C$3257,Input!$A$115:$A$3257,"="&amp;'Output - County'!A249,Input!$B$115:$B$3257,"="&amp;'Output - County'!B249)*VLOOKUP(A249,'Output - State'!$B$2:$G$52,5,FALSE)</f>
        <v>8.6834291866104003</v>
      </c>
      <c r="G249" s="99">
        <f>SUMIFS(Input!$D$115:$D$3257,Input!$A$115:$A$3257,"="&amp;'Output - County'!A249,Input!$B$115:$B$3257,"="&amp;'Output - County'!B249)*VLOOKUP(A249,'Output - State'!$B$2:$G$52,6,FALSE)</f>
        <v>0.1887345823794204</v>
      </c>
    </row>
    <row r="250" spans="1:7" x14ac:dyDescent="0.25">
      <c r="A250" s="88">
        <v>8</v>
      </c>
      <c r="B250" s="88">
        <v>9</v>
      </c>
      <c r="C250" s="97">
        <f>SUMIFS(Input!$C$115:$C$3257,Input!$A$115:$A$3257,"="&amp;'Output - County'!A250,Input!$B$115:$B$3257,"="&amp;'Output - County'!B250)*VLOOKUP(A250,'Output - State'!$B$2:$G$52,2,FALSE)</f>
        <v>0.43999370126639459</v>
      </c>
      <c r="D250" s="98">
        <f>SUMIFS(Input!$C$115:$C$3257,Input!$A$115:$A$3257,"="&amp;'Output - County'!A250,Input!$B$115:$B$3257,"="&amp;'Output - County'!B250)*VLOOKUP(A250,'Output - State'!$B$2:$G$52,3,FALSE)</f>
        <v>4.075446486708046E-2</v>
      </c>
      <c r="E250" s="98">
        <f>SUMIFS(Input!$C$115:$C$3257,Input!$A$115:$A$3257,"="&amp;'Output - County'!A250,Input!$B$115:$B$3257,"="&amp;'Output - County'!B250)*VLOOKUP(A250,'Output - State'!$B$2:$G$52,4,FALSE)</f>
        <v>0.25469875409856985</v>
      </c>
      <c r="F250" s="98">
        <f>SUMIFS(Input!$C$115:$C$3257,Input!$A$115:$A$3257,"="&amp;'Output - County'!A250,Input!$B$115:$B$3257,"="&amp;'Output - County'!B250)*VLOOKUP(A250,'Output - State'!$B$2:$G$52,5,FALSE)</f>
        <v>4.0428615358629241</v>
      </c>
      <c r="G250" s="99">
        <f>SUMIFS(Input!$D$115:$D$3257,Input!$A$115:$A$3257,"="&amp;'Output - County'!A250,Input!$B$115:$B$3257,"="&amp;'Output - County'!B250)*VLOOKUP(A250,'Output - State'!$B$2:$G$52,6,FALSE)</f>
        <v>4.9318963862651465E-2</v>
      </c>
    </row>
    <row r="251" spans="1:7" x14ac:dyDescent="0.25">
      <c r="A251" s="88">
        <v>8</v>
      </c>
      <c r="B251" s="88">
        <v>11</v>
      </c>
      <c r="C251" s="97">
        <f>SUMIFS(Input!$C$115:$C$3257,Input!$A$115:$A$3257,"="&amp;'Output - County'!A251,Input!$B$115:$B$3257,"="&amp;'Output - County'!B251)*VLOOKUP(A251,'Output - State'!$B$2:$G$52,2,FALSE)</f>
        <v>0.35819655108450277</v>
      </c>
      <c r="D251" s="98">
        <f>SUMIFS(Input!$C$115:$C$3257,Input!$A$115:$A$3257,"="&amp;'Output - County'!A251,Input!$B$115:$B$3257,"="&amp;'Output - County'!B251)*VLOOKUP(A251,'Output - State'!$B$2:$G$52,3,FALSE)</f>
        <v>3.3177994854622521E-2</v>
      </c>
      <c r="E251" s="98">
        <f>SUMIFS(Input!$C$115:$C$3257,Input!$A$115:$A$3257,"="&amp;'Output - County'!A251,Input!$B$115:$B$3257,"="&amp;'Output - County'!B251)*VLOOKUP(A251,'Output - State'!$B$2:$G$52,4,FALSE)</f>
        <v>0.20734891208906406</v>
      </c>
      <c r="F251" s="98">
        <f>SUMIFS(Input!$C$115:$C$3257,Input!$A$115:$A$3257,"="&amp;'Output - County'!A251,Input!$B$115:$B$3257,"="&amp;'Output - County'!B251)*VLOOKUP(A251,'Output - State'!$B$2:$G$52,5,FALSE)</f>
        <v>3.2912722488759405</v>
      </c>
      <c r="G251" s="99">
        <f>SUMIFS(Input!$D$115:$D$3257,Input!$A$115:$A$3257,"="&amp;'Output - County'!A251,Input!$B$115:$B$3257,"="&amp;'Output - County'!B251)*VLOOKUP(A251,'Output - State'!$B$2:$G$52,6,FALSE)</f>
        <v>8.0039994425141064E-2</v>
      </c>
    </row>
    <row r="252" spans="1:7" x14ac:dyDescent="0.25">
      <c r="A252" s="88">
        <v>8</v>
      </c>
      <c r="B252" s="88">
        <v>13</v>
      </c>
      <c r="C252" s="97">
        <f>SUMIFS(Input!$C$115:$C$3257,Input!$A$115:$A$3257,"="&amp;'Output - County'!A252,Input!$B$115:$B$3257,"="&amp;'Output - County'!B252)*VLOOKUP(A252,'Output - State'!$B$2:$G$52,2,FALSE)</f>
        <v>36.147606861292431</v>
      </c>
      <c r="D252" s="98">
        <f>SUMIFS(Input!$C$115:$C$3257,Input!$A$115:$A$3257,"="&amp;'Output - County'!A252,Input!$B$115:$B$3257,"="&amp;'Output - County'!B252)*VLOOKUP(A252,'Output - State'!$B$2:$G$52,3,FALSE)</f>
        <v>3.3481760525604503</v>
      </c>
      <c r="E252" s="98">
        <f>SUMIFS(Input!$C$115:$C$3257,Input!$A$115:$A$3257,"="&amp;'Output - County'!A252,Input!$B$115:$B$3257,"="&amp;'Output - County'!B252)*VLOOKUP(A252,'Output - State'!$B$2:$G$52,4,FALSE)</f>
        <v>20.924732342115647</v>
      </c>
      <c r="F252" s="98">
        <f>SUMIFS(Input!$C$115:$C$3257,Input!$A$115:$A$3257,"="&amp;'Output - County'!A252,Input!$B$115:$B$3257,"="&amp;'Output - County'!B252)*VLOOKUP(A252,'Output - State'!$B$2:$G$52,5,FALSE)</f>
        <v>332.1405942230374</v>
      </c>
      <c r="G252" s="99">
        <f>SUMIFS(Input!$D$115:$D$3257,Input!$A$115:$A$3257,"="&amp;'Output - County'!A252,Input!$B$115:$B$3257,"="&amp;'Output - County'!B252)*VLOOKUP(A252,'Output - State'!$B$2:$G$52,6,FALSE)</f>
        <v>4.4772802389278565</v>
      </c>
    </row>
    <row r="253" spans="1:7" x14ac:dyDescent="0.25">
      <c r="A253" s="88">
        <v>8</v>
      </c>
      <c r="B253" s="88">
        <v>14</v>
      </c>
      <c r="C253" s="97">
        <f>SUMIFS(Input!$C$115:$C$3257,Input!$A$115:$A$3257,"="&amp;'Output - County'!A253,Input!$B$115:$B$3257,"="&amp;'Output - County'!B253)*VLOOKUP(A253,'Output - State'!$B$2:$G$52,2,FALSE)</f>
        <v>12.808326707955507</v>
      </c>
      <c r="D253" s="98">
        <f>SUMIFS(Input!$C$115:$C$3257,Input!$A$115:$A$3257,"="&amp;'Output - County'!A253,Input!$B$115:$B$3257,"="&amp;'Output - County'!B253)*VLOOKUP(A253,'Output - State'!$B$2:$G$52,3,FALSE)</f>
        <v>1.1863726669791979</v>
      </c>
      <c r="E253" s="98">
        <f>SUMIFS(Input!$C$115:$C$3257,Input!$A$115:$A$3257,"="&amp;'Output - County'!A253,Input!$B$115:$B$3257,"="&amp;'Output - County'!B253)*VLOOKUP(A253,'Output - State'!$B$2:$G$52,4,FALSE)</f>
        <v>7.4143444445095881</v>
      </c>
      <c r="F253" s="98">
        <f>SUMIFS(Input!$C$115:$C$3257,Input!$A$115:$A$3257,"="&amp;'Output - County'!A253,Input!$B$115:$B$3257,"="&amp;'Output - County'!B253)*VLOOKUP(A253,'Output - State'!$B$2:$G$52,5,FALSE)</f>
        <v>117.68871062771754</v>
      </c>
      <c r="G253" s="99">
        <f>SUMIFS(Input!$D$115:$D$3257,Input!$A$115:$A$3257,"="&amp;'Output - County'!A253,Input!$B$115:$B$3257,"="&amp;'Output - County'!B253)*VLOOKUP(A253,'Output - State'!$B$2:$G$52,6,FALSE)</f>
        <v>0.954693909408309</v>
      </c>
    </row>
    <row r="254" spans="1:7" x14ac:dyDescent="0.25">
      <c r="A254" s="88">
        <v>8</v>
      </c>
      <c r="B254" s="88">
        <v>15</v>
      </c>
      <c r="C254" s="97">
        <f>SUMIFS(Input!$C$115:$C$3257,Input!$A$115:$A$3257,"="&amp;'Output - County'!A254,Input!$B$115:$B$3257,"="&amp;'Output - County'!B254)*VLOOKUP(A254,'Output - State'!$B$2:$G$52,2,FALSE)</f>
        <v>1.9653213098978033</v>
      </c>
      <c r="D254" s="98">
        <f>SUMIFS(Input!$C$115:$C$3257,Input!$A$115:$A$3257,"="&amp;'Output - County'!A254,Input!$B$115:$B$3257,"="&amp;'Output - County'!B254)*VLOOKUP(A254,'Output - State'!$B$2:$G$52,3,FALSE)</f>
        <v>0.18203810201423909</v>
      </c>
      <c r="E254" s="98">
        <f>SUMIFS(Input!$C$115:$C$3257,Input!$A$115:$A$3257,"="&amp;'Output - County'!A254,Input!$B$115:$B$3257,"="&amp;'Output - County'!B254)*VLOOKUP(A254,'Output - State'!$B$2:$G$52,4,FALSE)</f>
        <v>1.1376637610802347</v>
      </c>
      <c r="F254" s="98">
        <f>SUMIFS(Input!$C$115:$C$3257,Input!$A$115:$A$3257,"="&amp;'Output - County'!A254,Input!$B$115:$B$3257,"="&amp;'Output - County'!B254)*VLOOKUP(A254,'Output - State'!$B$2:$G$52,5,FALSE)</f>
        <v>18.058262894511174</v>
      </c>
      <c r="G254" s="99">
        <f>SUMIFS(Input!$D$115:$D$3257,Input!$A$115:$A$3257,"="&amp;'Output - County'!A254,Input!$B$115:$B$3257,"="&amp;'Output - County'!B254)*VLOOKUP(A254,'Output - State'!$B$2:$G$52,6,FALSE)</f>
        <v>0.27552493778017578</v>
      </c>
    </row>
    <row r="255" spans="1:7" x14ac:dyDescent="0.25">
      <c r="A255" s="88">
        <v>8</v>
      </c>
      <c r="B255" s="88">
        <v>17</v>
      </c>
      <c r="C255" s="97">
        <f>SUMIFS(Input!$C$115:$C$3257,Input!$A$115:$A$3257,"="&amp;'Output - County'!A255,Input!$B$115:$B$3257,"="&amp;'Output - County'!B255)*VLOOKUP(A255,'Output - State'!$B$2:$G$52,2,FALSE)</f>
        <v>0.44941318071778324</v>
      </c>
      <c r="D255" s="98">
        <f>SUMIFS(Input!$C$115:$C$3257,Input!$A$115:$A$3257,"="&amp;'Output - County'!A255,Input!$B$115:$B$3257,"="&amp;'Output - County'!B255)*VLOOKUP(A255,'Output - State'!$B$2:$G$52,3,FALSE)</f>
        <v>4.1626945185009784E-2</v>
      </c>
      <c r="E255" s="98">
        <f>SUMIFS(Input!$C$115:$C$3257,Input!$A$115:$A$3257,"="&amp;'Output - County'!A255,Input!$B$115:$B$3257,"="&amp;'Output - County'!B255)*VLOOKUP(A255,'Output - State'!$B$2:$G$52,4,FALSE)</f>
        <v>0.26015139961058642</v>
      </c>
      <c r="F255" s="98">
        <f>SUMIFS(Input!$C$115:$C$3257,Input!$A$115:$A$3257,"="&amp;'Output - County'!A255,Input!$B$115:$B$3257,"="&amp;'Output - County'!B255)*VLOOKUP(A255,'Output - State'!$B$2:$G$52,5,FALSE)</f>
        <v>4.1294119820449113</v>
      </c>
      <c r="G255" s="99">
        <f>SUMIFS(Input!$D$115:$D$3257,Input!$A$115:$A$3257,"="&amp;'Output - County'!A255,Input!$B$115:$B$3257,"="&amp;'Output - County'!B255)*VLOOKUP(A255,'Output - State'!$B$2:$G$52,6,FALSE)</f>
        <v>2.5623819213556345E-2</v>
      </c>
    </row>
    <row r="256" spans="1:7" x14ac:dyDescent="0.25">
      <c r="A256" s="88">
        <v>8</v>
      </c>
      <c r="B256" s="88">
        <v>19</v>
      </c>
      <c r="C256" s="97">
        <f>SUMIFS(Input!$C$115:$C$3257,Input!$A$115:$A$3257,"="&amp;'Output - County'!A256,Input!$B$115:$B$3257,"="&amp;'Output - County'!B256)*VLOOKUP(A256,'Output - State'!$B$2:$G$52,2,FALSE)</f>
        <v>9.6478142928934219</v>
      </c>
      <c r="D256" s="98">
        <f>SUMIFS(Input!$C$115:$C$3257,Input!$A$115:$A$3257,"="&amp;'Output - County'!A256,Input!$B$115:$B$3257,"="&amp;'Output - County'!B256)*VLOOKUP(A256,'Output - State'!$B$2:$G$52,3,FALSE)</f>
        <v>0.89362985768240233</v>
      </c>
      <c r="E256" s="98">
        <f>SUMIFS(Input!$C$115:$C$3257,Input!$A$115:$A$3257,"="&amp;'Output - County'!A256,Input!$B$115:$B$3257,"="&amp;'Output - County'!B256)*VLOOKUP(A256,'Output - State'!$B$2:$G$52,4,FALSE)</f>
        <v>5.5848214942662615</v>
      </c>
      <c r="F256" s="98">
        <f>SUMIFS(Input!$C$115:$C$3257,Input!$A$115:$A$3257,"="&amp;'Output - County'!A256,Input!$B$115:$B$3257,"="&amp;'Output - County'!B256)*VLOOKUP(A256,'Output - State'!$B$2:$G$52,5,FALSE)</f>
        <v>88.648490188889994</v>
      </c>
      <c r="G256" s="99">
        <f>SUMIFS(Input!$D$115:$D$3257,Input!$A$115:$A$3257,"="&amp;'Output - County'!A256,Input!$B$115:$B$3257,"="&amp;'Output - County'!B256)*VLOOKUP(A256,'Output - State'!$B$2:$G$52,6,FALSE)</f>
        <v>0.13225197013448436</v>
      </c>
    </row>
    <row r="257" spans="1:7" x14ac:dyDescent="0.25">
      <c r="A257" s="88">
        <v>8</v>
      </c>
      <c r="B257" s="88">
        <v>21</v>
      </c>
      <c r="C257" s="97">
        <f>SUMIFS(Input!$C$115:$C$3257,Input!$A$115:$A$3257,"="&amp;'Output - County'!A257,Input!$B$115:$B$3257,"="&amp;'Output - County'!B257)*VLOOKUP(A257,'Output - State'!$B$2:$G$52,2,FALSE)</f>
        <v>0.43278332844234407</v>
      </c>
      <c r="D257" s="98">
        <f>SUMIFS(Input!$C$115:$C$3257,Input!$A$115:$A$3257,"="&amp;'Output - County'!A257,Input!$B$115:$B$3257,"="&amp;'Output - County'!B257)*VLOOKUP(A257,'Output - State'!$B$2:$G$52,3,FALSE)</f>
        <v>4.0086603292947602E-2</v>
      </c>
      <c r="E257" s="98">
        <f>SUMIFS(Input!$C$115:$C$3257,Input!$A$115:$A$3257,"="&amp;'Output - County'!A257,Input!$B$115:$B$3257,"="&amp;'Output - County'!B257)*VLOOKUP(A257,'Output - State'!$B$2:$G$52,4,FALSE)</f>
        <v>0.25052489213285056</v>
      </c>
      <c r="F257" s="98">
        <f>SUMIFS(Input!$C$115:$C$3257,Input!$A$115:$A$3257,"="&amp;'Output - County'!A257,Input!$B$115:$B$3257,"="&amp;'Output - County'!B257)*VLOOKUP(A257,'Output - State'!$B$2:$G$52,5,FALSE)</f>
        <v>3.9766093625575256</v>
      </c>
      <c r="G257" s="99">
        <f>SUMIFS(Input!$D$115:$D$3257,Input!$A$115:$A$3257,"="&amp;'Output - County'!A257,Input!$B$115:$B$3257,"="&amp;'Output - County'!B257)*VLOOKUP(A257,'Output - State'!$B$2:$G$52,6,FALSE)</f>
        <v>0.11268969955209189</v>
      </c>
    </row>
    <row r="258" spans="1:7" x14ac:dyDescent="0.25">
      <c r="A258" s="88">
        <v>8</v>
      </c>
      <c r="B258" s="88">
        <v>23</v>
      </c>
      <c r="C258" s="97">
        <f>SUMIFS(Input!$C$115:$C$3257,Input!$A$115:$A$3257,"="&amp;'Output - County'!A258,Input!$B$115:$B$3257,"="&amp;'Output - County'!B258)*VLOOKUP(A258,'Output - State'!$B$2:$G$52,2,FALSE)</f>
        <v>0.43173425588220948</v>
      </c>
      <c r="D258" s="98">
        <f>SUMIFS(Input!$C$115:$C$3257,Input!$A$115:$A$3257,"="&amp;'Output - County'!A258,Input!$B$115:$B$3257,"="&amp;'Output - County'!B258)*VLOOKUP(A258,'Output - State'!$B$2:$G$52,3,FALSE)</f>
        <v>3.9989432831934249E-2</v>
      </c>
      <c r="E258" s="98">
        <f>SUMIFS(Input!$C$115:$C$3257,Input!$A$115:$A$3257,"="&amp;'Output - County'!A258,Input!$B$115:$B$3257,"="&amp;'Output - County'!B258)*VLOOKUP(A258,'Output - State'!$B$2:$G$52,4,FALSE)</f>
        <v>0.24991761645309371</v>
      </c>
      <c r="F258" s="98">
        <f>SUMIFS(Input!$C$115:$C$3257,Input!$A$115:$A$3257,"="&amp;'Output - County'!A258,Input!$B$115:$B$3257,"="&amp;'Output - County'!B258)*VLOOKUP(A258,'Output - State'!$B$2:$G$52,5,FALSE)</f>
        <v>3.9669700084270225</v>
      </c>
      <c r="G258" s="99">
        <f>SUMIFS(Input!$D$115:$D$3257,Input!$A$115:$A$3257,"="&amp;'Output - County'!A258,Input!$B$115:$B$3257,"="&amp;'Output - County'!B258)*VLOOKUP(A258,'Output - State'!$B$2:$G$52,6,FALSE)</f>
        <v>5.2487500647123486E-2</v>
      </c>
    </row>
    <row r="259" spans="1:7" x14ac:dyDescent="0.25">
      <c r="A259" s="88">
        <v>8</v>
      </c>
      <c r="B259" s="88">
        <v>25</v>
      </c>
      <c r="C259" s="97">
        <f>SUMIFS(Input!$C$115:$C$3257,Input!$A$115:$A$3257,"="&amp;'Output - County'!A259,Input!$B$115:$B$3257,"="&amp;'Output - County'!B259)*VLOOKUP(A259,'Output - State'!$B$2:$G$52,2,FALSE)</f>
        <v>0.23553671149010666</v>
      </c>
      <c r="D259" s="98">
        <f>SUMIFS(Input!$C$115:$C$3257,Input!$A$115:$A$3257,"="&amp;'Output - County'!A259,Input!$B$115:$B$3257,"="&amp;'Output - County'!B259)*VLOOKUP(A259,'Output - State'!$B$2:$G$52,3,FALSE)</f>
        <v>2.1816613750839563E-2</v>
      </c>
      <c r="E259" s="98">
        <f>SUMIFS(Input!$C$115:$C$3257,Input!$A$115:$A$3257,"="&amp;'Output - County'!A259,Input!$B$115:$B$3257,"="&amp;'Output - County'!B259)*VLOOKUP(A259,'Output - State'!$B$2:$G$52,4,FALSE)</f>
        <v>0.13634492218488126</v>
      </c>
      <c r="F259" s="98">
        <f>SUMIFS(Input!$C$115:$C$3257,Input!$A$115:$A$3257,"="&amp;'Output - County'!A259,Input!$B$115:$B$3257,"="&amp;'Output - County'!B259)*VLOOKUP(A259,'Output - State'!$B$2:$G$52,5,FALSE)</f>
        <v>2.16421805227266</v>
      </c>
      <c r="G259" s="99">
        <f>SUMIFS(Input!$D$115:$D$3257,Input!$A$115:$A$3257,"="&amp;'Output - County'!A259,Input!$B$115:$B$3257,"="&amp;'Output - County'!B259)*VLOOKUP(A259,'Output - State'!$B$2:$G$52,6,FALSE)</f>
        <v>8.2106431458492377E-2</v>
      </c>
    </row>
    <row r="260" spans="1:7" x14ac:dyDescent="0.25">
      <c r="A260" s="88">
        <v>8</v>
      </c>
      <c r="B260" s="88">
        <v>27</v>
      </c>
      <c r="C260" s="97">
        <f>SUMIFS(Input!$C$115:$C$3257,Input!$A$115:$A$3257,"="&amp;'Output - County'!A260,Input!$B$115:$B$3257,"="&amp;'Output - County'!B260)*VLOOKUP(A260,'Output - State'!$B$2:$G$52,2,FALSE)</f>
        <v>0.26112981511245392</v>
      </c>
      <c r="D260" s="98">
        <f>SUMIFS(Input!$C$115:$C$3257,Input!$A$115:$A$3257,"="&amp;'Output - County'!A260,Input!$B$115:$B$3257,"="&amp;'Output - County'!B260)*VLOOKUP(A260,'Output - State'!$B$2:$G$52,3,FALSE)</f>
        <v>2.4187177782584633E-2</v>
      </c>
      <c r="E260" s="98">
        <f>SUMIFS(Input!$C$115:$C$3257,Input!$A$115:$A$3257,"="&amp;'Output - County'!A260,Input!$B$115:$B$3257,"="&amp;'Output - County'!B260)*VLOOKUP(A260,'Output - State'!$B$2:$G$52,4,FALSE)</f>
        <v>0.15115997882629623</v>
      </c>
      <c r="F260" s="98">
        <f>SUMIFS(Input!$C$115:$C$3257,Input!$A$115:$A$3257,"="&amp;'Output - County'!A260,Input!$B$115:$B$3257,"="&amp;'Output - County'!B260)*VLOOKUP(A260,'Output - State'!$B$2:$G$52,5,FALSE)</f>
        <v>2.3993790873518788</v>
      </c>
      <c r="G260" s="99">
        <f>SUMIFS(Input!$D$115:$D$3257,Input!$A$115:$A$3257,"="&amp;'Output - County'!A260,Input!$B$115:$B$3257,"="&amp;'Output - County'!B260)*VLOOKUP(A260,'Output - State'!$B$2:$G$52,6,FALSE)</f>
        <v>6.7916897162813336E-2</v>
      </c>
    </row>
    <row r="261" spans="1:7" x14ac:dyDescent="0.25">
      <c r="A261" s="88">
        <v>8</v>
      </c>
      <c r="B261" s="88">
        <v>29</v>
      </c>
      <c r="C261" s="97">
        <f>SUMIFS(Input!$C$115:$C$3257,Input!$A$115:$A$3257,"="&amp;'Output - County'!A261,Input!$B$115:$B$3257,"="&amp;'Output - County'!B261)*VLOOKUP(A261,'Output - State'!$B$2:$G$52,2,FALSE)</f>
        <v>2.4683978425281077</v>
      </c>
      <c r="D261" s="98">
        <f>SUMIFS(Input!$C$115:$C$3257,Input!$A$115:$A$3257,"="&amp;'Output - County'!A261,Input!$B$115:$B$3257,"="&amp;'Output - County'!B261)*VLOOKUP(A261,'Output - State'!$B$2:$G$52,3,FALSE)</f>
        <v>0.22863562105945168</v>
      </c>
      <c r="E261" s="98">
        <f>SUMIFS(Input!$C$115:$C$3257,Input!$A$115:$A$3257,"="&amp;'Output - County'!A261,Input!$B$115:$B$3257,"="&amp;'Output - County'!B261)*VLOOKUP(A261,'Output - State'!$B$2:$G$52,4,FALSE)</f>
        <v>1.4288792164569217</v>
      </c>
      <c r="F261" s="98">
        <f>SUMIFS(Input!$C$115:$C$3257,Input!$A$115:$A$3257,"="&amp;'Output - County'!A261,Input!$B$115:$B$3257,"="&amp;'Output - County'!B261)*VLOOKUP(A261,'Output - State'!$B$2:$G$52,5,FALSE)</f>
        <v>22.68075807458408</v>
      </c>
      <c r="G261" s="99">
        <f>SUMIFS(Input!$D$115:$D$3257,Input!$A$115:$A$3257,"="&amp;'Output - County'!A261,Input!$B$115:$B$3257,"="&amp;'Output - County'!B261)*VLOOKUP(A261,'Output - State'!$B$2:$G$52,6,FALSE)</f>
        <v>0.42568602887037155</v>
      </c>
    </row>
    <row r="262" spans="1:7" x14ac:dyDescent="0.25">
      <c r="A262" s="88">
        <v>8</v>
      </c>
      <c r="B262" s="88">
        <v>31</v>
      </c>
      <c r="C262" s="97">
        <f>SUMIFS(Input!$C$115:$C$3257,Input!$A$115:$A$3257,"="&amp;'Output - County'!A262,Input!$B$115:$B$3257,"="&amp;'Output - County'!B262)*VLOOKUP(A262,'Output - State'!$B$2:$G$52,2,FALSE)</f>
        <v>105.21800327984181</v>
      </c>
      <c r="D262" s="98">
        <f>SUMIFS(Input!$C$115:$C$3257,Input!$A$115:$A$3257,"="&amp;'Output - County'!A262,Input!$B$115:$B$3257,"="&amp;'Output - County'!B262)*VLOOKUP(A262,'Output - State'!$B$2:$G$52,3,FALSE)</f>
        <v>9.7458291009862297</v>
      </c>
      <c r="E262" s="98">
        <f>SUMIFS(Input!$C$115:$C$3257,Input!$A$115:$A$3257,"="&amp;'Output - County'!A262,Input!$B$115:$B$3257,"="&amp;'Output - County'!B262)*VLOOKUP(A262,'Output - State'!$B$2:$G$52,4,FALSE)</f>
        <v>60.907449963447384</v>
      </c>
      <c r="F262" s="98">
        <f>SUMIFS(Input!$C$115:$C$3257,Input!$A$115:$A$3257,"="&amp;'Output - County'!A262,Input!$B$115:$B$3257,"="&amp;'Output - County'!B262)*VLOOKUP(A262,'Output - State'!$B$2:$G$52,5,FALSE)</f>
        <v>966.79069976691255</v>
      </c>
      <c r="G262" s="99">
        <f>SUMIFS(Input!$D$115:$D$3257,Input!$A$115:$A$3257,"="&amp;'Output - County'!A262,Input!$B$115:$B$3257,"="&amp;'Output - County'!B262)*VLOOKUP(A262,'Output - State'!$B$2:$G$52,6,FALSE)</f>
        <v>9.8637927725302941</v>
      </c>
    </row>
    <row r="263" spans="1:7" x14ac:dyDescent="0.25">
      <c r="A263" s="88">
        <v>8</v>
      </c>
      <c r="B263" s="88">
        <v>33</v>
      </c>
      <c r="C263" s="97">
        <f>SUMIFS(Input!$C$115:$C$3257,Input!$A$115:$A$3257,"="&amp;'Output - County'!A263,Input!$B$115:$B$3257,"="&amp;'Output - County'!B263)*VLOOKUP(A263,'Output - State'!$B$2:$G$52,2,FALSE)</f>
        <v>0.26701535925852632</v>
      </c>
      <c r="D263" s="98">
        <f>SUMIFS(Input!$C$115:$C$3257,Input!$A$115:$A$3257,"="&amp;'Output - County'!A263,Input!$B$115:$B$3257,"="&amp;'Output - County'!B263)*VLOOKUP(A263,'Output - State'!$B$2:$G$52,3,FALSE)</f>
        <v>2.4732326955025929E-2</v>
      </c>
      <c r="E263" s="98">
        <f>SUMIFS(Input!$C$115:$C$3257,Input!$A$115:$A$3257,"="&amp;'Output - County'!A263,Input!$B$115:$B$3257,"="&amp;'Output - County'!B263)*VLOOKUP(A263,'Output - State'!$B$2:$G$52,4,FALSE)</f>
        <v>0.15456693841885905</v>
      </c>
      <c r="F263" s="98">
        <f>SUMIFS(Input!$C$115:$C$3257,Input!$A$115:$A$3257,"="&amp;'Output - County'!A263,Input!$B$115:$B$3257,"="&amp;'Output - County'!B263)*VLOOKUP(A263,'Output - State'!$B$2:$G$52,5,FALSE)</f>
        <v>2.4534581343411737</v>
      </c>
      <c r="G263" s="99">
        <f>SUMIFS(Input!$D$115:$D$3257,Input!$A$115:$A$3257,"="&amp;'Output - County'!A263,Input!$B$115:$B$3257,"="&amp;'Output - County'!B263)*VLOOKUP(A263,'Output - State'!$B$2:$G$52,6,FALSE)</f>
        <v>2.8379068591358105E-2</v>
      </c>
    </row>
    <row r="264" spans="1:7" x14ac:dyDescent="0.25">
      <c r="A264" s="88">
        <v>8</v>
      </c>
      <c r="B264" s="88">
        <v>35</v>
      </c>
      <c r="C264" s="97">
        <f>SUMIFS(Input!$C$115:$C$3257,Input!$A$115:$A$3257,"="&amp;'Output - County'!A264,Input!$B$115:$B$3257,"="&amp;'Output - County'!B264)*VLOOKUP(A264,'Output - State'!$B$2:$G$52,2,FALSE)</f>
        <v>54.695914638102884</v>
      </c>
      <c r="D264" s="98">
        <f>SUMIFS(Input!$C$115:$C$3257,Input!$A$115:$A$3257,"="&amp;'Output - County'!A264,Input!$B$115:$B$3257,"="&amp;'Output - County'!B264)*VLOOKUP(A264,'Output - State'!$B$2:$G$52,3,FALSE)</f>
        <v>5.0662150959788033</v>
      </c>
      <c r="E264" s="98">
        <f>SUMIFS(Input!$C$115:$C$3257,Input!$A$115:$A$3257,"="&amp;'Output - County'!A264,Input!$B$115:$B$3257,"="&amp;'Output - County'!B264)*VLOOKUP(A264,'Output - State'!$B$2:$G$52,4,FALSE)</f>
        <v>31.661774412929624</v>
      </c>
      <c r="F264" s="98">
        <f>SUMIFS(Input!$C$115:$C$3257,Input!$A$115:$A$3257,"="&amp;'Output - County'!A264,Input!$B$115:$B$3257,"="&amp;'Output - County'!B264)*VLOOKUP(A264,'Output - State'!$B$2:$G$52,5,FALSE)</f>
        <v>502.57085231623779</v>
      </c>
      <c r="G264" s="99">
        <f>SUMIFS(Input!$D$115:$D$3257,Input!$A$115:$A$3257,"="&amp;'Output - County'!A264,Input!$B$115:$B$3257,"="&amp;'Output - County'!B264)*VLOOKUP(A264,'Output - State'!$B$2:$G$52,6,FALSE)</f>
        <v>4.725252682930015</v>
      </c>
    </row>
    <row r="265" spans="1:7" x14ac:dyDescent="0.25">
      <c r="A265" s="88">
        <v>8</v>
      </c>
      <c r="B265" s="88">
        <v>37</v>
      </c>
      <c r="C265" s="97">
        <f>SUMIFS(Input!$C$115:$C$3257,Input!$A$115:$A$3257,"="&amp;'Output - County'!A265,Input!$B$115:$B$3257,"="&amp;'Output - County'!B265)*VLOOKUP(A265,'Output - State'!$B$2:$G$52,2,FALSE)</f>
        <v>15.421604948999429</v>
      </c>
      <c r="D265" s="98">
        <f>SUMIFS(Input!$C$115:$C$3257,Input!$A$115:$A$3257,"="&amp;'Output - County'!A265,Input!$B$115:$B$3257,"="&amp;'Output - County'!B265)*VLOOKUP(A265,'Output - State'!$B$2:$G$52,3,FALSE)</f>
        <v>1.4284278508511328</v>
      </c>
      <c r="E265" s="98">
        <f>SUMIFS(Input!$C$115:$C$3257,Input!$A$115:$A$3257,"="&amp;'Output - County'!A265,Input!$B$115:$B$3257,"="&amp;'Output - County'!B265)*VLOOKUP(A265,'Output - State'!$B$2:$G$52,4,FALSE)</f>
        <v>8.9270904456251863</v>
      </c>
      <c r="F265" s="98">
        <f>SUMIFS(Input!$C$115:$C$3257,Input!$A$115:$A$3257,"="&amp;'Output - County'!A265,Input!$B$115:$B$3257,"="&amp;'Output - County'!B265)*VLOOKUP(A265,'Output - State'!$B$2:$G$52,5,FALSE)</f>
        <v>141.70069546480806</v>
      </c>
      <c r="G265" s="99">
        <f>SUMIFS(Input!$D$115:$D$3257,Input!$A$115:$A$3257,"="&amp;'Output - County'!A265,Input!$B$115:$B$3257,"="&amp;'Output - County'!B265)*VLOOKUP(A265,'Output - State'!$B$2:$G$52,6,FALSE)</f>
        <v>0.75631595420658249</v>
      </c>
    </row>
    <row r="266" spans="1:7" x14ac:dyDescent="0.25">
      <c r="A266" s="88">
        <v>8</v>
      </c>
      <c r="B266" s="88">
        <v>39</v>
      </c>
      <c r="C266" s="97">
        <f>SUMIFS(Input!$C$115:$C$3257,Input!$A$115:$A$3257,"="&amp;'Output - County'!A266,Input!$B$115:$B$3257,"="&amp;'Output - County'!B266)*VLOOKUP(A266,'Output - State'!$B$2:$G$52,2,FALSE)</f>
        <v>3.4650259438437416</v>
      </c>
      <c r="D266" s="98">
        <f>SUMIFS(Input!$C$115:$C$3257,Input!$A$115:$A$3257,"="&amp;'Output - County'!A266,Input!$B$115:$B$3257,"="&amp;'Output - County'!B266)*VLOOKUP(A266,'Output - State'!$B$2:$G$52,3,FALSE)</f>
        <v>0.32094840831915267</v>
      </c>
      <c r="E266" s="98">
        <f>SUMIFS(Input!$C$115:$C$3257,Input!$A$115:$A$3257,"="&amp;'Output - County'!A266,Input!$B$115:$B$3257,"="&amp;'Output - County'!B266)*VLOOKUP(A266,'Output - State'!$B$2:$G$52,4,FALSE)</f>
        <v>2.0057964199853142</v>
      </c>
      <c r="F266" s="98">
        <f>SUMIFS(Input!$C$115:$C$3257,Input!$A$115:$A$3257,"="&amp;'Output - County'!A266,Input!$B$115:$B$3257,"="&amp;'Output - County'!B266)*VLOOKUP(A266,'Output - State'!$B$2:$G$52,5,FALSE)</f>
        <v>31.838228749214426</v>
      </c>
      <c r="G266" s="99">
        <f>SUMIFS(Input!$D$115:$D$3257,Input!$A$115:$A$3257,"="&amp;'Output - County'!A266,Input!$B$115:$B$3257,"="&amp;'Output - County'!B266)*VLOOKUP(A266,'Output - State'!$B$2:$G$52,6,FALSE)</f>
        <v>0.36231529318093114</v>
      </c>
    </row>
    <row r="267" spans="1:7" x14ac:dyDescent="0.25">
      <c r="A267" s="88">
        <v>8</v>
      </c>
      <c r="B267" s="88">
        <v>41</v>
      </c>
      <c r="C267" s="97">
        <f>SUMIFS(Input!$C$115:$C$3257,Input!$A$115:$A$3257,"="&amp;'Output - County'!A267,Input!$B$115:$B$3257,"="&amp;'Output - County'!B267)*VLOOKUP(A267,'Output - State'!$B$2:$G$52,2,FALSE)</f>
        <v>93.404662525716873</v>
      </c>
      <c r="D267" s="98">
        <f>SUMIFS(Input!$C$115:$C$3257,Input!$A$115:$A$3257,"="&amp;'Output - County'!A267,Input!$B$115:$B$3257,"="&amp;'Output - County'!B267)*VLOOKUP(A267,'Output - State'!$B$2:$G$52,3,FALSE)</f>
        <v>8.651617117175709</v>
      </c>
      <c r="E267" s="98">
        <f>SUMIFS(Input!$C$115:$C$3257,Input!$A$115:$A$3257,"="&amp;'Output - County'!A267,Input!$B$115:$B$3257,"="&amp;'Output - County'!B267)*VLOOKUP(A267,'Output - State'!$B$2:$G$52,4,FALSE)</f>
        <v>54.069072134043466</v>
      </c>
      <c r="F267" s="98">
        <f>SUMIFS(Input!$C$115:$C$3257,Input!$A$115:$A$3257,"="&amp;'Output - County'!A267,Input!$B$115:$B$3257,"="&amp;'Output - County'!B267)*VLOOKUP(A267,'Output - State'!$B$2:$G$52,5,FALSE)</f>
        <v>858.24437101849821</v>
      </c>
      <c r="G267" s="99">
        <f>SUMIFS(Input!$D$115:$D$3257,Input!$A$115:$A$3257,"="&amp;'Output - County'!A267,Input!$B$115:$B$3257,"="&amp;'Output - County'!B267)*VLOOKUP(A267,'Output - State'!$B$2:$G$52,6,FALSE)</f>
        <v>9.8086877849742571</v>
      </c>
    </row>
    <row r="268" spans="1:7" x14ac:dyDescent="0.25">
      <c r="A268" s="88">
        <v>8</v>
      </c>
      <c r="B268" s="88">
        <v>43</v>
      </c>
      <c r="C268" s="97">
        <f>SUMIFS(Input!$C$115:$C$3257,Input!$A$115:$A$3257,"="&amp;'Output - County'!A268,Input!$B$115:$B$3257,"="&amp;'Output - County'!B268)*VLOOKUP(A268,'Output - State'!$B$2:$G$52,2,FALSE)</f>
        <v>4.167368696877908</v>
      </c>
      <c r="D268" s="98">
        <f>SUMIFS(Input!$C$115:$C$3257,Input!$A$115:$A$3257,"="&amp;'Output - County'!A268,Input!$B$115:$B$3257,"="&amp;'Output - County'!B268)*VLOOKUP(A268,'Output - State'!$B$2:$G$52,3,FALSE)</f>
        <v>0.38600298289782214</v>
      </c>
      <c r="E268" s="98">
        <f>SUMIFS(Input!$C$115:$C$3257,Input!$A$115:$A$3257,"="&amp;'Output - County'!A268,Input!$B$115:$B$3257,"="&amp;'Output - County'!B268)*VLOOKUP(A268,'Output - State'!$B$2:$G$52,4,FALSE)</f>
        <v>2.412360931325114</v>
      </c>
      <c r="F268" s="98">
        <f>SUMIFS(Input!$C$115:$C$3257,Input!$A$115:$A$3257,"="&amp;'Output - County'!A268,Input!$B$115:$B$3257,"="&amp;'Output - County'!B268)*VLOOKUP(A268,'Output - State'!$B$2:$G$52,5,FALSE)</f>
        <v>38.291672271385991</v>
      </c>
      <c r="G268" s="99">
        <f>SUMIFS(Input!$D$115:$D$3257,Input!$A$115:$A$3257,"="&amp;'Output - County'!A268,Input!$B$115:$B$3257,"="&amp;'Output - County'!B268)*VLOOKUP(A268,'Output - State'!$B$2:$G$52,6,FALSE)</f>
        <v>0.66125985067242177</v>
      </c>
    </row>
    <row r="269" spans="1:7" x14ac:dyDescent="0.25">
      <c r="A269" s="88">
        <v>8</v>
      </c>
      <c r="B269" s="88">
        <v>45</v>
      </c>
      <c r="C269" s="97">
        <f>SUMIFS(Input!$C$115:$C$3257,Input!$A$115:$A$3257,"="&amp;'Output - County'!A269,Input!$B$115:$B$3257,"="&amp;'Output - County'!B269)*VLOOKUP(A269,'Output - State'!$B$2:$G$52,2,FALSE)</f>
        <v>15.583996867859803</v>
      </c>
      <c r="D269" s="98">
        <f>SUMIFS(Input!$C$115:$C$3257,Input!$A$115:$A$3257,"="&amp;'Output - County'!A269,Input!$B$115:$B$3257,"="&amp;'Output - County'!B269)*VLOOKUP(A269,'Output - State'!$B$2:$G$52,3,FALSE)</f>
        <v>1.4434694201573395</v>
      </c>
      <c r="E269" s="98">
        <f>SUMIFS(Input!$C$115:$C$3257,Input!$A$115:$A$3257,"="&amp;'Output - County'!A269,Input!$B$115:$B$3257,"="&amp;'Output - County'!B269)*VLOOKUP(A269,'Output - State'!$B$2:$G$52,4,FALSE)</f>
        <v>9.0210941081557348</v>
      </c>
      <c r="F269" s="98">
        <f>SUMIFS(Input!$C$115:$C$3257,Input!$A$115:$A$3257,"="&amp;'Output - County'!A269,Input!$B$115:$B$3257,"="&amp;'Output - County'!B269)*VLOOKUP(A269,'Output - State'!$B$2:$G$52,5,FALSE)</f>
        <v>143.19282601259988</v>
      </c>
      <c r="G269" s="99">
        <f>SUMIFS(Input!$D$115:$D$3257,Input!$A$115:$A$3257,"="&amp;'Output - County'!A269,Input!$B$115:$B$3257,"="&amp;'Output - County'!B269)*VLOOKUP(A269,'Output - State'!$B$2:$G$52,6,FALSE)</f>
        <v>0.8224419392738247</v>
      </c>
    </row>
    <row r="270" spans="1:7" x14ac:dyDescent="0.25">
      <c r="A270" s="88">
        <v>8</v>
      </c>
      <c r="B270" s="88">
        <v>47</v>
      </c>
      <c r="C270" s="97">
        <f>SUMIFS(Input!$C$115:$C$3257,Input!$A$115:$A$3257,"="&amp;'Output - County'!A270,Input!$B$115:$B$3257,"="&amp;'Output - County'!B270)*VLOOKUP(A270,'Output - State'!$B$2:$G$52,2,FALSE)</f>
        <v>0.32336221175454899</v>
      </c>
      <c r="D270" s="98">
        <f>SUMIFS(Input!$C$115:$C$3257,Input!$A$115:$A$3257,"="&amp;'Output - County'!A270,Input!$B$115:$B$3257,"="&amp;'Output - County'!B270)*VLOOKUP(A270,'Output - State'!$B$2:$G$52,3,FALSE)</f>
        <v>2.9951460351277374E-2</v>
      </c>
      <c r="E270" s="98">
        <f>SUMIFS(Input!$C$115:$C$3257,Input!$A$115:$A$3257,"="&amp;'Output - County'!A270,Input!$B$115:$B$3257,"="&amp;'Output - County'!B270)*VLOOKUP(A270,'Output - State'!$B$2:$G$52,4,FALSE)</f>
        <v>0.18718438972965348</v>
      </c>
      <c r="F270" s="98">
        <f>SUMIFS(Input!$C$115:$C$3257,Input!$A$115:$A$3257,"="&amp;'Output - County'!A270,Input!$B$115:$B$3257,"="&amp;'Output - County'!B270)*VLOOKUP(A270,'Output - State'!$B$2:$G$52,5,FALSE)</f>
        <v>2.9711985519140804</v>
      </c>
      <c r="G270" s="99">
        <f>SUMIFS(Input!$D$115:$D$3257,Input!$A$115:$A$3257,"="&amp;'Output - County'!A270,Input!$B$115:$B$3257,"="&amp;'Output - County'!B270)*VLOOKUP(A270,'Output - State'!$B$2:$G$52,6,FALSE)</f>
        <v>8.4172868491843703E-2</v>
      </c>
    </row>
    <row r="271" spans="1:7" x14ac:dyDescent="0.25">
      <c r="A271" s="88">
        <v>8</v>
      </c>
      <c r="B271" s="88">
        <v>49</v>
      </c>
      <c r="C271" s="97">
        <f>SUMIFS(Input!$C$115:$C$3257,Input!$A$115:$A$3257,"="&amp;'Output - County'!A271,Input!$B$115:$B$3257,"="&amp;'Output - County'!B271)*VLOOKUP(A271,'Output - State'!$B$2:$G$52,2,FALSE)</f>
        <v>1.6302687152740305</v>
      </c>
      <c r="D271" s="98">
        <f>SUMIFS(Input!$C$115:$C$3257,Input!$A$115:$A$3257,"="&amp;'Output - County'!A271,Input!$B$115:$B$3257,"="&amp;'Output - County'!B271)*VLOOKUP(A271,'Output - State'!$B$2:$G$52,3,FALSE)</f>
        <v>0.15100381866673421</v>
      </c>
      <c r="E271" s="98">
        <f>SUMIFS(Input!$C$115:$C$3257,Input!$A$115:$A$3257,"="&amp;'Output - County'!A271,Input!$B$115:$B$3257,"="&amp;'Output - County'!B271)*VLOOKUP(A271,'Output - State'!$B$2:$G$52,4,FALSE)</f>
        <v>0.9437121700402975</v>
      </c>
      <c r="F271" s="98">
        <f>SUMIFS(Input!$C$115:$C$3257,Input!$A$115:$A$3257,"="&amp;'Output - County'!A271,Input!$B$115:$B$3257,"="&amp;'Output - County'!B271)*VLOOKUP(A271,'Output - State'!$B$2:$G$52,5,FALSE)</f>
        <v>14.979647806620637</v>
      </c>
      <c r="G271" s="99">
        <f>SUMIFS(Input!$D$115:$D$3257,Input!$A$115:$A$3257,"="&amp;'Output - County'!A271,Input!$B$115:$B$3257,"="&amp;'Output - County'!B271)*VLOOKUP(A271,'Output - State'!$B$2:$G$52,6,FALSE)</f>
        <v>0.2135318267796362</v>
      </c>
    </row>
    <row r="272" spans="1:7" x14ac:dyDescent="0.25">
      <c r="A272" s="88">
        <v>8</v>
      </c>
      <c r="B272" s="88">
        <v>51</v>
      </c>
      <c r="C272" s="97">
        <f>SUMIFS(Input!$C$115:$C$3257,Input!$A$115:$A$3257,"="&amp;'Output - County'!A272,Input!$B$115:$B$3257,"="&amp;'Output - County'!B272)*VLOOKUP(A272,'Output - State'!$B$2:$G$52,2,FALSE)</f>
        <v>1.6515591979135271</v>
      </c>
      <c r="D272" s="98">
        <f>SUMIFS(Input!$C$115:$C$3257,Input!$A$115:$A$3257,"="&amp;'Output - County'!A272,Input!$B$115:$B$3257,"="&amp;'Output - County'!B272)*VLOOKUP(A272,'Output - State'!$B$2:$G$52,3,FALSE)</f>
        <v>0.15297585195774993</v>
      </c>
      <c r="E272" s="98">
        <f>SUMIFS(Input!$C$115:$C$3257,Input!$A$115:$A$3257,"="&amp;'Output - County'!A272,Input!$B$115:$B$3257,"="&amp;'Output - County'!B272)*VLOOKUP(A272,'Output - State'!$B$2:$G$52,4,FALSE)</f>
        <v>0.95603657238248896</v>
      </c>
      <c r="F272" s="98">
        <f>SUMIFS(Input!$C$115:$C$3257,Input!$A$115:$A$3257,"="&amp;'Output - County'!A272,Input!$B$115:$B$3257,"="&amp;'Output - County'!B272)*VLOOKUP(A272,'Output - State'!$B$2:$G$52,5,FALSE)</f>
        <v>15.175274410127546</v>
      </c>
      <c r="G272" s="99">
        <f>SUMIFS(Input!$D$115:$D$3257,Input!$A$115:$A$3257,"="&amp;'Output - County'!A272,Input!$B$115:$B$3257,"="&amp;'Output - County'!B272)*VLOOKUP(A272,'Output - State'!$B$2:$G$52,6,FALSE)</f>
        <v>0.23695144649095118</v>
      </c>
    </row>
    <row r="273" spans="1:7" x14ac:dyDescent="0.25">
      <c r="A273" s="88">
        <v>8</v>
      </c>
      <c r="B273" s="88">
        <v>53</v>
      </c>
      <c r="C273" s="97">
        <f>SUMIFS(Input!$C$115:$C$3257,Input!$A$115:$A$3257,"="&amp;'Output - County'!A273,Input!$B$115:$B$3257,"="&amp;'Output - County'!B273)*VLOOKUP(A273,'Output - State'!$B$2:$G$52,2,FALSE)</f>
        <v>6.7400238157219863E-2</v>
      </c>
      <c r="D273" s="98">
        <f>SUMIFS(Input!$C$115:$C$3257,Input!$A$115:$A$3257,"="&amp;'Output - County'!A273,Input!$B$115:$B$3257,"="&amp;'Output - County'!B273)*VLOOKUP(A273,'Output - State'!$B$2:$G$52,3,FALSE)</f>
        <v>6.2429544561779611E-3</v>
      </c>
      <c r="E273" s="98">
        <f>SUMIFS(Input!$C$115:$C$3257,Input!$A$115:$A$3257,"="&amp;'Output - County'!A273,Input!$B$115:$B$3257,"="&amp;'Output - County'!B273)*VLOOKUP(A273,'Output - State'!$B$2:$G$52,4,FALSE)</f>
        <v>3.9015914626007696E-2</v>
      </c>
      <c r="F273" s="98">
        <f>SUMIFS(Input!$C$115:$C$3257,Input!$A$115:$A$3257,"="&amp;'Output - County'!A273,Input!$B$115:$B$3257,"="&amp;'Output - County'!B273)*VLOOKUP(A273,'Output - State'!$B$2:$G$52,5,FALSE)</f>
        <v>0.61930393450983867</v>
      </c>
      <c r="G273" s="99">
        <f>SUMIFS(Input!$D$115:$D$3257,Input!$A$115:$A$3257,"="&amp;'Output - County'!A273,Input!$B$115:$B$3257,"="&amp;'Output - County'!B273)*VLOOKUP(A273,'Output - State'!$B$2:$G$52,6,FALSE)</f>
        <v>1.11312074863191E-2</v>
      </c>
    </row>
    <row r="274" spans="1:7" x14ac:dyDescent="0.25">
      <c r="A274" s="88">
        <v>8</v>
      </c>
      <c r="B274" s="88">
        <v>55</v>
      </c>
      <c r="C274" s="97">
        <f>SUMIFS(Input!$C$115:$C$3257,Input!$A$115:$A$3257,"="&amp;'Output - County'!A274,Input!$B$115:$B$3257,"="&amp;'Output - County'!B274)*VLOOKUP(A274,'Output - State'!$B$2:$G$52,2,FALSE)</f>
        <v>3.3506070931599301</v>
      </c>
      <c r="D274" s="98">
        <f>SUMIFS(Input!$C$115:$C$3257,Input!$A$115:$A$3257,"="&amp;'Output - County'!A274,Input!$B$115:$B$3257,"="&amp;'Output - County'!B274)*VLOOKUP(A274,'Output - State'!$B$2:$G$52,3,FALSE)</f>
        <v>0.31035034971762315</v>
      </c>
      <c r="E274" s="98">
        <f>SUMIFS(Input!$C$115:$C$3257,Input!$A$115:$A$3257,"="&amp;'Output - County'!A274,Input!$B$115:$B$3257,"="&amp;'Output - County'!B274)*VLOOKUP(A274,'Output - State'!$B$2:$G$52,4,FALSE)</f>
        <v>1.9395628838445027</v>
      </c>
      <c r="F274" s="98">
        <f>SUMIFS(Input!$C$115:$C$3257,Input!$A$115:$A$3257,"="&amp;'Output - County'!A274,Input!$B$115:$B$3257,"="&amp;'Output - County'!B274)*VLOOKUP(A274,'Output - State'!$B$2:$G$52,5,FALSE)</f>
        <v>30.786896493602988</v>
      </c>
      <c r="G274" s="99">
        <f>SUMIFS(Input!$D$115:$D$3257,Input!$A$115:$A$3257,"="&amp;'Output - County'!A274,Input!$B$115:$B$3257,"="&amp;'Output - County'!B274)*VLOOKUP(A274,'Output - State'!$B$2:$G$52,6,FALSE)</f>
        <v>9.4918341065270556E-2</v>
      </c>
    </row>
    <row r="275" spans="1:7" x14ac:dyDescent="0.25">
      <c r="A275" s="88">
        <v>8</v>
      </c>
      <c r="B275" s="88">
        <v>57</v>
      </c>
      <c r="C275" s="97">
        <f>SUMIFS(Input!$C$115:$C$3257,Input!$A$115:$A$3257,"="&amp;'Output - County'!A275,Input!$B$115:$B$3257,"="&amp;'Output - County'!B275)*VLOOKUP(A275,'Output - State'!$B$2:$G$52,2,FALSE)</f>
        <v>0.28050916483940785</v>
      </c>
      <c r="D275" s="98">
        <f>SUMIFS(Input!$C$115:$C$3257,Input!$A$115:$A$3257,"="&amp;'Output - County'!A275,Input!$B$115:$B$3257,"="&amp;'Output - County'!B275)*VLOOKUP(A275,'Output - State'!$B$2:$G$52,3,FALSE)</f>
        <v>2.5982192177838048E-2</v>
      </c>
      <c r="E275" s="98">
        <f>SUMIFS(Input!$C$115:$C$3257,Input!$A$115:$A$3257,"="&amp;'Output - County'!A275,Input!$B$115:$B$3257,"="&amp;'Output - County'!B275)*VLOOKUP(A275,'Output - State'!$B$2:$G$52,4,FALSE)</f>
        <v>0.1623780853957518</v>
      </c>
      <c r="F275" s="98">
        <f>SUMIFS(Input!$C$115:$C$3257,Input!$A$115:$A$3257,"="&amp;'Output - County'!A275,Input!$B$115:$B$3257,"="&amp;'Output - County'!B275)*VLOOKUP(A275,'Output - State'!$B$2:$G$52,5,FALSE)</f>
        <v>2.5774453355177855</v>
      </c>
      <c r="G275" s="99">
        <f>SUMIFS(Input!$D$115:$D$3257,Input!$A$115:$A$3257,"="&amp;'Output - County'!A275,Input!$B$115:$B$3257,"="&amp;'Output - County'!B275)*VLOOKUP(A275,'Output - State'!$B$2:$G$52,6,FALSE)</f>
        <v>1.9286745644612302E-2</v>
      </c>
    </row>
    <row r="276" spans="1:7" x14ac:dyDescent="0.25">
      <c r="A276" s="88">
        <v>8</v>
      </c>
      <c r="B276" s="88">
        <v>59</v>
      </c>
      <c r="C276" s="97">
        <f>SUMIFS(Input!$C$115:$C$3257,Input!$A$115:$A$3257,"="&amp;'Output - County'!A276,Input!$B$115:$B$3257,"="&amp;'Output - County'!B276)*VLOOKUP(A276,'Output - State'!$B$2:$G$52,2,FALSE)</f>
        <v>81.50162390079791</v>
      </c>
      <c r="D276" s="98">
        <f>SUMIFS(Input!$C$115:$C$3257,Input!$A$115:$A$3257,"="&amp;'Output - County'!A276,Input!$B$115:$B$3257,"="&amp;'Output - County'!B276)*VLOOKUP(A276,'Output - State'!$B$2:$G$52,3,FALSE)</f>
        <v>7.5490968582389657</v>
      </c>
      <c r="E276" s="98">
        <f>SUMIFS(Input!$C$115:$C$3257,Input!$A$115:$A$3257,"="&amp;'Output - County'!A276,Input!$B$115:$B$3257,"="&amp;'Output - County'!B276)*VLOOKUP(A276,'Output - State'!$B$2:$G$52,4,FALSE)</f>
        <v>47.178770979667448</v>
      </c>
      <c r="F276" s="98">
        <f>SUMIFS(Input!$C$115:$C$3257,Input!$A$115:$A$3257,"="&amp;'Output - County'!A276,Input!$B$115:$B$3257,"="&amp;'Output - County'!B276)*VLOOKUP(A276,'Output - State'!$B$2:$G$52,5,FALSE)</f>
        <v>748.87385758144364</v>
      </c>
      <c r="G276" s="99">
        <f>SUMIFS(Input!$D$115:$D$3257,Input!$A$115:$A$3257,"="&amp;'Output - County'!A276,Input!$B$115:$B$3257,"="&amp;'Output - County'!B276)*VLOOKUP(A276,'Output - State'!$B$2:$G$52,6,FALSE)</f>
        <v>7.9764469487360881</v>
      </c>
    </row>
    <row r="277" spans="1:7" x14ac:dyDescent="0.25">
      <c r="A277" s="88">
        <v>8</v>
      </c>
      <c r="B277" s="88">
        <v>61</v>
      </c>
      <c r="C277" s="97">
        <f>SUMIFS(Input!$C$115:$C$3257,Input!$A$115:$A$3257,"="&amp;'Output - County'!A277,Input!$B$115:$B$3257,"="&amp;'Output - County'!B277)*VLOOKUP(A277,'Output - State'!$B$2:$G$52,2,FALSE)</f>
        <v>0.34856007306628012</v>
      </c>
      <c r="D277" s="98">
        <f>SUMIFS(Input!$C$115:$C$3257,Input!$A$115:$A$3257,"="&amp;'Output - County'!A277,Input!$B$115:$B$3257,"="&amp;'Output - County'!B277)*VLOOKUP(A277,'Output - State'!$B$2:$G$52,3,FALSE)</f>
        <v>3.228541502062561E-2</v>
      </c>
      <c r="E277" s="98">
        <f>SUMIFS(Input!$C$115:$C$3257,Input!$A$115:$A$3257,"="&amp;'Output - County'!A277,Input!$B$115:$B$3257,"="&amp;'Output - County'!B277)*VLOOKUP(A277,'Output - State'!$B$2:$G$52,4,FALSE)</f>
        <v>0.20177065281381701</v>
      </c>
      <c r="F277" s="98">
        <f>SUMIFS(Input!$C$115:$C$3257,Input!$A$115:$A$3257,"="&amp;'Output - County'!A277,Input!$B$115:$B$3257,"="&amp;'Output - County'!B277)*VLOOKUP(A277,'Output - State'!$B$2:$G$52,5,FALSE)</f>
        <v>3.2027279215164151</v>
      </c>
      <c r="G277" s="99">
        <f>SUMIFS(Input!$D$115:$D$3257,Input!$A$115:$A$3257,"="&amp;'Output - County'!A277,Input!$B$115:$B$3257,"="&amp;'Output - County'!B277)*VLOOKUP(A277,'Output - State'!$B$2:$G$52,6,FALSE)</f>
        <v>1.901122070683213E-2</v>
      </c>
    </row>
    <row r="278" spans="1:7" x14ac:dyDescent="0.25">
      <c r="A278" s="88">
        <v>8</v>
      </c>
      <c r="B278" s="88">
        <v>63</v>
      </c>
      <c r="C278" s="97">
        <f>SUMIFS(Input!$C$115:$C$3257,Input!$A$115:$A$3257,"="&amp;'Output - County'!A278,Input!$B$115:$B$3257,"="&amp;'Output - County'!B278)*VLOOKUP(A278,'Output - State'!$B$2:$G$52,2,FALSE)</f>
        <v>4.5000992496648822</v>
      </c>
      <c r="D278" s="98">
        <f>SUMIFS(Input!$C$115:$C$3257,Input!$A$115:$A$3257,"="&amp;'Output - County'!A278,Input!$B$115:$B$3257,"="&amp;'Output - County'!B278)*VLOOKUP(A278,'Output - State'!$B$2:$G$52,3,FALSE)</f>
        <v>0.41682218686536016</v>
      </c>
      <c r="E278" s="98">
        <f>SUMIFS(Input!$C$115:$C$3257,Input!$A$115:$A$3257,"="&amp;'Output - County'!A278,Input!$B$115:$B$3257,"="&amp;'Output - County'!B278)*VLOOKUP(A278,'Output - State'!$B$2:$G$52,4,FALSE)</f>
        <v>2.6049683641166603</v>
      </c>
      <c r="F278" s="98">
        <f>SUMIFS(Input!$C$115:$C$3257,Input!$A$115:$A$3257,"="&amp;'Output - County'!A278,Input!$B$115:$B$3257,"="&amp;'Output - County'!B278)*VLOOKUP(A278,'Output - State'!$B$2:$G$52,5,FALSE)</f>
        <v>41.348951386512283</v>
      </c>
      <c r="G278" s="99">
        <f>SUMIFS(Input!$D$115:$D$3257,Input!$A$115:$A$3257,"="&amp;'Output - County'!A278,Input!$B$115:$B$3257,"="&amp;'Output - County'!B278)*VLOOKUP(A278,'Output - State'!$B$2:$G$52,6,FALSE)</f>
        <v>9.8637927725302929E-2</v>
      </c>
    </row>
    <row r="279" spans="1:7" x14ac:dyDescent="0.25">
      <c r="A279" s="88">
        <v>8</v>
      </c>
      <c r="B279" s="88">
        <v>65</v>
      </c>
      <c r="C279" s="97">
        <f>SUMIFS(Input!$C$115:$C$3257,Input!$A$115:$A$3257,"="&amp;'Output - County'!A279,Input!$B$115:$B$3257,"="&amp;'Output - County'!B279)*VLOOKUP(A279,'Output - State'!$B$2:$G$52,2,FALSE)</f>
        <v>0.83268035903756565</v>
      </c>
      <c r="D279" s="98">
        <f>SUMIFS(Input!$C$115:$C$3257,Input!$A$115:$A$3257,"="&amp;'Output - County'!A279,Input!$B$115:$B$3257,"="&amp;'Output - County'!B279)*VLOOKUP(A279,'Output - State'!$B$2:$G$52,3,FALSE)</f>
        <v>7.7127109638685867E-2</v>
      </c>
      <c r="E279" s="98">
        <f>SUMIFS(Input!$C$115:$C$3257,Input!$A$115:$A$3257,"="&amp;'Output - County'!A279,Input!$B$115:$B$3257,"="&amp;'Output - County'!B279)*VLOOKUP(A279,'Output - State'!$B$2:$G$52,4,FALSE)</f>
        <v>0.48201292290957626</v>
      </c>
      <c r="F279" s="98">
        <f>SUMIFS(Input!$C$115:$C$3257,Input!$A$115:$A$3257,"="&amp;'Output - County'!A279,Input!$B$115:$B$3257,"="&amp;'Output - County'!B279)*VLOOKUP(A279,'Output - State'!$B$2:$G$52,5,FALSE)</f>
        <v>7.6510445161652605</v>
      </c>
      <c r="G279" s="99">
        <f>SUMIFS(Input!$D$115:$D$3257,Input!$A$115:$A$3257,"="&amp;'Output - County'!A279,Input!$B$115:$B$3257,"="&amp;'Output - County'!B279)*VLOOKUP(A279,'Output - State'!$B$2:$G$52,6,FALSE)</f>
        <v>0.108143538078719</v>
      </c>
    </row>
    <row r="280" spans="1:7" x14ac:dyDescent="0.25">
      <c r="A280" s="88">
        <v>8</v>
      </c>
      <c r="B280" s="88">
        <v>67</v>
      </c>
      <c r="C280" s="97">
        <f>SUMIFS(Input!$C$115:$C$3257,Input!$A$115:$A$3257,"="&amp;'Output - County'!A280,Input!$B$115:$B$3257,"="&amp;'Output - County'!B280)*VLOOKUP(A280,'Output - State'!$B$2:$G$52,2,FALSE)</f>
        <v>6.129293048017912</v>
      </c>
      <c r="D280" s="98">
        <f>SUMIFS(Input!$C$115:$C$3257,Input!$A$115:$A$3257,"="&amp;'Output - County'!A280,Input!$B$115:$B$3257,"="&amp;'Output - County'!B280)*VLOOKUP(A280,'Output - State'!$B$2:$G$52,3,FALSE)</f>
        <v>0.56772644123431948</v>
      </c>
      <c r="E280" s="98">
        <f>SUMIFS(Input!$C$115:$C$3257,Input!$A$115:$A$3257,"="&amp;'Output - County'!A280,Input!$B$115:$B$3257,"="&amp;'Output - County'!B280)*VLOOKUP(A280,'Output - State'!$B$2:$G$52,4,FALSE)</f>
        <v>3.5480582979755071</v>
      </c>
      <c r="F280" s="98">
        <f>SUMIFS(Input!$C$115:$C$3257,Input!$A$115:$A$3257,"="&amp;'Output - County'!A280,Input!$B$115:$B$3257,"="&amp;'Output - County'!B280)*VLOOKUP(A280,'Output - State'!$B$2:$G$52,5,FALSE)</f>
        <v>56.318722369301909</v>
      </c>
      <c r="G280" s="99">
        <f>SUMIFS(Input!$D$115:$D$3257,Input!$A$115:$A$3257,"="&amp;'Output - County'!A280,Input!$B$115:$B$3257,"="&amp;'Output - County'!B280)*VLOOKUP(A280,'Output - State'!$B$2:$G$52,6,FALSE)</f>
        <v>0.77560269985119479</v>
      </c>
    </row>
    <row r="281" spans="1:7" x14ac:dyDescent="0.25">
      <c r="A281" s="88">
        <v>8</v>
      </c>
      <c r="B281" s="88">
        <v>69</v>
      </c>
      <c r="C281" s="97">
        <f>SUMIFS(Input!$C$115:$C$3257,Input!$A$115:$A$3257,"="&amp;'Output - County'!A281,Input!$B$115:$B$3257,"="&amp;'Output - County'!B281)*VLOOKUP(A281,'Output - State'!$B$2:$G$52,2,FALSE)</f>
        <v>49.037440901086875</v>
      </c>
      <c r="D281" s="98">
        <f>SUMIFS(Input!$C$115:$C$3257,Input!$A$115:$A$3257,"="&amp;'Output - County'!A281,Input!$B$115:$B$3257,"="&amp;'Output - County'!B281)*VLOOKUP(A281,'Output - State'!$B$2:$G$52,3,FALSE)</f>
        <v>4.5420983450962833</v>
      </c>
      <c r="E281" s="98">
        <f>SUMIFS(Input!$C$115:$C$3257,Input!$A$115:$A$3257,"="&amp;'Output - County'!A281,Input!$B$115:$B$3257,"="&amp;'Output - County'!B281)*VLOOKUP(A281,'Output - State'!$B$2:$G$52,4,FALSE)</f>
        <v>28.386258861753863</v>
      </c>
      <c r="F281" s="98">
        <f>SUMIFS(Input!$C$115:$C$3257,Input!$A$115:$A$3257,"="&amp;'Output - County'!A281,Input!$B$115:$B$3257,"="&amp;'Output - County'!B281)*VLOOKUP(A281,'Output - State'!$B$2:$G$52,5,FALSE)</f>
        <v>450.57823115545887</v>
      </c>
      <c r="G281" s="99">
        <f>SUMIFS(Input!$D$115:$D$3257,Input!$A$115:$A$3257,"="&amp;'Output - County'!A281,Input!$B$115:$B$3257,"="&amp;'Output - County'!B281)*VLOOKUP(A281,'Output - State'!$B$2:$G$52,6,FALSE)</f>
        <v>4.8354626580420845</v>
      </c>
    </row>
    <row r="282" spans="1:7" x14ac:dyDescent="0.25">
      <c r="A282" s="88">
        <v>8</v>
      </c>
      <c r="B282" s="88">
        <v>71</v>
      </c>
      <c r="C282" s="97">
        <f>SUMIFS(Input!$C$115:$C$3257,Input!$A$115:$A$3257,"="&amp;'Output - County'!A282,Input!$B$115:$B$3257,"="&amp;'Output - County'!B282)*VLOOKUP(A282,'Output - State'!$B$2:$G$52,2,FALSE)</f>
        <v>4.5116122659427855</v>
      </c>
      <c r="D282" s="98">
        <f>SUMIFS(Input!$C$115:$C$3257,Input!$A$115:$A$3257,"="&amp;'Output - County'!A282,Input!$B$115:$B$3257,"="&amp;'Output - County'!B282)*VLOOKUP(A282,'Output - State'!$B$2:$G$52,3,FALSE)</f>
        <v>0.41788858126160144</v>
      </c>
      <c r="E282" s="98">
        <f>SUMIFS(Input!$C$115:$C$3257,Input!$A$115:$A$3257,"="&amp;'Output - County'!A282,Input!$B$115:$B$3257,"="&amp;'Output - County'!B282)*VLOOKUP(A282,'Output - State'!$B$2:$G$52,4,FALSE)</f>
        <v>2.611632893389372</v>
      </c>
      <c r="F282" s="98">
        <f>SUMIFS(Input!$C$115:$C$3257,Input!$A$115:$A$3257,"="&amp;'Output - County'!A282,Input!$B$115:$B$3257,"="&amp;'Output - County'!B282)*VLOOKUP(A282,'Output - State'!$B$2:$G$52,5,FALSE)</f>
        <v>41.454738197863747</v>
      </c>
      <c r="G282" s="99">
        <f>SUMIFS(Input!$D$115:$D$3257,Input!$A$115:$A$3257,"="&amp;'Output - County'!A282,Input!$B$115:$B$3257,"="&amp;'Output - County'!B282)*VLOOKUP(A282,'Output - State'!$B$2:$G$52,6,FALSE)</f>
        <v>0.19975557989062742</v>
      </c>
    </row>
    <row r="283" spans="1:7" x14ac:dyDescent="0.25">
      <c r="A283" s="88">
        <v>8</v>
      </c>
      <c r="B283" s="88">
        <v>73</v>
      </c>
      <c r="C283" s="97">
        <f>SUMIFS(Input!$C$115:$C$3257,Input!$A$115:$A$3257,"="&amp;'Output - County'!A283,Input!$B$115:$B$3257,"="&amp;'Output - County'!B283)*VLOOKUP(A283,'Output - State'!$B$2:$G$52,2,FALSE)</f>
        <v>2.9603343208682733</v>
      </c>
      <c r="D283" s="98">
        <f>SUMIFS(Input!$C$115:$C$3257,Input!$A$115:$A$3257,"="&amp;'Output - County'!A283,Input!$B$115:$B$3257,"="&amp;'Output - County'!B283)*VLOOKUP(A283,'Output - State'!$B$2:$G$52,3,FALSE)</f>
        <v>0.27420129135347049</v>
      </c>
      <c r="E283" s="98">
        <f>SUMIFS(Input!$C$115:$C$3257,Input!$A$115:$A$3257,"="&amp;'Output - County'!A283,Input!$B$115:$B$3257,"="&amp;'Output - County'!B283)*VLOOKUP(A283,'Output - State'!$B$2:$G$52,4,FALSE)</f>
        <v>1.713646038727902</v>
      </c>
      <c r="F283" s="98">
        <f>SUMIFS(Input!$C$115:$C$3257,Input!$A$115:$A$3257,"="&amp;'Output - County'!A283,Input!$B$115:$B$3257,"="&amp;'Output - County'!B283)*VLOOKUP(A283,'Output - State'!$B$2:$G$52,5,FALSE)</f>
        <v>27.200893387078427</v>
      </c>
      <c r="G283" s="99">
        <f>SUMIFS(Input!$D$115:$D$3257,Input!$A$115:$A$3257,"="&amp;'Output - County'!A283,Input!$B$115:$B$3257,"="&amp;'Output - County'!B283)*VLOOKUP(A283,'Output - State'!$B$2:$G$52,6,FALSE)</f>
        <v>7.7284745047339301E-2</v>
      </c>
    </row>
    <row r="284" spans="1:7" x14ac:dyDescent="0.25">
      <c r="A284" s="88">
        <v>8</v>
      </c>
      <c r="B284" s="88">
        <v>75</v>
      </c>
      <c r="C284" s="97">
        <f>SUMIFS(Input!$C$115:$C$3257,Input!$A$115:$A$3257,"="&amp;'Output - County'!A284,Input!$B$115:$B$3257,"="&amp;'Output - County'!B284)*VLOOKUP(A284,'Output - State'!$B$2:$G$52,2,FALSE)</f>
        <v>4.602534839695835</v>
      </c>
      <c r="D284" s="98">
        <f>SUMIFS(Input!$C$115:$C$3257,Input!$A$115:$A$3257,"="&amp;'Output - County'!A284,Input!$B$115:$B$3257,"="&amp;'Output - County'!B284)*VLOOKUP(A284,'Output - State'!$B$2:$G$52,3,FALSE)</f>
        <v>0.42631029463381104</v>
      </c>
      <c r="E284" s="98">
        <f>SUMIFS(Input!$C$115:$C$3257,Input!$A$115:$A$3257,"="&amp;'Output - County'!A284,Input!$B$115:$B$3257,"="&amp;'Output - County'!B284)*VLOOKUP(A284,'Output - State'!$B$2:$G$52,4,FALSE)</f>
        <v>2.6642651610506674</v>
      </c>
      <c r="F284" s="98">
        <f>SUMIFS(Input!$C$115:$C$3257,Input!$A$115:$A$3257,"="&amp;'Output - County'!A284,Input!$B$115:$B$3257,"="&amp;'Output - County'!B284)*VLOOKUP(A284,'Output - State'!$B$2:$G$52,5,FALSE)</f>
        <v>42.290176012336708</v>
      </c>
      <c r="G284" s="99">
        <f>SUMIFS(Input!$D$115:$D$3257,Input!$A$115:$A$3257,"="&amp;'Output - County'!A284,Input!$B$115:$B$3257,"="&amp;'Output - County'!B284)*VLOOKUP(A284,'Output - State'!$B$2:$G$52,6,FALSE)</f>
        <v>0.30721030562489599</v>
      </c>
    </row>
    <row r="285" spans="1:7" x14ac:dyDescent="0.25">
      <c r="A285" s="88">
        <v>8</v>
      </c>
      <c r="B285" s="88">
        <v>77</v>
      </c>
      <c r="C285" s="97">
        <f>SUMIFS(Input!$C$115:$C$3257,Input!$A$115:$A$3257,"="&amp;'Output - County'!A285,Input!$B$115:$B$3257,"="&amp;'Output - County'!B285)*VLOOKUP(A285,'Output - State'!$B$2:$G$52,2,FALSE)</f>
        <v>21.503114062531527</v>
      </c>
      <c r="D285" s="98">
        <f>SUMIFS(Input!$C$115:$C$3257,Input!$A$115:$A$3257,"="&amp;'Output - County'!A285,Input!$B$115:$B$3257,"="&amp;'Output - County'!B285)*VLOOKUP(A285,'Output - State'!$B$2:$G$52,3,FALSE)</f>
        <v>1.9917282999096373</v>
      </c>
      <c r="E285" s="98">
        <f>SUMIFS(Input!$C$115:$C$3257,Input!$A$115:$A$3257,"="&amp;'Output - County'!A285,Input!$B$115:$B$3257,"="&amp;'Output - County'!B285)*VLOOKUP(A285,'Output - State'!$B$2:$G$52,4,FALSE)</f>
        <v>12.447488100858683</v>
      </c>
      <c r="F285" s="98">
        <f>SUMIFS(Input!$C$115:$C$3257,Input!$A$115:$A$3257,"="&amp;'Output - County'!A285,Input!$B$115:$B$3257,"="&amp;'Output - County'!B285)*VLOOKUP(A285,'Output - State'!$B$2:$G$52,5,FALSE)</f>
        <v>197.58035738799708</v>
      </c>
      <c r="G285" s="99">
        <f>SUMIFS(Input!$D$115:$D$3257,Input!$A$115:$A$3257,"="&amp;'Output - County'!A285,Input!$B$115:$B$3257,"="&amp;'Output - County'!B285)*VLOOKUP(A285,'Output - State'!$B$2:$G$52,6,FALSE)</f>
        <v>2.1077657740183446</v>
      </c>
    </row>
    <row r="286" spans="1:7" x14ac:dyDescent="0.25">
      <c r="A286" s="88">
        <v>8</v>
      </c>
      <c r="B286" s="88">
        <v>79</v>
      </c>
      <c r="C286" s="97">
        <f>SUMIFS(Input!$C$115:$C$3257,Input!$A$115:$A$3257,"="&amp;'Output - County'!A286,Input!$B$115:$B$3257,"="&amp;'Output - County'!B286)*VLOOKUP(A286,'Output - State'!$B$2:$G$52,2,FALSE)</f>
        <v>0.2500317998590969</v>
      </c>
      <c r="D286" s="98">
        <f>SUMIFS(Input!$C$115:$C$3257,Input!$A$115:$A$3257,"="&amp;'Output - County'!A286,Input!$B$115:$B$3257,"="&amp;'Output - County'!B286)*VLOOKUP(A286,'Output - State'!$B$2:$G$52,3,FALSE)</f>
        <v>2.315922290178642E-2</v>
      </c>
      <c r="E286" s="98">
        <f>SUMIFS(Input!$C$115:$C$3257,Input!$A$115:$A$3257,"="&amp;'Output - County'!A286,Input!$B$115:$B$3257,"="&amp;'Output - County'!B286)*VLOOKUP(A286,'Output - State'!$B$2:$G$52,4,FALSE)</f>
        <v>0.14473568081961735</v>
      </c>
      <c r="F286" s="98">
        <f>SUMIFS(Input!$C$115:$C$3257,Input!$A$115:$A$3257,"="&amp;'Output - County'!A286,Input!$B$115:$B$3257,"="&amp;'Output - County'!B286)*VLOOKUP(A286,'Output - State'!$B$2:$G$52,5,FALSE)</f>
        <v>2.2974054934956976</v>
      </c>
      <c r="G286" s="99">
        <f>SUMIFS(Input!$D$115:$D$3257,Input!$A$115:$A$3257,"="&amp;'Output - County'!A286,Input!$B$115:$B$3257,"="&amp;'Output - County'!B286)*VLOOKUP(A286,'Output - State'!$B$2:$G$52,6,FALSE)</f>
        <v>1.0635262598314784E-2</v>
      </c>
    </row>
    <row r="287" spans="1:7" x14ac:dyDescent="0.25">
      <c r="A287" s="88">
        <v>8</v>
      </c>
      <c r="B287" s="88">
        <v>81</v>
      </c>
      <c r="C287" s="97">
        <f>SUMIFS(Input!$C$115:$C$3257,Input!$A$115:$A$3257,"="&amp;'Output - County'!A287,Input!$B$115:$B$3257,"="&amp;'Output - County'!B287)*VLOOKUP(A287,'Output - State'!$B$2:$G$52,2,FALSE)</f>
        <v>1.2439397962750456</v>
      </c>
      <c r="D287" s="98">
        <f>SUMIFS(Input!$C$115:$C$3257,Input!$A$115:$A$3257,"="&amp;'Output - County'!A287,Input!$B$115:$B$3257,"="&amp;'Output - County'!B287)*VLOOKUP(A287,'Output - State'!$B$2:$G$52,3,FALSE)</f>
        <v>0.11522006014663508</v>
      </c>
      <c r="E287" s="98">
        <f>SUMIFS(Input!$C$115:$C$3257,Input!$A$115:$A$3257,"="&amp;'Output - County'!A287,Input!$B$115:$B$3257,"="&amp;'Output - County'!B287)*VLOOKUP(A287,'Output - State'!$B$2:$G$52,4,FALSE)</f>
        <v>0.72007829969606296</v>
      </c>
      <c r="F287" s="98">
        <f>SUMIFS(Input!$C$115:$C$3257,Input!$A$115:$A$3257,"="&amp;'Output - County'!A287,Input!$B$115:$B$3257,"="&amp;'Output - County'!B287)*VLOOKUP(A287,'Output - State'!$B$2:$G$52,5,FALSE)</f>
        <v>11.429882611534671</v>
      </c>
      <c r="G287" s="99">
        <f>SUMIFS(Input!$D$115:$D$3257,Input!$A$115:$A$3257,"="&amp;'Output - County'!A287,Input!$B$115:$B$3257,"="&amp;'Output - County'!B287)*VLOOKUP(A287,'Output - State'!$B$2:$G$52,6,FALSE)</f>
        <v>0.18184645893491599</v>
      </c>
    </row>
    <row r="288" spans="1:7" x14ac:dyDescent="0.25">
      <c r="A288" s="88">
        <v>8</v>
      </c>
      <c r="B288" s="88">
        <v>83</v>
      </c>
      <c r="C288" s="97">
        <f>SUMIFS(Input!$C$115:$C$3257,Input!$A$115:$A$3257,"="&amp;'Output - County'!A288,Input!$B$115:$B$3257,"="&amp;'Output - County'!B288)*VLOOKUP(A288,'Output - State'!$B$2:$G$52,2,FALSE)</f>
        <v>3.1074051976448862</v>
      </c>
      <c r="D288" s="98">
        <f>SUMIFS(Input!$C$115:$C$3257,Input!$A$115:$A$3257,"="&amp;'Output - County'!A288,Input!$B$115:$B$3257,"="&amp;'Output - County'!B288)*VLOOKUP(A288,'Output - State'!$B$2:$G$52,3,FALSE)</f>
        <v>0.28782374745525513</v>
      </c>
      <c r="E288" s="98">
        <f>SUMIFS(Input!$C$115:$C$3257,Input!$A$115:$A$3257,"="&amp;'Output - County'!A288,Input!$B$115:$B$3257,"="&amp;'Output - County'!B288)*VLOOKUP(A288,'Output - State'!$B$2:$G$52,4,FALSE)</f>
        <v>1.7987808235472607</v>
      </c>
      <c r="F288" s="98">
        <f>SUMIFS(Input!$C$115:$C$3257,Input!$A$115:$A$3257,"="&amp;'Output - County'!A288,Input!$B$115:$B$3257,"="&amp;'Output - County'!B288)*VLOOKUP(A288,'Output - State'!$B$2:$G$52,5,FALSE)</f>
        <v>28.552247256587144</v>
      </c>
      <c r="G288" s="99">
        <f>SUMIFS(Input!$D$115:$D$3257,Input!$A$115:$A$3257,"="&amp;'Output - County'!A288,Input!$B$115:$B$3257,"="&amp;'Output - County'!B288)*VLOOKUP(A288,'Output - State'!$B$2:$G$52,6,FALSE)</f>
        <v>0.36093766849203024</v>
      </c>
    </row>
    <row r="289" spans="1:7" x14ac:dyDescent="0.25">
      <c r="A289" s="88">
        <v>8</v>
      </c>
      <c r="B289" s="88">
        <v>85</v>
      </c>
      <c r="C289" s="97">
        <f>SUMIFS(Input!$C$115:$C$3257,Input!$A$115:$A$3257,"="&amp;'Output - County'!A289,Input!$B$115:$B$3257,"="&amp;'Output - County'!B289)*VLOOKUP(A289,'Output - State'!$B$2:$G$52,2,FALSE)</f>
        <v>4.2258256008546242</v>
      </c>
      <c r="D289" s="98">
        <f>SUMIFS(Input!$C$115:$C$3257,Input!$A$115:$A$3257,"="&amp;'Output - County'!A289,Input!$B$115:$B$3257,"="&amp;'Output - County'!B289)*VLOOKUP(A289,'Output - State'!$B$2:$G$52,3,FALSE)</f>
        <v>0.39141756004404127</v>
      </c>
      <c r="E289" s="98">
        <f>SUMIFS(Input!$C$115:$C$3257,Input!$A$115:$A$3257,"="&amp;'Output - County'!A289,Input!$B$115:$B$3257,"="&amp;'Output - County'!B289)*VLOOKUP(A289,'Output - State'!$B$2:$G$52,4,FALSE)</f>
        <v>2.4461998262194635</v>
      </c>
      <c r="F289" s="98">
        <f>SUMIFS(Input!$C$115:$C$3257,Input!$A$115:$A$3257,"="&amp;'Output - County'!A289,Input!$B$115:$B$3257,"="&amp;'Output - County'!B289)*VLOOKUP(A289,'Output - State'!$B$2:$G$52,5,FALSE)</f>
        <v>38.828800798255536</v>
      </c>
      <c r="G289" s="99">
        <f>SUMIFS(Input!$D$115:$D$3257,Input!$A$115:$A$3257,"="&amp;'Output - County'!A289,Input!$B$115:$B$3257,"="&amp;'Output - County'!B289)*VLOOKUP(A289,'Output - State'!$B$2:$G$52,6,FALSE)</f>
        <v>0.58135761871617087</v>
      </c>
    </row>
    <row r="290" spans="1:7" x14ac:dyDescent="0.25">
      <c r="A290" s="88">
        <v>8</v>
      </c>
      <c r="B290" s="88">
        <v>87</v>
      </c>
      <c r="C290" s="97">
        <f>SUMIFS(Input!$C$115:$C$3257,Input!$A$115:$A$3257,"="&amp;'Output - County'!A290,Input!$B$115:$B$3257,"="&amp;'Output - County'!B290)*VLOOKUP(A290,'Output - State'!$B$2:$G$52,2,FALSE)</f>
        <v>6.2225904183883705</v>
      </c>
      <c r="D290" s="98">
        <f>SUMIFS(Input!$C$115:$C$3257,Input!$A$115:$A$3257,"="&amp;'Output - County'!A290,Input!$B$115:$B$3257,"="&amp;'Output - County'!B290)*VLOOKUP(A290,'Output - State'!$B$2:$G$52,3,FALSE)</f>
        <v>0.57636812040383956</v>
      </c>
      <c r="E290" s="98">
        <f>SUMIFS(Input!$C$115:$C$3257,Input!$A$115:$A$3257,"="&amp;'Output - County'!A290,Input!$B$115:$B$3257,"="&amp;'Output - County'!B290)*VLOOKUP(A290,'Output - State'!$B$2:$G$52,4,FALSE)</f>
        <v>3.6020652619971156</v>
      </c>
      <c r="F290" s="98">
        <f>SUMIFS(Input!$C$115:$C$3257,Input!$A$115:$A$3257,"="&amp;'Output - County'!A290,Input!$B$115:$B$3257,"="&amp;'Output - County'!B290)*VLOOKUP(A290,'Output - State'!$B$2:$G$52,5,FALSE)</f>
        <v>57.175980891372241</v>
      </c>
      <c r="G290" s="99">
        <f>SUMIFS(Input!$D$115:$D$3257,Input!$A$115:$A$3257,"="&amp;'Output - County'!A290,Input!$B$115:$B$3257,"="&amp;'Output - County'!B290)*VLOOKUP(A290,'Output - State'!$B$2:$G$52,6,FALSE)</f>
        <v>0.39675591040345309</v>
      </c>
    </row>
    <row r="291" spans="1:7" x14ac:dyDescent="0.25">
      <c r="A291" s="88">
        <v>8</v>
      </c>
      <c r="B291" s="88">
        <v>89</v>
      </c>
      <c r="C291" s="97">
        <f>SUMIFS(Input!$C$115:$C$3257,Input!$A$115:$A$3257,"="&amp;'Output - County'!A291,Input!$B$115:$B$3257,"="&amp;'Output - County'!B291)*VLOOKUP(A291,'Output - State'!$B$2:$G$52,2,FALSE)</f>
        <v>1.5983152108964049</v>
      </c>
      <c r="D291" s="98">
        <f>SUMIFS(Input!$C$115:$C$3257,Input!$A$115:$A$3257,"="&amp;'Output - County'!A291,Input!$B$115:$B$3257,"="&amp;'Output - County'!B291)*VLOOKUP(A291,'Output - State'!$B$2:$G$52,3,FALSE)</f>
        <v>0.14804412181700682</v>
      </c>
      <c r="E291" s="98">
        <f>SUMIFS(Input!$C$115:$C$3257,Input!$A$115:$A$3257,"="&amp;'Output - County'!A291,Input!$B$115:$B$3257,"="&amp;'Output - County'!B291)*VLOOKUP(A291,'Output - State'!$B$2:$G$52,4,FALSE)</f>
        <v>0.92521527399237669</v>
      </c>
      <c r="F291" s="98">
        <f>SUMIFS(Input!$C$115:$C$3257,Input!$A$115:$A$3257,"="&amp;'Output - County'!A291,Input!$B$115:$B$3257,"="&amp;'Output - County'!B291)*VLOOKUP(A291,'Output - State'!$B$2:$G$52,5,FALSE)</f>
        <v>14.686044526817966</v>
      </c>
      <c r="G291" s="99">
        <f>SUMIFS(Input!$D$115:$D$3257,Input!$A$115:$A$3257,"="&amp;'Output - County'!A291,Input!$B$115:$B$3257,"="&amp;'Output - County'!B291)*VLOOKUP(A291,'Output - State'!$B$2:$G$52,6,FALSE)</f>
        <v>0.25210531806886083</v>
      </c>
    </row>
    <row r="292" spans="1:7" x14ac:dyDescent="0.25">
      <c r="A292" s="88">
        <v>8</v>
      </c>
      <c r="B292" s="88">
        <v>91</v>
      </c>
      <c r="C292" s="97">
        <f>SUMIFS(Input!$C$115:$C$3257,Input!$A$115:$A$3257,"="&amp;'Output - County'!A292,Input!$B$115:$B$3257,"="&amp;'Output - County'!B292)*VLOOKUP(A292,'Output - State'!$B$2:$G$52,2,FALSE)</f>
        <v>0.58920665484902535</v>
      </c>
      <c r="D292" s="98">
        <f>SUMIFS(Input!$C$115:$C$3257,Input!$A$115:$A$3257,"="&amp;'Output - County'!A292,Input!$B$115:$B$3257,"="&amp;'Output - County'!B292)*VLOOKUP(A292,'Output - State'!$B$2:$G$52,3,FALSE)</f>
        <v>5.4575331068105526E-2</v>
      </c>
      <c r="E292" s="98">
        <f>SUMIFS(Input!$C$115:$C$3257,Input!$A$115:$A$3257,"="&amp;'Output - County'!A292,Input!$B$115:$B$3257,"="&amp;'Output - County'!B292)*VLOOKUP(A292,'Output - State'!$B$2:$G$52,4,FALSE)</f>
        <v>0.34107352097245747</v>
      </c>
      <c r="F292" s="98">
        <f>SUMIFS(Input!$C$115:$C$3257,Input!$A$115:$A$3257,"="&amp;'Output - County'!A292,Input!$B$115:$B$3257,"="&amp;'Output - County'!B292)*VLOOKUP(A292,'Output - State'!$B$2:$G$52,5,FALSE)</f>
        <v>5.4138977778714921</v>
      </c>
      <c r="G292" s="99">
        <f>SUMIFS(Input!$D$115:$D$3257,Input!$A$115:$A$3257,"="&amp;'Output - County'!A292,Input!$B$115:$B$3257,"="&amp;'Output - County'!B292)*VLOOKUP(A292,'Output - State'!$B$2:$G$52,6,FALSE)</f>
        <v>6.6401510005022368E-2</v>
      </c>
    </row>
    <row r="293" spans="1:7" x14ac:dyDescent="0.25">
      <c r="A293" s="88">
        <v>8</v>
      </c>
      <c r="B293" s="88">
        <v>93</v>
      </c>
      <c r="C293" s="97">
        <f>SUMIFS(Input!$C$115:$C$3257,Input!$A$115:$A$3257,"="&amp;'Output - County'!A293,Input!$B$115:$B$3257,"="&amp;'Output - County'!B293)*VLOOKUP(A293,'Output - State'!$B$2:$G$52,2,FALSE)</f>
        <v>1.6527915793265153</v>
      </c>
      <c r="D293" s="98">
        <f>SUMIFS(Input!$C$115:$C$3257,Input!$A$115:$A$3257,"="&amp;'Output - County'!A293,Input!$B$115:$B$3257,"="&amp;'Output - County'!B293)*VLOOKUP(A293,'Output - State'!$B$2:$G$52,3,FALSE)</f>
        <v>0.15309000142137613</v>
      </c>
      <c r="E293" s="98">
        <f>SUMIFS(Input!$C$115:$C$3257,Input!$A$115:$A$3257,"="&amp;'Output - County'!A293,Input!$B$115:$B$3257,"="&amp;'Output - County'!B293)*VLOOKUP(A293,'Output - State'!$B$2:$G$52,4,FALSE)</f>
        <v>0.95674995989135303</v>
      </c>
      <c r="F293" s="98">
        <f>SUMIFS(Input!$C$115:$C$3257,Input!$A$115:$A$3257,"="&amp;'Output - County'!A293,Input!$B$115:$B$3257,"="&amp;'Output - County'!B293)*VLOOKUP(A293,'Output - State'!$B$2:$G$52,5,FALSE)</f>
        <v>15.18659808907509</v>
      </c>
      <c r="G293" s="99">
        <f>SUMIFS(Input!$D$115:$D$3257,Input!$A$115:$A$3257,"="&amp;'Output - County'!A293,Input!$B$115:$B$3257,"="&amp;'Output - County'!B293)*VLOOKUP(A293,'Output - State'!$B$2:$G$52,6,FALSE)</f>
        <v>0.25486056744666258</v>
      </c>
    </row>
    <row r="294" spans="1:7" x14ac:dyDescent="0.25">
      <c r="A294" s="88">
        <v>8</v>
      </c>
      <c r="B294" s="88">
        <v>95</v>
      </c>
      <c r="C294" s="97">
        <f>SUMIFS(Input!$C$115:$C$3257,Input!$A$115:$A$3257,"="&amp;'Output - County'!A294,Input!$B$115:$B$3257,"="&amp;'Output - County'!B294)*VLOOKUP(A294,'Output - State'!$B$2:$G$52,2,FALSE)</f>
        <v>0.25620488192703583</v>
      </c>
      <c r="D294" s="98">
        <f>SUMIFS(Input!$C$115:$C$3257,Input!$A$115:$A$3257,"="&amp;'Output - County'!A294,Input!$B$115:$B$3257,"="&amp;'Output - County'!B294)*VLOOKUP(A294,'Output - State'!$B$2:$G$52,3,FALSE)</f>
        <v>2.3731005305796568E-2</v>
      </c>
      <c r="E294" s="98">
        <f>SUMIFS(Input!$C$115:$C$3257,Input!$A$115:$A$3257,"="&amp;'Output - County'!A294,Input!$B$115:$B$3257,"="&amp;'Output - County'!B294)*VLOOKUP(A294,'Output - State'!$B$2:$G$52,4,FALSE)</f>
        <v>0.14830908722777031</v>
      </c>
      <c r="F294" s="98">
        <f>SUMIFS(Input!$C$115:$C$3257,Input!$A$115:$A$3257,"="&amp;'Output - County'!A294,Input!$B$115:$B$3257,"="&amp;'Output - County'!B294)*VLOOKUP(A294,'Output - State'!$B$2:$G$52,5,FALSE)</f>
        <v>2.3541265692255644</v>
      </c>
      <c r="G294" s="99">
        <f>SUMIFS(Input!$D$115:$D$3257,Input!$A$115:$A$3257,"="&amp;'Output - County'!A294,Input!$B$115:$B$3257,"="&amp;'Output - County'!B294)*VLOOKUP(A294,'Output - State'!$B$2:$G$52,6,FALSE)</f>
        <v>5.9100099153847702E-2</v>
      </c>
    </row>
    <row r="295" spans="1:7" x14ac:dyDescent="0.25">
      <c r="A295" s="88">
        <v>8</v>
      </c>
      <c r="B295" s="88">
        <v>97</v>
      </c>
      <c r="C295" s="97">
        <f>SUMIFS(Input!$C$115:$C$3257,Input!$A$115:$A$3257,"="&amp;'Output - County'!A295,Input!$B$115:$B$3257,"="&amp;'Output - County'!B295)*VLOOKUP(A295,'Output - State'!$B$2:$G$52,2,FALSE)</f>
        <v>2.6986344736029642</v>
      </c>
      <c r="D295" s="98">
        <f>SUMIFS(Input!$C$115:$C$3257,Input!$A$115:$A$3257,"="&amp;'Output - County'!A295,Input!$B$115:$B$3257,"="&amp;'Output - County'!B295)*VLOOKUP(A295,'Output - State'!$B$2:$G$52,3,FALSE)</f>
        <v>0.24996131428016927</v>
      </c>
      <c r="E295" s="98">
        <f>SUMIFS(Input!$C$115:$C$3257,Input!$A$115:$A$3257,"="&amp;'Output - County'!A295,Input!$B$115:$B$3257,"="&amp;'Output - County'!B295)*VLOOKUP(A295,'Output - State'!$B$2:$G$52,4,FALSE)</f>
        <v>1.5621560859071817</v>
      </c>
      <c r="F295" s="98">
        <f>SUMIFS(Input!$C$115:$C$3257,Input!$A$115:$A$3257,"="&amp;'Output - County'!A295,Input!$B$115:$B$3257,"="&amp;'Output - County'!B295)*VLOOKUP(A295,'Output - State'!$B$2:$G$52,5,FALSE)</f>
        <v>24.796276585963032</v>
      </c>
      <c r="G295" s="99">
        <f>SUMIFS(Input!$D$115:$D$3257,Input!$A$115:$A$3257,"="&amp;'Output - County'!A295,Input!$B$115:$B$3257,"="&amp;'Output - County'!B295)*VLOOKUP(A295,'Output - State'!$B$2:$G$52,6,FALSE)</f>
        <v>0.2479724440021582</v>
      </c>
    </row>
    <row r="296" spans="1:7" x14ac:dyDescent="0.25">
      <c r="A296" s="88">
        <v>8</v>
      </c>
      <c r="B296" s="88">
        <v>99</v>
      </c>
      <c r="C296" s="97">
        <f>SUMIFS(Input!$C$115:$C$3257,Input!$A$115:$A$3257,"="&amp;'Output - County'!A296,Input!$B$115:$B$3257,"="&amp;'Output - County'!B296)*VLOOKUP(A296,'Output - State'!$B$2:$G$52,2,FALSE)</f>
        <v>1.2154578014501711</v>
      </c>
      <c r="D296" s="98">
        <f>SUMIFS(Input!$C$115:$C$3257,Input!$A$115:$A$3257,"="&amp;'Output - County'!A296,Input!$B$115:$B$3257,"="&amp;'Output - County'!B296)*VLOOKUP(A296,'Output - State'!$B$2:$G$52,3,FALSE)</f>
        <v>0.11258191225021343</v>
      </c>
      <c r="E296" s="98">
        <f>SUMIFS(Input!$C$115:$C$3257,Input!$A$115:$A$3257,"="&amp;'Output - County'!A296,Input!$B$115:$B$3257,"="&amp;'Output - County'!B296)*VLOOKUP(A296,'Output - State'!$B$2:$G$52,4,FALSE)</f>
        <v>0.70359095322892495</v>
      </c>
      <c r="F296" s="98">
        <f>SUMIFS(Input!$C$115:$C$3257,Input!$A$115:$A$3257,"="&amp;'Output - County'!A296,Input!$B$115:$B$3257,"="&amp;'Output - County'!B296)*VLOOKUP(A296,'Output - State'!$B$2:$G$52,5,FALSE)</f>
        <v>11.168177134818277</v>
      </c>
      <c r="G296" s="99">
        <f>SUMIFS(Input!$D$115:$D$3257,Input!$A$115:$A$3257,"="&amp;'Output - County'!A296,Input!$B$115:$B$3257,"="&amp;'Output - County'!B296)*VLOOKUP(A296,'Output - State'!$B$2:$G$52,6,FALSE)</f>
        <v>0.16669258735700634</v>
      </c>
    </row>
    <row r="297" spans="1:7" x14ac:dyDescent="0.25">
      <c r="A297" s="88">
        <v>8</v>
      </c>
      <c r="B297" s="88">
        <v>101</v>
      </c>
      <c r="C297" s="97">
        <f>SUMIFS(Input!$C$115:$C$3257,Input!$A$115:$A$3257,"="&amp;'Output - County'!A297,Input!$B$115:$B$3257,"="&amp;'Output - County'!B297)*VLOOKUP(A297,'Output - State'!$B$2:$G$52,2,FALSE)</f>
        <v>25.584811237909811</v>
      </c>
      <c r="D297" s="98">
        <f>SUMIFS(Input!$C$115:$C$3257,Input!$A$115:$A$3257,"="&amp;'Output - County'!A297,Input!$B$115:$B$3257,"="&amp;'Output - County'!B297)*VLOOKUP(A297,'Output - State'!$B$2:$G$52,3,FALSE)</f>
        <v>2.3697959487265021</v>
      </c>
      <c r="E297" s="98">
        <f>SUMIFS(Input!$C$115:$C$3257,Input!$A$115:$A$3257,"="&amp;'Output - County'!A297,Input!$B$115:$B$3257,"="&amp;'Output - County'!B297)*VLOOKUP(A297,'Output - State'!$B$2:$G$52,4,FALSE)</f>
        <v>14.810256436369631</v>
      </c>
      <c r="F297" s="98">
        <f>SUMIFS(Input!$C$115:$C$3257,Input!$A$115:$A$3257,"="&amp;'Output - County'!A297,Input!$B$115:$B$3257,"="&amp;'Output - County'!B297)*VLOOKUP(A297,'Output - State'!$B$2:$G$52,5,FALSE)</f>
        <v>235.084840892833</v>
      </c>
      <c r="G297" s="99">
        <f>SUMIFS(Input!$D$115:$D$3257,Input!$A$115:$A$3257,"="&amp;'Output - County'!A297,Input!$B$115:$B$3257,"="&amp;'Output - County'!B297)*VLOOKUP(A297,'Output - State'!$B$2:$G$52,6,FALSE)</f>
        <v>2.3006332304644674</v>
      </c>
    </row>
    <row r="298" spans="1:7" x14ac:dyDescent="0.25">
      <c r="A298" s="88">
        <v>8</v>
      </c>
      <c r="B298" s="88">
        <v>103</v>
      </c>
      <c r="C298" s="97">
        <f>SUMIFS(Input!$C$115:$C$3257,Input!$A$115:$A$3257,"="&amp;'Output - County'!A298,Input!$B$115:$B$3257,"="&amp;'Output - County'!B298)*VLOOKUP(A298,'Output - State'!$B$2:$G$52,2,FALSE)</f>
        <v>0.64899124430576161</v>
      </c>
      <c r="D298" s="98">
        <f>SUMIFS(Input!$C$115:$C$3257,Input!$A$115:$A$3257,"="&amp;'Output - County'!A298,Input!$B$115:$B$3257,"="&amp;'Output - County'!B298)*VLOOKUP(A298,'Output - State'!$B$2:$G$52,3,FALSE)</f>
        <v>6.0112885227618852E-2</v>
      </c>
      <c r="E298" s="98">
        <f>SUMIFS(Input!$C$115:$C$3257,Input!$A$115:$A$3257,"="&amp;'Output - County'!A298,Input!$B$115:$B$3257,"="&amp;'Output - County'!B298)*VLOOKUP(A298,'Output - State'!$B$2:$G$52,4,FALSE)</f>
        <v>0.37568097195436589</v>
      </c>
      <c r="F298" s="98">
        <f>SUMIFS(Input!$C$115:$C$3257,Input!$A$115:$A$3257,"="&amp;'Output - County'!A298,Input!$B$115:$B$3257,"="&amp;'Output - County'!B298)*VLOOKUP(A298,'Output - State'!$B$2:$G$52,5,FALSE)</f>
        <v>5.96322568064903</v>
      </c>
      <c r="G298" s="99">
        <f>SUMIFS(Input!$D$115:$D$3257,Input!$A$115:$A$3257,"="&amp;'Output - County'!A298,Input!$B$115:$B$3257,"="&amp;'Output - County'!B298)*VLOOKUP(A298,'Output - State'!$B$2:$G$52,6,FALSE)</f>
        <v>8.7203642807425638E-2</v>
      </c>
    </row>
    <row r="299" spans="1:7" x14ac:dyDescent="0.25">
      <c r="A299" s="88">
        <v>8</v>
      </c>
      <c r="B299" s="88">
        <v>105</v>
      </c>
      <c r="C299" s="97">
        <f>SUMIFS(Input!$C$115:$C$3257,Input!$A$115:$A$3257,"="&amp;'Output - County'!A299,Input!$B$115:$B$3257,"="&amp;'Output - County'!B299)*VLOOKUP(A299,'Output - State'!$B$2:$G$52,2,FALSE)</f>
        <v>0.75094064554326767</v>
      </c>
      <c r="D299" s="98">
        <f>SUMIFS(Input!$C$115:$C$3257,Input!$A$115:$A$3257,"="&amp;'Output - County'!A299,Input!$B$115:$B$3257,"="&amp;'Output - County'!B299)*VLOOKUP(A299,'Output - State'!$B$2:$G$52,3,FALSE)</f>
        <v>6.9555959705719719E-2</v>
      </c>
      <c r="E299" s="98">
        <f>SUMIFS(Input!$C$115:$C$3257,Input!$A$115:$A$3257,"="&amp;'Output - County'!A299,Input!$B$115:$B$3257,"="&amp;'Output - County'!B299)*VLOOKUP(A299,'Output - State'!$B$2:$G$52,4,FALSE)</f>
        <v>0.4346963292232342</v>
      </c>
      <c r="F299" s="98">
        <f>SUMIFS(Input!$C$115:$C$3257,Input!$A$115:$A$3257,"="&amp;'Output - County'!A299,Input!$B$115:$B$3257,"="&amp;'Output - County'!B299)*VLOOKUP(A299,'Output - State'!$B$2:$G$52,5,FALSE)</f>
        <v>6.8999829834946498</v>
      </c>
      <c r="G299" s="99">
        <f>SUMIFS(Input!$D$115:$D$3257,Input!$A$115:$A$3257,"="&amp;'Output - County'!A299,Input!$B$115:$B$3257,"="&amp;'Output - County'!B299)*VLOOKUP(A299,'Output - State'!$B$2:$G$52,6,FALSE)</f>
        <v>0.15567158984579929</v>
      </c>
    </row>
    <row r="300" spans="1:7" x14ac:dyDescent="0.25">
      <c r="A300" s="88">
        <v>8</v>
      </c>
      <c r="B300" s="88">
        <v>107</v>
      </c>
      <c r="C300" s="97">
        <f>SUMIFS(Input!$C$115:$C$3257,Input!$A$115:$A$3257,"="&amp;'Output - County'!A300,Input!$B$115:$B$3257,"="&amp;'Output - County'!B300)*VLOOKUP(A300,'Output - State'!$B$2:$G$52,2,FALSE)</f>
        <v>2.9545994994240115</v>
      </c>
      <c r="D300" s="98">
        <f>SUMIFS(Input!$C$115:$C$3257,Input!$A$115:$A$3257,"="&amp;'Output - County'!A300,Input!$B$115:$B$3257,"="&amp;'Output - County'!B300)*VLOOKUP(A300,'Output - State'!$B$2:$G$52,3,FALSE)</f>
        <v>0.27367010288782556</v>
      </c>
      <c r="E300" s="98">
        <f>SUMIFS(Input!$C$115:$C$3257,Input!$A$115:$A$3257,"="&amp;'Output - County'!A300,Input!$B$115:$B$3257,"="&amp;'Output - County'!B300)*VLOOKUP(A300,'Output - State'!$B$2:$G$52,4,FALSE)</f>
        <v>1.7103263278487981</v>
      </c>
      <c r="F300" s="98">
        <f>SUMIFS(Input!$C$115:$C$3257,Input!$A$115:$A$3257,"="&amp;'Output - County'!A300,Input!$B$115:$B$3257,"="&amp;'Output - County'!B300)*VLOOKUP(A300,'Output - State'!$B$2:$G$52,5,FALSE)</f>
        <v>27.148199248582088</v>
      </c>
      <c r="G300" s="99">
        <f>SUMIFS(Input!$D$115:$D$3257,Input!$A$115:$A$3257,"="&amp;'Output - County'!A300,Input!$B$115:$B$3257,"="&amp;'Output - County'!B300)*VLOOKUP(A300,'Output - State'!$B$2:$G$52,6,FALSE)</f>
        <v>0.35129429566972409</v>
      </c>
    </row>
    <row r="301" spans="1:7" x14ac:dyDescent="0.25">
      <c r="A301" s="88">
        <v>8</v>
      </c>
      <c r="B301" s="88">
        <v>109</v>
      </c>
      <c r="C301" s="97">
        <f>SUMIFS(Input!$C$115:$C$3257,Input!$A$115:$A$3257,"="&amp;'Output - County'!A301,Input!$B$115:$B$3257,"="&amp;'Output - County'!B301)*VLOOKUP(A301,'Output - State'!$B$2:$G$52,2,FALSE)</f>
        <v>0.58608559824987805</v>
      </c>
      <c r="D301" s="98">
        <f>SUMIFS(Input!$C$115:$C$3257,Input!$A$115:$A$3257,"="&amp;'Output - County'!A301,Input!$B$115:$B$3257,"="&amp;'Output - County'!B301)*VLOOKUP(A301,'Output - State'!$B$2:$G$52,3,FALSE)</f>
        <v>5.4286242858087939E-2</v>
      </c>
      <c r="E301" s="98">
        <f>SUMIFS(Input!$C$115:$C$3257,Input!$A$115:$A$3257,"="&amp;'Output - County'!A301,Input!$B$115:$B$3257,"="&amp;'Output - County'!B301)*VLOOKUP(A301,'Output - State'!$B$2:$G$52,4,FALSE)</f>
        <v>0.33926683777452543</v>
      </c>
      <c r="F301" s="98">
        <f>SUMIFS(Input!$C$115:$C$3257,Input!$A$115:$A$3257,"="&amp;'Output - County'!A301,Input!$B$115:$B$3257,"="&amp;'Output - County'!B301)*VLOOKUP(A301,'Output - State'!$B$2:$G$52,5,FALSE)</f>
        <v>5.3852200953509772</v>
      </c>
      <c r="G301" s="99">
        <f>SUMIFS(Input!$D$115:$D$3257,Input!$A$115:$A$3257,"="&amp;'Output - County'!A301,Input!$B$115:$B$3257,"="&amp;'Output - County'!B301)*VLOOKUP(A301,'Output - State'!$B$2:$G$52,6,FALSE)</f>
        <v>9.4229528720820119E-2</v>
      </c>
    </row>
    <row r="302" spans="1:7" x14ac:dyDescent="0.25">
      <c r="A302" s="88">
        <v>8</v>
      </c>
      <c r="B302" s="88">
        <v>111</v>
      </c>
      <c r="C302" s="97">
        <f>SUMIFS(Input!$C$115:$C$3257,Input!$A$115:$A$3257,"="&amp;'Output - County'!A302,Input!$B$115:$B$3257,"="&amp;'Output - County'!B302)*VLOOKUP(A302,'Output - State'!$B$2:$G$52,2,FALSE)</f>
        <v>0.12720416025156428</v>
      </c>
      <c r="D302" s="98">
        <f>SUMIFS(Input!$C$115:$C$3257,Input!$A$115:$A$3257,"="&amp;'Output - County'!A302,Input!$B$115:$B$3257,"="&amp;'Output - County'!B302)*VLOOKUP(A302,'Output - State'!$B$2:$G$52,3,FALSE)</f>
        <v>1.1782299303371409E-2</v>
      </c>
      <c r="E302" s="98">
        <f>SUMIFS(Input!$C$115:$C$3257,Input!$A$115:$A$3257,"="&amp;'Output - County'!A302,Input!$B$115:$B$3257,"="&amp;'Output - County'!B302)*VLOOKUP(A302,'Output - State'!$B$2:$G$52,4,FALSE)</f>
        <v>7.3634556674283827E-2</v>
      </c>
      <c r="F302" s="98">
        <f>SUMIFS(Input!$C$115:$C$3257,Input!$A$115:$A$3257,"="&amp;'Output - County'!A302,Input!$B$115:$B$3257,"="&amp;'Output - County'!B302)*VLOOKUP(A302,'Output - State'!$B$2:$G$52,5,FALSE)</f>
        <v>1.1688094743234247</v>
      </c>
      <c r="G302" s="99">
        <f>SUMIFS(Input!$D$115:$D$3257,Input!$A$115:$A$3257,"="&amp;'Output - County'!A302,Input!$B$115:$B$3257,"="&amp;'Output - County'!B302)*VLOOKUP(A302,'Output - State'!$B$2:$G$52,6,FALSE)</f>
        <v>1.0525052623202715E-2</v>
      </c>
    </row>
    <row r="303" spans="1:7" x14ac:dyDescent="0.25">
      <c r="A303" s="88">
        <v>8</v>
      </c>
      <c r="B303" s="88">
        <v>113</v>
      </c>
      <c r="C303" s="97">
        <f>SUMIFS(Input!$C$115:$C$3257,Input!$A$115:$A$3257,"="&amp;'Output - County'!A303,Input!$B$115:$B$3257,"="&amp;'Output - County'!B303)*VLOOKUP(A303,'Output - State'!$B$2:$G$52,2,FALSE)</f>
        <v>0.59971661330256676</v>
      </c>
      <c r="D303" s="98">
        <f>SUMIFS(Input!$C$115:$C$3257,Input!$A$115:$A$3257,"="&amp;'Output - County'!A303,Input!$B$115:$B$3257,"="&amp;'Output - County'!B303)*VLOOKUP(A303,'Output - State'!$B$2:$G$52,3,FALSE)</f>
        <v>5.5548817123284293E-2</v>
      </c>
      <c r="E303" s="98">
        <f>SUMIFS(Input!$C$115:$C$3257,Input!$A$115:$A$3257,"="&amp;'Output - County'!A303,Input!$B$115:$B$3257,"="&amp;'Output - County'!B303)*VLOOKUP(A303,'Output - State'!$B$2:$G$52,4,FALSE)</f>
        <v>0.34715741107370235</v>
      </c>
      <c r="F303" s="98">
        <f>SUMIFS(Input!$C$115:$C$3257,Input!$A$115:$A$3257,"="&amp;'Output - County'!A303,Input!$B$115:$B$3257,"="&amp;'Output - County'!B303)*VLOOKUP(A303,'Output - State'!$B$2:$G$52,5,FALSE)</f>
        <v>5.5104680393389716</v>
      </c>
      <c r="G303" s="99">
        <f>SUMIFS(Input!$D$115:$D$3257,Input!$A$115:$A$3257,"="&amp;'Output - County'!A303,Input!$B$115:$B$3257,"="&amp;'Output - County'!B303)*VLOOKUP(A303,'Output - State'!$B$2:$G$52,6,FALSE)</f>
        <v>0.11268969955209189</v>
      </c>
    </row>
    <row r="304" spans="1:7" x14ac:dyDescent="0.25">
      <c r="A304" s="88">
        <v>8</v>
      </c>
      <c r="B304" s="88">
        <v>115</v>
      </c>
      <c r="C304" s="97">
        <f>SUMIFS(Input!$C$115:$C$3257,Input!$A$115:$A$3257,"="&amp;'Output - County'!A304,Input!$B$115:$B$3257,"="&amp;'Output - County'!B304)*VLOOKUP(A304,'Output - State'!$B$2:$G$52,2,FALSE)</f>
        <v>1.7384150296401988</v>
      </c>
      <c r="D304" s="98">
        <f>SUMIFS(Input!$C$115:$C$3257,Input!$A$115:$A$3257,"="&amp;'Output - County'!A304,Input!$B$115:$B$3257,"="&amp;'Output - County'!B304)*VLOOKUP(A304,'Output - State'!$B$2:$G$52,3,FALSE)</f>
        <v>0.16102088290346006</v>
      </c>
      <c r="E304" s="98">
        <f>SUMIFS(Input!$C$115:$C$3257,Input!$A$115:$A$3257,"="&amp;'Output - County'!A304,Input!$B$115:$B$3257,"="&amp;'Output - County'!B304)*VLOOKUP(A304,'Output - State'!$B$2:$G$52,4,FALSE)</f>
        <v>1.0063147287817882</v>
      </c>
      <c r="F304" s="98">
        <f>SUMIFS(Input!$C$115:$C$3257,Input!$A$115:$A$3257,"="&amp;'Output - County'!A304,Input!$B$115:$B$3257,"="&amp;'Output - County'!B304)*VLOOKUP(A304,'Output - State'!$B$2:$G$52,5,FALSE)</f>
        <v>15.973345155782473</v>
      </c>
      <c r="G304" s="99">
        <f>SUMIFS(Input!$D$115:$D$3257,Input!$A$115:$A$3257,"="&amp;'Output - County'!A304,Input!$B$115:$B$3257,"="&amp;'Output - County'!B304)*VLOOKUP(A304,'Output - State'!$B$2:$G$52,6,FALSE)</f>
        <v>3.1409842906940037E-2</v>
      </c>
    </row>
    <row r="305" spans="1:7" x14ac:dyDescent="0.25">
      <c r="A305" s="88">
        <v>8</v>
      </c>
      <c r="B305" s="88">
        <v>117</v>
      </c>
      <c r="C305" s="97">
        <f>SUMIFS(Input!$C$115:$C$3257,Input!$A$115:$A$3257,"="&amp;'Output - County'!A305,Input!$B$115:$B$3257,"="&amp;'Output - County'!B305)*VLOOKUP(A305,'Output - State'!$B$2:$G$52,2,FALSE)</f>
        <v>9.6097906297721973</v>
      </c>
      <c r="D305" s="98">
        <f>SUMIFS(Input!$C$115:$C$3257,Input!$A$115:$A$3257,"="&amp;'Output - County'!A305,Input!$B$115:$B$3257,"="&amp;'Output - County'!B305)*VLOOKUP(A305,'Output - State'!$B$2:$G$52,3,FALSE)</f>
        <v>0.89010791171287729</v>
      </c>
      <c r="E305" s="98">
        <f>SUMIFS(Input!$C$115:$C$3257,Input!$A$115:$A$3257,"="&amp;'Output - County'!A305,Input!$B$115:$B$3257,"="&amp;'Output - County'!B305)*VLOOKUP(A305,'Output - State'!$B$2:$G$52,4,FALSE)</f>
        <v>5.5628107709414385</v>
      </c>
      <c r="F305" s="98">
        <f>SUMIFS(Input!$C$115:$C$3257,Input!$A$115:$A$3257,"="&amp;'Output - County'!A305,Input!$B$115:$B$3257,"="&amp;'Output - County'!B305)*VLOOKUP(A305,'Output - State'!$B$2:$G$52,5,FALSE)</f>
        <v>88.299111539507152</v>
      </c>
      <c r="G305" s="99">
        <f>SUMIFS(Input!$D$115:$D$3257,Input!$A$115:$A$3257,"="&amp;'Output - County'!A305,Input!$B$115:$B$3257,"="&amp;'Output - County'!B305)*VLOOKUP(A305,'Output - State'!$B$2:$G$52,6,FALSE)</f>
        <v>0.42430840418147064</v>
      </c>
    </row>
    <row r="306" spans="1:7" x14ac:dyDescent="0.25">
      <c r="A306" s="88">
        <v>8</v>
      </c>
      <c r="B306" s="88">
        <v>119</v>
      </c>
      <c r="C306" s="97">
        <f>SUMIFS(Input!$C$115:$C$3257,Input!$A$115:$A$3257,"="&amp;'Output - County'!A306,Input!$B$115:$B$3257,"="&amp;'Output - County'!B306)*VLOOKUP(A306,'Output - State'!$B$2:$G$52,2,FALSE)</f>
        <v>2.2644584806374906</v>
      </c>
      <c r="D306" s="98">
        <f>SUMIFS(Input!$C$115:$C$3257,Input!$A$115:$A$3257,"="&amp;'Output - County'!A306,Input!$B$115:$B$3257,"="&amp;'Output - County'!B306)*VLOOKUP(A306,'Output - State'!$B$2:$G$52,3,FALSE)</f>
        <v>0.20974571528292829</v>
      </c>
      <c r="E306" s="98">
        <f>SUMIFS(Input!$C$115:$C$3257,Input!$A$115:$A$3257,"="&amp;'Output - County'!A306,Input!$B$115:$B$3257,"="&amp;'Output - County'!B306)*VLOOKUP(A306,'Output - State'!$B$2:$G$52,4,FALSE)</f>
        <v>1.3108250233271239</v>
      </c>
      <c r="F306" s="98">
        <f>SUMIFS(Input!$C$115:$C$3257,Input!$A$115:$A$3257,"="&amp;'Output - County'!A306,Input!$B$115:$B$3257,"="&amp;'Output - County'!B306)*VLOOKUP(A306,'Output - State'!$B$2:$G$52,5,FALSE)</f>
        <v>20.80687079060041</v>
      </c>
      <c r="G306" s="99">
        <f>SUMIFS(Input!$D$115:$D$3257,Input!$A$115:$A$3257,"="&amp;'Output - County'!A306,Input!$B$115:$B$3257,"="&amp;'Output - County'!B306)*VLOOKUP(A306,'Output - State'!$B$2:$G$52,6,FALSE)</f>
        <v>0.34578379691412059</v>
      </c>
    </row>
    <row r="307" spans="1:7" x14ac:dyDescent="0.25">
      <c r="A307" s="88">
        <v>8</v>
      </c>
      <c r="B307" s="88">
        <v>121</v>
      </c>
      <c r="C307" s="97">
        <f>SUMIFS(Input!$C$115:$C$3257,Input!$A$115:$A$3257,"="&amp;'Output - County'!A307,Input!$B$115:$B$3257,"="&amp;'Output - County'!B307)*VLOOKUP(A307,'Output - State'!$B$2:$G$52,2,FALSE)</f>
        <v>1.4726789559710369</v>
      </c>
      <c r="D307" s="98">
        <f>SUMIFS(Input!$C$115:$C$3257,Input!$A$115:$A$3257,"="&amp;'Output - County'!A307,Input!$B$115:$B$3257,"="&amp;'Output - County'!B307)*VLOOKUP(A307,'Output - State'!$B$2:$G$52,3,FALSE)</f>
        <v>0.13640704991654473</v>
      </c>
      <c r="E307" s="98">
        <f>SUMIFS(Input!$C$115:$C$3257,Input!$A$115:$A$3257,"="&amp;'Output - County'!A307,Input!$B$115:$B$3257,"="&amp;'Output - County'!B307)*VLOOKUP(A307,'Output - State'!$B$2:$G$52,4,FALSE)</f>
        <v>0.85248832924975759</v>
      </c>
      <c r="F307" s="98">
        <f>SUMIFS(Input!$C$115:$C$3257,Input!$A$115:$A$3257,"="&amp;'Output - County'!A307,Input!$B$115:$B$3257,"="&amp;'Output - County'!B307)*VLOOKUP(A307,'Output - State'!$B$2:$G$52,5,FALSE)</f>
        <v>13.531641677218735</v>
      </c>
      <c r="G307" s="99">
        <f>SUMIFS(Input!$D$115:$D$3257,Input!$A$115:$A$3257,"="&amp;'Output - County'!A307,Input!$B$115:$B$3257,"="&amp;'Output - County'!B307)*VLOOKUP(A307,'Output - State'!$B$2:$G$52,6,FALSE)</f>
        <v>6.7365847287252978E-2</v>
      </c>
    </row>
    <row r="308" spans="1:7" x14ac:dyDescent="0.25">
      <c r="A308" s="88">
        <v>8</v>
      </c>
      <c r="B308" s="88">
        <v>123</v>
      </c>
      <c r="C308" s="97">
        <f>SUMIFS(Input!$C$115:$C$3257,Input!$A$115:$A$3257,"="&amp;'Output - County'!A308,Input!$B$115:$B$3257,"="&amp;'Output - County'!B308)*VLOOKUP(A308,'Output - State'!$B$2:$G$52,2,FALSE)</f>
        <v>52.469308348993195</v>
      </c>
      <c r="D308" s="98">
        <f>SUMIFS(Input!$C$115:$C$3257,Input!$A$115:$A$3257,"="&amp;'Output - County'!A308,Input!$B$115:$B$3257,"="&amp;'Output - County'!B308)*VLOOKUP(A308,'Output - State'!$B$2:$G$52,3,FALSE)</f>
        <v>4.8599754440902405</v>
      </c>
      <c r="E308" s="98">
        <f>SUMIFS(Input!$C$115:$C$3257,Input!$A$115:$A$3257,"="&amp;'Output - County'!A308,Input!$B$115:$B$3257,"="&amp;'Output - County'!B308)*VLOOKUP(A308,'Output - State'!$B$2:$G$52,4,FALSE)</f>
        <v>30.372860853321825</v>
      </c>
      <c r="F308" s="98">
        <f>SUMIFS(Input!$C$115:$C$3257,Input!$A$115:$A$3257,"="&amp;'Output - County'!A308,Input!$B$115:$B$3257,"="&amp;'Output - County'!B308)*VLOOKUP(A308,'Output - State'!$B$2:$G$52,5,FALSE)</f>
        <v>482.11178461630755</v>
      </c>
      <c r="G308" s="99">
        <f>SUMIFS(Input!$D$115:$D$3257,Input!$A$115:$A$3257,"="&amp;'Output - County'!A308,Input!$B$115:$B$3257,"="&amp;'Output - County'!B308)*VLOOKUP(A308,'Output - State'!$B$2:$G$52,6,FALSE)</f>
        <v>4.3395177700377685</v>
      </c>
    </row>
    <row r="309" spans="1:7" x14ac:dyDescent="0.25">
      <c r="A309" s="88">
        <v>8</v>
      </c>
      <c r="B309" s="88">
        <v>125</v>
      </c>
      <c r="C309" s="97">
        <f>SUMIFS(Input!$C$115:$C$3257,Input!$A$115:$A$3257,"="&amp;'Output - County'!A309,Input!$B$115:$B$3257,"="&amp;'Output - County'!B309)*VLOOKUP(A309,'Output - State'!$B$2:$G$52,2,FALSE)</f>
        <v>0.67979269657438879</v>
      </c>
      <c r="D309" s="98">
        <f>SUMIFS(Input!$C$115:$C$3257,Input!$A$115:$A$3257,"="&amp;'Output - County'!A309,Input!$B$115:$B$3257,"="&amp;'Output - County'!B309)*VLOOKUP(A309,'Output - State'!$B$2:$G$52,3,FALSE)</f>
        <v>6.2965873124317867E-2</v>
      </c>
      <c r="E309" s="98">
        <f>SUMIFS(Input!$C$115:$C$3257,Input!$A$115:$A$3257,"="&amp;'Output - County'!A309,Input!$B$115:$B$3257,"="&amp;'Output - County'!B309)*VLOOKUP(A309,'Output - State'!$B$2:$G$52,4,FALSE)</f>
        <v>0.39351098064464052</v>
      </c>
      <c r="F309" s="98">
        <f>SUMIFS(Input!$C$115:$C$3257,Input!$A$115:$A$3257,"="&amp;'Output - County'!A309,Input!$B$115:$B$3257,"="&amp;'Output - County'!B309)*VLOOKUP(A309,'Output - State'!$B$2:$G$52,5,FALSE)</f>
        <v>6.2462433835550915</v>
      </c>
      <c r="G309" s="99">
        <f>SUMIFS(Input!$D$115:$D$3257,Input!$A$115:$A$3257,"="&amp;'Output - County'!A309,Input!$B$115:$B$3257,"="&amp;'Output - County'!B309)*VLOOKUP(A309,'Output - State'!$B$2:$G$52,6,FALSE)</f>
        <v>0.13707365654563744</v>
      </c>
    </row>
    <row r="310" spans="1:7" x14ac:dyDescent="0.25">
      <c r="A310" s="88">
        <v>9</v>
      </c>
      <c r="B310" s="88">
        <v>1</v>
      </c>
      <c r="C310" s="97">
        <f>SUMIFS(Input!$C$115:$C$3257,Input!$A$115:$A$3257,"="&amp;'Output - County'!A310,Input!$B$115:$B$3257,"="&amp;'Output - County'!B310)*VLOOKUP(A310,'Output - State'!$B$2:$G$52,2,FALSE)</f>
        <v>236.42367360007785</v>
      </c>
      <c r="D310" s="98">
        <f>SUMIFS(Input!$C$115:$C$3257,Input!$A$115:$A$3257,"="&amp;'Output - County'!A310,Input!$B$115:$B$3257,"="&amp;'Output - County'!B310)*VLOOKUP(A310,'Output - State'!$B$2:$G$52,3,FALSE)</f>
        <v>0</v>
      </c>
      <c r="E310" s="98">
        <f>SUMIFS(Input!$C$115:$C$3257,Input!$A$115:$A$3257,"="&amp;'Output - County'!A310,Input!$B$115:$B$3257,"="&amp;'Output - County'!B310)*VLOOKUP(A310,'Output - State'!$B$2:$G$52,4,FALSE)</f>
        <v>0</v>
      </c>
      <c r="F310" s="98">
        <f>SUMIFS(Input!$C$115:$C$3257,Input!$A$115:$A$3257,"="&amp;'Output - County'!A310,Input!$B$115:$B$3257,"="&amp;'Output - County'!B310)*VLOOKUP(A310,'Output - State'!$B$2:$G$52,5,FALSE)</f>
        <v>16.24976756208704</v>
      </c>
      <c r="G310" s="99">
        <f>SUMIFS(Input!$D$115:$D$3257,Input!$A$115:$A$3257,"="&amp;'Output - County'!A310,Input!$B$115:$B$3257,"="&amp;'Output - County'!B310)*VLOOKUP(A310,'Output - State'!$B$2:$G$52,6,FALSE)</f>
        <v>10.215470017216383</v>
      </c>
    </row>
    <row r="311" spans="1:7" x14ac:dyDescent="0.25">
      <c r="A311" s="88">
        <v>9</v>
      </c>
      <c r="B311" s="88">
        <v>3</v>
      </c>
      <c r="C311" s="97">
        <f>SUMIFS(Input!$C$115:$C$3257,Input!$A$115:$A$3257,"="&amp;'Output - County'!A311,Input!$B$115:$B$3257,"="&amp;'Output - County'!B311)*VLOOKUP(A311,'Output - State'!$B$2:$G$52,2,FALSE)</f>
        <v>275.76325607780529</v>
      </c>
      <c r="D311" s="98">
        <f>SUMIFS(Input!$C$115:$C$3257,Input!$A$115:$A$3257,"="&amp;'Output - County'!A311,Input!$B$115:$B$3257,"="&amp;'Output - County'!B311)*VLOOKUP(A311,'Output - State'!$B$2:$G$52,3,FALSE)</f>
        <v>0</v>
      </c>
      <c r="E311" s="98">
        <f>SUMIFS(Input!$C$115:$C$3257,Input!$A$115:$A$3257,"="&amp;'Output - County'!A311,Input!$B$115:$B$3257,"="&amp;'Output - County'!B311)*VLOOKUP(A311,'Output - State'!$B$2:$G$52,4,FALSE)</f>
        <v>0</v>
      </c>
      <c r="F311" s="98">
        <f>SUMIFS(Input!$C$115:$C$3257,Input!$A$115:$A$3257,"="&amp;'Output - County'!A311,Input!$B$115:$B$3257,"="&amp;'Output - County'!B311)*VLOOKUP(A311,'Output - State'!$B$2:$G$52,5,FALSE)</f>
        <v>18.953638378061083</v>
      </c>
      <c r="G311" s="99">
        <f>SUMIFS(Input!$D$115:$D$3257,Input!$A$115:$A$3257,"="&amp;'Output - County'!A311,Input!$B$115:$B$3257,"="&amp;'Output - County'!B311)*VLOOKUP(A311,'Output - State'!$B$2:$G$52,6,FALSE)</f>
        <v>9.6635749209472781</v>
      </c>
    </row>
    <row r="312" spans="1:7" x14ac:dyDescent="0.25">
      <c r="A312" s="88">
        <v>9</v>
      </c>
      <c r="B312" s="88">
        <v>5</v>
      </c>
      <c r="C312" s="97">
        <f>SUMIFS(Input!$C$115:$C$3257,Input!$A$115:$A$3257,"="&amp;'Output - County'!A312,Input!$B$115:$B$3257,"="&amp;'Output - County'!B312)*VLOOKUP(A312,'Output - State'!$B$2:$G$52,2,FALSE)</f>
        <v>40.931533466471727</v>
      </c>
      <c r="D312" s="98">
        <f>SUMIFS(Input!$C$115:$C$3257,Input!$A$115:$A$3257,"="&amp;'Output - County'!A312,Input!$B$115:$B$3257,"="&amp;'Output - County'!B312)*VLOOKUP(A312,'Output - State'!$B$2:$G$52,3,FALSE)</f>
        <v>0</v>
      </c>
      <c r="E312" s="98">
        <f>SUMIFS(Input!$C$115:$C$3257,Input!$A$115:$A$3257,"="&amp;'Output - County'!A312,Input!$B$115:$B$3257,"="&amp;'Output - County'!B312)*VLOOKUP(A312,'Output - State'!$B$2:$G$52,4,FALSE)</f>
        <v>0</v>
      </c>
      <c r="F312" s="98">
        <f>SUMIFS(Input!$C$115:$C$3257,Input!$A$115:$A$3257,"="&amp;'Output - County'!A312,Input!$B$115:$B$3257,"="&amp;'Output - County'!B312)*VLOOKUP(A312,'Output - State'!$B$2:$G$52,5,FALSE)</f>
        <v>2.8132880885483935</v>
      </c>
      <c r="G312" s="99">
        <f>SUMIFS(Input!$D$115:$D$3257,Input!$A$115:$A$3257,"="&amp;'Output - County'!A312,Input!$B$115:$B$3257,"="&amp;'Output - County'!B312)*VLOOKUP(A312,'Output - State'!$B$2:$G$52,6,FALSE)</f>
        <v>1.9586865181315314</v>
      </c>
    </row>
    <row r="313" spans="1:7" x14ac:dyDescent="0.25">
      <c r="A313" s="88">
        <v>9</v>
      </c>
      <c r="B313" s="88">
        <v>7</v>
      </c>
      <c r="C313" s="97">
        <f>SUMIFS(Input!$C$115:$C$3257,Input!$A$115:$A$3257,"="&amp;'Output - County'!A313,Input!$B$115:$B$3257,"="&amp;'Output - County'!B313)*VLOOKUP(A313,'Output - State'!$B$2:$G$52,2,FALSE)</f>
        <v>61.654655387780295</v>
      </c>
      <c r="D313" s="98">
        <f>SUMIFS(Input!$C$115:$C$3257,Input!$A$115:$A$3257,"="&amp;'Output - County'!A313,Input!$B$115:$B$3257,"="&amp;'Output - County'!B313)*VLOOKUP(A313,'Output - State'!$B$2:$G$52,3,FALSE)</f>
        <v>0</v>
      </c>
      <c r="E313" s="98">
        <f>SUMIFS(Input!$C$115:$C$3257,Input!$A$115:$A$3257,"="&amp;'Output - County'!A313,Input!$B$115:$B$3257,"="&amp;'Output - County'!B313)*VLOOKUP(A313,'Output - State'!$B$2:$G$52,4,FALSE)</f>
        <v>0</v>
      </c>
      <c r="F313" s="98">
        <f>SUMIFS(Input!$C$115:$C$3257,Input!$A$115:$A$3257,"="&amp;'Output - County'!A313,Input!$B$115:$B$3257,"="&amp;'Output - County'!B313)*VLOOKUP(A313,'Output - State'!$B$2:$G$52,5,FALSE)</f>
        <v>4.2376205559969664</v>
      </c>
      <c r="G313" s="99">
        <f>SUMIFS(Input!$D$115:$D$3257,Input!$A$115:$A$3257,"="&amp;'Output - County'!A313,Input!$B$115:$B$3257,"="&amp;'Output - County'!B313)*VLOOKUP(A313,'Output - State'!$B$2:$G$52,6,FALSE)</f>
        <v>1.7639000135659646</v>
      </c>
    </row>
    <row r="314" spans="1:7" x14ac:dyDescent="0.25">
      <c r="A314" s="88">
        <v>9</v>
      </c>
      <c r="B314" s="88">
        <v>9</v>
      </c>
      <c r="C314" s="97">
        <f>SUMIFS(Input!$C$115:$C$3257,Input!$A$115:$A$3257,"="&amp;'Output - County'!A314,Input!$B$115:$B$3257,"="&amp;'Output - County'!B314)*VLOOKUP(A314,'Output - State'!$B$2:$G$52,2,FALSE)</f>
        <v>252.4597753873303</v>
      </c>
      <c r="D314" s="98">
        <f>SUMIFS(Input!$C$115:$C$3257,Input!$A$115:$A$3257,"="&amp;'Output - County'!A314,Input!$B$115:$B$3257,"="&amp;'Output - County'!B314)*VLOOKUP(A314,'Output - State'!$B$2:$G$52,3,FALSE)</f>
        <v>0</v>
      </c>
      <c r="E314" s="98">
        <f>SUMIFS(Input!$C$115:$C$3257,Input!$A$115:$A$3257,"="&amp;'Output - County'!A314,Input!$B$115:$B$3257,"="&amp;'Output - County'!B314)*VLOOKUP(A314,'Output - State'!$B$2:$G$52,4,FALSE)</f>
        <v>0</v>
      </c>
      <c r="F314" s="98">
        <f>SUMIFS(Input!$C$115:$C$3257,Input!$A$115:$A$3257,"="&amp;'Output - County'!A314,Input!$B$115:$B$3257,"="&amp;'Output - County'!B314)*VLOOKUP(A314,'Output - State'!$B$2:$G$52,5,FALSE)</f>
        <v>17.351953830817514</v>
      </c>
      <c r="G314" s="99">
        <f>SUMIFS(Input!$D$115:$D$3257,Input!$A$115:$A$3257,"="&amp;'Output - County'!A314,Input!$B$115:$B$3257,"="&amp;'Output - County'!B314)*VLOOKUP(A314,'Output - State'!$B$2:$G$52,6,FALSE)</f>
        <v>9.2740019118161445</v>
      </c>
    </row>
    <row r="315" spans="1:7" x14ac:dyDescent="0.25">
      <c r="A315" s="88">
        <v>9</v>
      </c>
      <c r="B315" s="88">
        <v>11</v>
      </c>
      <c r="C315" s="97">
        <f>SUMIFS(Input!$C$115:$C$3257,Input!$A$115:$A$3257,"="&amp;'Output - County'!A315,Input!$B$115:$B$3257,"="&amp;'Output - County'!B315)*VLOOKUP(A315,'Output - State'!$B$2:$G$52,2,FALSE)</f>
        <v>83.680877841941637</v>
      </c>
      <c r="D315" s="98">
        <f>SUMIFS(Input!$C$115:$C$3257,Input!$A$115:$A$3257,"="&amp;'Output - County'!A315,Input!$B$115:$B$3257,"="&amp;'Output - County'!B315)*VLOOKUP(A315,'Output - State'!$B$2:$G$52,3,FALSE)</f>
        <v>0</v>
      </c>
      <c r="E315" s="98">
        <f>SUMIFS(Input!$C$115:$C$3257,Input!$A$115:$A$3257,"="&amp;'Output - County'!A315,Input!$B$115:$B$3257,"="&amp;'Output - County'!B315)*VLOOKUP(A315,'Output - State'!$B$2:$G$52,4,FALSE)</f>
        <v>0</v>
      </c>
      <c r="F315" s="98">
        <f>SUMIFS(Input!$C$115:$C$3257,Input!$A$115:$A$3257,"="&amp;'Output - County'!A315,Input!$B$115:$B$3257,"="&amp;'Output - County'!B315)*VLOOKUP(A315,'Output - State'!$B$2:$G$52,5,FALSE)</f>
        <v>5.7515171540017205</v>
      </c>
      <c r="G315" s="99">
        <f>SUMIFS(Input!$D$115:$D$3257,Input!$A$115:$A$3257,"="&amp;'Output - County'!A315,Input!$B$115:$B$3257,"="&amp;'Output - County'!B315)*VLOOKUP(A315,'Output - State'!$B$2:$G$52,6,FALSE)</f>
        <v>2.8785116785800402</v>
      </c>
    </row>
    <row r="316" spans="1:7" x14ac:dyDescent="0.25">
      <c r="A316" s="88">
        <v>9</v>
      </c>
      <c r="B316" s="88">
        <v>13</v>
      </c>
      <c r="C316" s="97">
        <f>SUMIFS(Input!$C$115:$C$3257,Input!$A$115:$A$3257,"="&amp;'Output - County'!A316,Input!$B$115:$B$3257,"="&amp;'Output - County'!B316)*VLOOKUP(A316,'Output - State'!$B$2:$G$52,2,FALSE)</f>
        <v>42.047203144112615</v>
      </c>
      <c r="D316" s="98">
        <f>SUMIFS(Input!$C$115:$C$3257,Input!$A$115:$A$3257,"="&amp;'Output - County'!A316,Input!$B$115:$B$3257,"="&amp;'Output - County'!B316)*VLOOKUP(A316,'Output - State'!$B$2:$G$52,3,FALSE)</f>
        <v>0</v>
      </c>
      <c r="E316" s="98">
        <f>SUMIFS(Input!$C$115:$C$3257,Input!$A$115:$A$3257,"="&amp;'Output - County'!A316,Input!$B$115:$B$3257,"="&amp;'Output - County'!B316)*VLOOKUP(A316,'Output - State'!$B$2:$G$52,4,FALSE)</f>
        <v>0</v>
      </c>
      <c r="F316" s="98">
        <f>SUMIFS(Input!$C$115:$C$3257,Input!$A$115:$A$3257,"="&amp;'Output - County'!A316,Input!$B$115:$B$3257,"="&amp;'Output - County'!B316)*VLOOKUP(A316,'Output - State'!$B$2:$G$52,5,FALSE)</f>
        <v>2.8899698043075346</v>
      </c>
      <c r="G316" s="99">
        <f>SUMIFS(Input!$D$115:$D$3257,Input!$A$115:$A$3257,"="&amp;'Output - County'!A316,Input!$B$115:$B$3257,"="&amp;'Output - County'!B316)*VLOOKUP(A316,'Output - State'!$B$2:$G$52,6,FALSE)</f>
        <v>1.6340423438555869</v>
      </c>
    </row>
    <row r="317" spans="1:7" x14ac:dyDescent="0.25">
      <c r="A317" s="88">
        <v>9</v>
      </c>
      <c r="B317" s="88">
        <v>15</v>
      </c>
      <c r="C317" s="97">
        <f>SUMIFS(Input!$C$115:$C$3257,Input!$A$115:$A$3257,"="&amp;'Output - County'!A317,Input!$B$115:$B$3257,"="&amp;'Output - County'!B317)*VLOOKUP(A317,'Output - State'!$B$2:$G$52,2,FALSE)</f>
        <v>30.948661397671664</v>
      </c>
      <c r="D317" s="98">
        <f>SUMIFS(Input!$C$115:$C$3257,Input!$A$115:$A$3257,"="&amp;'Output - County'!A317,Input!$B$115:$B$3257,"="&amp;'Output - County'!B317)*VLOOKUP(A317,'Output - State'!$B$2:$G$52,3,FALSE)</f>
        <v>0</v>
      </c>
      <c r="E317" s="98">
        <f>SUMIFS(Input!$C$115:$C$3257,Input!$A$115:$A$3257,"="&amp;'Output - County'!A317,Input!$B$115:$B$3257,"="&amp;'Output - County'!B317)*VLOOKUP(A317,'Output - State'!$B$2:$G$52,4,FALSE)</f>
        <v>0</v>
      </c>
      <c r="F317" s="98">
        <f>SUMIFS(Input!$C$115:$C$3257,Input!$A$115:$A$3257,"="&amp;'Output - County'!A317,Input!$B$115:$B$3257,"="&amp;'Output - County'!B317)*VLOOKUP(A317,'Output - State'!$B$2:$G$52,5,FALSE)</f>
        <v>2.1271497325627156</v>
      </c>
      <c r="G317" s="99">
        <f>SUMIFS(Input!$D$115:$D$3257,Input!$A$115:$A$3257,"="&amp;'Output - County'!A317,Input!$B$115:$B$3257,"="&amp;'Output - County'!B317)*VLOOKUP(A317,'Output - State'!$B$2:$G$52,6,FALSE)</f>
        <v>1.266112279676183</v>
      </c>
    </row>
    <row r="318" spans="1:7" x14ac:dyDescent="0.25">
      <c r="A318" s="88">
        <v>10</v>
      </c>
      <c r="B318" s="88">
        <v>1</v>
      </c>
      <c r="C318" s="97">
        <f>SUMIFS(Input!$C$115:$C$3257,Input!$A$115:$A$3257,"="&amp;'Output - County'!A318,Input!$B$115:$B$3257,"="&amp;'Output - County'!B318)*VLOOKUP(A318,'Output - State'!$B$2:$G$52,2,FALSE)</f>
        <v>54.236747326630507</v>
      </c>
      <c r="D318" s="98">
        <f>SUMIFS(Input!$C$115:$C$3257,Input!$A$115:$A$3257,"="&amp;'Output - County'!A318,Input!$B$115:$B$3257,"="&amp;'Output - County'!B318)*VLOOKUP(A318,'Output - State'!$B$2:$G$52,3,FALSE)</f>
        <v>0</v>
      </c>
      <c r="E318" s="98">
        <f>SUMIFS(Input!$C$115:$C$3257,Input!$A$115:$A$3257,"="&amp;'Output - County'!A318,Input!$B$115:$B$3257,"="&amp;'Output - County'!B318)*VLOOKUP(A318,'Output - State'!$B$2:$G$52,4,FALSE)</f>
        <v>1.3320106628340487</v>
      </c>
      <c r="F318" s="98">
        <f>SUMIFS(Input!$C$115:$C$3257,Input!$A$115:$A$3257,"="&amp;'Output - County'!A318,Input!$B$115:$B$3257,"="&amp;'Output - County'!B318)*VLOOKUP(A318,'Output - State'!$B$2:$G$52,5,FALSE)</f>
        <v>83.181831015928239</v>
      </c>
      <c r="G318" s="99">
        <f>SUMIFS(Input!$D$115:$D$3257,Input!$A$115:$A$3257,"="&amp;'Output - County'!A318,Input!$B$115:$B$3257,"="&amp;'Output - County'!B318)*VLOOKUP(A318,'Output - State'!$B$2:$G$52,6,FALSE)</f>
        <v>43.993194439596799</v>
      </c>
    </row>
    <row r="319" spans="1:7" x14ac:dyDescent="0.25">
      <c r="A319" s="88">
        <v>10</v>
      </c>
      <c r="B319" s="88">
        <v>3</v>
      </c>
      <c r="C319" s="97">
        <f>SUMIFS(Input!$C$115:$C$3257,Input!$A$115:$A$3257,"="&amp;'Output - County'!A319,Input!$B$115:$B$3257,"="&amp;'Output - County'!B319)*VLOOKUP(A319,'Output - State'!$B$2:$G$52,2,FALSE)</f>
        <v>180.61517059186306</v>
      </c>
      <c r="D319" s="98">
        <f>SUMIFS(Input!$C$115:$C$3257,Input!$A$115:$A$3257,"="&amp;'Output - County'!A319,Input!$B$115:$B$3257,"="&amp;'Output - County'!B319)*VLOOKUP(A319,'Output - State'!$B$2:$G$52,3,FALSE)</f>
        <v>0</v>
      </c>
      <c r="E319" s="98">
        <f>SUMIFS(Input!$C$115:$C$3257,Input!$A$115:$A$3257,"="&amp;'Output - County'!A319,Input!$B$115:$B$3257,"="&amp;'Output - County'!B319)*VLOOKUP(A319,'Output - State'!$B$2:$G$52,4,FALSE)</f>
        <v>4.4357625587149778</v>
      </c>
      <c r="F319" s="98">
        <f>SUMIFS(Input!$C$115:$C$3257,Input!$A$115:$A$3257,"="&amp;'Output - County'!A319,Input!$B$115:$B$3257,"="&amp;'Output - County'!B319)*VLOOKUP(A319,'Output - State'!$B$2:$G$52,5,FALSE)</f>
        <v>277.00592936753407</v>
      </c>
      <c r="G319" s="99">
        <f>SUMIFS(Input!$D$115:$D$3257,Input!$A$115:$A$3257,"="&amp;'Output - County'!A319,Input!$B$115:$B$3257,"="&amp;'Output - County'!B319)*VLOOKUP(A319,'Output - State'!$B$2:$G$52,6,FALSE)</f>
        <v>137.14079607427382</v>
      </c>
    </row>
    <row r="320" spans="1:7" x14ac:dyDescent="0.25">
      <c r="A320" s="88">
        <v>10</v>
      </c>
      <c r="B320" s="88">
        <v>5</v>
      </c>
      <c r="C320" s="97">
        <f>SUMIFS(Input!$C$115:$C$3257,Input!$A$115:$A$3257,"="&amp;'Output - County'!A320,Input!$B$115:$B$3257,"="&amp;'Output - County'!B320)*VLOOKUP(A320,'Output - State'!$B$2:$G$52,2,FALSE)</f>
        <v>71.443076127040499</v>
      </c>
      <c r="D320" s="98">
        <f>SUMIFS(Input!$C$115:$C$3257,Input!$A$115:$A$3257,"="&amp;'Output - County'!A320,Input!$B$115:$B$3257,"="&amp;'Output - County'!B320)*VLOOKUP(A320,'Output - State'!$B$2:$G$52,3,FALSE)</f>
        <v>0</v>
      </c>
      <c r="E320" s="98">
        <f>SUMIFS(Input!$C$115:$C$3257,Input!$A$115:$A$3257,"="&amp;'Output - County'!A320,Input!$B$115:$B$3257,"="&amp;'Output - County'!B320)*VLOOKUP(A320,'Output - State'!$B$2:$G$52,4,FALSE)</f>
        <v>1.7545841865070169</v>
      </c>
      <c r="F320" s="98">
        <f>SUMIFS(Input!$C$115:$C$3257,Input!$A$115:$A$3257,"="&amp;'Output - County'!A320,Input!$B$115:$B$3257,"="&amp;'Output - County'!B320)*VLOOKUP(A320,'Output - State'!$B$2:$G$52,5,FALSE)</f>
        <v>109.57083856574954</v>
      </c>
      <c r="G320" s="99">
        <f>SUMIFS(Input!$D$115:$D$3257,Input!$A$115:$A$3257,"="&amp;'Output - County'!A320,Input!$B$115:$B$3257,"="&amp;'Output - County'!B320)*VLOOKUP(A320,'Output - State'!$B$2:$G$52,6,FALSE)</f>
        <v>56.281796238366859</v>
      </c>
    </row>
    <row r="321" spans="1:7" x14ac:dyDescent="0.25">
      <c r="A321" s="88">
        <v>11</v>
      </c>
      <c r="B321" s="88">
        <v>1</v>
      </c>
      <c r="C321" s="97">
        <f>SUMIFS(Input!$C$115:$C$3257,Input!$A$115:$A$3257,"="&amp;'Output - County'!A321,Input!$B$115:$B$3257,"="&amp;'Output - County'!B321)*VLOOKUP(A321,'Output - State'!$B$2:$G$52,2,FALSE)</f>
        <v>287.1515569176882</v>
      </c>
      <c r="D321" s="98">
        <f>SUMIFS(Input!$C$115:$C$3257,Input!$A$115:$A$3257,"="&amp;'Output - County'!A321,Input!$B$115:$B$3257,"="&amp;'Output - County'!B321)*VLOOKUP(A321,'Output - State'!$B$2:$G$52,3,FALSE)</f>
        <v>0</v>
      </c>
      <c r="E321" s="98">
        <f>SUMIFS(Input!$C$115:$C$3257,Input!$A$115:$A$3257,"="&amp;'Output - County'!A321,Input!$B$115:$B$3257,"="&amp;'Output - County'!B321)*VLOOKUP(A321,'Output - State'!$B$2:$G$52,4,FALSE)</f>
        <v>7.0522100700525385</v>
      </c>
      <c r="F321" s="98">
        <f>SUMIFS(Input!$C$115:$C$3257,Input!$A$115:$A$3257,"="&amp;'Output - County'!A321,Input!$B$115:$B$3257,"="&amp;'Output - County'!B321)*VLOOKUP(A321,'Output - State'!$B$2:$G$52,5,FALSE)</f>
        <v>440.39868651488609</v>
      </c>
      <c r="G321" s="99">
        <f>SUMIFS(Input!$D$115:$D$3257,Input!$A$115:$A$3257,"="&amp;'Output - County'!A321,Input!$B$115:$B$3257,"="&amp;'Output - County'!B321)*VLOOKUP(A321,'Output - State'!$B$2:$G$52,6,FALSE)</f>
        <v>462.5064248741345</v>
      </c>
    </row>
    <row r="322" spans="1:7" x14ac:dyDescent="0.25">
      <c r="A322" s="88">
        <v>12</v>
      </c>
      <c r="B322" s="88">
        <v>1</v>
      </c>
      <c r="C322" s="97">
        <f>SUMIFS(Input!$C$115:$C$3257,Input!$A$115:$A$3257,"="&amp;'Output - County'!A322,Input!$B$115:$B$3257,"="&amp;'Output - County'!B322)*VLOOKUP(A322,'Output - State'!$B$2:$G$52,2,FALSE)</f>
        <v>38.165028294138104</v>
      </c>
      <c r="D322" s="98">
        <f>SUMIFS(Input!$C$115:$C$3257,Input!$A$115:$A$3257,"="&amp;'Output - County'!A322,Input!$B$115:$B$3257,"="&amp;'Output - County'!B322)*VLOOKUP(A322,'Output - State'!$B$2:$G$52,3,FALSE)</f>
        <v>3.6316813136760651</v>
      </c>
      <c r="E322" s="98">
        <f>SUMIFS(Input!$C$115:$C$3257,Input!$A$115:$A$3257,"="&amp;'Output - County'!A322,Input!$B$115:$B$3257,"="&amp;'Output - County'!B322)*VLOOKUP(A322,'Output - State'!$B$2:$G$52,4,FALSE)</f>
        <v>1.3718609439268585</v>
      </c>
      <c r="F322" s="98">
        <f>SUMIFS(Input!$C$115:$C$3257,Input!$A$115:$A$3257,"="&amp;'Output - County'!A322,Input!$B$115:$B$3257,"="&amp;'Output - County'!B322)*VLOOKUP(A322,'Output - State'!$B$2:$G$52,5,FALSE)</f>
        <v>64.000625014518533</v>
      </c>
      <c r="G322" s="99">
        <f>SUMIFS(Input!$D$115:$D$3257,Input!$A$115:$A$3257,"="&amp;'Output - County'!A322,Input!$B$115:$B$3257,"="&amp;'Output - County'!B322)*VLOOKUP(A322,'Output - State'!$B$2:$G$52,6,FALSE)</f>
        <v>33.769867712895795</v>
      </c>
    </row>
    <row r="323" spans="1:7" x14ac:dyDescent="0.25">
      <c r="A323" s="88">
        <v>12</v>
      </c>
      <c r="B323" s="88">
        <v>3</v>
      </c>
      <c r="C323" s="97">
        <f>SUMIFS(Input!$C$115:$C$3257,Input!$A$115:$A$3257,"="&amp;'Output - County'!A323,Input!$B$115:$B$3257,"="&amp;'Output - County'!B323)*VLOOKUP(A323,'Output - State'!$B$2:$G$52,2,FALSE)</f>
        <v>5.8317072165461505</v>
      </c>
      <c r="D323" s="98">
        <f>SUMIFS(Input!$C$115:$C$3257,Input!$A$115:$A$3257,"="&amp;'Output - County'!A323,Input!$B$115:$B$3257,"="&amp;'Output - County'!B323)*VLOOKUP(A323,'Output - State'!$B$2:$G$52,3,FALSE)</f>
        <v>0.55492955388201437</v>
      </c>
      <c r="E323" s="98">
        <f>SUMIFS(Input!$C$115:$C$3257,Input!$A$115:$A$3257,"="&amp;'Output - County'!A323,Input!$B$115:$B$3257,"="&amp;'Output - County'!B323)*VLOOKUP(A323,'Output - State'!$B$2:$G$52,4,FALSE)</f>
        <v>0.20962361943341903</v>
      </c>
      <c r="F323" s="98">
        <f>SUMIFS(Input!$C$115:$C$3257,Input!$A$115:$A$3257,"="&amp;'Output - County'!A323,Input!$B$115:$B$3257,"="&amp;'Output - County'!B323)*VLOOKUP(A323,'Output - State'!$B$2:$G$52,5,FALSE)</f>
        <v>9.7794479250512687</v>
      </c>
      <c r="G323" s="99">
        <f>SUMIFS(Input!$D$115:$D$3257,Input!$A$115:$A$3257,"="&amp;'Output - County'!A323,Input!$B$115:$B$3257,"="&amp;'Output - County'!B323)*VLOOKUP(A323,'Output - State'!$B$2:$G$52,6,FALSE)</f>
        <v>3.5652945838150214</v>
      </c>
    </row>
    <row r="324" spans="1:7" x14ac:dyDescent="0.25">
      <c r="A324" s="88">
        <v>12</v>
      </c>
      <c r="B324" s="88">
        <v>5</v>
      </c>
      <c r="C324" s="97">
        <f>SUMIFS(Input!$C$115:$C$3257,Input!$A$115:$A$3257,"="&amp;'Output - County'!A324,Input!$B$115:$B$3257,"="&amp;'Output - County'!B324)*VLOOKUP(A324,'Output - State'!$B$2:$G$52,2,FALSE)</f>
        <v>23.010473516164669</v>
      </c>
      <c r="D324" s="98">
        <f>SUMIFS(Input!$C$115:$C$3257,Input!$A$115:$A$3257,"="&amp;'Output - County'!A324,Input!$B$115:$B$3257,"="&amp;'Output - County'!B324)*VLOOKUP(A324,'Output - State'!$B$2:$G$52,3,FALSE)</f>
        <v>2.1896146923682092</v>
      </c>
      <c r="E324" s="98">
        <f>SUMIFS(Input!$C$115:$C$3257,Input!$A$115:$A$3257,"="&amp;'Output - County'!A324,Input!$B$115:$B$3257,"="&amp;'Output - County'!B324)*VLOOKUP(A324,'Output - State'!$B$2:$G$52,4,FALSE)</f>
        <v>0.82712292716780589</v>
      </c>
      <c r="F324" s="98">
        <f>SUMIFS(Input!$C$115:$C$3257,Input!$A$115:$A$3257,"="&amp;'Output - County'!A324,Input!$B$115:$B$3257,"="&amp;'Output - County'!B324)*VLOOKUP(A324,'Output - State'!$B$2:$G$52,5,FALSE)</f>
        <v>38.587281412831004</v>
      </c>
      <c r="G324" s="99">
        <f>SUMIFS(Input!$D$115:$D$3257,Input!$A$115:$A$3257,"="&amp;'Output - County'!A324,Input!$B$115:$B$3257,"="&amp;'Output - County'!B324)*VLOOKUP(A324,'Output - State'!$B$2:$G$52,6,FALSE)</f>
        <v>23.350168753154716</v>
      </c>
    </row>
    <row r="325" spans="1:7" x14ac:dyDescent="0.25">
      <c r="A325" s="88">
        <v>12</v>
      </c>
      <c r="B325" s="88">
        <v>7</v>
      </c>
      <c r="C325" s="97">
        <f>SUMIFS(Input!$C$115:$C$3257,Input!$A$115:$A$3257,"="&amp;'Output - County'!A325,Input!$B$115:$B$3257,"="&amp;'Output - County'!B325)*VLOOKUP(A325,'Output - State'!$B$2:$G$52,2,FALSE)</f>
        <v>3.3681178365523685</v>
      </c>
      <c r="D325" s="98">
        <f>SUMIFS(Input!$C$115:$C$3257,Input!$A$115:$A$3257,"="&amp;'Output - County'!A325,Input!$B$115:$B$3257,"="&amp;'Output - County'!B325)*VLOOKUP(A325,'Output - State'!$B$2:$G$52,3,FALSE)</f>
        <v>0.32050102295207877</v>
      </c>
      <c r="E325" s="98">
        <f>SUMIFS(Input!$C$115:$C$3257,Input!$A$115:$A$3257,"="&amp;'Output - County'!A325,Input!$B$115:$B$3257,"="&amp;'Output - County'!B325)*VLOOKUP(A325,'Output - State'!$B$2:$G$52,4,FALSE)</f>
        <v>0.12106867257895661</v>
      </c>
      <c r="F325" s="98">
        <f>SUMIFS(Input!$C$115:$C$3257,Input!$A$115:$A$3257,"="&amp;'Output - County'!A325,Input!$B$115:$B$3257,"="&amp;'Output - County'!B325)*VLOOKUP(A325,'Output - State'!$B$2:$G$52,5,FALSE)</f>
        <v>5.6481458627664214</v>
      </c>
      <c r="G325" s="99">
        <f>SUMIFS(Input!$D$115:$D$3257,Input!$A$115:$A$3257,"="&amp;'Output - County'!A325,Input!$B$115:$B$3257,"="&amp;'Output - County'!B325)*VLOOKUP(A325,'Output - State'!$B$2:$G$52,6,FALSE)</f>
        <v>3.4899714588048445</v>
      </c>
    </row>
    <row r="326" spans="1:7" x14ac:dyDescent="0.25">
      <c r="A326" s="88">
        <v>12</v>
      </c>
      <c r="B326" s="88">
        <v>9</v>
      </c>
      <c r="C326" s="97">
        <f>SUMIFS(Input!$C$115:$C$3257,Input!$A$115:$A$3257,"="&amp;'Output - County'!A326,Input!$B$115:$B$3257,"="&amp;'Output - County'!B326)*VLOOKUP(A326,'Output - State'!$B$2:$G$52,2,FALSE)</f>
        <v>86.279184759239953</v>
      </c>
      <c r="D326" s="98">
        <f>SUMIFS(Input!$C$115:$C$3257,Input!$A$115:$A$3257,"="&amp;'Output - County'!A326,Input!$B$115:$B$3257,"="&amp;'Output - County'!B326)*VLOOKUP(A326,'Output - State'!$B$2:$G$52,3,FALSE)</f>
        <v>8.2100948710016599</v>
      </c>
      <c r="E326" s="98">
        <f>SUMIFS(Input!$C$115:$C$3257,Input!$A$115:$A$3257,"="&amp;'Output - County'!A326,Input!$B$115:$B$3257,"="&amp;'Output - County'!B326)*VLOOKUP(A326,'Output - State'!$B$2:$G$52,4,FALSE)</f>
        <v>3.101348253506484</v>
      </c>
      <c r="F326" s="98">
        <f>SUMIFS(Input!$C$115:$C$3257,Input!$A$115:$A$3257,"="&amp;'Output - County'!A326,Input!$B$115:$B$3257,"="&amp;'Output - County'!B326)*VLOOKUP(A326,'Output - State'!$B$2:$G$52,5,FALSE)</f>
        <v>144.68538337708006</v>
      </c>
      <c r="G326" s="99">
        <f>SUMIFS(Input!$D$115:$D$3257,Input!$A$115:$A$3257,"="&amp;'Output - County'!A326,Input!$B$115:$B$3257,"="&amp;'Output - County'!B326)*VLOOKUP(A326,'Output - State'!$B$2:$G$52,6,FALSE)</f>
        <v>74.695432301758373</v>
      </c>
    </row>
    <row r="327" spans="1:7" x14ac:dyDescent="0.25">
      <c r="A327" s="88">
        <v>12</v>
      </c>
      <c r="B327" s="88">
        <v>11</v>
      </c>
      <c r="C327" s="97">
        <f>SUMIFS(Input!$C$115:$C$3257,Input!$A$115:$A$3257,"="&amp;'Output - County'!A327,Input!$B$115:$B$3257,"="&amp;'Output - County'!B327)*VLOOKUP(A327,'Output - State'!$B$2:$G$52,2,FALSE)</f>
        <v>229.97396160930521</v>
      </c>
      <c r="D327" s="98">
        <f>SUMIFS(Input!$C$115:$C$3257,Input!$A$115:$A$3257,"="&amp;'Output - County'!A327,Input!$B$115:$B$3257,"="&amp;'Output - County'!B327)*VLOOKUP(A327,'Output - State'!$B$2:$G$52,3,FALSE)</f>
        <v>21.883702864615731</v>
      </c>
      <c r="E327" s="98">
        <f>SUMIFS(Input!$C$115:$C$3257,Input!$A$115:$A$3257,"="&amp;'Output - County'!A327,Input!$B$115:$B$3257,"="&amp;'Output - County'!B327)*VLOOKUP(A327,'Output - State'!$B$2:$G$52,4,FALSE)</f>
        <v>8.266528551228614</v>
      </c>
      <c r="F327" s="98">
        <f>SUMIFS(Input!$C$115:$C$3257,Input!$A$115:$A$3257,"="&amp;'Output - County'!A327,Input!$B$115:$B$3257,"="&amp;'Output - County'!B327)*VLOOKUP(A327,'Output - State'!$B$2:$G$52,5,FALSE)</f>
        <v>385.65351417074891</v>
      </c>
      <c r="G327" s="99">
        <f>SUMIFS(Input!$D$115:$D$3257,Input!$A$115:$A$3257,"="&amp;'Output - County'!A327,Input!$B$115:$B$3257,"="&amp;'Output - County'!B327)*VLOOKUP(A327,'Output - State'!$B$2:$G$52,6,FALSE)</f>
        <v>244.80015628307365</v>
      </c>
    </row>
    <row r="328" spans="1:7" x14ac:dyDescent="0.25">
      <c r="A328" s="88">
        <v>12</v>
      </c>
      <c r="B328" s="88">
        <v>13</v>
      </c>
      <c r="C328" s="97">
        <f>SUMIFS(Input!$C$115:$C$3257,Input!$A$115:$A$3257,"="&amp;'Output - County'!A328,Input!$B$115:$B$3257,"="&amp;'Output - County'!B328)*VLOOKUP(A328,'Output - State'!$B$2:$G$52,2,FALSE)</f>
        <v>1.4852653300830827</v>
      </c>
      <c r="D328" s="98">
        <f>SUMIFS(Input!$C$115:$C$3257,Input!$A$115:$A$3257,"="&amp;'Output - County'!A328,Input!$B$115:$B$3257,"="&amp;'Output - County'!B328)*VLOOKUP(A328,'Output - State'!$B$2:$G$52,3,FALSE)</f>
        <v>0.14133384897665929</v>
      </c>
      <c r="E328" s="98">
        <f>SUMIFS(Input!$C$115:$C$3257,Input!$A$115:$A$3257,"="&amp;'Output - County'!A328,Input!$B$115:$B$3257,"="&amp;'Output - County'!B328)*VLOOKUP(A328,'Output - State'!$B$2:$G$52,4,FALSE)</f>
        <v>5.3388601785016192E-2</v>
      </c>
      <c r="F328" s="98">
        <f>SUMIFS(Input!$C$115:$C$3257,Input!$A$115:$A$3257,"="&amp;'Output - County'!A328,Input!$B$115:$B$3257,"="&amp;'Output - County'!B328)*VLOOKUP(A328,'Output - State'!$B$2:$G$52,5,FALSE)</f>
        <v>2.4907071653425903</v>
      </c>
      <c r="G328" s="99">
        <f>SUMIFS(Input!$D$115:$D$3257,Input!$A$115:$A$3257,"="&amp;'Output - County'!A328,Input!$B$115:$B$3257,"="&amp;'Output - County'!B328)*VLOOKUP(A328,'Output - State'!$B$2:$G$52,6,FALSE)</f>
        <v>1.8203088544125987</v>
      </c>
    </row>
    <row r="329" spans="1:7" x14ac:dyDescent="0.25">
      <c r="A329" s="88">
        <v>12</v>
      </c>
      <c r="B329" s="88">
        <v>15</v>
      </c>
      <c r="C329" s="97">
        <f>SUMIFS(Input!$C$115:$C$3257,Input!$A$115:$A$3257,"="&amp;'Output - County'!A329,Input!$B$115:$B$3257,"="&amp;'Output - County'!B329)*VLOOKUP(A329,'Output - State'!$B$2:$G$52,2,FALSE)</f>
        <v>26.23054246837215</v>
      </c>
      <c r="D329" s="98">
        <f>SUMIFS(Input!$C$115:$C$3257,Input!$A$115:$A$3257,"="&amp;'Output - County'!A329,Input!$B$115:$B$3257,"="&amp;'Output - County'!B329)*VLOOKUP(A329,'Output - State'!$B$2:$G$52,3,FALSE)</f>
        <v>2.4960277821831207</v>
      </c>
      <c r="E329" s="98">
        <f>SUMIFS(Input!$C$115:$C$3257,Input!$A$115:$A$3257,"="&amp;'Output - County'!A329,Input!$B$115:$B$3257,"="&amp;'Output - County'!B329)*VLOOKUP(A329,'Output - State'!$B$2:$G$52,4,FALSE)</f>
        <v>0.94286990888728295</v>
      </c>
      <c r="F329" s="98">
        <f>SUMIFS(Input!$C$115:$C$3257,Input!$A$115:$A$3257,"="&amp;'Output - County'!A329,Input!$B$115:$B$3257,"="&amp;'Output - County'!B329)*VLOOKUP(A329,'Output - State'!$B$2:$G$52,5,FALSE)</f>
        <v>43.987157549246142</v>
      </c>
      <c r="G329" s="99">
        <f>SUMIFS(Input!$D$115:$D$3257,Input!$A$115:$A$3257,"="&amp;'Output - County'!A329,Input!$B$115:$B$3257,"="&amp;'Output - County'!B329)*VLOOKUP(A329,'Output - State'!$B$2:$G$52,6,FALSE)</f>
        <v>23.224630211471087</v>
      </c>
    </row>
    <row r="330" spans="1:7" x14ac:dyDescent="0.25">
      <c r="A330" s="88">
        <v>12</v>
      </c>
      <c r="B330" s="88">
        <v>17</v>
      </c>
      <c r="C330" s="97">
        <f>SUMIFS(Input!$C$115:$C$3257,Input!$A$115:$A$3257,"="&amp;'Output - County'!A330,Input!$B$115:$B$3257,"="&amp;'Output - County'!B330)*VLOOKUP(A330,'Output - State'!$B$2:$G$52,2,FALSE)</f>
        <v>16.863987593118317</v>
      </c>
      <c r="D330" s="98">
        <f>SUMIFS(Input!$C$115:$C$3257,Input!$A$115:$A$3257,"="&amp;'Output - County'!A330,Input!$B$115:$B$3257,"="&amp;'Output - County'!B330)*VLOOKUP(A330,'Output - State'!$B$2:$G$52,3,FALSE)</f>
        <v>1.6047316444777682</v>
      </c>
      <c r="E330" s="98">
        <f>SUMIFS(Input!$C$115:$C$3257,Input!$A$115:$A$3257,"="&amp;'Output - County'!A330,Input!$B$115:$B$3257,"="&amp;'Output - County'!B330)*VLOOKUP(A330,'Output - State'!$B$2:$G$52,4,FALSE)</f>
        <v>0.60618443040482473</v>
      </c>
      <c r="F330" s="98">
        <f>SUMIFS(Input!$C$115:$C$3257,Input!$A$115:$A$3257,"="&amp;'Output - County'!A330,Input!$B$115:$B$3257,"="&amp;'Output - County'!B330)*VLOOKUP(A330,'Output - State'!$B$2:$G$52,5,FALSE)</f>
        <v>28.279967143701363</v>
      </c>
      <c r="G330" s="99">
        <f>SUMIFS(Input!$D$115:$D$3257,Input!$A$115:$A$3257,"="&amp;'Output - County'!A330,Input!$B$115:$B$3257,"="&amp;'Output - County'!B330)*VLOOKUP(A330,'Output - State'!$B$2:$G$52,6,FALSE)</f>
        <v>18.579704169176871</v>
      </c>
    </row>
    <row r="331" spans="1:7" x14ac:dyDescent="0.25">
      <c r="A331" s="88">
        <v>12</v>
      </c>
      <c r="B331" s="88">
        <v>19</v>
      </c>
      <c r="C331" s="97">
        <f>SUMIFS(Input!$C$115:$C$3257,Input!$A$115:$A$3257,"="&amp;'Output - County'!A331,Input!$B$115:$B$3257,"="&amp;'Output - County'!B331)*VLOOKUP(A331,'Output - State'!$B$2:$G$52,2,FALSE)</f>
        <v>20.638471823727279</v>
      </c>
      <c r="D331" s="98">
        <f>SUMIFS(Input!$C$115:$C$3257,Input!$A$115:$A$3257,"="&amp;'Output - County'!A331,Input!$B$115:$B$3257,"="&amp;'Output - County'!B331)*VLOOKUP(A331,'Output - State'!$B$2:$G$52,3,FALSE)</f>
        <v>1.9639013991396026</v>
      </c>
      <c r="E331" s="98">
        <f>SUMIFS(Input!$C$115:$C$3257,Input!$A$115:$A$3257,"="&amp;'Output - County'!A331,Input!$B$115:$B$3257,"="&amp;'Output - County'!B331)*VLOOKUP(A331,'Output - State'!$B$2:$G$52,4,FALSE)</f>
        <v>0.74186014534293132</v>
      </c>
      <c r="F331" s="98">
        <f>SUMIFS(Input!$C$115:$C$3257,Input!$A$115:$A$3257,"="&amp;'Output - County'!A331,Input!$B$115:$B$3257,"="&amp;'Output - County'!B331)*VLOOKUP(A331,'Output - State'!$B$2:$G$52,5,FALSE)</f>
        <v>34.609566797201978</v>
      </c>
      <c r="G331" s="99">
        <f>SUMIFS(Input!$D$115:$D$3257,Input!$A$115:$A$3257,"="&amp;'Output - County'!A331,Input!$B$115:$B$3257,"="&amp;'Output - County'!B331)*VLOOKUP(A331,'Output - State'!$B$2:$G$52,6,FALSE)</f>
        <v>27.116325003663544</v>
      </c>
    </row>
    <row r="332" spans="1:7" x14ac:dyDescent="0.25">
      <c r="A332" s="88">
        <v>12</v>
      </c>
      <c r="B332" s="88">
        <v>21</v>
      </c>
      <c r="C332" s="97">
        <f>SUMIFS(Input!$C$115:$C$3257,Input!$A$115:$A$3257,"="&amp;'Output - County'!A332,Input!$B$115:$B$3257,"="&amp;'Output - County'!B332)*VLOOKUP(A332,'Output - State'!$B$2:$G$52,2,FALSE)</f>
        <v>48.858627793115012</v>
      </c>
      <c r="D332" s="98">
        <f>SUMIFS(Input!$C$115:$C$3257,Input!$A$115:$A$3257,"="&amp;'Output - County'!A332,Input!$B$115:$B$3257,"="&amp;'Output - County'!B332)*VLOOKUP(A332,'Output - State'!$B$2:$G$52,3,FALSE)</f>
        <v>4.649255444030767</v>
      </c>
      <c r="E332" s="98">
        <f>SUMIFS(Input!$C$115:$C$3257,Input!$A$115:$A$3257,"="&amp;'Output - County'!A332,Input!$B$115:$B$3257,"="&amp;'Output - County'!B332)*VLOOKUP(A332,'Output - State'!$B$2:$G$52,4,FALSE)</f>
        <v>1.756247702128096</v>
      </c>
      <c r="F332" s="98">
        <f>SUMIFS(Input!$C$115:$C$3257,Input!$A$115:$A$3257,"="&amp;'Output - County'!A332,Input!$B$115:$B$3257,"="&amp;'Output - County'!B332)*VLOOKUP(A332,'Output - State'!$B$2:$G$52,5,FALSE)</f>
        <v>81.933195280543558</v>
      </c>
      <c r="G332" s="99">
        <f>SUMIFS(Input!$D$115:$D$3257,Input!$A$115:$A$3257,"="&amp;'Output - County'!A332,Input!$B$115:$B$3257,"="&amp;'Output - County'!B332)*VLOOKUP(A332,'Output - State'!$B$2:$G$52,6,FALSE)</f>
        <v>47.453568756411201</v>
      </c>
    </row>
    <row r="333" spans="1:7" x14ac:dyDescent="0.25">
      <c r="A333" s="88">
        <v>12</v>
      </c>
      <c r="B333" s="88">
        <v>23</v>
      </c>
      <c r="C333" s="97">
        <f>SUMIFS(Input!$C$115:$C$3257,Input!$A$115:$A$3257,"="&amp;'Output - County'!A333,Input!$B$115:$B$3257,"="&amp;'Output - County'!B333)*VLOOKUP(A333,'Output - State'!$B$2:$G$52,2,FALSE)</f>
        <v>16.201840033832113</v>
      </c>
      <c r="D333" s="98">
        <f>SUMIFS(Input!$C$115:$C$3257,Input!$A$115:$A$3257,"="&amp;'Output - County'!A333,Input!$B$115:$B$3257,"="&amp;'Output - County'!B333)*VLOOKUP(A333,'Output - State'!$B$2:$G$52,3,FALSE)</f>
        <v>1.54172346590594</v>
      </c>
      <c r="E333" s="98">
        <f>SUMIFS(Input!$C$115:$C$3257,Input!$A$115:$A$3257,"="&amp;'Output - County'!A333,Input!$B$115:$B$3257,"="&amp;'Output - County'!B333)*VLOOKUP(A333,'Output - State'!$B$2:$G$52,4,FALSE)</f>
        <v>0.58238320671122779</v>
      </c>
      <c r="F333" s="98">
        <f>SUMIFS(Input!$C$115:$C$3257,Input!$A$115:$A$3257,"="&amp;'Output - County'!A333,Input!$B$115:$B$3257,"="&amp;'Output - County'!B333)*VLOOKUP(A333,'Output - State'!$B$2:$G$52,5,FALSE)</f>
        <v>27.169582596897182</v>
      </c>
      <c r="G333" s="99">
        <f>SUMIFS(Input!$D$115:$D$3257,Input!$A$115:$A$3257,"="&amp;'Output - County'!A333,Input!$B$115:$B$3257,"="&amp;'Output - County'!B333)*VLOOKUP(A333,'Output - State'!$B$2:$G$52,6,FALSE)</f>
        <v>8.8755748970324646</v>
      </c>
    </row>
    <row r="334" spans="1:7" x14ac:dyDescent="0.25">
      <c r="A334" s="88">
        <v>12</v>
      </c>
      <c r="B334" s="88">
        <v>27</v>
      </c>
      <c r="C334" s="97">
        <f>SUMIFS(Input!$C$115:$C$3257,Input!$A$115:$A$3257,"="&amp;'Output - County'!A334,Input!$B$115:$B$3257,"="&amp;'Output - County'!B334)*VLOOKUP(A334,'Output - State'!$B$2:$G$52,2,FALSE)</f>
        <v>4.0614432105742297</v>
      </c>
      <c r="D334" s="98">
        <f>SUMIFS(Input!$C$115:$C$3257,Input!$A$115:$A$3257,"="&amp;'Output - County'!A334,Input!$B$115:$B$3257,"="&amp;'Output - County'!B334)*VLOOKUP(A334,'Output - State'!$B$2:$G$52,3,FALSE)</f>
        <v>0.38647599841199215</v>
      </c>
      <c r="E334" s="98">
        <f>SUMIFS(Input!$C$115:$C$3257,Input!$A$115:$A$3257,"="&amp;'Output - County'!A334,Input!$B$115:$B$3257,"="&amp;'Output - County'!B334)*VLOOKUP(A334,'Output - State'!$B$2:$G$52,4,FALSE)</f>
        <v>0.14599059834627387</v>
      </c>
      <c r="F334" s="98">
        <f>SUMIFS(Input!$C$115:$C$3257,Input!$A$115:$A$3257,"="&amp;'Output - County'!A334,Input!$B$115:$B$3257,"="&amp;'Output - County'!B334)*VLOOKUP(A334,'Output - State'!$B$2:$G$52,5,FALSE)</f>
        <v>6.8108138669360763</v>
      </c>
      <c r="G334" s="99">
        <f>SUMIFS(Input!$D$115:$D$3257,Input!$A$115:$A$3257,"="&amp;'Output - County'!A334,Input!$B$115:$B$3257,"="&amp;'Output - County'!B334)*VLOOKUP(A334,'Output - State'!$B$2:$G$52,6,FALSE)</f>
        <v>4.6951414589676688</v>
      </c>
    </row>
    <row r="335" spans="1:7" x14ac:dyDescent="0.25">
      <c r="A335" s="88">
        <v>12</v>
      </c>
      <c r="B335" s="88">
        <v>29</v>
      </c>
      <c r="C335" s="97">
        <f>SUMIFS(Input!$C$115:$C$3257,Input!$A$115:$A$3257,"="&amp;'Output - County'!A335,Input!$B$115:$B$3257,"="&amp;'Output - County'!B335)*VLOOKUP(A335,'Output - State'!$B$2:$G$52,2,FALSE)</f>
        <v>1.6362226758271399</v>
      </c>
      <c r="D335" s="98">
        <f>SUMIFS(Input!$C$115:$C$3257,Input!$A$115:$A$3257,"="&amp;'Output - County'!A335,Input!$B$115:$B$3257,"="&amp;'Output - County'!B335)*VLOOKUP(A335,'Output - State'!$B$2:$G$52,3,FALSE)</f>
        <v>0.15569854346805664</v>
      </c>
      <c r="E335" s="98">
        <f>SUMIFS(Input!$C$115:$C$3257,Input!$A$115:$A$3257,"="&amp;'Output - County'!A335,Input!$B$115:$B$3257,"="&amp;'Output - County'!B335)*VLOOKUP(A335,'Output - State'!$B$2:$G$52,4,FALSE)</f>
        <v>5.8814838737575807E-2</v>
      </c>
      <c r="F335" s="98">
        <f>SUMIFS(Input!$C$115:$C$3257,Input!$A$115:$A$3257,"="&amp;'Output - County'!A335,Input!$B$115:$B$3257,"="&amp;'Output - County'!B335)*VLOOKUP(A335,'Output - State'!$B$2:$G$52,5,FALSE)</f>
        <v>2.7438542193338051</v>
      </c>
      <c r="G335" s="99">
        <f>SUMIFS(Input!$D$115:$D$3257,Input!$A$115:$A$3257,"="&amp;'Output - County'!A335,Input!$B$115:$B$3257,"="&amp;'Output - County'!B335)*VLOOKUP(A335,'Output - State'!$B$2:$G$52,6,FALSE)</f>
        <v>2.0964936461165791</v>
      </c>
    </row>
    <row r="336" spans="1:7" x14ac:dyDescent="0.25">
      <c r="A336" s="88">
        <v>12</v>
      </c>
      <c r="B336" s="88">
        <v>31</v>
      </c>
      <c r="C336" s="97">
        <f>SUMIFS(Input!$C$115:$C$3257,Input!$A$115:$A$3257,"="&amp;'Output - County'!A336,Input!$B$115:$B$3257,"="&amp;'Output - County'!B336)*VLOOKUP(A336,'Output - State'!$B$2:$G$52,2,FALSE)</f>
        <v>148.25794276435917</v>
      </c>
      <c r="D336" s="98">
        <f>SUMIFS(Input!$C$115:$C$3257,Input!$A$115:$A$3257,"="&amp;'Output - County'!A336,Input!$B$115:$B$3257,"="&amp;'Output - County'!B336)*VLOOKUP(A336,'Output - State'!$B$2:$G$52,3,FALSE)</f>
        <v>14.107826573367886</v>
      </c>
      <c r="E336" s="98">
        <f>SUMIFS(Input!$C$115:$C$3257,Input!$A$115:$A$3257,"="&amp;'Output - County'!A336,Input!$B$115:$B$3257,"="&amp;'Output - County'!B336)*VLOOKUP(A336,'Output - State'!$B$2:$G$52,4,FALSE)</f>
        <v>5.3292055684551185</v>
      </c>
      <c r="F336" s="98">
        <f>SUMIFS(Input!$C$115:$C$3257,Input!$A$115:$A$3257,"="&amp;'Output - County'!A336,Input!$B$115:$B$3257,"="&amp;'Output - County'!B336)*VLOOKUP(A336,'Output - State'!$B$2:$G$52,5,FALSE)</f>
        <v>248.62030566719346</v>
      </c>
      <c r="G336" s="99">
        <f>SUMIFS(Input!$D$115:$D$3257,Input!$A$115:$A$3257,"="&amp;'Output - County'!A336,Input!$B$115:$B$3257,"="&amp;'Output - County'!B336)*VLOOKUP(A336,'Output - State'!$B$2:$G$52,6,FALSE)</f>
        <v>119.13607605776251</v>
      </c>
    </row>
    <row r="337" spans="1:7" x14ac:dyDescent="0.25">
      <c r="A337" s="88">
        <v>12</v>
      </c>
      <c r="B337" s="88">
        <v>33</v>
      </c>
      <c r="C337" s="97">
        <f>SUMIFS(Input!$C$115:$C$3257,Input!$A$115:$A$3257,"="&amp;'Output - County'!A337,Input!$B$115:$B$3257,"="&amp;'Output - County'!B337)*VLOOKUP(A337,'Output - State'!$B$2:$G$52,2,FALSE)</f>
        <v>42.933929300278315</v>
      </c>
      <c r="D337" s="98">
        <f>SUMIFS(Input!$C$115:$C$3257,Input!$A$115:$A$3257,"="&amp;'Output - County'!A337,Input!$B$115:$B$3257,"="&amp;'Output - County'!B337)*VLOOKUP(A337,'Output - State'!$B$2:$G$52,3,FALSE)</f>
        <v>4.0854770907233595</v>
      </c>
      <c r="E337" s="98">
        <f>SUMIFS(Input!$C$115:$C$3257,Input!$A$115:$A$3257,"="&amp;'Output - County'!A337,Input!$B$115:$B$3257,"="&amp;'Output - County'!B337)*VLOOKUP(A337,'Output - State'!$B$2:$G$52,4,FALSE)</f>
        <v>1.5432814649692104</v>
      </c>
      <c r="F337" s="98">
        <f>SUMIFS(Input!$C$115:$C$3257,Input!$A$115:$A$3257,"="&amp;'Output - County'!A337,Input!$B$115:$B$3257,"="&amp;'Output - County'!B337)*VLOOKUP(A337,'Output - State'!$B$2:$G$52,5,FALSE)</f>
        <v>71.997806168769586</v>
      </c>
      <c r="G337" s="99">
        <f>SUMIFS(Input!$D$115:$D$3257,Input!$A$115:$A$3257,"="&amp;'Output - County'!A337,Input!$B$115:$B$3257,"="&amp;'Output - County'!B337)*VLOOKUP(A337,'Output - State'!$B$2:$G$52,6,FALSE)</f>
        <v>39.54464063034267</v>
      </c>
    </row>
    <row r="338" spans="1:7" x14ac:dyDescent="0.25">
      <c r="A338" s="88">
        <v>12</v>
      </c>
      <c r="B338" s="88">
        <v>35</v>
      </c>
      <c r="C338" s="97">
        <f>SUMIFS(Input!$C$115:$C$3257,Input!$A$115:$A$3257,"="&amp;'Output - County'!A338,Input!$B$115:$B$3257,"="&amp;'Output - County'!B338)*VLOOKUP(A338,'Output - State'!$B$2:$G$52,2,FALSE)</f>
        <v>16.016092943418446</v>
      </c>
      <c r="D338" s="98">
        <f>SUMIFS(Input!$C$115:$C$3257,Input!$A$115:$A$3257,"="&amp;'Output - County'!A338,Input!$B$115:$B$3257,"="&amp;'Output - County'!B338)*VLOOKUP(A338,'Output - State'!$B$2:$G$52,3,FALSE)</f>
        <v>1.5240482730009053</v>
      </c>
      <c r="E338" s="98">
        <f>SUMIFS(Input!$C$115:$C$3257,Input!$A$115:$A$3257,"="&amp;'Output - County'!A338,Input!$B$115:$B$3257,"="&amp;'Output - County'!B338)*VLOOKUP(A338,'Output - State'!$B$2:$G$52,4,FALSE)</f>
        <v>0.57570643506513686</v>
      </c>
      <c r="F338" s="98">
        <f>SUMIFS(Input!$C$115:$C$3257,Input!$A$115:$A$3257,"="&amp;'Output - County'!A338,Input!$B$115:$B$3257,"="&amp;'Output - County'!B338)*VLOOKUP(A338,'Output - State'!$B$2:$G$52,5,FALSE)</f>
        <v>26.858095080381215</v>
      </c>
      <c r="G338" s="99">
        <f>SUMIFS(Input!$D$115:$D$3257,Input!$A$115:$A$3257,"="&amp;'Output - County'!A338,Input!$B$115:$B$3257,"="&amp;'Output - County'!B338)*VLOOKUP(A338,'Output - State'!$B$2:$G$52,6,FALSE)</f>
        <v>14.060316668566282</v>
      </c>
    </row>
    <row r="339" spans="1:7" x14ac:dyDescent="0.25">
      <c r="A339" s="88">
        <v>12</v>
      </c>
      <c r="B339" s="88">
        <v>37</v>
      </c>
      <c r="C339" s="97">
        <f>SUMIFS(Input!$C$115:$C$3257,Input!$A$115:$A$3257,"="&amp;'Output - County'!A339,Input!$B$115:$B$3257,"="&amp;'Output - County'!B339)*VLOOKUP(A339,'Output - State'!$B$2:$G$52,2,FALSE)</f>
        <v>1.4424694096300177</v>
      </c>
      <c r="D339" s="98">
        <f>SUMIFS(Input!$C$115:$C$3257,Input!$A$115:$A$3257,"="&amp;'Output - County'!A339,Input!$B$115:$B$3257,"="&amp;'Output - County'!B339)*VLOOKUP(A339,'Output - State'!$B$2:$G$52,3,FALSE)</f>
        <v>0.1372615044361776</v>
      </c>
      <c r="E339" s="98">
        <f>SUMIFS(Input!$C$115:$C$3257,Input!$A$115:$A$3257,"="&amp;'Output - County'!A339,Input!$B$115:$B$3257,"="&amp;'Output - County'!B339)*VLOOKUP(A339,'Output - State'!$B$2:$G$52,4,FALSE)</f>
        <v>5.1850281116772957E-2</v>
      </c>
      <c r="F339" s="98">
        <f>SUMIFS(Input!$C$115:$C$3257,Input!$A$115:$A$3257,"="&amp;'Output - County'!A339,Input!$B$115:$B$3257,"="&amp;'Output - County'!B339)*VLOOKUP(A339,'Output - State'!$B$2:$G$52,5,FALSE)</f>
        <v>2.4189407923175645</v>
      </c>
      <c r="G339" s="99">
        <f>SUMIFS(Input!$D$115:$D$3257,Input!$A$115:$A$3257,"="&amp;'Output - County'!A339,Input!$B$115:$B$3257,"="&amp;'Output - County'!B339)*VLOOKUP(A339,'Output - State'!$B$2:$G$52,6,FALSE)</f>
        <v>1.4688009376984417</v>
      </c>
    </row>
    <row r="340" spans="1:7" x14ac:dyDescent="0.25">
      <c r="A340" s="88">
        <v>12</v>
      </c>
      <c r="B340" s="88">
        <v>39</v>
      </c>
      <c r="C340" s="97">
        <f>SUMIFS(Input!$C$115:$C$3257,Input!$A$115:$A$3257,"="&amp;'Output - County'!A340,Input!$B$115:$B$3257,"="&amp;'Output - County'!B340)*VLOOKUP(A340,'Output - State'!$B$2:$G$52,2,FALSE)</f>
        <v>8.5943908384541068</v>
      </c>
      <c r="D340" s="98">
        <f>SUMIFS(Input!$C$115:$C$3257,Input!$A$115:$A$3257,"="&amp;'Output - County'!A340,Input!$B$115:$B$3257,"="&amp;'Output - County'!B340)*VLOOKUP(A340,'Output - State'!$B$2:$G$52,3,FALSE)</f>
        <v>0.81781908740878662</v>
      </c>
      <c r="E340" s="98">
        <f>SUMIFS(Input!$C$115:$C$3257,Input!$A$115:$A$3257,"="&amp;'Output - County'!A340,Input!$B$115:$B$3257,"="&amp;'Output - County'!B340)*VLOOKUP(A340,'Output - State'!$B$2:$G$52,4,FALSE)</f>
        <v>0.30892965772879849</v>
      </c>
      <c r="F340" s="98">
        <f>SUMIFS(Input!$C$115:$C$3257,Input!$A$115:$A$3257,"="&amp;'Output - County'!A340,Input!$B$115:$B$3257,"="&amp;'Output - County'!B340)*VLOOKUP(A340,'Output - State'!$B$2:$G$52,5,FALSE)</f>
        <v>14.412314358603483</v>
      </c>
      <c r="G340" s="99">
        <f>SUMIFS(Input!$D$115:$D$3257,Input!$A$115:$A$3257,"="&amp;'Output - County'!A340,Input!$B$115:$B$3257,"="&amp;'Output - County'!B340)*VLOOKUP(A340,'Output - State'!$B$2:$G$52,6,FALSE)</f>
        <v>5.7622190632785033</v>
      </c>
    </row>
    <row r="341" spans="1:7" x14ac:dyDescent="0.25">
      <c r="A341" s="88">
        <v>12</v>
      </c>
      <c r="B341" s="88">
        <v>41</v>
      </c>
      <c r="C341" s="97">
        <f>SUMIFS(Input!$C$115:$C$3257,Input!$A$115:$A$3257,"="&amp;'Output - County'!A341,Input!$B$115:$B$3257,"="&amp;'Output - County'!B341)*VLOOKUP(A341,'Output - State'!$B$2:$G$52,2,FALSE)</f>
        <v>1.6649690692033989</v>
      </c>
      <c r="D341" s="98">
        <f>SUMIFS(Input!$C$115:$C$3257,Input!$A$115:$A$3257,"="&amp;'Output - County'!A341,Input!$B$115:$B$3257,"="&amp;'Output - County'!B341)*VLOOKUP(A341,'Output - State'!$B$2:$G$52,3,FALSE)</f>
        <v>0.15843397284742322</v>
      </c>
      <c r="E341" s="98">
        <f>SUMIFS(Input!$C$115:$C$3257,Input!$A$115:$A$3257,"="&amp;'Output - County'!A341,Input!$B$115:$B$3257,"="&amp;'Output - County'!B341)*VLOOKUP(A341,'Output - State'!$B$2:$G$52,4,FALSE)</f>
        <v>5.984814215995804E-2</v>
      </c>
      <c r="F341" s="98">
        <f>SUMIFS(Input!$C$115:$C$3257,Input!$A$115:$A$3257,"="&amp;'Output - County'!A341,Input!$B$115:$B$3257,"="&amp;'Output - County'!B341)*VLOOKUP(A341,'Output - State'!$B$2:$G$52,5,FALSE)</f>
        <v>2.7920603186143969</v>
      </c>
      <c r="G341" s="99">
        <f>SUMIFS(Input!$D$115:$D$3257,Input!$A$115:$A$3257,"="&amp;'Output - County'!A341,Input!$B$115:$B$3257,"="&amp;'Output - County'!B341)*VLOOKUP(A341,'Output - State'!$B$2:$G$52,6,FALSE)</f>
        <v>2.2973553128103834</v>
      </c>
    </row>
    <row r="342" spans="1:7" x14ac:dyDescent="0.25">
      <c r="A342" s="88">
        <v>12</v>
      </c>
      <c r="B342" s="88">
        <v>43</v>
      </c>
      <c r="C342" s="97">
        <f>SUMIFS(Input!$C$115:$C$3257,Input!$A$115:$A$3257,"="&amp;'Output - County'!A342,Input!$B$115:$B$3257,"="&amp;'Output - County'!B342)*VLOOKUP(A342,'Output - State'!$B$2:$G$52,2,FALSE)</f>
        <v>1.8539012034683895</v>
      </c>
      <c r="D342" s="98">
        <f>SUMIFS(Input!$C$115:$C$3257,Input!$A$115:$A$3257,"="&amp;'Output - County'!A342,Input!$B$115:$B$3257,"="&amp;'Output - County'!B342)*VLOOKUP(A342,'Output - State'!$B$2:$G$52,3,FALSE)</f>
        <v>0.17641224594799601</v>
      </c>
      <c r="E342" s="98">
        <f>SUMIFS(Input!$C$115:$C$3257,Input!$A$115:$A$3257,"="&amp;'Output - County'!A342,Input!$B$115:$B$3257,"="&amp;'Output - County'!B342)*VLOOKUP(A342,'Output - State'!$B$2:$G$52,4,FALSE)</f>
        <v>6.6639401793078631E-2</v>
      </c>
      <c r="F342" s="98">
        <f>SUMIFS(Input!$C$115:$C$3257,Input!$A$115:$A$3257,"="&amp;'Output - County'!A342,Input!$B$115:$B$3257,"="&amp;'Output - County'!B342)*VLOOKUP(A342,'Output - State'!$B$2:$G$52,5,FALSE)</f>
        <v>3.1088889761250091</v>
      </c>
      <c r="G342" s="99">
        <f>SUMIFS(Input!$D$115:$D$3257,Input!$A$115:$A$3257,"="&amp;'Output - County'!A342,Input!$B$115:$B$3257,"="&amp;'Output - County'!B342)*VLOOKUP(A342,'Output - State'!$B$2:$G$52,6,FALSE)</f>
        <v>1.719878021065697</v>
      </c>
    </row>
    <row r="343" spans="1:7" x14ac:dyDescent="0.25">
      <c r="A343" s="88">
        <v>12</v>
      </c>
      <c r="B343" s="88">
        <v>45</v>
      </c>
      <c r="C343" s="97">
        <f>SUMIFS(Input!$C$115:$C$3257,Input!$A$115:$A$3257,"="&amp;'Output - County'!A343,Input!$B$115:$B$3257,"="&amp;'Output - County'!B343)*VLOOKUP(A343,'Output - State'!$B$2:$G$52,2,FALSE)</f>
        <v>1.6037512304773505</v>
      </c>
      <c r="D343" s="98">
        <f>SUMIFS(Input!$C$115:$C$3257,Input!$A$115:$A$3257,"="&amp;'Output - County'!A343,Input!$B$115:$B$3257,"="&amp;'Output - County'!B343)*VLOOKUP(A343,'Output - State'!$B$2:$G$52,3,FALSE)</f>
        <v>0.1526086481744903</v>
      </c>
      <c r="E343" s="98">
        <f>SUMIFS(Input!$C$115:$C$3257,Input!$A$115:$A$3257,"="&amp;'Output - County'!A343,Input!$B$115:$B$3257,"="&amp;'Output - County'!B343)*VLOOKUP(A343,'Output - State'!$B$2:$G$52,4,FALSE)</f>
        <v>5.7647636467347864E-2</v>
      </c>
      <c r="F343" s="98">
        <f>SUMIFS(Input!$C$115:$C$3257,Input!$A$115:$A$3257,"="&amp;'Output - County'!A343,Input!$B$115:$B$3257,"="&amp;'Output - County'!B343)*VLOOKUP(A343,'Output - State'!$B$2:$G$52,5,FALSE)</f>
        <v>2.6894014155393298</v>
      </c>
      <c r="G343" s="99">
        <f>SUMIFS(Input!$D$115:$D$3257,Input!$A$115:$A$3257,"="&amp;'Output - County'!A343,Input!$B$115:$B$3257,"="&amp;'Output - County'!B343)*VLOOKUP(A343,'Output - State'!$B$2:$G$52,6,FALSE)</f>
        <v>2.0211705211064031</v>
      </c>
    </row>
    <row r="344" spans="1:7" x14ac:dyDescent="0.25">
      <c r="A344" s="88">
        <v>12</v>
      </c>
      <c r="B344" s="88">
        <v>47</v>
      </c>
      <c r="C344" s="97">
        <f>SUMIFS(Input!$C$115:$C$3257,Input!$A$115:$A$3257,"="&amp;'Output - County'!A344,Input!$B$115:$B$3257,"="&amp;'Output - County'!B344)*VLOOKUP(A344,'Output - State'!$B$2:$G$52,2,FALSE)</f>
        <v>6.589734299068521</v>
      </c>
      <c r="D344" s="98">
        <f>SUMIFS(Input!$C$115:$C$3257,Input!$A$115:$A$3257,"="&amp;'Output - County'!A344,Input!$B$115:$B$3257,"="&amp;'Output - County'!B344)*VLOOKUP(A344,'Output - State'!$B$2:$G$52,3,FALSE)</f>
        <v>0.62706136968050297</v>
      </c>
      <c r="E344" s="98">
        <f>SUMIFS(Input!$C$115:$C$3257,Input!$A$115:$A$3257,"="&amp;'Output - County'!A344,Input!$B$115:$B$3257,"="&amp;'Output - County'!B344)*VLOOKUP(A344,'Output - State'!$B$2:$G$52,4,FALSE)</f>
        <v>0.23687128032696497</v>
      </c>
      <c r="F344" s="98">
        <f>SUMIFS(Input!$C$115:$C$3257,Input!$A$115:$A$3257,"="&amp;'Output - County'!A344,Input!$B$115:$B$3257,"="&amp;'Output - County'!B344)*VLOOKUP(A344,'Output - State'!$B$2:$G$52,5,FALSE)</f>
        <v>11.050617087706263</v>
      </c>
      <c r="G344" s="99">
        <f>SUMIFS(Input!$D$115:$D$3257,Input!$A$115:$A$3257,"="&amp;'Output - County'!A344,Input!$B$115:$B$3257,"="&amp;'Output - County'!B344)*VLOOKUP(A344,'Output - State'!$B$2:$G$52,6,FALSE)</f>
        <v>1.7952011460758732</v>
      </c>
    </row>
    <row r="345" spans="1:7" x14ac:dyDescent="0.25">
      <c r="A345" s="88">
        <v>12</v>
      </c>
      <c r="B345" s="88">
        <v>49</v>
      </c>
      <c r="C345" s="97">
        <f>SUMIFS(Input!$C$115:$C$3257,Input!$A$115:$A$3257,"="&amp;'Output - County'!A345,Input!$B$115:$B$3257,"="&amp;'Output - County'!B345)*VLOOKUP(A345,'Output - State'!$B$2:$G$52,2,FALSE)</f>
        <v>3.3081088080537162</v>
      </c>
      <c r="D345" s="98">
        <f>SUMIFS(Input!$C$115:$C$3257,Input!$A$115:$A$3257,"="&amp;'Output - County'!A345,Input!$B$115:$B$3257,"="&amp;'Output - County'!B345)*VLOOKUP(A345,'Output - State'!$B$2:$G$52,3,FALSE)</f>
        <v>0.3147907254050471</v>
      </c>
      <c r="E345" s="98">
        <f>SUMIFS(Input!$C$115:$C$3257,Input!$A$115:$A$3257,"="&amp;'Output - County'!A345,Input!$B$115:$B$3257,"="&amp;'Output - County'!B345)*VLOOKUP(A345,'Output - State'!$B$2:$G$52,4,FALSE)</f>
        <v>0.1189116181718218</v>
      </c>
      <c r="F345" s="98">
        <f>SUMIFS(Input!$C$115:$C$3257,Input!$A$115:$A$3257,"="&amp;'Output - County'!A345,Input!$B$115:$B$3257,"="&amp;'Output - County'!B345)*VLOOKUP(A345,'Output - State'!$B$2:$G$52,5,FALSE)</f>
        <v>5.5475140670599394</v>
      </c>
      <c r="G345" s="99">
        <f>SUMIFS(Input!$D$115:$D$3257,Input!$A$115:$A$3257,"="&amp;'Output - County'!A345,Input!$B$115:$B$3257,"="&amp;'Output - County'!B345)*VLOOKUP(A345,'Output - State'!$B$2:$G$52,6,FALSE)</f>
        <v>3.414648333794668</v>
      </c>
    </row>
    <row r="346" spans="1:7" x14ac:dyDescent="0.25">
      <c r="A346" s="88">
        <v>12</v>
      </c>
      <c r="B346" s="88">
        <v>51</v>
      </c>
      <c r="C346" s="97">
        <f>SUMIFS(Input!$C$115:$C$3257,Input!$A$115:$A$3257,"="&amp;'Output - County'!A346,Input!$B$115:$B$3257,"="&amp;'Output - County'!B346)*VLOOKUP(A346,'Output - State'!$B$2:$G$52,2,FALSE)</f>
        <v>4.4179148133797117</v>
      </c>
      <c r="D346" s="98">
        <f>SUMIFS(Input!$C$115:$C$3257,Input!$A$115:$A$3257,"="&amp;'Output - County'!A346,Input!$B$115:$B$3257,"="&amp;'Output - County'!B346)*VLOOKUP(A346,'Output - State'!$B$2:$G$52,3,FALSE)</f>
        <v>0.42039687615345228</v>
      </c>
      <c r="E346" s="98">
        <f>SUMIFS(Input!$C$115:$C$3257,Input!$A$115:$A$3257,"="&amp;'Output - County'!A346,Input!$B$115:$B$3257,"="&amp;'Output - County'!B346)*VLOOKUP(A346,'Output - State'!$B$2:$G$52,4,FALSE)</f>
        <v>0.15880414759190511</v>
      </c>
      <c r="F346" s="98">
        <f>SUMIFS(Input!$C$115:$C$3257,Input!$A$115:$A$3257,"="&amp;'Output - County'!A346,Input!$B$115:$B$3257,"="&amp;'Output - County'!B346)*VLOOKUP(A346,'Output - State'!$B$2:$G$52,5,FALSE)</f>
        <v>7.4085968740295671</v>
      </c>
      <c r="G346" s="99">
        <f>SUMIFS(Input!$D$115:$D$3257,Input!$A$115:$A$3257,"="&amp;'Output - County'!A346,Input!$B$115:$B$3257,"="&amp;'Output - County'!B346)*VLOOKUP(A346,'Output - State'!$B$2:$G$52,6,FALSE)</f>
        <v>5.1847417715338162</v>
      </c>
    </row>
    <row r="347" spans="1:7" x14ac:dyDescent="0.25">
      <c r="A347" s="88">
        <v>12</v>
      </c>
      <c r="B347" s="88">
        <v>53</v>
      </c>
      <c r="C347" s="97">
        <f>SUMIFS(Input!$C$115:$C$3257,Input!$A$115:$A$3257,"="&amp;'Output - County'!A347,Input!$B$115:$B$3257,"="&amp;'Output - County'!B347)*VLOOKUP(A347,'Output - State'!$B$2:$G$52,2,FALSE)</f>
        <v>23.222662257425718</v>
      </c>
      <c r="D347" s="98">
        <f>SUMIFS(Input!$C$115:$C$3257,Input!$A$115:$A$3257,"="&amp;'Output - County'!A347,Input!$B$115:$B$3257,"="&amp;'Output - County'!B347)*VLOOKUP(A347,'Output - State'!$B$2:$G$52,3,FALSE)</f>
        <v>2.2098060015602572</v>
      </c>
      <c r="E347" s="98">
        <f>SUMIFS(Input!$C$115:$C$3257,Input!$A$115:$A$3257,"="&amp;'Output - County'!A347,Input!$B$115:$B$3257,"="&amp;'Output - County'!B347)*VLOOKUP(A347,'Output - State'!$B$2:$G$52,4,FALSE)</f>
        <v>0.83475015711857581</v>
      </c>
      <c r="F347" s="98">
        <f>SUMIFS(Input!$C$115:$C$3257,Input!$A$115:$A$3257,"="&amp;'Output - County'!A347,Input!$B$115:$B$3257,"="&amp;'Output - County'!B347)*VLOOKUP(A347,'Output - State'!$B$2:$G$52,5,FALSE)</f>
        <v>38.943110103880002</v>
      </c>
      <c r="G347" s="99">
        <f>SUMIFS(Input!$D$115:$D$3257,Input!$A$115:$A$3257,"="&amp;'Output - County'!A347,Input!$B$115:$B$3257,"="&amp;'Output - County'!B347)*VLOOKUP(A347,'Output - State'!$B$2:$G$52,6,FALSE)</f>
        <v>23.977861461572854</v>
      </c>
    </row>
    <row r="348" spans="1:7" x14ac:dyDescent="0.25">
      <c r="A348" s="88">
        <v>12</v>
      </c>
      <c r="B348" s="88">
        <v>55</v>
      </c>
      <c r="C348" s="97">
        <f>SUMIFS(Input!$C$115:$C$3257,Input!$A$115:$A$3257,"="&amp;'Output - County'!A348,Input!$B$115:$B$3257,"="&amp;'Output - County'!B348)*VLOOKUP(A348,'Output - State'!$B$2:$G$52,2,FALSE)</f>
        <v>10.977082087720119</v>
      </c>
      <c r="D348" s="98">
        <f>SUMIFS(Input!$C$115:$C$3257,Input!$A$115:$A$3257,"="&amp;'Output - County'!A348,Input!$B$115:$B$3257,"="&amp;'Output - County'!B348)*VLOOKUP(A348,'Output - State'!$B$2:$G$52,3,FALSE)</f>
        <v>1.0445495700781242</v>
      </c>
      <c r="E348" s="98">
        <f>SUMIFS(Input!$C$115:$C$3257,Input!$A$115:$A$3257,"="&amp;'Output - County'!A348,Input!$B$115:$B$3257,"="&amp;'Output - County'!B348)*VLOOKUP(A348,'Output - State'!$B$2:$G$52,4,FALSE)</f>
        <v>0.39457668099607568</v>
      </c>
      <c r="F348" s="98">
        <f>SUMIFS(Input!$C$115:$C$3257,Input!$A$115:$A$3257,"="&amp;'Output - County'!A348,Input!$B$115:$B$3257,"="&amp;'Output - County'!B348)*VLOOKUP(A348,'Output - State'!$B$2:$G$52,5,FALSE)</f>
        <v>18.407954765165705</v>
      </c>
      <c r="G348" s="99">
        <f>SUMIFS(Input!$D$115:$D$3257,Input!$A$115:$A$3257,"="&amp;'Output - County'!A348,Input!$B$115:$B$3257,"="&amp;'Output - County'!B348)*VLOOKUP(A348,'Output - State'!$B$2:$G$52,6,FALSE)</f>
        <v>13.181546876780889</v>
      </c>
    </row>
    <row r="349" spans="1:7" x14ac:dyDescent="0.25">
      <c r="A349" s="88">
        <v>12</v>
      </c>
      <c r="B349" s="88">
        <v>57</v>
      </c>
      <c r="C349" s="97">
        <f>SUMIFS(Input!$C$115:$C$3257,Input!$A$115:$A$3257,"="&amp;'Output - County'!A349,Input!$B$115:$B$3257,"="&amp;'Output - County'!B349)*VLOOKUP(A349,'Output - State'!$B$2:$G$52,2,FALSE)</f>
        <v>187.04720684361368</v>
      </c>
      <c r="D349" s="98">
        <f>SUMIFS(Input!$C$115:$C$3257,Input!$A$115:$A$3257,"="&amp;'Output - County'!A349,Input!$B$115:$B$3257,"="&amp;'Output - County'!B349)*VLOOKUP(A349,'Output - State'!$B$2:$G$52,3,FALSE)</f>
        <v>17.798908483282556</v>
      </c>
      <c r="E349" s="98">
        <f>SUMIFS(Input!$C$115:$C$3257,Input!$A$115:$A$3257,"="&amp;'Output - County'!A349,Input!$B$115:$B$3257,"="&amp;'Output - County'!B349)*VLOOKUP(A349,'Output - State'!$B$2:$G$52,4,FALSE)</f>
        <v>6.723504978477238</v>
      </c>
      <c r="F349" s="98">
        <f>SUMIFS(Input!$C$115:$C$3257,Input!$A$115:$A$3257,"="&amp;'Output - County'!A349,Input!$B$115:$B$3257,"="&amp;'Output - County'!B349)*VLOOKUP(A349,'Output - State'!$B$2:$G$52,5,FALSE)</f>
        <v>313.66773929655102</v>
      </c>
      <c r="G349" s="99">
        <f>SUMIFS(Input!$D$115:$D$3257,Input!$A$115:$A$3257,"="&amp;'Output - County'!A349,Input!$B$115:$B$3257,"="&amp;'Output - County'!B349)*VLOOKUP(A349,'Output - State'!$B$2:$G$52,6,FALSE)</f>
        <v>182.0308854412599</v>
      </c>
    </row>
    <row r="350" spans="1:7" x14ac:dyDescent="0.25">
      <c r="A350" s="88">
        <v>12</v>
      </c>
      <c r="B350" s="88">
        <v>59</v>
      </c>
      <c r="C350" s="97">
        <f>SUMIFS(Input!$C$115:$C$3257,Input!$A$115:$A$3257,"="&amp;'Output - County'!A350,Input!$B$115:$B$3257,"="&amp;'Output - County'!B350)*VLOOKUP(A350,'Output - State'!$B$2:$G$52,2,FALSE)</f>
        <v>2.9657683157117773</v>
      </c>
      <c r="D350" s="98">
        <f>SUMIFS(Input!$C$115:$C$3257,Input!$A$115:$A$3257,"="&amp;'Output - County'!A350,Input!$B$115:$B$3257,"="&amp;'Output - County'!B350)*VLOOKUP(A350,'Output - State'!$B$2:$G$52,3,FALSE)</f>
        <v>0.28221452608007919</v>
      </c>
      <c r="E350" s="98">
        <f>SUMIFS(Input!$C$115:$C$3257,Input!$A$115:$A$3257,"="&amp;'Output - County'!A350,Input!$B$115:$B$3257,"="&amp;'Output - County'!B350)*VLOOKUP(A350,'Output - State'!$B$2:$G$52,4,FALSE)</f>
        <v>0.10660601872750718</v>
      </c>
      <c r="F350" s="98">
        <f>SUMIFS(Input!$C$115:$C$3257,Input!$A$115:$A$3257,"="&amp;'Output - County'!A350,Input!$B$115:$B$3257,"="&amp;'Output - County'!B350)*VLOOKUP(A350,'Output - State'!$B$2:$G$52,5,FALSE)</f>
        <v>4.9734281445027353</v>
      </c>
      <c r="G350" s="99">
        <f>SUMIFS(Input!$D$115:$D$3257,Input!$A$115:$A$3257,"="&amp;'Output - County'!A350,Input!$B$115:$B$3257,"="&amp;'Output - County'!B350)*VLOOKUP(A350,'Output - State'!$B$2:$G$52,6,FALSE)</f>
        <v>2.4354477086623736</v>
      </c>
    </row>
    <row r="351" spans="1:7" x14ac:dyDescent="0.25">
      <c r="A351" s="88">
        <v>12</v>
      </c>
      <c r="B351" s="88">
        <v>61</v>
      </c>
      <c r="C351" s="97">
        <f>SUMIFS(Input!$C$115:$C$3257,Input!$A$115:$A$3257,"="&amp;'Output - County'!A351,Input!$B$115:$B$3257,"="&amp;'Output - County'!B351)*VLOOKUP(A351,'Output - State'!$B$2:$G$52,2,FALSE)</f>
        <v>22.623872840032167</v>
      </c>
      <c r="D351" s="98">
        <f>SUMIFS(Input!$C$115:$C$3257,Input!$A$115:$A$3257,"="&amp;'Output - County'!A351,Input!$B$115:$B$3257,"="&amp;'Output - County'!B351)*VLOOKUP(A351,'Output - State'!$B$2:$G$52,3,FALSE)</f>
        <v>2.1528268131468384</v>
      </c>
      <c r="E351" s="98">
        <f>SUMIFS(Input!$C$115:$C$3257,Input!$A$115:$A$3257,"="&amp;'Output - County'!A351,Input!$B$115:$B$3257,"="&amp;'Output - County'!B351)*VLOOKUP(A351,'Output - State'!$B$2:$G$52,4,FALSE)</f>
        <v>0.81322637338054304</v>
      </c>
      <c r="F351" s="98">
        <f>SUMIFS(Input!$C$115:$C$3257,Input!$A$115:$A$3257,"="&amp;'Output - County'!A351,Input!$B$115:$B$3257,"="&amp;'Output - County'!B351)*VLOOKUP(A351,'Output - State'!$B$2:$G$52,5,FALSE)</f>
        <v>37.938973629254278</v>
      </c>
      <c r="G351" s="99">
        <f>SUMIFS(Input!$D$115:$D$3257,Input!$A$115:$A$3257,"="&amp;'Output - County'!A351,Input!$B$115:$B$3257,"="&amp;'Output - County'!B351)*VLOOKUP(A351,'Output - State'!$B$2:$G$52,6,FALSE)</f>
        <v>19.709551044329519</v>
      </c>
    </row>
    <row r="352" spans="1:7" x14ac:dyDescent="0.25">
      <c r="A352" s="88">
        <v>12</v>
      </c>
      <c r="B352" s="88">
        <v>63</v>
      </c>
      <c r="C352" s="97">
        <f>SUMIFS(Input!$C$115:$C$3257,Input!$A$115:$A$3257,"="&amp;'Output - County'!A352,Input!$B$115:$B$3257,"="&amp;'Output - County'!B352)*VLOOKUP(A352,'Output - State'!$B$2:$G$52,2,FALSE)</f>
        <v>8.7162974033023026</v>
      </c>
      <c r="D352" s="98">
        <f>SUMIFS(Input!$C$115:$C$3257,Input!$A$115:$A$3257,"="&amp;'Output - County'!A352,Input!$B$115:$B$3257,"="&amp;'Output - County'!B352)*VLOOKUP(A352,'Output - State'!$B$2:$G$52,3,FALSE)</f>
        <v>0.82941938782417068</v>
      </c>
      <c r="E352" s="98">
        <f>SUMIFS(Input!$C$115:$C$3257,Input!$A$115:$A$3257,"="&amp;'Output - County'!A352,Input!$B$115:$B$3257,"="&amp;'Output - County'!B352)*VLOOKUP(A352,'Output - State'!$B$2:$G$52,4,FALSE)</f>
        <v>0.31331164989803301</v>
      </c>
      <c r="F352" s="98">
        <f>SUMIFS(Input!$C$115:$C$3257,Input!$A$115:$A$3257,"="&amp;'Output - County'!A352,Input!$B$115:$B$3257,"="&amp;'Output - County'!B352)*VLOOKUP(A352,'Output - State'!$B$2:$G$52,5,FALSE)</f>
        <v>14.616744872411219</v>
      </c>
      <c r="G352" s="99">
        <f>SUMIFS(Input!$D$115:$D$3257,Input!$A$115:$A$3257,"="&amp;'Output - County'!A352,Input!$B$115:$B$3257,"="&amp;'Output - County'!B352)*VLOOKUP(A352,'Output - State'!$B$2:$G$52,6,FALSE)</f>
        <v>6.0384038549824828</v>
      </c>
    </row>
    <row r="353" spans="1:7" x14ac:dyDescent="0.25">
      <c r="A353" s="88">
        <v>12</v>
      </c>
      <c r="B353" s="88">
        <v>65</v>
      </c>
      <c r="C353" s="97">
        <f>SUMIFS(Input!$C$115:$C$3257,Input!$A$115:$A$3257,"="&amp;'Output - County'!A353,Input!$B$115:$B$3257,"="&amp;'Output - County'!B353)*VLOOKUP(A353,'Output - State'!$B$2:$G$52,2,FALSE)</f>
        <v>3.7621990726459686</v>
      </c>
      <c r="D353" s="98">
        <f>SUMIFS(Input!$C$115:$C$3257,Input!$A$115:$A$3257,"="&amp;'Output - County'!A353,Input!$B$115:$B$3257,"="&amp;'Output - County'!B353)*VLOOKUP(A353,'Output - State'!$B$2:$G$52,3,FALSE)</f>
        <v>0.35800073211412625</v>
      </c>
      <c r="E353" s="98">
        <f>SUMIFS(Input!$C$115:$C$3257,Input!$A$115:$A$3257,"="&amp;'Output - County'!A353,Input!$B$115:$B$3257,"="&amp;'Output - County'!B353)*VLOOKUP(A353,'Output - State'!$B$2:$G$52,4,FALSE)</f>
        <v>0.13523411881849903</v>
      </c>
      <c r="F353" s="98">
        <f>SUMIFS(Input!$C$115:$C$3257,Input!$A$115:$A$3257,"="&amp;'Output - County'!A353,Input!$B$115:$B$3257,"="&amp;'Output - County'!B353)*VLOOKUP(A353,'Output - State'!$B$2:$G$52,5,FALSE)</f>
        <v>6.3089981284087431</v>
      </c>
      <c r="G353" s="99">
        <f>SUMIFS(Input!$D$115:$D$3257,Input!$A$115:$A$3257,"="&amp;'Output - County'!A353,Input!$B$115:$B$3257,"="&amp;'Output - County'!B353)*VLOOKUP(A353,'Output - State'!$B$2:$G$52,6,FALSE)</f>
        <v>1.7952011460758732</v>
      </c>
    </row>
    <row r="354" spans="1:7" x14ac:dyDescent="0.25">
      <c r="A354" s="88">
        <v>12</v>
      </c>
      <c r="B354" s="88">
        <v>67</v>
      </c>
      <c r="C354" s="97">
        <f>SUMIFS(Input!$C$115:$C$3257,Input!$A$115:$A$3257,"="&amp;'Output - County'!A354,Input!$B$115:$B$3257,"="&amp;'Output - County'!B354)*VLOOKUP(A354,'Output - State'!$B$2:$G$52,2,FALSE)</f>
        <v>0.77706560287800674</v>
      </c>
      <c r="D354" s="98">
        <f>SUMIFS(Input!$C$115:$C$3257,Input!$A$115:$A$3257,"="&amp;'Output - County'!A354,Input!$B$115:$B$3257,"="&amp;'Output - County'!B354)*VLOOKUP(A354,'Output - State'!$B$2:$G$52,3,FALSE)</f>
        <v>7.3943470124609653E-2</v>
      </c>
      <c r="E354" s="98">
        <f>SUMIFS(Input!$C$115:$C$3257,Input!$A$115:$A$3257,"="&amp;'Output - County'!A354,Input!$B$115:$B$3257,"="&amp;'Output - County'!B354)*VLOOKUP(A354,'Output - State'!$B$2:$G$52,4,FALSE)</f>
        <v>2.7932009986772376E-2</v>
      </c>
      <c r="F354" s="98">
        <f>SUMIFS(Input!$C$115:$C$3257,Input!$A$115:$A$3257,"="&amp;'Output - County'!A354,Input!$B$115:$B$3257,"="&amp;'Output - County'!B354)*VLOOKUP(A354,'Output - State'!$B$2:$G$52,5,FALSE)</f>
        <v>1.3030957000263694</v>
      </c>
      <c r="G354" s="99">
        <f>SUMIFS(Input!$D$115:$D$3257,Input!$A$115:$A$3257,"="&amp;'Output - County'!A354,Input!$B$115:$B$3257,"="&amp;'Output - County'!B354)*VLOOKUP(A354,'Output - State'!$B$2:$G$52,6,FALSE)</f>
        <v>1.0909299272307229</v>
      </c>
    </row>
    <row r="355" spans="1:7" x14ac:dyDescent="0.25">
      <c r="A355" s="88">
        <v>12</v>
      </c>
      <c r="B355" s="88">
        <v>69</v>
      </c>
      <c r="C355" s="97">
        <f>SUMIFS(Input!$C$115:$C$3257,Input!$A$115:$A$3257,"="&amp;'Output - County'!A355,Input!$B$115:$B$3257,"="&amp;'Output - County'!B355)*VLOOKUP(A355,'Output - State'!$B$2:$G$52,2,FALSE)</f>
        <v>47.244860085432244</v>
      </c>
      <c r="D355" s="98">
        <f>SUMIFS(Input!$C$115:$C$3257,Input!$A$115:$A$3257,"="&amp;'Output - County'!A355,Input!$B$115:$B$3257,"="&amp;'Output - County'!B355)*VLOOKUP(A355,'Output - State'!$B$2:$G$52,3,FALSE)</f>
        <v>4.4956936548598794</v>
      </c>
      <c r="E355" s="98">
        <f>SUMIFS(Input!$C$115:$C$3257,Input!$A$115:$A$3257,"="&amp;'Output - County'!A355,Input!$B$115:$B$3257,"="&amp;'Output - County'!B355)*VLOOKUP(A355,'Output - State'!$B$2:$G$52,4,FALSE)</f>
        <v>1.6982400184005193</v>
      </c>
      <c r="F355" s="98">
        <f>SUMIFS(Input!$C$115:$C$3257,Input!$A$115:$A$3257,"="&amp;'Output - County'!A355,Input!$B$115:$B$3257,"="&amp;'Output - County'!B355)*VLOOKUP(A355,'Output - State'!$B$2:$G$52,5,FALSE)</f>
        <v>79.226996791079628</v>
      </c>
      <c r="G355" s="99">
        <f>SUMIFS(Input!$D$115:$D$3257,Input!$A$115:$A$3257,"="&amp;'Output - County'!A355,Input!$B$115:$B$3257,"="&amp;'Output - County'!B355)*VLOOKUP(A355,'Output - State'!$B$2:$G$52,6,FALSE)</f>
        <v>44.817259381055017</v>
      </c>
    </row>
    <row r="356" spans="1:7" x14ac:dyDescent="0.25">
      <c r="A356" s="88">
        <v>12</v>
      </c>
      <c r="B356" s="88">
        <v>71</v>
      </c>
      <c r="C356" s="97">
        <f>SUMIFS(Input!$C$115:$C$3257,Input!$A$115:$A$3257,"="&amp;'Output - County'!A356,Input!$B$115:$B$3257,"="&amp;'Output - County'!B356)*VLOOKUP(A356,'Output - State'!$B$2:$G$52,2,FALSE)</f>
        <v>95.568720161101751</v>
      </c>
      <c r="D356" s="98">
        <f>SUMIFS(Input!$C$115:$C$3257,Input!$A$115:$A$3257,"="&amp;'Output - County'!A356,Input!$B$115:$B$3257,"="&amp;'Output - County'!B356)*VLOOKUP(A356,'Output - State'!$B$2:$G$52,3,FALSE)</f>
        <v>9.0940620430332206</v>
      </c>
      <c r="E356" s="98">
        <f>SUMIFS(Input!$C$115:$C$3257,Input!$A$115:$A$3257,"="&amp;'Output - County'!A356,Input!$B$115:$B$3257,"="&amp;'Output - County'!B356)*VLOOKUP(A356,'Output - State'!$B$2:$G$52,4,FALSE)</f>
        <v>3.4352652286708252</v>
      </c>
      <c r="F356" s="98">
        <f>SUMIFS(Input!$C$115:$C$3257,Input!$A$115:$A$3257,"="&amp;'Output - County'!A356,Input!$B$115:$B$3257,"="&amp;'Output - County'!B356)*VLOOKUP(A356,'Output - State'!$B$2:$G$52,5,FALSE)</f>
        <v>160.26341641904608</v>
      </c>
      <c r="G356" s="99">
        <f>SUMIFS(Input!$D$115:$D$3257,Input!$A$115:$A$3257,"="&amp;'Output - County'!A356,Input!$B$115:$B$3257,"="&amp;'Output - County'!B356)*VLOOKUP(A356,'Output - State'!$B$2:$G$52,6,FALSE)</f>
        <v>94.656060429455138</v>
      </c>
    </row>
    <row r="357" spans="1:7" x14ac:dyDescent="0.25">
      <c r="A357" s="88">
        <v>12</v>
      </c>
      <c r="B357" s="88">
        <v>73</v>
      </c>
      <c r="C357" s="97">
        <f>SUMIFS(Input!$C$115:$C$3257,Input!$A$115:$A$3257,"="&amp;'Output - County'!A357,Input!$B$115:$B$3257,"="&amp;'Output - County'!B357)*VLOOKUP(A357,'Output - State'!$B$2:$G$52,2,FALSE)</f>
        <v>33.519981285319567</v>
      </c>
      <c r="D357" s="98">
        <f>SUMIFS(Input!$C$115:$C$3257,Input!$A$115:$A$3257,"="&amp;'Output - County'!A357,Input!$B$115:$B$3257,"="&amp;'Output - County'!B357)*VLOOKUP(A357,'Output - State'!$B$2:$G$52,3,FALSE)</f>
        <v>3.1896711494738756</v>
      </c>
      <c r="E357" s="98">
        <f>SUMIFS(Input!$C$115:$C$3257,Input!$A$115:$A$3257,"="&amp;'Output - County'!A357,Input!$B$115:$B$3257,"="&amp;'Output - County'!B357)*VLOOKUP(A357,'Output - State'!$B$2:$G$52,4,FALSE)</f>
        <v>1.2048924164836028</v>
      </c>
      <c r="F357" s="98">
        <f>SUMIFS(Input!$C$115:$C$3257,Input!$A$115:$A$3257,"="&amp;'Output - County'!A357,Input!$B$115:$B$3257,"="&amp;'Output - County'!B357)*VLOOKUP(A357,'Output - State'!$B$2:$G$52,5,FALSE)</f>
        <v>56.211140109777418</v>
      </c>
      <c r="G357" s="99">
        <f>SUMIFS(Input!$D$115:$D$3257,Input!$A$115:$A$3257,"="&amp;'Output - County'!A357,Input!$B$115:$B$3257,"="&amp;'Output - County'!B357)*VLOOKUP(A357,'Output - State'!$B$2:$G$52,6,FALSE)</f>
        <v>36.657254171619229</v>
      </c>
    </row>
    <row r="358" spans="1:7" x14ac:dyDescent="0.25">
      <c r="A358" s="88">
        <v>12</v>
      </c>
      <c r="B358" s="88">
        <v>75</v>
      </c>
      <c r="C358" s="97">
        <f>SUMIFS(Input!$C$115:$C$3257,Input!$A$115:$A$3257,"="&amp;'Output - County'!A358,Input!$B$115:$B$3257,"="&amp;'Output - County'!B358)*VLOOKUP(A358,'Output - State'!$B$2:$G$52,2,FALSE)</f>
        <v>4.4181259684289511</v>
      </c>
      <c r="D358" s="98">
        <f>SUMIFS(Input!$C$115:$C$3257,Input!$A$115:$A$3257,"="&amp;'Output - County'!A358,Input!$B$115:$B$3257,"="&amp;'Output - County'!B358)*VLOOKUP(A358,'Output - State'!$B$2:$G$52,3,FALSE)</f>
        <v>0.42041696909929532</v>
      </c>
      <c r="E358" s="98">
        <f>SUMIFS(Input!$C$115:$C$3257,Input!$A$115:$A$3257,"="&amp;'Output - County'!A358,Input!$B$115:$B$3257,"="&amp;'Output - County'!B358)*VLOOKUP(A358,'Output - State'!$B$2:$G$52,4,FALSE)</f>
        <v>0.1588117376652815</v>
      </c>
      <c r="F358" s="98">
        <f>SUMIFS(Input!$C$115:$C$3257,Input!$A$115:$A$3257,"="&amp;'Output - County'!A358,Input!$B$115:$B$3257,"="&amp;'Output - County'!B358)*VLOOKUP(A358,'Output - State'!$B$2:$G$52,5,FALSE)</f>
        <v>7.4089509692767175</v>
      </c>
      <c r="G358" s="99">
        <f>SUMIFS(Input!$D$115:$D$3257,Input!$A$115:$A$3257,"="&amp;'Output - County'!A358,Input!$B$115:$B$3257,"="&amp;'Output - County'!B358)*VLOOKUP(A358,'Output - State'!$B$2:$G$52,6,FALSE)</f>
        <v>5.1219725006920021</v>
      </c>
    </row>
    <row r="359" spans="1:7" x14ac:dyDescent="0.25">
      <c r="A359" s="88">
        <v>12</v>
      </c>
      <c r="B359" s="88">
        <v>77</v>
      </c>
      <c r="C359" s="97">
        <f>SUMIFS(Input!$C$115:$C$3257,Input!$A$115:$A$3257,"="&amp;'Output - County'!A359,Input!$B$115:$B$3257,"="&amp;'Output - County'!B359)*VLOOKUP(A359,'Output - State'!$B$2:$G$52,2,FALSE)</f>
        <v>0.78576347372952526</v>
      </c>
      <c r="D359" s="98">
        <f>SUMIFS(Input!$C$115:$C$3257,Input!$A$115:$A$3257,"="&amp;'Output - County'!A359,Input!$B$115:$B$3257,"="&amp;'Output - County'!B359)*VLOOKUP(A359,'Output - State'!$B$2:$G$52,3,FALSE)</f>
        <v>7.4771136091388954E-2</v>
      </c>
      <c r="E359" s="98">
        <f>SUMIFS(Input!$C$115:$C$3257,Input!$A$115:$A$3257,"="&amp;'Output - County'!A359,Input!$B$115:$B$3257,"="&amp;'Output - County'!B359)*VLOOKUP(A359,'Output - State'!$B$2:$G$52,4,FALSE)</f>
        <v>2.8244659285092184E-2</v>
      </c>
      <c r="F359" s="98">
        <f>SUMIFS(Input!$C$115:$C$3257,Input!$A$115:$A$3257,"="&amp;'Output - County'!A359,Input!$B$115:$B$3257,"="&amp;'Output - County'!B359)*VLOOKUP(A359,'Output - State'!$B$2:$G$52,5,FALSE)</f>
        <v>1.317681544598591</v>
      </c>
      <c r="G359" s="99">
        <f>SUMIFS(Input!$D$115:$D$3257,Input!$A$115:$A$3257,"="&amp;'Output - County'!A359,Input!$B$115:$B$3257,"="&amp;'Output - County'!B359)*VLOOKUP(A359,'Output - State'!$B$2:$G$52,6,FALSE)</f>
        <v>1.0582899063929798</v>
      </c>
    </row>
    <row r="360" spans="1:7" x14ac:dyDescent="0.25">
      <c r="A360" s="88">
        <v>12</v>
      </c>
      <c r="B360" s="88">
        <v>79</v>
      </c>
      <c r="C360" s="97">
        <f>SUMIFS(Input!$C$115:$C$3257,Input!$A$115:$A$3257,"="&amp;'Output - County'!A360,Input!$B$115:$B$3257,"="&amp;'Output - County'!B360)*VLOOKUP(A360,'Output - State'!$B$2:$G$52,2,FALSE)</f>
        <v>5.1331236663761661</v>
      </c>
      <c r="D360" s="98">
        <f>SUMIFS(Input!$C$115:$C$3257,Input!$A$115:$A$3257,"="&amp;'Output - County'!A360,Input!$B$115:$B$3257,"="&amp;'Output - County'!B360)*VLOOKUP(A360,'Output - State'!$B$2:$G$52,3,FALSE)</f>
        <v>0.48845422454016524</v>
      </c>
      <c r="E360" s="98">
        <f>SUMIFS(Input!$C$115:$C$3257,Input!$A$115:$A$3257,"="&amp;'Output - County'!A360,Input!$B$115:$B$3257,"="&amp;'Output - County'!B360)*VLOOKUP(A360,'Output - State'!$B$2:$G$52,4,FALSE)</f>
        <v>0.18451268590647679</v>
      </c>
      <c r="F360" s="98">
        <f>SUMIFS(Input!$C$115:$C$3257,Input!$A$115:$A$3257,"="&amp;'Output - County'!A360,Input!$B$115:$B$3257,"="&amp;'Output - County'!B360)*VLOOKUP(A360,'Output - State'!$B$2:$G$52,5,FALSE)</f>
        <v>8.6079622525879405</v>
      </c>
      <c r="G360" s="99">
        <f>SUMIFS(Input!$D$115:$D$3257,Input!$A$115:$A$3257,"="&amp;'Output - County'!A360,Input!$B$115:$B$3257,"="&amp;'Output - County'!B360)*VLOOKUP(A360,'Output - State'!$B$2:$G$52,6,FALSE)</f>
        <v>2.3224630211471089</v>
      </c>
    </row>
    <row r="361" spans="1:7" x14ac:dyDescent="0.25">
      <c r="A361" s="88">
        <v>12</v>
      </c>
      <c r="B361" s="88">
        <v>81</v>
      </c>
      <c r="C361" s="97">
        <f>SUMIFS(Input!$C$115:$C$3257,Input!$A$115:$A$3257,"="&amp;'Output - County'!A361,Input!$B$115:$B$3257,"="&amp;'Output - County'!B361)*VLOOKUP(A361,'Output - State'!$B$2:$G$52,2,FALSE)</f>
        <v>48.803545233130095</v>
      </c>
      <c r="D361" s="98">
        <f>SUMIFS(Input!$C$115:$C$3257,Input!$A$115:$A$3257,"="&amp;'Output - County'!A361,Input!$B$115:$B$3257,"="&amp;'Output - County'!B361)*VLOOKUP(A361,'Output - State'!$B$2:$G$52,3,FALSE)</f>
        <v>4.6440139359604737</v>
      </c>
      <c r="E361" s="98">
        <f>SUMIFS(Input!$C$115:$C$3257,Input!$A$115:$A$3257,"="&amp;'Output - County'!A361,Input!$B$115:$B$3257,"="&amp;'Output - County'!B361)*VLOOKUP(A361,'Output - State'!$B$2:$G$52,4,FALSE)</f>
        <v>1.7542677320845148</v>
      </c>
      <c r="F361" s="98">
        <f>SUMIFS(Input!$C$115:$C$3257,Input!$A$115:$A$3257,"="&amp;'Output - County'!A361,Input!$B$115:$B$3257,"="&amp;'Output - County'!B361)*VLOOKUP(A361,'Output - State'!$B$2:$G$52,5,FALSE)</f>
        <v>81.840824897918253</v>
      </c>
      <c r="G361" s="99">
        <f>SUMIFS(Input!$D$115:$D$3257,Input!$A$115:$A$3257,"="&amp;'Output - County'!A361,Input!$B$115:$B$3257,"="&amp;'Output - County'!B361)*VLOOKUP(A361,'Output - State'!$B$2:$G$52,6,FALSE)</f>
        <v>49.46218542334924</v>
      </c>
    </row>
    <row r="362" spans="1:7" x14ac:dyDescent="0.25">
      <c r="A362" s="88">
        <v>12</v>
      </c>
      <c r="B362" s="88">
        <v>83</v>
      </c>
      <c r="C362" s="97">
        <f>SUMIFS(Input!$C$115:$C$3257,Input!$A$115:$A$3257,"="&amp;'Output - County'!A362,Input!$B$115:$B$3257,"="&amp;'Output - County'!B362)*VLOOKUP(A362,'Output - State'!$B$2:$G$52,2,FALSE)</f>
        <v>53.927606491068175</v>
      </c>
      <c r="D362" s="98">
        <f>SUMIFS(Input!$C$115:$C$3257,Input!$A$115:$A$3257,"="&amp;'Output - County'!A362,Input!$B$115:$B$3257,"="&amp;'Output - County'!B362)*VLOOKUP(A362,'Output - State'!$B$2:$G$52,3,FALSE)</f>
        <v>5.1316058061188254</v>
      </c>
      <c r="E362" s="98">
        <f>SUMIFS(Input!$C$115:$C$3257,Input!$A$115:$A$3257,"="&amp;'Output - County'!A362,Input!$B$115:$B$3257,"="&amp;'Output - County'!B362)*VLOOKUP(A362,'Output - State'!$B$2:$G$52,4,FALSE)</f>
        <v>1.9384546652076238</v>
      </c>
      <c r="F362" s="98">
        <f>SUMIFS(Input!$C$115:$C$3257,Input!$A$115:$A$3257,"="&amp;'Output - County'!A362,Input!$B$115:$B$3257,"="&amp;'Output - County'!B362)*VLOOKUP(A362,'Output - State'!$B$2:$G$52,5,FALSE)</f>
        <v>90.433589996721736</v>
      </c>
      <c r="G362" s="99">
        <f>SUMIFS(Input!$D$115:$D$3257,Input!$A$115:$A$3257,"="&amp;'Output - County'!A362,Input!$B$115:$B$3257,"="&amp;'Output - County'!B362)*VLOOKUP(A362,'Output - State'!$B$2:$G$52,6,FALSE)</f>
        <v>45.068336464422273</v>
      </c>
    </row>
    <row r="363" spans="1:7" x14ac:dyDescent="0.25">
      <c r="A363" s="88">
        <v>12</v>
      </c>
      <c r="B363" s="88">
        <v>85</v>
      </c>
      <c r="C363" s="97">
        <f>SUMIFS(Input!$C$115:$C$3257,Input!$A$115:$A$3257,"="&amp;'Output - County'!A363,Input!$B$115:$B$3257,"="&amp;'Output - County'!B363)*VLOOKUP(A363,'Output - State'!$B$2:$G$52,2,FALSE)</f>
        <v>31.110572838897376</v>
      </c>
      <c r="D363" s="98">
        <f>SUMIFS(Input!$C$115:$C$3257,Input!$A$115:$A$3257,"="&amp;'Output - County'!A363,Input!$B$115:$B$3257,"="&amp;'Output - County'!B363)*VLOOKUP(A363,'Output - State'!$B$2:$G$52,3,FALSE)</f>
        <v>2.9603983302728292</v>
      </c>
      <c r="E363" s="98">
        <f>SUMIFS(Input!$C$115:$C$3257,Input!$A$115:$A$3257,"="&amp;'Output - County'!A363,Input!$B$115:$B$3257,"="&amp;'Output - County'!B363)*VLOOKUP(A363,'Output - State'!$B$2:$G$52,4,FALSE)</f>
        <v>1.1182850302623857</v>
      </c>
      <c r="F363" s="98">
        <f>SUMIFS(Input!$C$115:$C$3257,Input!$A$115:$A$3257,"="&amp;'Output - County'!A363,Input!$B$115:$B$3257,"="&amp;'Output - County'!B363)*VLOOKUP(A363,'Output - State'!$B$2:$G$52,5,FALSE)</f>
        <v>52.170696452882112</v>
      </c>
      <c r="G363" s="99">
        <f>SUMIFS(Input!$D$115:$D$3257,Input!$A$115:$A$3257,"="&amp;'Output - County'!A363,Input!$B$115:$B$3257,"="&amp;'Output - County'!B363)*VLOOKUP(A363,'Output - State'!$B$2:$G$52,6,FALSE)</f>
        <v>20.211705211064029</v>
      </c>
    </row>
    <row r="364" spans="1:7" x14ac:dyDescent="0.25">
      <c r="A364" s="88">
        <v>12</v>
      </c>
      <c r="B364" s="88">
        <v>86</v>
      </c>
      <c r="C364" s="97">
        <f>SUMIFS(Input!$C$115:$C$3257,Input!$A$115:$A$3257,"="&amp;'Output - County'!A364,Input!$B$115:$B$3257,"="&amp;'Output - County'!B364)*VLOOKUP(A364,'Output - State'!$B$2:$G$52,2,FALSE)</f>
        <v>273.95678178826364</v>
      </c>
      <c r="D364" s="98">
        <f>SUMIFS(Input!$C$115:$C$3257,Input!$A$115:$A$3257,"="&amp;'Output - County'!A364,Input!$B$115:$B$3257,"="&amp;'Output - County'!B364)*VLOOKUP(A364,'Output - State'!$B$2:$G$52,3,FALSE)</f>
        <v>26.068989586680907</v>
      </c>
      <c r="E364" s="98">
        <f>SUMIFS(Input!$C$115:$C$3257,Input!$A$115:$A$3257,"="&amp;'Output - County'!A364,Input!$B$115:$B$3257,"="&amp;'Output - County'!B364)*VLOOKUP(A364,'Output - State'!$B$2:$G$52,4,FALSE)</f>
        <v>9.8475129210617371</v>
      </c>
      <c r="F364" s="98">
        <f>SUMIFS(Input!$C$115:$C$3257,Input!$A$115:$A$3257,"="&amp;'Output - County'!A364,Input!$B$115:$B$3257,"="&amp;'Output - County'!B364)*VLOOKUP(A364,'Output - State'!$B$2:$G$52,5,FALSE)</f>
        <v>459.41025187469745</v>
      </c>
      <c r="G364" s="99">
        <f>SUMIFS(Input!$D$115:$D$3257,Input!$A$115:$A$3257,"="&amp;'Output - County'!A364,Input!$B$115:$B$3257,"="&amp;'Output - County'!B364)*VLOOKUP(A364,'Output - State'!$B$2:$G$52,6,FALSE)</f>
        <v>340.20944796263052</v>
      </c>
    </row>
    <row r="365" spans="1:7" x14ac:dyDescent="0.25">
      <c r="A365" s="88">
        <v>12</v>
      </c>
      <c r="B365" s="88">
        <v>87</v>
      </c>
      <c r="C365" s="97">
        <f>SUMIFS(Input!$C$115:$C$3257,Input!$A$115:$A$3257,"="&amp;'Output - County'!A365,Input!$B$115:$B$3257,"="&amp;'Output - County'!B365)*VLOOKUP(A365,'Output - State'!$B$2:$G$52,2,FALSE)</f>
        <v>12.738809102379047</v>
      </c>
      <c r="D365" s="98">
        <f>SUMIFS(Input!$C$115:$C$3257,Input!$A$115:$A$3257,"="&amp;'Output - County'!A365,Input!$B$115:$B$3257,"="&amp;'Output - County'!B365)*VLOOKUP(A365,'Output - State'!$B$2:$G$52,3,FALSE)</f>
        <v>1.2121907684450031</v>
      </c>
      <c r="E365" s="98">
        <f>SUMIFS(Input!$C$115:$C$3257,Input!$A$115:$A$3257,"="&amp;'Output - County'!A365,Input!$B$115:$B$3257,"="&amp;'Output - County'!B365)*VLOOKUP(A365,'Output - State'!$B$2:$G$52,4,FALSE)</f>
        <v>0.45790283568001322</v>
      </c>
      <c r="F365" s="98">
        <f>SUMIFS(Input!$C$115:$C$3257,Input!$A$115:$A$3257,"="&amp;'Output - County'!A365,Input!$B$115:$B$3257,"="&amp;'Output - County'!B365)*VLOOKUP(A365,'Output - State'!$B$2:$G$52,5,FALSE)</f>
        <v>21.362272764726871</v>
      </c>
      <c r="G365" s="99">
        <f>SUMIFS(Input!$D$115:$D$3257,Input!$A$115:$A$3257,"="&amp;'Output - County'!A365,Input!$B$115:$B$3257,"="&amp;'Output - County'!B365)*VLOOKUP(A365,'Output - State'!$B$2:$G$52,6,FALSE)</f>
        <v>9.3902829179353375</v>
      </c>
    </row>
    <row r="366" spans="1:7" x14ac:dyDescent="0.25">
      <c r="A366" s="88">
        <v>12</v>
      </c>
      <c r="B366" s="88">
        <v>89</v>
      </c>
      <c r="C366" s="97">
        <f>SUMIFS(Input!$C$115:$C$3257,Input!$A$115:$A$3257,"="&amp;'Output - County'!A366,Input!$B$115:$B$3257,"="&amp;'Output - County'!B366)*VLOOKUP(A366,'Output - State'!$B$2:$G$52,2,FALSE)</f>
        <v>13.787268168535538</v>
      </c>
      <c r="D366" s="98">
        <f>SUMIFS(Input!$C$115:$C$3257,Input!$A$115:$A$3257,"="&amp;'Output - County'!A366,Input!$B$115:$B$3257,"="&amp;'Output - County'!B366)*VLOOKUP(A366,'Output - State'!$B$2:$G$52,3,FALSE)</f>
        <v>1.3119593096699449</v>
      </c>
      <c r="E366" s="98">
        <f>SUMIFS(Input!$C$115:$C$3257,Input!$A$115:$A$3257,"="&amp;'Output - County'!A366,Input!$B$115:$B$3257,"="&amp;'Output - County'!B366)*VLOOKUP(A366,'Output - State'!$B$2:$G$52,4,FALSE)</f>
        <v>0.49559021882776888</v>
      </c>
      <c r="F366" s="98">
        <f>SUMIFS(Input!$C$115:$C$3257,Input!$A$115:$A$3257,"="&amp;'Output - County'!A366,Input!$B$115:$B$3257,"="&amp;'Output - County'!B366)*VLOOKUP(A366,'Output - State'!$B$2:$G$52,5,FALSE)</f>
        <v>23.120480174374208</v>
      </c>
      <c r="G366" s="99">
        <f>SUMIFS(Input!$D$115:$D$3257,Input!$A$115:$A$3257,"="&amp;'Output - County'!A366,Input!$B$115:$B$3257,"="&amp;'Output - County'!B366)*VLOOKUP(A366,'Output - State'!$B$2:$G$52,6,FALSE)</f>
        <v>10.783760730623603</v>
      </c>
    </row>
    <row r="367" spans="1:7" x14ac:dyDescent="0.25">
      <c r="A367" s="88">
        <v>12</v>
      </c>
      <c r="B367" s="88">
        <v>91</v>
      </c>
      <c r="C367" s="97">
        <f>SUMIFS(Input!$C$115:$C$3257,Input!$A$115:$A$3257,"="&amp;'Output - County'!A367,Input!$B$115:$B$3257,"="&amp;'Output - County'!B367)*VLOOKUP(A367,'Output - State'!$B$2:$G$52,2,FALSE)</f>
        <v>28.147956921041672</v>
      </c>
      <c r="D367" s="98">
        <f>SUMIFS(Input!$C$115:$C$3257,Input!$A$115:$A$3257,"="&amp;'Output - County'!A367,Input!$B$115:$B$3257,"="&amp;'Output - County'!B367)*VLOOKUP(A367,'Output - State'!$B$2:$G$52,3,FALSE)</f>
        <v>2.6784837778832955</v>
      </c>
      <c r="E367" s="98">
        <f>SUMIFS(Input!$C$115:$C$3257,Input!$A$115:$A$3257,"="&amp;'Output - County'!A367,Input!$B$115:$B$3257,"="&amp;'Output - County'!B367)*VLOOKUP(A367,'Output - State'!$B$2:$G$52,4,FALSE)</f>
        <v>1.011792326045355</v>
      </c>
      <c r="F367" s="98">
        <f>SUMIFS(Input!$C$115:$C$3257,Input!$A$115:$A$3257,"="&amp;'Output - County'!A367,Input!$B$115:$B$3257,"="&amp;'Output - County'!B367)*VLOOKUP(A367,'Output - State'!$B$2:$G$52,5,FALSE)</f>
        <v>47.202554703859768</v>
      </c>
      <c r="G367" s="99">
        <f>SUMIFS(Input!$D$115:$D$3257,Input!$A$115:$A$3257,"="&amp;'Output - County'!A367,Input!$B$115:$B$3257,"="&amp;'Output - County'!B367)*VLOOKUP(A367,'Output - State'!$B$2:$G$52,6,FALSE)</f>
        <v>25.986478128510896</v>
      </c>
    </row>
    <row r="368" spans="1:7" x14ac:dyDescent="0.25">
      <c r="A368" s="88">
        <v>12</v>
      </c>
      <c r="B368" s="88">
        <v>93</v>
      </c>
      <c r="C368" s="97">
        <f>SUMIFS(Input!$C$115:$C$3257,Input!$A$115:$A$3257,"="&amp;'Output - County'!A368,Input!$B$115:$B$3257,"="&amp;'Output - County'!B368)*VLOOKUP(A368,'Output - State'!$B$2:$G$52,2,FALSE)</f>
        <v>5.7598425779049327</v>
      </c>
      <c r="D368" s="98">
        <f>SUMIFS(Input!$C$115:$C$3257,Input!$A$115:$A$3257,"="&amp;'Output - County'!A368,Input!$B$115:$B$3257,"="&amp;'Output - County'!B368)*VLOOKUP(A368,'Output - State'!$B$2:$G$52,3,FALSE)</f>
        <v>0.5480911084010901</v>
      </c>
      <c r="E368" s="98">
        <f>SUMIFS(Input!$C$115:$C$3257,Input!$A$115:$A$3257,"="&amp;'Output - County'!A368,Input!$B$115:$B$3257,"="&amp;'Output - County'!B368)*VLOOKUP(A368,'Output - State'!$B$2:$G$52,4,FALSE)</f>
        <v>0.2070404092169485</v>
      </c>
      <c r="F368" s="98">
        <f>SUMIFS(Input!$C$115:$C$3257,Input!$A$115:$A$3257,"="&amp;'Output - County'!A368,Input!$B$115:$B$3257,"="&amp;'Output - County'!B368)*VLOOKUP(A368,'Output - State'!$B$2:$G$52,5,FALSE)</f>
        <v>9.6589349320034703</v>
      </c>
      <c r="G368" s="99">
        <f>SUMIFS(Input!$D$115:$D$3257,Input!$A$115:$A$3257,"="&amp;'Output - County'!A368,Input!$B$115:$B$3257,"="&amp;'Output - County'!B368)*VLOOKUP(A368,'Output - State'!$B$2:$G$52,6,FALSE)</f>
        <v>5.2349571882072672</v>
      </c>
    </row>
    <row r="369" spans="1:7" x14ac:dyDescent="0.25">
      <c r="A369" s="88">
        <v>12</v>
      </c>
      <c r="B369" s="88">
        <v>95</v>
      </c>
      <c r="C369" s="97">
        <f>SUMIFS(Input!$C$115:$C$3257,Input!$A$115:$A$3257,"="&amp;'Output - County'!A369,Input!$B$115:$B$3257,"="&amp;'Output - County'!B369)*VLOOKUP(A369,'Output - State'!$B$2:$G$52,2,FALSE)</f>
        <v>213.74502000988625</v>
      </c>
      <c r="D369" s="98">
        <f>SUMIFS(Input!$C$115:$C$3257,Input!$A$115:$A$3257,"="&amp;'Output - County'!A369,Input!$B$115:$B$3257,"="&amp;'Output - County'!B369)*VLOOKUP(A369,'Output - State'!$B$2:$G$52,3,FALSE)</f>
        <v>20.339400486713327</v>
      </c>
      <c r="E369" s="98">
        <f>SUMIFS(Input!$C$115:$C$3257,Input!$A$115:$A$3257,"="&amp;'Output - County'!A369,Input!$B$115:$B$3257,"="&amp;'Output - County'!B369)*VLOOKUP(A369,'Output - State'!$B$2:$G$52,4,FALSE)</f>
        <v>7.6831711652488348</v>
      </c>
      <c r="F369" s="98">
        <f>SUMIFS(Input!$C$115:$C$3257,Input!$A$115:$A$3257,"="&amp;'Output - County'!A369,Input!$B$115:$B$3257,"="&amp;'Output - County'!B369)*VLOOKUP(A369,'Output - State'!$B$2:$G$52,5,FALSE)</f>
        <v>358.4384837590863</v>
      </c>
      <c r="G369" s="99">
        <f>SUMIFS(Input!$D$115:$D$3257,Input!$A$115:$A$3257,"="&amp;'Output - County'!A369,Input!$B$115:$B$3257,"="&amp;'Output - County'!B369)*VLOOKUP(A369,'Output - State'!$B$2:$G$52,6,FALSE)</f>
        <v>173.24318752340596</v>
      </c>
    </row>
    <row r="370" spans="1:7" x14ac:dyDescent="0.25">
      <c r="A370" s="88">
        <v>12</v>
      </c>
      <c r="B370" s="88">
        <v>97</v>
      </c>
      <c r="C370" s="97">
        <f>SUMIFS(Input!$C$115:$C$3257,Input!$A$115:$A$3257,"="&amp;'Output - County'!A370,Input!$B$115:$B$3257,"="&amp;'Output - County'!B370)*VLOOKUP(A370,'Output - State'!$B$2:$G$52,2,FALSE)</f>
        <v>54.812721129759822</v>
      </c>
      <c r="D370" s="98">
        <f>SUMIFS(Input!$C$115:$C$3257,Input!$A$115:$A$3257,"="&amp;'Output - County'!A370,Input!$B$115:$B$3257,"="&amp;'Output - County'!B370)*VLOOKUP(A370,'Output - State'!$B$2:$G$52,3,FALSE)</f>
        <v>5.2158309315143523</v>
      </c>
      <c r="E370" s="98">
        <f>SUMIFS(Input!$C$115:$C$3257,Input!$A$115:$A$3257,"="&amp;'Output - County'!A370,Input!$B$115:$B$3257,"="&amp;'Output - County'!B370)*VLOOKUP(A370,'Output - State'!$B$2:$G$52,4,FALSE)</f>
        <v>1.9702705515829917</v>
      </c>
      <c r="F370" s="98">
        <f>SUMIFS(Input!$C$115:$C$3257,Input!$A$115:$A$3257,"="&amp;'Output - County'!A370,Input!$B$115:$B$3257,"="&amp;'Output - County'!B370)*VLOOKUP(A370,'Output - State'!$B$2:$G$52,5,FALSE)</f>
        <v>91.917877906825709</v>
      </c>
      <c r="G370" s="99">
        <f>SUMIFS(Input!$D$115:$D$3257,Input!$A$115:$A$3257,"="&amp;'Output - County'!A370,Input!$B$115:$B$3257,"="&amp;'Output - County'!B370)*VLOOKUP(A370,'Output - State'!$B$2:$G$52,6,FALSE)</f>
        <v>46.198183339574925</v>
      </c>
    </row>
    <row r="371" spans="1:7" x14ac:dyDescent="0.25">
      <c r="A371" s="88">
        <v>12</v>
      </c>
      <c r="B371" s="88">
        <v>99</v>
      </c>
      <c r="C371" s="97">
        <f>SUMIFS(Input!$C$115:$C$3257,Input!$A$115:$A$3257,"="&amp;'Output - County'!A371,Input!$B$115:$B$3257,"="&amp;'Output - County'!B371)*VLOOKUP(A371,'Output - State'!$B$2:$G$52,2,FALSE)</f>
        <v>200.52664302464152</v>
      </c>
      <c r="D371" s="98">
        <f>SUMIFS(Input!$C$115:$C$3257,Input!$A$115:$A$3257,"="&amp;'Output - County'!A371,Input!$B$115:$B$3257,"="&amp;'Output - County'!B371)*VLOOKUP(A371,'Output - State'!$B$2:$G$52,3,FALSE)</f>
        <v>19.08157533001582</v>
      </c>
      <c r="E371" s="98">
        <f>SUMIFS(Input!$C$115:$C$3257,Input!$A$115:$A$3257,"="&amp;'Output - County'!A371,Input!$B$115:$B$3257,"="&amp;'Output - County'!B371)*VLOOKUP(A371,'Output - State'!$B$2:$G$52,4,FALSE)</f>
        <v>7.2080300232483161</v>
      </c>
      <c r="F371" s="98">
        <f>SUMIFS(Input!$C$115:$C$3257,Input!$A$115:$A$3257,"="&amp;'Output - County'!A371,Input!$B$115:$B$3257,"="&amp;'Output - County'!B371)*VLOOKUP(A371,'Output - State'!$B$2:$G$52,5,FALSE)</f>
        <v>336.27200238736606</v>
      </c>
      <c r="G371" s="99">
        <f>SUMIFS(Input!$D$115:$D$3257,Input!$A$115:$A$3257,"="&amp;'Output - County'!A371,Input!$B$115:$B$3257,"="&amp;'Output - County'!B371)*VLOOKUP(A371,'Output - State'!$B$2:$G$52,6,FALSE)</f>
        <v>185.7970416917687</v>
      </c>
    </row>
    <row r="372" spans="1:7" x14ac:dyDescent="0.25">
      <c r="A372" s="88">
        <v>12</v>
      </c>
      <c r="B372" s="88">
        <v>101</v>
      </c>
      <c r="C372" s="97">
        <f>SUMIFS(Input!$C$115:$C$3257,Input!$A$115:$A$3257,"="&amp;'Output - County'!A372,Input!$B$115:$B$3257,"="&amp;'Output - County'!B372)*VLOOKUP(A372,'Output - State'!$B$2:$G$52,2,FALSE)</f>
        <v>69.237365302954885</v>
      </c>
      <c r="D372" s="98">
        <f>SUMIFS(Input!$C$115:$C$3257,Input!$A$115:$A$3257,"="&amp;'Output - County'!A372,Input!$B$115:$B$3257,"="&amp;'Output - County'!B372)*VLOOKUP(A372,'Output - State'!$B$2:$G$52,3,FALSE)</f>
        <v>6.5884412253278883</v>
      </c>
      <c r="E372" s="98">
        <f>SUMIFS(Input!$C$115:$C$3257,Input!$A$115:$A$3257,"="&amp;'Output - County'!A372,Input!$B$115:$B$3257,"="&amp;'Output - County'!B372)*VLOOKUP(A372,'Output - State'!$B$2:$G$52,4,FALSE)</f>
        <v>2.4887715682398519</v>
      </c>
      <c r="F372" s="98">
        <f>SUMIFS(Input!$C$115:$C$3257,Input!$A$115:$A$3257,"="&amp;'Output - County'!A372,Input!$B$115:$B$3257,"="&amp;'Output - County'!B372)*VLOOKUP(A372,'Output - State'!$B$2:$G$52,5,FALSE)</f>
        <v>116.10720211173694</v>
      </c>
      <c r="G372" s="99">
        <f>SUMIFS(Input!$D$115:$D$3257,Input!$A$115:$A$3257,"="&amp;'Output - County'!A372,Input!$B$115:$B$3257,"="&amp;'Output - County'!B372)*VLOOKUP(A372,'Output - State'!$B$2:$G$52,6,FALSE)</f>
        <v>67.66527396747523</v>
      </c>
    </row>
    <row r="373" spans="1:7" x14ac:dyDescent="0.25">
      <c r="A373" s="88">
        <v>12</v>
      </c>
      <c r="B373" s="88">
        <v>103</v>
      </c>
      <c r="C373" s="97">
        <f>SUMIFS(Input!$C$115:$C$3257,Input!$A$115:$A$3257,"="&amp;'Output - County'!A373,Input!$B$115:$B$3257,"="&amp;'Output - County'!B373)*VLOOKUP(A373,'Output - State'!$B$2:$G$52,2,FALSE)</f>
        <v>108.2751261066973</v>
      </c>
      <c r="D373" s="98">
        <f>SUMIFS(Input!$C$115:$C$3257,Input!$A$115:$A$3257,"="&amp;'Output - County'!A373,Input!$B$115:$B$3257,"="&amp;'Output - County'!B373)*VLOOKUP(A373,'Output - State'!$B$2:$G$52,3,FALSE)</f>
        <v>10.303169414340724</v>
      </c>
      <c r="E373" s="98">
        <f>SUMIFS(Input!$C$115:$C$3257,Input!$A$115:$A$3257,"="&amp;'Output - County'!A373,Input!$B$115:$B$3257,"="&amp;'Output - County'!B373)*VLOOKUP(A373,'Output - State'!$B$2:$G$52,4,FALSE)</f>
        <v>3.8920033167471257</v>
      </c>
      <c r="F373" s="98">
        <f>SUMIFS(Input!$C$115:$C$3257,Input!$A$115:$A$3257,"="&amp;'Output - County'!A373,Input!$B$115:$B$3257,"="&amp;'Output - County'!B373)*VLOOKUP(A373,'Output - State'!$B$2:$G$52,5,FALSE)</f>
        <v>181.57135089609753</v>
      </c>
      <c r="G373" s="99">
        <f>SUMIFS(Input!$D$115:$D$3257,Input!$A$115:$A$3257,"="&amp;'Output - County'!A373,Input!$B$115:$B$3257,"="&amp;'Output - County'!B373)*VLOOKUP(A373,'Output - State'!$B$2:$G$52,6,FALSE)</f>
        <v>122.14900105816956</v>
      </c>
    </row>
    <row r="374" spans="1:7" x14ac:dyDescent="0.25">
      <c r="A374" s="88">
        <v>12</v>
      </c>
      <c r="B374" s="88">
        <v>105</v>
      </c>
      <c r="C374" s="97">
        <f>SUMIFS(Input!$C$115:$C$3257,Input!$A$115:$A$3257,"="&amp;'Output - County'!A374,Input!$B$115:$B$3257,"="&amp;'Output - County'!B374)*VLOOKUP(A374,'Output - State'!$B$2:$G$52,2,FALSE)</f>
        <v>91.48649597282008</v>
      </c>
      <c r="D374" s="98">
        <f>SUMIFS(Input!$C$115:$C$3257,Input!$A$115:$A$3257,"="&amp;'Output - County'!A374,Input!$B$115:$B$3257,"="&amp;'Output - County'!B374)*VLOOKUP(A374,'Output - State'!$B$2:$G$52,3,FALSE)</f>
        <v>8.7056085827459633</v>
      </c>
      <c r="E374" s="98">
        <f>SUMIFS(Input!$C$115:$C$3257,Input!$A$115:$A$3257,"="&amp;'Output - County'!A374,Input!$B$115:$B$3257,"="&amp;'Output - County'!B374)*VLOOKUP(A374,'Output - State'!$B$2:$G$52,4,FALSE)</f>
        <v>3.288527647734266</v>
      </c>
      <c r="F374" s="98">
        <f>SUMIFS(Input!$C$115:$C$3257,Input!$A$115:$A$3257,"="&amp;'Output - County'!A374,Input!$B$115:$B$3257,"="&amp;'Output - County'!B374)*VLOOKUP(A374,'Output - State'!$B$2:$G$52,5,FALSE)</f>
        <v>153.4177540108895</v>
      </c>
      <c r="G374" s="99">
        <f>SUMIFS(Input!$D$115:$D$3257,Input!$A$115:$A$3257,"="&amp;'Output - County'!A374,Input!$B$115:$B$3257,"="&amp;'Output - County'!B374)*VLOOKUP(A374,'Output - State'!$B$2:$G$52,6,FALSE)</f>
        <v>88.75574897032466</v>
      </c>
    </row>
    <row r="375" spans="1:7" x14ac:dyDescent="0.25">
      <c r="A375" s="88">
        <v>12</v>
      </c>
      <c r="B375" s="88">
        <v>107</v>
      </c>
      <c r="C375" s="97">
        <f>SUMIFS(Input!$C$115:$C$3257,Input!$A$115:$A$3257,"="&amp;'Output - County'!A375,Input!$B$115:$B$3257,"="&amp;'Output - County'!B375)*VLOOKUP(A375,'Output - State'!$B$2:$G$52,2,FALSE)</f>
        <v>7.8418973409788126</v>
      </c>
      <c r="D375" s="98">
        <f>SUMIFS(Input!$C$115:$C$3257,Input!$A$115:$A$3257,"="&amp;'Output - County'!A375,Input!$B$115:$B$3257,"="&amp;'Output - County'!B375)*VLOOKUP(A375,'Output - State'!$B$2:$G$52,3,FALSE)</f>
        <v>0.74621383266137919</v>
      </c>
      <c r="E375" s="98">
        <f>SUMIFS(Input!$C$115:$C$3257,Input!$A$115:$A$3257,"="&amp;'Output - County'!A375,Input!$B$115:$B$3257,"="&amp;'Output - County'!B375)*VLOOKUP(A375,'Output - State'!$B$2:$G$52,4,FALSE)</f>
        <v>0.28188090430487306</v>
      </c>
      <c r="F375" s="98">
        <f>SUMIFS(Input!$C$115:$C$3257,Input!$A$115:$A$3257,"="&amp;'Output - County'!A375,Input!$B$115:$B$3257,"="&amp;'Output - County'!B375)*VLOOKUP(A375,'Output - State'!$B$2:$G$52,5,FALSE)</f>
        <v>13.150424709613574</v>
      </c>
      <c r="G375" s="99">
        <f>SUMIFS(Input!$D$115:$D$3257,Input!$A$115:$A$3257,"="&amp;'Output - County'!A375,Input!$B$115:$B$3257,"="&amp;'Output - County'!B375)*VLOOKUP(A375,'Output - State'!$B$2:$G$52,6,FALSE)</f>
        <v>9.2898520845884356</v>
      </c>
    </row>
    <row r="376" spans="1:7" x14ac:dyDescent="0.25">
      <c r="A376" s="88">
        <v>12</v>
      </c>
      <c r="B376" s="88">
        <v>109</v>
      </c>
      <c r="C376" s="97">
        <f>SUMIFS(Input!$C$115:$C$3257,Input!$A$115:$A$3257,"="&amp;'Output - County'!A376,Input!$B$115:$B$3257,"="&amp;'Output - County'!B376)*VLOOKUP(A376,'Output - State'!$B$2:$G$52,2,FALSE)</f>
        <v>38.2645731801056</v>
      </c>
      <c r="D376" s="98">
        <f>SUMIFS(Input!$C$115:$C$3257,Input!$A$115:$A$3257,"="&amp;'Output - County'!A376,Input!$B$115:$B$3257,"="&amp;'Output - County'!B376)*VLOOKUP(A376,'Output - State'!$B$2:$G$52,3,FALSE)</f>
        <v>3.6411537369493812</v>
      </c>
      <c r="E376" s="98">
        <f>SUMIFS(Input!$C$115:$C$3257,Input!$A$115:$A$3257,"="&amp;'Output - County'!A376,Input!$B$115:$B$3257,"="&amp;'Output - County'!B376)*VLOOKUP(A376,'Output - State'!$B$2:$G$52,4,FALSE)</f>
        <v>1.3754391344151238</v>
      </c>
      <c r="F376" s="98">
        <f>SUMIFS(Input!$C$115:$C$3257,Input!$A$115:$A$3257,"="&amp;'Output - County'!A376,Input!$B$115:$B$3257,"="&amp;'Output - County'!B376)*VLOOKUP(A376,'Output - State'!$B$2:$G$52,5,FALSE)</f>
        <v>64.167556239351327</v>
      </c>
      <c r="G376" s="99">
        <f>SUMIFS(Input!$D$115:$D$3257,Input!$A$115:$A$3257,"="&amp;'Output - County'!A376,Input!$B$115:$B$3257,"="&amp;'Output - County'!B376)*VLOOKUP(A376,'Output - State'!$B$2:$G$52,6,FALSE)</f>
        <v>31.886789587641385</v>
      </c>
    </row>
    <row r="377" spans="1:7" x14ac:dyDescent="0.25">
      <c r="A377" s="88">
        <v>12</v>
      </c>
      <c r="B377" s="88">
        <v>111</v>
      </c>
      <c r="C377" s="97">
        <f>SUMIFS(Input!$C$115:$C$3257,Input!$A$115:$A$3257,"="&amp;'Output - County'!A377,Input!$B$115:$B$3257,"="&amp;'Output - County'!B377)*VLOOKUP(A377,'Output - State'!$B$2:$G$52,2,FALSE)</f>
        <v>45.217214419930158</v>
      </c>
      <c r="D377" s="98">
        <f>SUMIFS(Input!$C$115:$C$3257,Input!$A$115:$A$3257,"="&amp;'Output - County'!A377,Input!$B$115:$B$3257,"="&amp;'Output - County'!B377)*VLOOKUP(A377,'Output - State'!$B$2:$G$52,3,FALSE)</f>
        <v>4.3027483538002915</v>
      </c>
      <c r="E377" s="98">
        <f>SUMIFS(Input!$C$115:$C$3257,Input!$A$115:$A$3257,"="&amp;'Output - County'!A377,Input!$B$115:$B$3257,"="&amp;'Output - County'!B377)*VLOOKUP(A377,'Output - State'!$B$2:$G$52,4,FALSE)</f>
        <v>1.6253552854144278</v>
      </c>
      <c r="F377" s="98">
        <f>SUMIFS(Input!$C$115:$C$3257,Input!$A$115:$A$3257,"="&amp;'Output - County'!A377,Input!$B$115:$B$3257,"="&amp;'Output - County'!B377)*VLOOKUP(A377,'Output - State'!$B$2:$G$52,5,FALSE)</f>
        <v>75.826748037168855</v>
      </c>
      <c r="G377" s="99">
        <f>SUMIFS(Input!$D$115:$D$3257,Input!$A$115:$A$3257,"="&amp;'Output - County'!A377,Input!$B$115:$B$3257,"="&amp;'Output - County'!B377)*VLOOKUP(A377,'Output - State'!$B$2:$G$52,6,FALSE)</f>
        <v>40.172333338760801</v>
      </c>
    </row>
    <row r="378" spans="1:7" x14ac:dyDescent="0.25">
      <c r="A378" s="88">
        <v>12</v>
      </c>
      <c r="B378" s="88">
        <v>113</v>
      </c>
      <c r="C378" s="97">
        <f>SUMIFS(Input!$C$115:$C$3257,Input!$A$115:$A$3257,"="&amp;'Output - County'!A378,Input!$B$115:$B$3257,"="&amp;'Output - County'!B378)*VLOOKUP(A378,'Output - State'!$B$2:$G$52,2,FALSE)</f>
        <v>24.627805240298681</v>
      </c>
      <c r="D378" s="98">
        <f>SUMIFS(Input!$C$115:$C$3257,Input!$A$115:$A$3257,"="&amp;'Output - County'!A378,Input!$B$115:$B$3257,"="&amp;'Output - County'!B378)*VLOOKUP(A378,'Output - State'!$B$2:$G$52,3,FALSE)</f>
        <v>2.3435156237466654</v>
      </c>
      <c r="E378" s="98">
        <f>SUMIFS(Input!$C$115:$C$3257,Input!$A$115:$A$3257,"="&amp;'Output - County'!A378,Input!$B$115:$B$3257,"="&amp;'Output - County'!B378)*VLOOKUP(A378,'Output - State'!$B$2:$G$52,4,FALSE)</f>
        <v>0.88525872124120175</v>
      </c>
      <c r="F378" s="98">
        <f>SUMIFS(Input!$C$115:$C$3257,Input!$A$115:$A$3257,"="&amp;'Output - County'!A378,Input!$B$115:$B$3257,"="&amp;'Output - County'!B378)*VLOOKUP(A378,'Output - State'!$B$2:$G$52,5,FALSE)</f>
        <v>41.299456559214541</v>
      </c>
      <c r="G378" s="99">
        <f>SUMIFS(Input!$D$115:$D$3257,Input!$A$115:$A$3257,"="&amp;'Output - County'!A378,Input!$B$115:$B$3257,"="&amp;'Output - County'!B378)*VLOOKUP(A378,'Output - State'!$B$2:$G$52,6,FALSE)</f>
        <v>22.471398961369324</v>
      </c>
    </row>
    <row r="379" spans="1:7" x14ac:dyDescent="0.25">
      <c r="A379" s="88">
        <v>12</v>
      </c>
      <c r="B379" s="88">
        <v>115</v>
      </c>
      <c r="C379" s="97">
        <f>SUMIFS(Input!$C$115:$C$3257,Input!$A$115:$A$3257,"="&amp;'Output - County'!A379,Input!$B$115:$B$3257,"="&amp;'Output - County'!B379)*VLOOKUP(A379,'Output - State'!$B$2:$G$52,2,FALSE)</f>
        <v>58.439893689596353</v>
      </c>
      <c r="D379" s="98">
        <f>SUMIFS(Input!$C$115:$C$3257,Input!$A$115:$A$3257,"="&amp;'Output - County'!A379,Input!$B$115:$B$3257,"="&amp;'Output - County'!B379)*VLOOKUP(A379,'Output - State'!$B$2:$G$52,3,FALSE)</f>
        <v>5.5609829042972505</v>
      </c>
      <c r="E379" s="98">
        <f>SUMIFS(Input!$C$115:$C$3257,Input!$A$115:$A$3257,"="&amp;'Output - County'!A379,Input!$B$115:$B$3257,"="&amp;'Output - County'!B379)*VLOOKUP(A379,'Output - State'!$B$2:$G$52,4,FALSE)</f>
        <v>2.1006510751705303</v>
      </c>
      <c r="F379" s="98">
        <f>SUMIFS(Input!$C$115:$C$3257,Input!$A$115:$A$3257,"="&amp;'Output - County'!A379,Input!$B$115:$B$3257,"="&amp;'Output - County'!B379)*VLOOKUP(A379,'Output - State'!$B$2:$G$52,5,FALSE)</f>
        <v>98.00044410004152</v>
      </c>
      <c r="G379" s="99">
        <f>SUMIFS(Input!$D$115:$D$3257,Input!$A$115:$A$3257,"="&amp;'Output - County'!A379,Input!$B$115:$B$3257,"="&amp;'Output - County'!B379)*VLOOKUP(A379,'Output - State'!$B$2:$G$52,6,FALSE)</f>
        <v>53.479418757225318</v>
      </c>
    </row>
    <row r="380" spans="1:7" x14ac:dyDescent="0.25">
      <c r="A380" s="88">
        <v>12</v>
      </c>
      <c r="B380" s="88">
        <v>117</v>
      </c>
      <c r="C380" s="97">
        <f>SUMIFS(Input!$C$115:$C$3257,Input!$A$115:$A$3257,"="&amp;'Output - County'!A380,Input!$B$115:$B$3257,"="&amp;'Output - County'!B380)*VLOOKUP(A380,'Output - State'!$B$2:$G$52,2,FALSE)</f>
        <v>56.446271402096748</v>
      </c>
      <c r="D380" s="98">
        <f>SUMIFS(Input!$C$115:$C$3257,Input!$A$115:$A$3257,"="&amp;'Output - County'!A380,Input!$B$115:$B$3257,"="&amp;'Output - County'!B380)*VLOOKUP(A380,'Output - State'!$B$2:$G$52,3,FALSE)</f>
        <v>5.3712751762630884</v>
      </c>
      <c r="E380" s="98">
        <f>SUMIFS(Input!$C$115:$C$3257,Input!$A$115:$A$3257,"="&amp;'Output - County'!A380,Input!$B$115:$B$3257,"="&amp;'Output - County'!B380)*VLOOKUP(A380,'Output - State'!$B$2:$G$52,4,FALSE)</f>
        <v>2.0289893294465551</v>
      </c>
      <c r="F380" s="98">
        <f>SUMIFS(Input!$C$115:$C$3257,Input!$A$115:$A$3257,"="&amp;'Output - County'!A380,Input!$B$115:$B$3257,"="&amp;'Output - County'!B380)*VLOOKUP(A380,'Output - State'!$B$2:$G$52,5,FALSE)</f>
        <v>94.657250654474325</v>
      </c>
      <c r="G380" s="99">
        <f>SUMIFS(Input!$D$115:$D$3257,Input!$A$115:$A$3257,"="&amp;'Output - County'!A380,Input!$B$115:$B$3257,"="&amp;'Output - County'!B380)*VLOOKUP(A380,'Output - State'!$B$2:$G$52,6,FALSE)</f>
        <v>58.752037507937672</v>
      </c>
    </row>
    <row r="381" spans="1:7" x14ac:dyDescent="0.25">
      <c r="A381" s="88">
        <v>12</v>
      </c>
      <c r="B381" s="88">
        <v>119</v>
      </c>
      <c r="C381" s="97">
        <f>SUMIFS(Input!$C$115:$C$3257,Input!$A$115:$A$3257,"="&amp;'Output - County'!A381,Input!$B$115:$B$3257,"="&amp;'Output - County'!B381)*VLOOKUP(A381,'Output - State'!$B$2:$G$52,2,FALSE)</f>
        <v>22.179107868951018</v>
      </c>
      <c r="D381" s="98">
        <f>SUMIFS(Input!$C$115:$C$3257,Input!$A$115:$A$3257,"="&amp;'Output - County'!A381,Input!$B$115:$B$3257,"="&amp;'Output - County'!B381)*VLOOKUP(A381,'Output - State'!$B$2:$G$52,3,FALSE)</f>
        <v>2.1105041762551693</v>
      </c>
      <c r="E381" s="98">
        <f>SUMIFS(Input!$C$115:$C$3257,Input!$A$115:$A$3257,"="&amp;'Output - County'!A381,Input!$B$115:$B$3257,"="&amp;'Output - County'!B381)*VLOOKUP(A381,'Output - State'!$B$2:$G$52,4,FALSE)</f>
        <v>0.79723907505207037</v>
      </c>
      <c r="F381" s="98">
        <f>SUMIFS(Input!$C$115:$C$3257,Input!$A$115:$A$3257,"="&amp;'Output - County'!A381,Input!$B$115:$B$3257,"="&amp;'Output - County'!B381)*VLOOKUP(A381,'Output - State'!$B$2:$G$52,5,FALSE)</f>
        <v>37.193127565303378</v>
      </c>
      <c r="G381" s="99">
        <f>SUMIFS(Input!$D$115:$D$3257,Input!$A$115:$A$3257,"="&amp;'Output - County'!A381,Input!$B$115:$B$3257,"="&amp;'Output - County'!B381)*VLOOKUP(A381,'Output - State'!$B$2:$G$52,6,FALSE)</f>
        <v>16.194471877187947</v>
      </c>
    </row>
    <row r="382" spans="1:7" x14ac:dyDescent="0.25">
      <c r="A382" s="88">
        <v>12</v>
      </c>
      <c r="B382" s="88">
        <v>121</v>
      </c>
      <c r="C382" s="97">
        <f>SUMIFS(Input!$C$115:$C$3257,Input!$A$115:$A$3257,"="&amp;'Output - County'!A382,Input!$B$115:$B$3257,"="&amp;'Output - County'!B382)*VLOOKUP(A382,'Output - State'!$B$2:$G$52,2,FALSE)</f>
        <v>8.1516351688599116</v>
      </c>
      <c r="D382" s="98">
        <f>SUMIFS(Input!$C$115:$C$3257,Input!$A$115:$A$3257,"="&amp;'Output - County'!A382,Input!$B$115:$B$3257,"="&amp;'Output - County'!B382)*VLOOKUP(A382,'Output - State'!$B$2:$G$52,3,FALSE)</f>
        <v>0.77568765023554753</v>
      </c>
      <c r="E382" s="98">
        <f>SUMIFS(Input!$C$115:$C$3257,Input!$A$115:$A$3257,"="&amp;'Output - County'!A382,Input!$B$115:$B$3257,"="&amp;'Output - County'!B382)*VLOOKUP(A382,'Output - State'!$B$2:$G$52,4,FALSE)</f>
        <v>0.29301458474268066</v>
      </c>
      <c r="F382" s="98">
        <f>SUMIFS(Input!$C$115:$C$3257,Input!$A$115:$A$3257,"="&amp;'Output - County'!A382,Input!$B$115:$B$3257,"="&amp;'Output - County'!B382)*VLOOKUP(A382,'Output - State'!$B$2:$G$52,5,FALSE)</f>
        <v>13.669837781241625</v>
      </c>
      <c r="G382" s="99">
        <f>SUMIFS(Input!$D$115:$D$3257,Input!$A$115:$A$3257,"="&amp;'Output - County'!A382,Input!$B$115:$B$3257,"="&amp;'Output - County'!B382)*VLOOKUP(A382,'Output - State'!$B$2:$G$52,6,FALSE)</f>
        <v>5.5488035424163362</v>
      </c>
    </row>
    <row r="383" spans="1:7" x14ac:dyDescent="0.25">
      <c r="A383" s="88">
        <v>12</v>
      </c>
      <c r="B383" s="88">
        <v>123</v>
      </c>
      <c r="C383" s="97">
        <f>SUMIFS(Input!$C$115:$C$3257,Input!$A$115:$A$3257,"="&amp;'Output - County'!A383,Input!$B$115:$B$3257,"="&amp;'Output - County'!B383)*VLOOKUP(A383,'Output - State'!$B$2:$G$52,2,FALSE)</f>
        <v>2.6682920349363108</v>
      </c>
      <c r="D383" s="98">
        <f>SUMIFS(Input!$C$115:$C$3257,Input!$A$115:$A$3257,"="&amp;'Output - County'!A383,Input!$B$115:$B$3257,"="&amp;'Output - County'!B383)*VLOOKUP(A383,'Output - State'!$B$2:$G$52,3,FALSE)</f>
        <v>0.25390748430801663</v>
      </c>
      <c r="E383" s="98">
        <f>SUMIFS(Input!$C$115:$C$3257,Input!$A$115:$A$3257,"="&amp;'Output - County'!A383,Input!$B$115:$B$3257,"="&amp;'Output - County'!B383)*VLOOKUP(A383,'Output - State'!$B$2:$G$52,4,FALSE)</f>
        <v>9.5913085705283702E-2</v>
      </c>
      <c r="F383" s="98">
        <f>SUMIFS(Input!$C$115:$C$3257,Input!$A$115:$A$3257,"="&amp;'Output - County'!A383,Input!$B$115:$B$3257,"="&amp;'Output - County'!B383)*VLOOKUP(A383,'Output - State'!$B$2:$G$52,5,FALSE)</f>
        <v>4.474577003874904</v>
      </c>
      <c r="G383" s="99">
        <f>SUMIFS(Input!$D$115:$D$3257,Input!$A$115:$A$3257,"="&amp;'Output - County'!A383,Input!$B$115:$B$3257,"="&amp;'Output - County'!B383)*VLOOKUP(A383,'Output - State'!$B$2:$G$52,6,FALSE)</f>
        <v>2.6990786461979912</v>
      </c>
    </row>
    <row r="384" spans="1:7" x14ac:dyDescent="0.25">
      <c r="A384" s="88">
        <v>12</v>
      </c>
      <c r="B384" s="88">
        <v>125</v>
      </c>
      <c r="C384" s="97">
        <f>SUMIFS(Input!$C$115:$C$3257,Input!$A$115:$A$3257,"="&amp;'Output - County'!A384,Input!$B$115:$B$3257,"="&amp;'Output - County'!B384)*VLOOKUP(A384,'Output - State'!$B$2:$G$52,2,FALSE)</f>
        <v>1.4804332176604316</v>
      </c>
      <c r="D384" s="98">
        <f>SUMIFS(Input!$C$115:$C$3257,Input!$A$115:$A$3257,"="&amp;'Output - County'!A384,Input!$B$115:$B$3257,"="&amp;'Output - County'!B384)*VLOOKUP(A384,'Output - State'!$B$2:$G$52,3,FALSE)</f>
        <v>0.14087403817144581</v>
      </c>
      <c r="E384" s="98">
        <f>SUMIFS(Input!$C$115:$C$3257,Input!$A$115:$A$3257,"="&amp;'Output - County'!A384,Input!$B$115:$B$3257,"="&amp;'Output - County'!B384)*VLOOKUP(A384,'Output - State'!$B$2:$G$52,4,FALSE)</f>
        <v>5.3214909098135171E-2</v>
      </c>
      <c r="F384" s="98">
        <f>SUMIFS(Input!$C$115:$C$3257,Input!$A$115:$A$3257,"="&amp;'Output - County'!A384,Input!$B$115:$B$3257,"="&amp;'Output - County'!B384)*VLOOKUP(A384,'Output - State'!$B$2:$G$52,5,FALSE)</f>
        <v>2.482603982166447</v>
      </c>
      <c r="G384" s="99">
        <f>SUMIFS(Input!$D$115:$D$3257,Input!$A$115:$A$3257,"="&amp;'Output - County'!A384,Input!$B$115:$B$3257,"="&amp;'Output - County'!B384)*VLOOKUP(A384,'Output - State'!$B$2:$G$52,6,FALSE)</f>
        <v>1.9207396877595009</v>
      </c>
    </row>
    <row r="385" spans="1:7" x14ac:dyDescent="0.25">
      <c r="A385" s="88">
        <v>12</v>
      </c>
      <c r="B385" s="88">
        <v>127</v>
      </c>
      <c r="C385" s="97">
        <f>SUMIFS(Input!$C$115:$C$3257,Input!$A$115:$A$3257,"="&amp;'Output - County'!A385,Input!$B$115:$B$3257,"="&amp;'Output - County'!B385)*VLOOKUP(A385,'Output - State'!$B$2:$G$52,2,FALSE)</f>
        <v>78.468652028857662</v>
      </c>
      <c r="D385" s="98">
        <f>SUMIFS(Input!$C$115:$C$3257,Input!$A$115:$A$3257,"="&amp;'Output - County'!A385,Input!$B$115:$B$3257,"="&amp;'Output - County'!B385)*VLOOKUP(A385,'Output - State'!$B$2:$G$52,3,FALSE)</f>
        <v>7.4668656102194424</v>
      </c>
      <c r="E385" s="98">
        <f>SUMIFS(Input!$C$115:$C$3257,Input!$A$115:$A$3257,"="&amp;'Output - County'!A385,Input!$B$115:$B$3257,"="&amp;'Output - County'!B385)*VLOOKUP(A385,'Output - State'!$B$2:$G$52,4,FALSE)</f>
        <v>2.820594765745553</v>
      </c>
      <c r="F385" s="98">
        <f>SUMIFS(Input!$C$115:$C$3257,Input!$A$115:$A$3257,"="&amp;'Output - County'!A385,Input!$B$115:$B$3257,"="&amp;'Output - County'!B385)*VLOOKUP(A385,'Output - State'!$B$2:$G$52,5,FALSE)</f>
        <v>131.58755537107805</v>
      </c>
      <c r="G385" s="99">
        <f>SUMIFS(Input!$D$115:$D$3257,Input!$A$115:$A$3257,"="&amp;'Output - County'!A385,Input!$B$115:$B$3257,"="&amp;'Output - County'!B385)*VLOOKUP(A385,'Output - State'!$B$2:$G$52,6,FALSE)</f>
        <v>68.544043759260617</v>
      </c>
    </row>
    <row r="386" spans="1:7" x14ac:dyDescent="0.25">
      <c r="A386" s="88">
        <v>12</v>
      </c>
      <c r="B386" s="88">
        <v>129</v>
      </c>
      <c r="C386" s="97">
        <f>SUMIFS(Input!$C$115:$C$3257,Input!$A$115:$A$3257,"="&amp;'Output - County'!A386,Input!$B$115:$B$3257,"="&amp;'Output - County'!B386)*VLOOKUP(A386,'Output - State'!$B$2:$G$52,2,FALSE)</f>
        <v>3.051655839488387</v>
      </c>
      <c r="D386" s="98">
        <f>SUMIFS(Input!$C$115:$C$3257,Input!$A$115:$A$3257,"="&amp;'Output - County'!A386,Input!$B$115:$B$3257,"="&amp;'Output - County'!B386)*VLOOKUP(A386,'Output - State'!$B$2:$G$52,3,FALSE)</f>
        <v>0.29038735154672057</v>
      </c>
      <c r="E386" s="98">
        <f>SUMIFS(Input!$C$115:$C$3257,Input!$A$115:$A$3257,"="&amp;'Output - County'!A386,Input!$B$115:$B$3257,"="&amp;'Output - County'!B386)*VLOOKUP(A386,'Output - State'!$B$2:$G$52,4,FALSE)</f>
        <v>0.10969328853198987</v>
      </c>
      <c r="F386" s="98">
        <f>SUMIFS(Input!$C$115:$C$3257,Input!$A$115:$A$3257,"="&amp;'Output - County'!A386,Input!$B$115:$B$3257,"="&amp;'Output - County'!B386)*VLOOKUP(A386,'Output - State'!$B$2:$G$52,5,FALSE)</f>
        <v>5.1174567342443185</v>
      </c>
      <c r="G386" s="99">
        <f>SUMIFS(Input!$D$115:$D$3257,Input!$A$115:$A$3257,"="&amp;'Output - County'!A386,Input!$B$115:$B$3257,"="&amp;'Output - County'!B386)*VLOOKUP(A386,'Output - State'!$B$2:$G$52,6,FALSE)</f>
        <v>4.0674487505495307</v>
      </c>
    </row>
    <row r="387" spans="1:7" x14ac:dyDescent="0.25">
      <c r="A387" s="88">
        <v>12</v>
      </c>
      <c r="B387" s="88">
        <v>131</v>
      </c>
      <c r="C387" s="97">
        <f>SUMIFS(Input!$C$115:$C$3257,Input!$A$115:$A$3257,"="&amp;'Output - County'!A387,Input!$B$115:$B$3257,"="&amp;'Output - County'!B387)*VLOOKUP(A387,'Output - State'!$B$2:$G$52,2,FALSE)</f>
        <v>13.559689581736254</v>
      </c>
      <c r="D387" s="98">
        <f>SUMIFS(Input!$C$115:$C$3257,Input!$A$115:$A$3257,"="&amp;'Output - County'!A387,Input!$B$115:$B$3257,"="&amp;'Output - County'!B387)*VLOOKUP(A387,'Output - State'!$B$2:$G$52,3,FALSE)</f>
        <v>1.290303544221483</v>
      </c>
      <c r="E387" s="98">
        <f>SUMIFS(Input!$C$115:$C$3257,Input!$A$115:$A$3257,"="&amp;'Output - County'!A387,Input!$B$115:$B$3257,"="&amp;'Output - County'!B387)*VLOOKUP(A387,'Output - State'!$B$2:$G$52,4,FALSE)</f>
        <v>0.48740979321671385</v>
      </c>
      <c r="F387" s="98">
        <f>SUMIFS(Input!$C$115:$C$3257,Input!$A$115:$A$3257,"="&amp;'Output - County'!A387,Input!$B$115:$B$3257,"="&amp;'Output - County'!B387)*VLOOKUP(A387,'Output - State'!$B$2:$G$52,5,FALSE)</f>
        <v>22.738843570234387</v>
      </c>
      <c r="G387" s="99">
        <f>SUMIFS(Input!$D$115:$D$3257,Input!$A$115:$A$3257,"="&amp;'Output - County'!A387,Input!$B$115:$B$3257,"="&amp;'Output - County'!B387)*VLOOKUP(A387,'Output - State'!$B$2:$G$52,6,FALSE)</f>
        <v>8.8755748970324646</v>
      </c>
    </row>
    <row r="388" spans="1:7" x14ac:dyDescent="0.25">
      <c r="A388" s="88">
        <v>12</v>
      </c>
      <c r="B388" s="88">
        <v>133</v>
      </c>
      <c r="C388" s="97">
        <f>SUMIFS(Input!$C$115:$C$3257,Input!$A$115:$A$3257,"="&amp;'Output - County'!A388,Input!$B$115:$B$3257,"="&amp;'Output - County'!B388)*VLOOKUP(A388,'Output - State'!$B$2:$G$52,2,FALSE)</f>
        <v>4.0807565113716633</v>
      </c>
      <c r="D388" s="98">
        <f>SUMIFS(Input!$C$115:$C$3257,Input!$A$115:$A$3257,"="&amp;'Output - County'!A388,Input!$B$115:$B$3257,"="&amp;'Output - County'!B388)*VLOOKUP(A388,'Output - State'!$B$2:$G$52,3,FALSE)</f>
        <v>0.38831380010496813</v>
      </c>
      <c r="E388" s="98">
        <f>SUMIFS(Input!$C$115:$C$3257,Input!$A$115:$A$3257,"="&amp;'Output - County'!A388,Input!$B$115:$B$3257,"="&amp;'Output - County'!B388)*VLOOKUP(A388,'Output - State'!$B$2:$G$52,4,FALSE)</f>
        <v>0.14668482455929047</v>
      </c>
      <c r="F388" s="98">
        <f>SUMIFS(Input!$C$115:$C$3257,Input!$A$115:$A$3257,"="&amp;'Output - County'!A388,Input!$B$115:$B$3257,"="&amp;'Output - County'!B388)*VLOOKUP(A388,'Output - State'!$B$2:$G$52,5,FALSE)</f>
        <v>6.8432011957912469</v>
      </c>
      <c r="G388" s="99">
        <f>SUMIFS(Input!$D$115:$D$3257,Input!$A$115:$A$3257,"="&amp;'Output - County'!A388,Input!$B$115:$B$3257,"="&amp;'Output - County'!B388)*VLOOKUP(A388,'Output - State'!$B$2:$G$52,6,FALSE)</f>
        <v>3.1133558337539622</v>
      </c>
    </row>
    <row r="389" spans="1:7" x14ac:dyDescent="0.25">
      <c r="A389" s="88">
        <v>13</v>
      </c>
      <c r="B389" s="88">
        <v>1</v>
      </c>
      <c r="C389" s="97">
        <f>SUMIFS(Input!$C$115:$C$3257,Input!$A$115:$A$3257,"="&amp;'Output - County'!A389,Input!$B$115:$B$3257,"="&amp;'Output - County'!B389)*VLOOKUP(A389,'Output - State'!$B$2:$G$52,2,FALSE)</f>
        <v>5.0771396465930456</v>
      </c>
      <c r="D389" s="98">
        <f>SUMIFS(Input!$C$115:$C$3257,Input!$A$115:$A$3257,"="&amp;'Output - County'!A389,Input!$B$115:$B$3257,"="&amp;'Output - County'!B389)*VLOOKUP(A389,'Output - State'!$B$2:$G$52,3,FALSE)</f>
        <v>0</v>
      </c>
      <c r="E389" s="98">
        <f>SUMIFS(Input!$C$115:$C$3257,Input!$A$115:$A$3257,"="&amp;'Output - County'!A389,Input!$B$115:$B$3257,"="&amp;'Output - County'!B389)*VLOOKUP(A389,'Output - State'!$B$2:$G$52,4,FALSE)</f>
        <v>0.15854714643366061</v>
      </c>
      <c r="F389" s="98">
        <f>SUMIFS(Input!$C$115:$C$3257,Input!$A$115:$A$3257,"="&amp;'Output - County'!A389,Input!$B$115:$B$3257,"="&amp;'Output - County'!B389)*VLOOKUP(A389,'Output - State'!$B$2:$G$52,5,FALSE)</f>
        <v>7.3966071495389611</v>
      </c>
      <c r="G389" s="99">
        <f>SUMIFS(Input!$D$115:$D$3257,Input!$A$115:$A$3257,"="&amp;'Output - County'!A389,Input!$B$115:$B$3257,"="&amp;'Output - County'!B389)*VLOOKUP(A389,'Output - State'!$B$2:$G$52,6,FALSE)</f>
        <v>2.4179240764402512</v>
      </c>
    </row>
    <row r="390" spans="1:7" x14ac:dyDescent="0.25">
      <c r="A390" s="88">
        <v>13</v>
      </c>
      <c r="B390" s="88">
        <v>3</v>
      </c>
      <c r="C390" s="97">
        <f>SUMIFS(Input!$C$115:$C$3257,Input!$A$115:$A$3257,"="&amp;'Output - County'!A390,Input!$B$115:$B$3257,"="&amp;'Output - County'!B390)*VLOOKUP(A390,'Output - State'!$B$2:$G$52,2,FALSE)</f>
        <v>2.3618430386866129</v>
      </c>
      <c r="D390" s="98">
        <f>SUMIFS(Input!$C$115:$C$3257,Input!$A$115:$A$3257,"="&amp;'Output - County'!A390,Input!$B$115:$B$3257,"="&amp;'Output - County'!B390)*VLOOKUP(A390,'Output - State'!$B$2:$G$52,3,FALSE)</f>
        <v>0</v>
      </c>
      <c r="E390" s="98">
        <f>SUMIFS(Input!$C$115:$C$3257,Input!$A$115:$A$3257,"="&amp;'Output - County'!A390,Input!$B$115:$B$3257,"="&amp;'Output - County'!B390)*VLOOKUP(A390,'Output - State'!$B$2:$G$52,4,FALSE)</f>
        <v>7.3754810813456279E-2</v>
      </c>
      <c r="F390" s="98">
        <f>SUMIFS(Input!$C$115:$C$3257,Input!$A$115:$A$3257,"="&amp;'Output - County'!A390,Input!$B$115:$B$3257,"="&amp;'Output - County'!B390)*VLOOKUP(A390,'Output - State'!$B$2:$G$52,5,FALSE)</f>
        <v>3.4408399851205616</v>
      </c>
      <c r="G390" s="99">
        <f>SUMIFS(Input!$D$115:$D$3257,Input!$A$115:$A$3257,"="&amp;'Output - County'!A390,Input!$B$115:$B$3257,"="&amp;'Output - County'!B390)*VLOOKUP(A390,'Output - State'!$B$2:$G$52,6,FALSE)</f>
        <v>1.0795704254808907</v>
      </c>
    </row>
    <row r="391" spans="1:7" x14ac:dyDescent="0.25">
      <c r="A391" s="88">
        <v>13</v>
      </c>
      <c r="B391" s="88">
        <v>5</v>
      </c>
      <c r="C391" s="97">
        <f>SUMIFS(Input!$C$115:$C$3257,Input!$A$115:$A$3257,"="&amp;'Output - County'!A391,Input!$B$115:$B$3257,"="&amp;'Output - County'!B391)*VLOOKUP(A391,'Output - State'!$B$2:$G$52,2,FALSE)</f>
        <v>2.2774191446214358</v>
      </c>
      <c r="D391" s="98">
        <f>SUMIFS(Input!$C$115:$C$3257,Input!$A$115:$A$3257,"="&amp;'Output - County'!A391,Input!$B$115:$B$3257,"="&amp;'Output - County'!B391)*VLOOKUP(A391,'Output - State'!$B$2:$G$52,3,FALSE)</f>
        <v>0</v>
      </c>
      <c r="E391" s="98">
        <f>SUMIFS(Input!$C$115:$C$3257,Input!$A$115:$A$3257,"="&amp;'Output - County'!A391,Input!$B$115:$B$3257,"="&amp;'Output - County'!B391)*VLOOKUP(A391,'Output - State'!$B$2:$G$52,4,FALSE)</f>
        <v>7.1118450889058007E-2</v>
      </c>
      <c r="F391" s="98">
        <f>SUMIFS(Input!$C$115:$C$3257,Input!$A$115:$A$3257,"="&amp;'Output - County'!A391,Input!$B$115:$B$3257,"="&amp;'Output - County'!B391)*VLOOKUP(A391,'Output - State'!$B$2:$G$52,5,FALSE)</f>
        <v>3.3178474298826055</v>
      </c>
      <c r="G391" s="99">
        <f>SUMIFS(Input!$D$115:$D$3257,Input!$A$115:$A$3257,"="&amp;'Output - County'!A391,Input!$B$115:$B$3257,"="&amp;'Output - County'!B391)*VLOOKUP(A391,'Output - State'!$B$2:$G$52,6,FALSE)</f>
        <v>1.4507544458641508</v>
      </c>
    </row>
    <row r="392" spans="1:7" x14ac:dyDescent="0.25">
      <c r="A392" s="88">
        <v>13</v>
      </c>
      <c r="B392" s="88">
        <v>7</v>
      </c>
      <c r="C392" s="97">
        <f>SUMIFS(Input!$C$115:$C$3257,Input!$A$115:$A$3257,"="&amp;'Output - County'!A392,Input!$B$115:$B$3257,"="&amp;'Output - County'!B392)*VLOOKUP(A392,'Output - State'!$B$2:$G$52,2,FALSE)</f>
        <v>1.2053714848836039</v>
      </c>
      <c r="D392" s="98">
        <f>SUMIFS(Input!$C$115:$C$3257,Input!$A$115:$A$3257,"="&amp;'Output - County'!A392,Input!$B$115:$B$3257,"="&amp;'Output - County'!B392)*VLOOKUP(A392,'Output - State'!$B$2:$G$52,3,FALSE)</f>
        <v>0</v>
      </c>
      <c r="E392" s="98">
        <f>SUMIFS(Input!$C$115:$C$3257,Input!$A$115:$A$3257,"="&amp;'Output - County'!A392,Input!$B$115:$B$3257,"="&amp;'Output - County'!B392)*VLOOKUP(A392,'Output - State'!$B$2:$G$52,4,FALSE)</f>
        <v>3.7640920404669306E-2</v>
      </c>
      <c r="F392" s="98">
        <f>SUMIFS(Input!$C$115:$C$3257,Input!$A$115:$A$3257,"="&amp;'Output - County'!A392,Input!$B$115:$B$3257,"="&amp;'Output - County'!B392)*VLOOKUP(A392,'Output - State'!$B$2:$G$52,5,FALSE)</f>
        <v>1.7560398105108663</v>
      </c>
      <c r="G392" s="99">
        <f>SUMIFS(Input!$D$115:$D$3257,Input!$A$115:$A$3257,"="&amp;'Output - County'!A392,Input!$B$115:$B$3257,"="&amp;'Output - County'!B392)*VLOOKUP(A392,'Output - State'!$B$2:$G$52,6,FALSE)</f>
        <v>0.40385867006488518</v>
      </c>
    </row>
    <row r="393" spans="1:7" x14ac:dyDescent="0.25">
      <c r="A393" s="88">
        <v>13</v>
      </c>
      <c r="B393" s="88">
        <v>9</v>
      </c>
      <c r="C393" s="97">
        <f>SUMIFS(Input!$C$115:$C$3257,Input!$A$115:$A$3257,"="&amp;'Output - County'!A393,Input!$B$115:$B$3257,"="&amp;'Output - County'!B393)*VLOOKUP(A393,'Output - State'!$B$2:$G$52,2,FALSE)</f>
        <v>7.1836261193302509</v>
      </c>
      <c r="D393" s="98">
        <f>SUMIFS(Input!$C$115:$C$3257,Input!$A$115:$A$3257,"="&amp;'Output - County'!A393,Input!$B$115:$B$3257,"="&amp;'Output - County'!B393)*VLOOKUP(A393,'Output - State'!$B$2:$G$52,3,FALSE)</f>
        <v>0</v>
      </c>
      <c r="E393" s="98">
        <f>SUMIFS(Input!$C$115:$C$3257,Input!$A$115:$A$3257,"="&amp;'Output - County'!A393,Input!$B$115:$B$3257,"="&amp;'Output - County'!B393)*VLOOKUP(A393,'Output - State'!$B$2:$G$52,4,FALSE)</f>
        <v>0.22432777145107619</v>
      </c>
      <c r="F393" s="98">
        <f>SUMIFS(Input!$C$115:$C$3257,Input!$A$115:$A$3257,"="&amp;'Output - County'!A393,Input!$B$115:$B$3257,"="&amp;'Output - County'!B393)*VLOOKUP(A393,'Output - State'!$B$2:$G$52,5,FALSE)</f>
        <v>10.465432115799338</v>
      </c>
      <c r="G393" s="99">
        <f>SUMIFS(Input!$D$115:$D$3257,Input!$A$115:$A$3257,"="&amp;'Output - County'!A393,Input!$B$115:$B$3257,"="&amp;'Output - County'!B393)*VLOOKUP(A393,'Output - State'!$B$2:$G$52,6,FALSE)</f>
        <v>5.8683670828198533</v>
      </c>
    </row>
    <row r="394" spans="1:7" x14ac:dyDescent="0.25">
      <c r="A394" s="88">
        <v>13</v>
      </c>
      <c r="B394" s="88">
        <v>11</v>
      </c>
      <c r="C394" s="97">
        <f>SUMIFS(Input!$C$115:$C$3257,Input!$A$115:$A$3257,"="&amp;'Output - County'!A394,Input!$B$115:$B$3257,"="&amp;'Output - County'!B394)*VLOOKUP(A394,'Output - State'!$B$2:$G$52,2,FALSE)</f>
        <v>6.3568211572812787</v>
      </c>
      <c r="D394" s="98">
        <f>SUMIFS(Input!$C$115:$C$3257,Input!$A$115:$A$3257,"="&amp;'Output - County'!A394,Input!$B$115:$B$3257,"="&amp;'Output - County'!B394)*VLOOKUP(A394,'Output - State'!$B$2:$G$52,3,FALSE)</f>
        <v>0</v>
      </c>
      <c r="E394" s="98">
        <f>SUMIFS(Input!$C$115:$C$3257,Input!$A$115:$A$3257,"="&amp;'Output - County'!A394,Input!$B$115:$B$3257,"="&amp;'Output - County'!B394)*VLOOKUP(A394,'Output - State'!$B$2:$G$52,4,FALSE)</f>
        <v>0.19850859441149635</v>
      </c>
      <c r="F394" s="98">
        <f>SUMIFS(Input!$C$115:$C$3257,Input!$A$115:$A$3257,"="&amp;'Output - County'!A394,Input!$B$115:$B$3257,"="&amp;'Output - County'!B394)*VLOOKUP(A394,'Output - State'!$B$2:$G$52,5,FALSE)</f>
        <v>9.2609051736126116</v>
      </c>
      <c r="G394" s="99">
        <f>SUMIFS(Input!$D$115:$D$3257,Input!$A$115:$A$3257,"="&amp;'Output - County'!A394,Input!$B$115:$B$3257,"="&amp;'Output - County'!B394)*VLOOKUP(A394,'Output - State'!$B$2:$G$52,6,FALSE)</f>
        <v>2.4832733758035013</v>
      </c>
    </row>
    <row r="395" spans="1:7" x14ac:dyDescent="0.25">
      <c r="A395" s="88">
        <v>13</v>
      </c>
      <c r="B395" s="88">
        <v>13</v>
      </c>
      <c r="C395" s="97">
        <f>SUMIFS(Input!$C$115:$C$3257,Input!$A$115:$A$3257,"="&amp;'Output - County'!A395,Input!$B$115:$B$3257,"="&amp;'Output - County'!B395)*VLOOKUP(A395,'Output - State'!$B$2:$G$52,2,FALSE)</f>
        <v>16.345686463984109</v>
      </c>
      <c r="D395" s="98">
        <f>SUMIFS(Input!$C$115:$C$3257,Input!$A$115:$A$3257,"="&amp;'Output - County'!A395,Input!$B$115:$B$3257,"="&amp;'Output - County'!B395)*VLOOKUP(A395,'Output - State'!$B$2:$G$52,3,FALSE)</f>
        <v>0</v>
      </c>
      <c r="E395" s="98">
        <f>SUMIFS(Input!$C$115:$C$3257,Input!$A$115:$A$3257,"="&amp;'Output - County'!A395,Input!$B$115:$B$3257,"="&amp;'Output - County'!B395)*VLOOKUP(A395,'Output - State'!$B$2:$G$52,4,FALSE)</f>
        <v>0.51043739699045498</v>
      </c>
      <c r="F395" s="98">
        <f>SUMIFS(Input!$C$115:$C$3257,Input!$A$115:$A$3257,"="&amp;'Output - County'!A395,Input!$B$115:$B$3257,"="&amp;'Output - County'!B395)*VLOOKUP(A395,'Output - State'!$B$2:$G$52,5,FALSE)</f>
        <v>23.813136880085104</v>
      </c>
      <c r="G395" s="99">
        <f>SUMIFS(Input!$D$115:$D$3257,Input!$A$115:$A$3257,"="&amp;'Output - County'!A395,Input!$B$115:$B$3257,"="&amp;'Output - County'!B395)*VLOOKUP(A395,'Output - State'!$B$2:$G$52,6,FALSE)</f>
        <v>10.560446777101205</v>
      </c>
    </row>
    <row r="396" spans="1:7" x14ac:dyDescent="0.25">
      <c r="A396" s="88">
        <v>13</v>
      </c>
      <c r="B396" s="88">
        <v>15</v>
      </c>
      <c r="C396" s="97">
        <f>SUMIFS(Input!$C$115:$C$3257,Input!$A$115:$A$3257,"="&amp;'Output - County'!A396,Input!$B$115:$B$3257,"="&amp;'Output - County'!B396)*VLOOKUP(A396,'Output - State'!$B$2:$G$52,2,FALSE)</f>
        <v>44.500307132603957</v>
      </c>
      <c r="D396" s="98">
        <f>SUMIFS(Input!$C$115:$C$3257,Input!$A$115:$A$3257,"="&amp;'Output - County'!A396,Input!$B$115:$B$3257,"="&amp;'Output - County'!B396)*VLOOKUP(A396,'Output - State'!$B$2:$G$52,3,FALSE)</f>
        <v>0</v>
      </c>
      <c r="E396" s="98">
        <f>SUMIFS(Input!$C$115:$C$3257,Input!$A$115:$A$3257,"="&amp;'Output - County'!A396,Input!$B$115:$B$3257,"="&amp;'Output - County'!B396)*VLOOKUP(A396,'Output - State'!$B$2:$G$52,4,FALSE)</f>
        <v>1.3896400734280121</v>
      </c>
      <c r="F396" s="98">
        <f>SUMIFS(Input!$C$115:$C$3257,Input!$A$115:$A$3257,"="&amp;'Output - County'!A396,Input!$B$115:$B$3257,"="&amp;'Output - County'!B396)*VLOOKUP(A396,'Output - State'!$B$2:$G$52,5,FALSE)</f>
        <v>64.830064328557739</v>
      </c>
      <c r="G396" s="99">
        <f>SUMIFS(Input!$D$115:$D$3257,Input!$A$115:$A$3257,"="&amp;'Output - County'!A396,Input!$B$115:$B$3257,"="&amp;'Output - County'!B396)*VLOOKUP(A396,'Output - State'!$B$2:$G$52,6,FALSE)</f>
        <v>13.854051465009007</v>
      </c>
    </row>
    <row r="397" spans="1:7" x14ac:dyDescent="0.25">
      <c r="A397" s="88">
        <v>13</v>
      </c>
      <c r="B397" s="88">
        <v>17</v>
      </c>
      <c r="C397" s="97">
        <f>SUMIFS(Input!$C$115:$C$3257,Input!$A$115:$A$3257,"="&amp;'Output - County'!A397,Input!$B$115:$B$3257,"="&amp;'Output - County'!B397)*VLOOKUP(A397,'Output - State'!$B$2:$G$52,2,FALSE)</f>
        <v>3.5241974470256108</v>
      </c>
      <c r="D397" s="98">
        <f>SUMIFS(Input!$C$115:$C$3257,Input!$A$115:$A$3257,"="&amp;'Output - County'!A397,Input!$B$115:$B$3257,"="&amp;'Output - County'!B397)*VLOOKUP(A397,'Output - State'!$B$2:$G$52,3,FALSE)</f>
        <v>0</v>
      </c>
      <c r="E397" s="98">
        <f>SUMIFS(Input!$C$115:$C$3257,Input!$A$115:$A$3257,"="&amp;'Output - County'!A397,Input!$B$115:$B$3257,"="&amp;'Output - County'!B397)*VLOOKUP(A397,'Output - State'!$B$2:$G$52,4,FALSE)</f>
        <v>0.11005240895228201</v>
      </c>
      <c r="F397" s="98">
        <f>SUMIFS(Input!$C$115:$C$3257,Input!$A$115:$A$3257,"="&amp;'Output - County'!A397,Input!$B$115:$B$3257,"="&amp;'Output - County'!B397)*VLOOKUP(A397,'Output - State'!$B$2:$G$52,5,FALSE)</f>
        <v>5.1342105688482702</v>
      </c>
      <c r="G397" s="99">
        <f>SUMIFS(Input!$D$115:$D$3257,Input!$A$115:$A$3257,"="&amp;'Output - County'!A397,Input!$B$115:$B$3257,"="&amp;'Output - County'!B397)*VLOOKUP(A397,'Output - State'!$B$2:$G$52,6,FALSE)</f>
        <v>2.1957364586052011</v>
      </c>
    </row>
    <row r="398" spans="1:7" x14ac:dyDescent="0.25">
      <c r="A398" s="88">
        <v>13</v>
      </c>
      <c r="B398" s="88">
        <v>19</v>
      </c>
      <c r="C398" s="97">
        <f>SUMIFS(Input!$C$115:$C$3257,Input!$A$115:$A$3257,"="&amp;'Output - County'!A398,Input!$B$115:$B$3257,"="&amp;'Output - County'!B398)*VLOOKUP(A398,'Output - State'!$B$2:$G$52,2,FALSE)</f>
        <v>3.5220995428976978</v>
      </c>
      <c r="D398" s="98">
        <f>SUMIFS(Input!$C$115:$C$3257,Input!$A$115:$A$3257,"="&amp;'Output - County'!A398,Input!$B$115:$B$3257,"="&amp;'Output - County'!B398)*VLOOKUP(A398,'Output - State'!$B$2:$G$52,3,FALSE)</f>
        <v>0</v>
      </c>
      <c r="E398" s="98">
        <f>SUMIFS(Input!$C$115:$C$3257,Input!$A$115:$A$3257,"="&amp;'Output - County'!A398,Input!$B$115:$B$3257,"="&amp;'Output - County'!B398)*VLOOKUP(A398,'Output - State'!$B$2:$G$52,4,FALSE)</f>
        <v>0.109986896333736</v>
      </c>
      <c r="F398" s="98">
        <f>SUMIFS(Input!$C$115:$C$3257,Input!$A$115:$A$3257,"="&amp;'Output - County'!A398,Input!$B$115:$B$3257,"="&amp;'Output - County'!B398)*VLOOKUP(A398,'Output - State'!$B$2:$G$52,5,FALSE)</f>
        <v>5.1311542470309295</v>
      </c>
      <c r="G398" s="99">
        <f>SUMIFS(Input!$D$115:$D$3257,Input!$A$115:$A$3257,"="&amp;'Output - County'!A398,Input!$B$115:$B$3257,"="&amp;'Output - County'!B398)*VLOOKUP(A398,'Output - State'!$B$2:$G$52,6,FALSE)</f>
        <v>2.5224829554214514</v>
      </c>
    </row>
    <row r="399" spans="1:7" x14ac:dyDescent="0.25">
      <c r="A399" s="88">
        <v>13</v>
      </c>
      <c r="B399" s="88">
        <v>21</v>
      </c>
      <c r="C399" s="97">
        <f>SUMIFS(Input!$C$115:$C$3257,Input!$A$115:$A$3257,"="&amp;'Output - County'!A399,Input!$B$115:$B$3257,"="&amp;'Output - County'!B399)*VLOOKUP(A399,'Output - State'!$B$2:$G$52,2,FALSE)</f>
        <v>49.967696749474896</v>
      </c>
      <c r="D399" s="98">
        <f>SUMIFS(Input!$C$115:$C$3257,Input!$A$115:$A$3257,"="&amp;'Output - County'!A399,Input!$B$115:$B$3257,"="&amp;'Output - County'!B399)*VLOOKUP(A399,'Output - State'!$B$2:$G$52,3,FALSE)</f>
        <v>0</v>
      </c>
      <c r="E399" s="98">
        <f>SUMIFS(Input!$C$115:$C$3257,Input!$A$115:$A$3257,"="&amp;'Output - County'!A399,Input!$B$115:$B$3257,"="&amp;'Output - County'!B399)*VLOOKUP(A399,'Output - State'!$B$2:$G$52,4,FALSE)</f>
        <v>1.5603738098493836</v>
      </c>
      <c r="F399" s="98">
        <f>SUMIFS(Input!$C$115:$C$3257,Input!$A$115:$A$3257,"="&amp;'Output - County'!A399,Input!$B$115:$B$3257,"="&amp;'Output - County'!B399)*VLOOKUP(A399,'Output - State'!$B$2:$G$52,5,FALSE)</f>
        <v>72.795205322187797</v>
      </c>
      <c r="G399" s="99">
        <f>SUMIFS(Input!$D$115:$D$3257,Input!$A$115:$A$3257,"="&amp;'Output - County'!A399,Input!$B$115:$B$3257,"="&amp;'Output - County'!B399)*VLOOKUP(A399,'Output - State'!$B$2:$G$52,6,FALSE)</f>
        <v>19.99688560515451</v>
      </c>
    </row>
    <row r="400" spans="1:7" x14ac:dyDescent="0.25">
      <c r="A400" s="88">
        <v>13</v>
      </c>
      <c r="B400" s="88">
        <v>23</v>
      </c>
      <c r="C400" s="97">
        <f>SUMIFS(Input!$C$115:$C$3257,Input!$A$115:$A$3257,"="&amp;'Output - County'!A400,Input!$B$115:$B$3257,"="&amp;'Output - County'!B400)*VLOOKUP(A400,'Output - State'!$B$2:$G$52,2,FALSE)</f>
        <v>2.7790591480368771</v>
      </c>
      <c r="D400" s="98">
        <f>SUMIFS(Input!$C$115:$C$3257,Input!$A$115:$A$3257,"="&amp;'Output - County'!A400,Input!$B$115:$B$3257,"="&amp;'Output - County'!B400)*VLOOKUP(A400,'Output - State'!$B$2:$G$52,3,FALSE)</f>
        <v>0</v>
      </c>
      <c r="E400" s="98">
        <f>SUMIFS(Input!$C$115:$C$3257,Input!$A$115:$A$3257,"="&amp;'Output - County'!A400,Input!$B$115:$B$3257,"="&amp;'Output - County'!B400)*VLOOKUP(A400,'Output - State'!$B$2:$G$52,4,FALSE)</f>
        <v>8.6783489988752682E-2</v>
      </c>
      <c r="F400" s="98">
        <f>SUMIFS(Input!$C$115:$C$3257,Input!$A$115:$A$3257,"="&amp;'Output - County'!A400,Input!$B$115:$B$3257,"="&amp;'Output - County'!B400)*VLOOKUP(A400,'Output - State'!$B$2:$G$52,5,FALSE)</f>
        <v>4.0486593228048831</v>
      </c>
      <c r="G400" s="99">
        <f>SUMIFS(Input!$D$115:$D$3257,Input!$A$115:$A$3257,"="&amp;'Output - County'!A400,Input!$B$115:$B$3257,"="&amp;'Output - County'!B400)*VLOOKUP(A400,'Output - State'!$B$2:$G$52,6,FALSE)</f>
        <v>1.672942063699201</v>
      </c>
    </row>
    <row r="401" spans="1:7" x14ac:dyDescent="0.25">
      <c r="A401" s="88">
        <v>13</v>
      </c>
      <c r="B401" s="88">
        <v>25</v>
      </c>
      <c r="C401" s="97">
        <f>SUMIFS(Input!$C$115:$C$3257,Input!$A$115:$A$3257,"="&amp;'Output - County'!A401,Input!$B$115:$B$3257,"="&amp;'Output - County'!B401)*VLOOKUP(A401,'Output - State'!$B$2:$G$52,2,FALSE)</f>
        <v>3.4703938595205885</v>
      </c>
      <c r="D401" s="98">
        <f>SUMIFS(Input!$C$115:$C$3257,Input!$A$115:$A$3257,"="&amp;'Output - County'!A401,Input!$B$115:$B$3257,"="&amp;'Output - County'!B401)*VLOOKUP(A401,'Output - State'!$B$2:$G$52,3,FALSE)</f>
        <v>0</v>
      </c>
      <c r="E401" s="98">
        <f>SUMIFS(Input!$C$115:$C$3257,Input!$A$115:$A$3257,"="&amp;'Output - County'!A401,Input!$B$115:$B$3257,"="&amp;'Output - County'!B401)*VLOOKUP(A401,'Output - State'!$B$2:$G$52,4,FALSE)</f>
        <v>0.10837224928353244</v>
      </c>
      <c r="F401" s="98">
        <f>SUMIFS(Input!$C$115:$C$3257,Input!$A$115:$A$3257,"="&amp;'Output - County'!A401,Input!$B$115:$B$3257,"="&amp;'Output - County'!B401)*VLOOKUP(A401,'Output - State'!$B$2:$G$52,5,FALSE)</f>
        <v>5.0558270640184313</v>
      </c>
      <c r="G401" s="99">
        <f>SUMIFS(Input!$D$115:$D$3257,Input!$A$115:$A$3257,"="&amp;'Output - County'!A401,Input!$B$115:$B$3257,"="&amp;'Output - County'!B401)*VLOOKUP(A401,'Output - State'!$B$2:$G$52,6,FALSE)</f>
        <v>2.4832733758035013</v>
      </c>
    </row>
    <row r="402" spans="1:7" x14ac:dyDescent="0.25">
      <c r="A402" s="88">
        <v>13</v>
      </c>
      <c r="B402" s="88">
        <v>27</v>
      </c>
      <c r="C402" s="97">
        <f>SUMIFS(Input!$C$115:$C$3257,Input!$A$115:$A$3257,"="&amp;'Output - County'!A402,Input!$B$115:$B$3257,"="&amp;'Output - County'!B402)*VLOOKUP(A402,'Output - State'!$B$2:$G$52,2,FALSE)</f>
        <v>3.5181119914965846</v>
      </c>
      <c r="D402" s="98">
        <f>SUMIFS(Input!$C$115:$C$3257,Input!$A$115:$A$3257,"="&amp;'Output - County'!A402,Input!$B$115:$B$3257,"="&amp;'Output - County'!B402)*VLOOKUP(A402,'Output - State'!$B$2:$G$52,3,FALSE)</f>
        <v>0</v>
      </c>
      <c r="E402" s="98">
        <f>SUMIFS(Input!$C$115:$C$3257,Input!$A$115:$A$3257,"="&amp;'Output - County'!A402,Input!$B$115:$B$3257,"="&amp;'Output - County'!B402)*VLOOKUP(A402,'Output - State'!$B$2:$G$52,4,FALSE)</f>
        <v>0.1098623744690817</v>
      </c>
      <c r="F402" s="98">
        <f>SUMIFS(Input!$C$115:$C$3257,Input!$A$115:$A$3257,"="&amp;'Output - County'!A402,Input!$B$115:$B$3257,"="&amp;'Output - County'!B402)*VLOOKUP(A402,'Output - State'!$B$2:$G$52,5,FALSE)</f>
        <v>5.125345001421068</v>
      </c>
      <c r="G402" s="99">
        <f>SUMIFS(Input!$D$115:$D$3257,Input!$A$115:$A$3257,"="&amp;'Output - County'!A402,Input!$B$115:$B$3257,"="&amp;'Output - County'!B402)*VLOOKUP(A402,'Output - State'!$B$2:$G$52,6,FALSE)</f>
        <v>2.0258282802607512</v>
      </c>
    </row>
    <row r="403" spans="1:7" x14ac:dyDescent="0.25">
      <c r="A403" s="88">
        <v>13</v>
      </c>
      <c r="B403" s="88">
        <v>29</v>
      </c>
      <c r="C403" s="97">
        <f>SUMIFS(Input!$C$115:$C$3257,Input!$A$115:$A$3257,"="&amp;'Output - County'!A403,Input!$B$115:$B$3257,"="&amp;'Output - County'!B403)*VLOOKUP(A403,'Output - State'!$B$2:$G$52,2,FALSE)</f>
        <v>17.57564943182749</v>
      </c>
      <c r="D403" s="98">
        <f>SUMIFS(Input!$C$115:$C$3257,Input!$A$115:$A$3257,"="&amp;'Output - County'!A403,Input!$B$115:$B$3257,"="&amp;'Output - County'!B403)*VLOOKUP(A403,'Output - State'!$B$2:$G$52,3,FALSE)</f>
        <v>0</v>
      </c>
      <c r="E403" s="98">
        <f>SUMIFS(Input!$C$115:$C$3257,Input!$A$115:$A$3257,"="&amp;'Output - County'!A403,Input!$B$115:$B$3257,"="&amp;'Output - County'!B403)*VLOOKUP(A403,'Output - State'!$B$2:$G$52,4,FALSE)</f>
        <v>0.54884625164969236</v>
      </c>
      <c r="F403" s="98">
        <f>SUMIFS(Input!$C$115:$C$3257,Input!$A$115:$A$3257,"="&amp;'Output - County'!A403,Input!$B$115:$B$3257,"="&amp;'Output - County'!B403)*VLOOKUP(A403,'Output - State'!$B$2:$G$52,5,FALSE)</f>
        <v>25.605002677537279</v>
      </c>
      <c r="G403" s="99">
        <f>SUMIFS(Input!$D$115:$D$3257,Input!$A$115:$A$3257,"="&amp;'Output - County'!A403,Input!$B$115:$B$3257,"="&amp;'Output - County'!B403)*VLOOKUP(A403,'Output - State'!$B$2:$G$52,6,FALSE)</f>
        <v>4.9796166114796527</v>
      </c>
    </row>
    <row r="404" spans="1:7" x14ac:dyDescent="0.25">
      <c r="A404" s="88">
        <v>13</v>
      </c>
      <c r="B404" s="88">
        <v>31</v>
      </c>
      <c r="C404" s="97">
        <f>SUMIFS(Input!$C$115:$C$3257,Input!$A$115:$A$3257,"="&amp;'Output - County'!A404,Input!$B$115:$B$3257,"="&amp;'Output - County'!B404)*VLOOKUP(A404,'Output - State'!$B$2:$G$52,2,FALSE)</f>
        <v>19.853042528001513</v>
      </c>
      <c r="D404" s="98">
        <f>SUMIFS(Input!$C$115:$C$3257,Input!$A$115:$A$3257,"="&amp;'Output - County'!A404,Input!$B$115:$B$3257,"="&amp;'Output - County'!B404)*VLOOKUP(A404,'Output - State'!$B$2:$G$52,3,FALSE)</f>
        <v>0</v>
      </c>
      <c r="E404" s="98">
        <f>SUMIFS(Input!$C$115:$C$3257,Input!$A$115:$A$3257,"="&amp;'Output - County'!A404,Input!$B$115:$B$3257,"="&amp;'Output - County'!B404)*VLOOKUP(A404,'Output - State'!$B$2:$G$52,4,FALSE)</f>
        <v>0.61996388910691791</v>
      </c>
      <c r="F404" s="98">
        <f>SUMIFS(Input!$C$115:$C$3257,Input!$A$115:$A$3257,"="&amp;'Output - County'!A404,Input!$B$115:$B$3257,"="&amp;'Output - County'!B404)*VLOOKUP(A404,'Output - State'!$B$2:$G$52,5,FALSE)</f>
        <v>28.922812158861092</v>
      </c>
      <c r="G404" s="99">
        <f>SUMIFS(Input!$D$115:$D$3257,Input!$A$115:$A$3257,"="&amp;'Output - County'!A404,Input!$B$115:$B$3257,"="&amp;'Output - County'!B404)*VLOOKUP(A404,'Output - State'!$B$2:$G$52,6,FALSE)</f>
        <v>10.089931821685806</v>
      </c>
    </row>
    <row r="405" spans="1:7" x14ac:dyDescent="0.25">
      <c r="A405" s="88">
        <v>13</v>
      </c>
      <c r="B405" s="88">
        <v>33</v>
      </c>
      <c r="C405" s="97">
        <f>SUMIFS(Input!$C$115:$C$3257,Input!$A$115:$A$3257,"="&amp;'Output - County'!A405,Input!$B$115:$B$3257,"="&amp;'Output - County'!B405)*VLOOKUP(A405,'Output - State'!$B$2:$G$52,2,FALSE)</f>
        <v>6.2917561703917997</v>
      </c>
      <c r="D405" s="98">
        <f>SUMIFS(Input!$C$115:$C$3257,Input!$A$115:$A$3257,"="&amp;'Output - County'!A405,Input!$B$115:$B$3257,"="&amp;'Output - County'!B405)*VLOOKUP(A405,'Output - State'!$B$2:$G$52,3,FALSE)</f>
        <v>0</v>
      </c>
      <c r="E405" s="98">
        <f>SUMIFS(Input!$C$115:$C$3257,Input!$A$115:$A$3257,"="&amp;'Output - County'!A405,Input!$B$115:$B$3257,"="&amp;'Output - County'!B405)*VLOOKUP(A405,'Output - State'!$B$2:$G$52,4,FALSE)</f>
        <v>0.19647676768973327</v>
      </c>
      <c r="F405" s="98">
        <f>SUMIFS(Input!$C$115:$C$3257,Input!$A$115:$A$3257,"="&amp;'Output - County'!A405,Input!$B$115:$B$3257,"="&amp;'Output - County'!B405)*VLOOKUP(A405,'Output - State'!$B$2:$G$52,5,FALSE)</f>
        <v>9.1661155517564694</v>
      </c>
      <c r="G405" s="99">
        <f>SUMIFS(Input!$D$115:$D$3257,Input!$A$115:$A$3257,"="&amp;'Output - County'!A405,Input!$B$115:$B$3257,"="&amp;'Output - County'!B405)*VLOOKUP(A405,'Output - State'!$B$2:$G$52,6,FALSE)</f>
        <v>2.9276486114736016</v>
      </c>
    </row>
    <row r="406" spans="1:7" x14ac:dyDescent="0.25">
      <c r="A406" s="88">
        <v>13</v>
      </c>
      <c r="B406" s="88">
        <v>35</v>
      </c>
      <c r="C406" s="97">
        <f>SUMIFS(Input!$C$115:$C$3257,Input!$A$115:$A$3257,"="&amp;'Output - County'!A406,Input!$B$115:$B$3257,"="&amp;'Output - County'!B406)*VLOOKUP(A406,'Output - State'!$B$2:$G$52,2,FALSE)</f>
        <v>8.1155778674151176</v>
      </c>
      <c r="D406" s="98">
        <f>SUMIFS(Input!$C$115:$C$3257,Input!$A$115:$A$3257,"="&amp;'Output - County'!A406,Input!$B$115:$B$3257,"="&amp;'Output - County'!B406)*VLOOKUP(A406,'Output - State'!$B$2:$G$52,3,FALSE)</f>
        <v>0</v>
      </c>
      <c r="E406" s="98">
        <f>SUMIFS(Input!$C$115:$C$3257,Input!$A$115:$A$3257,"="&amp;'Output - County'!A406,Input!$B$115:$B$3257,"="&amp;'Output - County'!B406)*VLOOKUP(A406,'Output - State'!$B$2:$G$52,4,FALSE)</f>
        <v>0.25343043565923296</v>
      </c>
      <c r="F406" s="98">
        <f>SUMIFS(Input!$C$115:$C$3257,Input!$A$115:$A$3257,"="&amp;'Output - County'!A406,Input!$B$115:$B$3257,"="&amp;'Output - County'!B406)*VLOOKUP(A406,'Output - State'!$B$2:$G$52,5,FALSE)</f>
        <v>11.823141661475418</v>
      </c>
      <c r="G406" s="99">
        <f>SUMIFS(Input!$D$115:$D$3257,Input!$A$115:$A$3257,"="&amp;'Output - County'!A406,Input!$B$115:$B$3257,"="&amp;'Output - County'!B406)*VLOOKUP(A406,'Output - State'!$B$2:$G$52,6,FALSE)</f>
        <v>3.1629060891813014</v>
      </c>
    </row>
    <row r="407" spans="1:7" x14ac:dyDescent="0.25">
      <c r="A407" s="88">
        <v>13</v>
      </c>
      <c r="B407" s="88">
        <v>37</v>
      </c>
      <c r="C407" s="97">
        <f>SUMIFS(Input!$C$115:$C$3257,Input!$A$115:$A$3257,"="&amp;'Output - County'!A407,Input!$B$115:$B$3257,"="&amp;'Output - County'!B407)*VLOOKUP(A407,'Output - State'!$B$2:$G$52,2,FALSE)</f>
        <v>1.2476399335585779</v>
      </c>
      <c r="D407" s="98">
        <f>SUMIFS(Input!$C$115:$C$3257,Input!$A$115:$A$3257,"="&amp;'Output - County'!A407,Input!$B$115:$B$3257,"="&amp;'Output - County'!B407)*VLOOKUP(A407,'Output - State'!$B$2:$G$52,3,FALSE)</f>
        <v>0</v>
      </c>
      <c r="E407" s="98">
        <f>SUMIFS(Input!$C$115:$C$3257,Input!$A$115:$A$3257,"="&amp;'Output - County'!A407,Input!$B$115:$B$3257,"="&amp;'Output - County'!B407)*VLOOKUP(A407,'Output - State'!$B$2:$G$52,4,FALSE)</f>
        <v>3.8960864780454157E-2</v>
      </c>
      <c r="F407" s="98">
        <f>SUMIFS(Input!$C$115:$C$3257,Input!$A$115:$A$3257,"="&amp;'Output - County'!A407,Input!$B$115:$B$3257,"="&amp;'Output - County'!B407)*VLOOKUP(A407,'Output - State'!$B$2:$G$52,5,FALSE)</f>
        <v>1.8176184022833084</v>
      </c>
      <c r="G407" s="99">
        <f>SUMIFS(Input!$D$115:$D$3257,Input!$A$115:$A$3257,"="&amp;'Output - County'!A407,Input!$B$115:$B$3257,"="&amp;'Output - County'!B407)*VLOOKUP(A407,'Output - State'!$B$2:$G$52,6,FALSE)</f>
        <v>0.82993610191327538</v>
      </c>
    </row>
    <row r="408" spans="1:7" x14ac:dyDescent="0.25">
      <c r="A408" s="88">
        <v>13</v>
      </c>
      <c r="B408" s="88">
        <v>39</v>
      </c>
      <c r="C408" s="97">
        <f>SUMIFS(Input!$C$115:$C$3257,Input!$A$115:$A$3257,"="&amp;'Output - County'!A408,Input!$B$115:$B$3257,"="&amp;'Output - County'!B408)*VLOOKUP(A408,'Output - State'!$B$2:$G$52,2,FALSE)</f>
        <v>22.032192488766142</v>
      </c>
      <c r="D408" s="98">
        <f>SUMIFS(Input!$C$115:$C$3257,Input!$A$115:$A$3257,"="&amp;'Output - County'!A408,Input!$B$115:$B$3257,"="&amp;'Output - County'!B408)*VLOOKUP(A408,'Output - State'!$B$2:$G$52,3,FALSE)</f>
        <v>0</v>
      </c>
      <c r="E408" s="98">
        <f>SUMIFS(Input!$C$115:$C$3257,Input!$A$115:$A$3257,"="&amp;'Output - County'!A408,Input!$B$115:$B$3257,"="&amp;'Output - County'!B408)*VLOOKUP(A408,'Output - State'!$B$2:$G$52,4,FALSE)</f>
        <v>0.68801362418995782</v>
      </c>
      <c r="F408" s="98">
        <f>SUMIFS(Input!$C$115:$C$3257,Input!$A$115:$A$3257,"="&amp;'Output - County'!A408,Input!$B$115:$B$3257,"="&amp;'Output - County'!B408)*VLOOKUP(A408,'Output - State'!$B$2:$G$52,5,FALSE)</f>
        <v>32.097496587824011</v>
      </c>
      <c r="G408" s="99">
        <f>SUMIFS(Input!$D$115:$D$3257,Input!$A$115:$A$3257,"="&amp;'Output - County'!A408,Input!$B$115:$B$3257,"="&amp;'Output - County'!B408)*VLOOKUP(A408,'Output - State'!$B$2:$G$52,6,FALSE)</f>
        <v>7.0185147516130533</v>
      </c>
    </row>
    <row r="409" spans="1:7" x14ac:dyDescent="0.25">
      <c r="A409" s="88">
        <v>13</v>
      </c>
      <c r="B409" s="88">
        <v>43</v>
      </c>
      <c r="C409" s="97">
        <f>SUMIFS(Input!$C$115:$C$3257,Input!$A$115:$A$3257,"="&amp;'Output - County'!A409,Input!$B$115:$B$3257,"="&amp;'Output - County'!B409)*VLOOKUP(A409,'Output - State'!$B$2:$G$52,2,FALSE)</f>
        <v>5.5466972882573824</v>
      </c>
      <c r="D409" s="98">
        <f>SUMIFS(Input!$C$115:$C$3257,Input!$A$115:$A$3257,"="&amp;'Output - County'!A409,Input!$B$115:$B$3257,"="&amp;'Output - County'!B409)*VLOOKUP(A409,'Output - State'!$B$2:$G$52,3,FALSE)</f>
        <v>0</v>
      </c>
      <c r="E409" s="98">
        <f>SUMIFS(Input!$C$115:$C$3257,Input!$A$115:$A$3257,"="&amp;'Output - County'!A409,Input!$B$115:$B$3257,"="&amp;'Output - County'!B409)*VLOOKUP(A409,'Output - State'!$B$2:$G$52,4,FALSE)</f>
        <v>0.17321032872803707</v>
      </c>
      <c r="F409" s="98">
        <f>SUMIFS(Input!$C$115:$C$3257,Input!$A$115:$A$3257,"="&amp;'Output - County'!A409,Input!$B$115:$B$3257,"="&amp;'Output - County'!B409)*VLOOKUP(A409,'Output - State'!$B$2:$G$52,5,FALSE)</f>
        <v>8.0806800037858793</v>
      </c>
      <c r="G409" s="99">
        <f>SUMIFS(Input!$D$115:$D$3257,Input!$A$115:$A$3257,"="&amp;'Output - County'!A409,Input!$B$115:$B$3257,"="&amp;'Output - County'!B409)*VLOOKUP(A409,'Output - State'!$B$2:$G$52,6,FALSE)</f>
        <v>1.4115448662462009</v>
      </c>
    </row>
    <row r="410" spans="1:7" x14ac:dyDescent="0.25">
      <c r="A410" s="88">
        <v>13</v>
      </c>
      <c r="B410" s="88">
        <v>45</v>
      </c>
      <c r="C410" s="97">
        <f>SUMIFS(Input!$C$115:$C$3257,Input!$A$115:$A$3257,"="&amp;'Output - County'!A410,Input!$B$115:$B$3257,"="&amp;'Output - County'!B410)*VLOOKUP(A410,'Output - State'!$B$2:$G$52,2,FALSE)</f>
        <v>25.662395811297198</v>
      </c>
      <c r="D410" s="98">
        <f>SUMIFS(Input!$C$115:$C$3257,Input!$A$115:$A$3257,"="&amp;'Output - County'!A410,Input!$B$115:$B$3257,"="&amp;'Output - County'!B410)*VLOOKUP(A410,'Output - State'!$B$2:$G$52,3,FALSE)</f>
        <v>0</v>
      </c>
      <c r="E410" s="98">
        <f>SUMIFS(Input!$C$115:$C$3257,Input!$A$115:$A$3257,"="&amp;'Output - County'!A410,Input!$B$115:$B$3257,"="&amp;'Output - County'!B410)*VLOOKUP(A410,'Output - State'!$B$2:$G$52,4,FALSE)</f>
        <v>0.80137634765719867</v>
      </c>
      <c r="F410" s="98">
        <f>SUMIFS(Input!$C$115:$C$3257,Input!$A$115:$A$3257,"="&amp;'Output - County'!A410,Input!$B$115:$B$3257,"="&amp;'Output - County'!B410)*VLOOKUP(A410,'Output - State'!$B$2:$G$52,5,FALSE)</f>
        <v>37.386141320637584</v>
      </c>
      <c r="G410" s="99">
        <f>SUMIFS(Input!$D$115:$D$3257,Input!$A$115:$A$3257,"="&amp;'Output - County'!A410,Input!$B$115:$B$3257,"="&amp;'Output - County'!B410)*VLOOKUP(A410,'Output - State'!$B$2:$G$52,6,FALSE)</f>
        <v>15.422434649727009</v>
      </c>
    </row>
    <row r="411" spans="1:7" x14ac:dyDescent="0.25">
      <c r="A411" s="88">
        <v>13</v>
      </c>
      <c r="B411" s="88">
        <v>47</v>
      </c>
      <c r="C411" s="97">
        <f>SUMIFS(Input!$C$115:$C$3257,Input!$A$115:$A$3257,"="&amp;'Output - County'!A411,Input!$B$115:$B$3257,"="&amp;'Output - County'!B411)*VLOOKUP(A411,'Output - State'!$B$2:$G$52,2,FALSE)</f>
        <v>20.890125565530418</v>
      </c>
      <c r="D411" s="98">
        <f>SUMIFS(Input!$C$115:$C$3257,Input!$A$115:$A$3257,"="&amp;'Output - County'!A411,Input!$B$115:$B$3257,"="&amp;'Output - County'!B411)*VLOOKUP(A411,'Output - State'!$B$2:$G$52,3,FALSE)</f>
        <v>0</v>
      </c>
      <c r="E411" s="98">
        <f>SUMIFS(Input!$C$115:$C$3257,Input!$A$115:$A$3257,"="&amp;'Output - County'!A411,Input!$B$115:$B$3257,"="&amp;'Output - County'!B411)*VLOOKUP(A411,'Output - State'!$B$2:$G$52,4,FALSE)</f>
        <v>0.65234955656148508</v>
      </c>
      <c r="F411" s="98">
        <f>SUMIFS(Input!$C$115:$C$3257,Input!$A$115:$A$3257,"="&amp;'Output - County'!A411,Input!$B$115:$B$3257,"="&amp;'Output - County'!B411)*VLOOKUP(A411,'Output - State'!$B$2:$G$52,5,FALSE)</f>
        <v>30.433681731889155</v>
      </c>
      <c r="G411" s="99">
        <f>SUMIFS(Input!$D$115:$D$3257,Input!$A$115:$A$3257,"="&amp;'Output - County'!A411,Input!$B$115:$B$3257,"="&amp;'Output - County'!B411)*VLOOKUP(A411,'Output - State'!$B$2:$G$52,6,FALSE)</f>
        <v>8.8090855541661046</v>
      </c>
    </row>
    <row r="412" spans="1:7" x14ac:dyDescent="0.25">
      <c r="A412" s="88">
        <v>13</v>
      </c>
      <c r="B412" s="88">
        <v>49</v>
      </c>
      <c r="C412" s="97">
        <f>SUMIFS(Input!$C$115:$C$3257,Input!$A$115:$A$3257,"="&amp;'Output - County'!A412,Input!$B$115:$B$3257,"="&amp;'Output - County'!B412)*VLOOKUP(A412,'Output - State'!$B$2:$G$52,2,FALSE)</f>
        <v>2.9066584943581439</v>
      </c>
      <c r="D412" s="98">
        <f>SUMIFS(Input!$C$115:$C$3257,Input!$A$115:$A$3257,"="&amp;'Output - County'!A412,Input!$B$115:$B$3257,"="&amp;'Output - County'!B412)*VLOOKUP(A412,'Output - State'!$B$2:$G$52,3,FALSE)</f>
        <v>0</v>
      </c>
      <c r="E412" s="98">
        <f>SUMIFS(Input!$C$115:$C$3257,Input!$A$115:$A$3257,"="&amp;'Output - County'!A412,Input!$B$115:$B$3257,"="&amp;'Output - County'!B412)*VLOOKUP(A412,'Output - State'!$B$2:$G$52,4,FALSE)</f>
        <v>9.0768117880485513E-2</v>
      </c>
      <c r="F412" s="98">
        <f>SUMIFS(Input!$C$115:$C$3257,Input!$A$115:$A$3257,"="&amp;'Output - County'!A412,Input!$B$115:$B$3257,"="&amp;'Output - County'!B412)*VLOOKUP(A412,'Output - State'!$B$2:$G$52,5,FALSE)</f>
        <v>4.2345518337405839</v>
      </c>
      <c r="G412" s="99">
        <f>SUMIFS(Input!$D$115:$D$3257,Input!$A$115:$A$3257,"="&amp;'Output - County'!A412,Input!$B$115:$B$3257,"="&amp;'Output - County'!B412)*VLOOKUP(A412,'Output - State'!$B$2:$G$52,6,FALSE)</f>
        <v>1.6860119235718509</v>
      </c>
    </row>
    <row r="413" spans="1:7" x14ac:dyDescent="0.25">
      <c r="A413" s="88">
        <v>13</v>
      </c>
      <c r="B413" s="88">
        <v>51</v>
      </c>
      <c r="C413" s="97">
        <f>SUMIFS(Input!$C$115:$C$3257,Input!$A$115:$A$3257,"="&amp;'Output - County'!A413,Input!$B$115:$B$3257,"="&amp;'Output - County'!B413)*VLOOKUP(A413,'Output - State'!$B$2:$G$52,2,FALSE)</f>
        <v>78.648561513867051</v>
      </c>
      <c r="D413" s="98">
        <f>SUMIFS(Input!$C$115:$C$3257,Input!$A$115:$A$3257,"="&amp;'Output - County'!A413,Input!$B$115:$B$3257,"="&amp;'Output - County'!B413)*VLOOKUP(A413,'Output - State'!$B$2:$G$52,3,FALSE)</f>
        <v>0</v>
      </c>
      <c r="E413" s="98">
        <f>SUMIFS(Input!$C$115:$C$3257,Input!$A$115:$A$3257,"="&amp;'Output - County'!A413,Input!$B$115:$B$3257,"="&amp;'Output - County'!B413)*VLOOKUP(A413,'Output - State'!$B$2:$G$52,4,FALSE)</f>
        <v>2.4560098534030588</v>
      </c>
      <c r="F413" s="98">
        <f>SUMIFS(Input!$C$115:$C$3257,Input!$A$115:$A$3257,"="&amp;'Output - County'!A413,Input!$B$115:$B$3257,"="&amp;'Output - County'!B413)*VLOOKUP(A413,'Output - State'!$B$2:$G$52,5,FALSE)</f>
        <v>114.57878902046521</v>
      </c>
      <c r="G413" s="99">
        <f>SUMIFS(Input!$D$115:$D$3257,Input!$A$115:$A$3257,"="&amp;'Output - County'!A413,Input!$B$115:$B$3257,"="&amp;'Output - County'!B413)*VLOOKUP(A413,'Output - State'!$B$2:$G$52,6,FALSE)</f>
        <v>37.771895031958515</v>
      </c>
    </row>
    <row r="414" spans="1:7" x14ac:dyDescent="0.25">
      <c r="A414" s="88">
        <v>13</v>
      </c>
      <c r="B414" s="88">
        <v>53</v>
      </c>
      <c r="C414" s="97">
        <f>SUMIFS(Input!$C$115:$C$3257,Input!$A$115:$A$3257,"="&amp;'Output - County'!A414,Input!$B$115:$B$3257,"="&amp;'Output - County'!B414)*VLOOKUP(A414,'Output - State'!$B$2:$G$52,2,FALSE)</f>
        <v>2.0912001360512305</v>
      </c>
      <c r="D414" s="98">
        <f>SUMIFS(Input!$C$115:$C$3257,Input!$A$115:$A$3257,"="&amp;'Output - County'!A414,Input!$B$115:$B$3257,"="&amp;'Output - County'!B414)*VLOOKUP(A414,'Output - State'!$B$2:$G$52,3,FALSE)</f>
        <v>0</v>
      </c>
      <c r="E414" s="98">
        <f>SUMIFS(Input!$C$115:$C$3257,Input!$A$115:$A$3257,"="&amp;'Output - County'!A414,Input!$B$115:$B$3257,"="&amp;'Output - County'!B414)*VLOOKUP(A414,'Output - State'!$B$2:$G$52,4,FALSE)</f>
        <v>6.5303268625886757E-2</v>
      </c>
      <c r="F414" s="98">
        <f>SUMIFS(Input!$C$115:$C$3257,Input!$A$115:$A$3257,"="&amp;'Output - County'!A414,Input!$B$115:$B$3257,"="&amp;'Output - County'!B414)*VLOOKUP(A414,'Output - State'!$B$2:$G$52,5,FALSE)</f>
        <v>3.0465551381500515</v>
      </c>
      <c r="G414" s="99">
        <f>SUMIFS(Input!$D$115:$D$3257,Input!$A$115:$A$3257,"="&amp;'Output - County'!A414,Input!$B$115:$B$3257,"="&amp;'Output - County'!B414)*VLOOKUP(A414,'Output - State'!$B$2:$G$52,6,FALSE)</f>
        <v>1.3854051465009007</v>
      </c>
    </row>
    <row r="415" spans="1:7" x14ac:dyDescent="0.25">
      <c r="A415" s="88">
        <v>13</v>
      </c>
      <c r="B415" s="88">
        <v>55</v>
      </c>
      <c r="C415" s="97">
        <f>SUMIFS(Input!$C$115:$C$3257,Input!$A$115:$A$3257,"="&amp;'Output - County'!A415,Input!$B$115:$B$3257,"="&amp;'Output - County'!B415)*VLOOKUP(A415,'Output - State'!$B$2:$G$52,2,FALSE)</f>
        <v>4.9223843770698537</v>
      </c>
      <c r="D415" s="98">
        <f>SUMIFS(Input!$C$115:$C$3257,Input!$A$115:$A$3257,"="&amp;'Output - County'!A415,Input!$B$115:$B$3257,"="&amp;'Output - County'!B415)*VLOOKUP(A415,'Output - State'!$B$2:$G$52,3,FALSE)</f>
        <v>0</v>
      </c>
      <c r="E415" s="98">
        <f>SUMIFS(Input!$C$115:$C$3257,Input!$A$115:$A$3257,"="&amp;'Output - County'!A415,Input!$B$115:$B$3257,"="&amp;'Output - County'!B415)*VLOOKUP(A415,'Output - State'!$B$2:$G$52,4,FALSE)</f>
        <v>0.15371450284172422</v>
      </c>
      <c r="F415" s="98">
        <f>SUMIFS(Input!$C$115:$C$3257,Input!$A$115:$A$3257,"="&amp;'Output - County'!A415,Input!$B$115:$B$3257,"="&amp;'Output - County'!B415)*VLOOKUP(A415,'Output - State'!$B$2:$G$52,5,FALSE)</f>
        <v>7.1711526588884666</v>
      </c>
      <c r="G415" s="99">
        <f>SUMIFS(Input!$D$115:$D$3257,Input!$A$115:$A$3257,"="&amp;'Output - County'!A415,Input!$B$115:$B$3257,"="&amp;'Output - County'!B415)*VLOOKUP(A415,'Output - State'!$B$2:$G$52,6,FALSE)</f>
        <v>3.2413252484172017</v>
      </c>
    </row>
    <row r="416" spans="1:7" x14ac:dyDescent="0.25">
      <c r="A416" s="88">
        <v>13</v>
      </c>
      <c r="B416" s="88">
        <v>57</v>
      </c>
      <c r="C416" s="97">
        <f>SUMIFS(Input!$C$115:$C$3257,Input!$A$115:$A$3257,"="&amp;'Output - County'!A416,Input!$B$115:$B$3257,"="&amp;'Output - County'!B416)*VLOOKUP(A416,'Output - State'!$B$2:$G$52,2,FALSE)</f>
        <v>50.538854486114481</v>
      </c>
      <c r="D416" s="98">
        <f>SUMIFS(Input!$C$115:$C$3257,Input!$A$115:$A$3257,"="&amp;'Output - County'!A416,Input!$B$115:$B$3257,"="&amp;'Output - County'!B416)*VLOOKUP(A416,'Output - State'!$B$2:$G$52,3,FALSE)</f>
        <v>0</v>
      </c>
      <c r="E416" s="98">
        <f>SUMIFS(Input!$C$115:$C$3257,Input!$A$115:$A$3257,"="&amp;'Output - County'!A416,Input!$B$115:$B$3257,"="&amp;'Output - County'!B416)*VLOOKUP(A416,'Output - State'!$B$2:$G$52,4,FALSE)</f>
        <v>1.5782097244806623</v>
      </c>
      <c r="F416" s="98">
        <f>SUMIFS(Input!$C$115:$C$3257,Input!$A$115:$A$3257,"="&amp;'Output - County'!A416,Input!$B$115:$B$3257,"="&amp;'Output - County'!B416)*VLOOKUP(A416,'Output - State'!$B$2:$G$52,5,FALSE)</f>
        <v>73.627293799639418</v>
      </c>
      <c r="G416" s="99">
        <f>SUMIFS(Input!$D$115:$D$3257,Input!$A$115:$A$3257,"="&amp;'Output - County'!A416,Input!$B$115:$B$3257,"="&amp;'Output - County'!B416)*VLOOKUP(A416,'Output - State'!$B$2:$G$52,6,FALSE)</f>
        <v>33.197444076531013</v>
      </c>
    </row>
    <row r="417" spans="1:7" x14ac:dyDescent="0.25">
      <c r="A417" s="88">
        <v>13</v>
      </c>
      <c r="B417" s="88">
        <v>59</v>
      </c>
      <c r="C417" s="97">
        <f>SUMIFS(Input!$C$115:$C$3257,Input!$A$115:$A$3257,"="&amp;'Output - County'!A417,Input!$B$115:$B$3257,"="&amp;'Output - County'!B417)*VLOOKUP(A417,'Output - State'!$B$2:$G$52,2,FALSE)</f>
        <v>27.376432287633648</v>
      </c>
      <c r="D417" s="98">
        <f>SUMIFS(Input!$C$115:$C$3257,Input!$A$115:$A$3257,"="&amp;'Output - County'!A417,Input!$B$115:$B$3257,"="&amp;'Output - County'!B417)*VLOOKUP(A417,'Output - State'!$B$2:$G$52,3,FALSE)</f>
        <v>0</v>
      </c>
      <c r="E417" s="98">
        <f>SUMIFS(Input!$C$115:$C$3257,Input!$A$115:$A$3257,"="&amp;'Output - County'!A417,Input!$B$115:$B$3257,"="&amp;'Output - County'!B417)*VLOOKUP(A417,'Output - State'!$B$2:$G$52,4,FALSE)</f>
        <v>0.8549016810383101</v>
      </c>
      <c r="F417" s="98">
        <f>SUMIFS(Input!$C$115:$C$3257,Input!$A$115:$A$3257,"="&amp;'Output - County'!A417,Input!$B$115:$B$3257,"="&amp;'Output - County'!B417)*VLOOKUP(A417,'Output - State'!$B$2:$G$52,5,FALSE)</f>
        <v>39.88322734503879</v>
      </c>
      <c r="G417" s="99">
        <f>SUMIFS(Input!$D$115:$D$3257,Input!$A$115:$A$3257,"="&amp;'Output - County'!A417,Input!$B$115:$B$3257,"="&amp;'Output - County'!B417)*VLOOKUP(A417,'Output - State'!$B$2:$G$52,6,FALSE)</f>
        <v>16.598722038265507</v>
      </c>
    </row>
    <row r="418" spans="1:7" x14ac:dyDescent="0.25">
      <c r="A418" s="88">
        <v>13</v>
      </c>
      <c r="B418" s="88">
        <v>61</v>
      </c>
      <c r="C418" s="97">
        <f>SUMIFS(Input!$C$115:$C$3257,Input!$A$115:$A$3257,"="&amp;'Output - County'!A418,Input!$B$115:$B$3257,"="&amp;'Output - County'!B418)*VLOOKUP(A418,'Output - State'!$B$2:$G$52,2,FALSE)</f>
        <v>0.7624948461942278</v>
      </c>
      <c r="D418" s="98">
        <f>SUMIFS(Input!$C$115:$C$3257,Input!$A$115:$A$3257,"="&amp;'Output - County'!A418,Input!$B$115:$B$3257,"="&amp;'Output - County'!B418)*VLOOKUP(A418,'Output - State'!$B$2:$G$52,3,FALSE)</f>
        <v>0</v>
      </c>
      <c r="E418" s="98">
        <f>SUMIFS(Input!$C$115:$C$3257,Input!$A$115:$A$3257,"="&amp;'Output - County'!A418,Input!$B$115:$B$3257,"="&amp;'Output - County'!B418)*VLOOKUP(A418,'Output - State'!$B$2:$G$52,4,FALSE)</f>
        <v>2.3810923167258261E-2</v>
      </c>
      <c r="F418" s="98">
        <f>SUMIFS(Input!$C$115:$C$3257,Input!$A$115:$A$3257,"="&amp;'Output - County'!A418,Input!$B$115:$B$3257,"="&amp;'Output - County'!B418)*VLOOKUP(A418,'Output - State'!$B$2:$G$52,5,FALSE)</f>
        <v>1.1108370506671819</v>
      </c>
      <c r="G418" s="99">
        <f>SUMIFS(Input!$D$115:$D$3257,Input!$A$115:$A$3257,"="&amp;'Output - County'!A418,Input!$B$115:$B$3257,"="&amp;'Output - County'!B418)*VLOOKUP(A418,'Output - State'!$B$2:$G$52,6,FALSE)</f>
        <v>0.37641196433232016</v>
      </c>
    </row>
    <row r="419" spans="1:7" x14ac:dyDescent="0.25">
      <c r="A419" s="88">
        <v>13</v>
      </c>
      <c r="B419" s="88">
        <v>63</v>
      </c>
      <c r="C419" s="97">
        <f>SUMIFS(Input!$C$115:$C$3257,Input!$A$115:$A$3257,"="&amp;'Output - County'!A419,Input!$B$115:$B$3257,"="&amp;'Output - County'!B419)*VLOOKUP(A419,'Output - State'!$B$2:$G$52,2,FALSE)</f>
        <v>81.879994086211369</v>
      </c>
      <c r="D419" s="98">
        <f>SUMIFS(Input!$C$115:$C$3257,Input!$A$115:$A$3257,"="&amp;'Output - County'!A419,Input!$B$115:$B$3257,"="&amp;'Output - County'!B419)*VLOOKUP(A419,'Output - State'!$B$2:$G$52,3,FALSE)</f>
        <v>0</v>
      </c>
      <c r="E419" s="98">
        <f>SUMIFS(Input!$C$115:$C$3257,Input!$A$115:$A$3257,"="&amp;'Output - County'!A419,Input!$B$115:$B$3257,"="&amp;'Output - County'!B419)*VLOOKUP(A419,'Output - State'!$B$2:$G$52,4,FALSE)</f>
        <v>2.5569199029388781</v>
      </c>
      <c r="F419" s="98">
        <f>SUMIFS(Input!$C$115:$C$3257,Input!$A$115:$A$3257,"="&amp;'Output - County'!A419,Input!$B$115:$B$3257,"="&amp;'Output - County'!B419)*VLOOKUP(A419,'Output - State'!$B$2:$G$52,5,FALSE)</f>
        <v>119.28648645082721</v>
      </c>
      <c r="G419" s="99">
        <f>SUMIFS(Input!$D$115:$D$3257,Input!$A$115:$A$3257,"="&amp;'Output - County'!A419,Input!$B$115:$B$3257,"="&amp;'Output - County'!B419)*VLOOKUP(A419,'Output - State'!$B$2:$G$52,6,FALSE)</f>
        <v>37.771895031958515</v>
      </c>
    </row>
    <row r="420" spans="1:7" x14ac:dyDescent="0.25">
      <c r="A420" s="88">
        <v>13</v>
      </c>
      <c r="B420" s="88">
        <v>65</v>
      </c>
      <c r="C420" s="97">
        <f>SUMIFS(Input!$C$115:$C$3257,Input!$A$115:$A$3257,"="&amp;'Output - County'!A420,Input!$B$115:$B$3257,"="&amp;'Output - County'!B420)*VLOOKUP(A420,'Output - State'!$B$2:$G$52,2,FALSE)</f>
        <v>2.453406355028116</v>
      </c>
      <c r="D420" s="98">
        <f>SUMIFS(Input!$C$115:$C$3257,Input!$A$115:$A$3257,"="&amp;'Output - County'!A420,Input!$B$115:$B$3257,"="&amp;'Output - County'!B420)*VLOOKUP(A420,'Output - State'!$B$2:$G$52,3,FALSE)</f>
        <v>0</v>
      </c>
      <c r="E420" s="98">
        <f>SUMIFS(Input!$C$115:$C$3257,Input!$A$115:$A$3257,"="&amp;'Output - County'!A420,Input!$B$115:$B$3257,"="&amp;'Output - County'!B420)*VLOOKUP(A420,'Output - State'!$B$2:$G$52,4,FALSE)</f>
        <v>7.6614118127110609E-2</v>
      </c>
      <c r="F420" s="98">
        <f>SUMIFS(Input!$C$115:$C$3257,Input!$A$115:$A$3257,"="&amp;'Output - County'!A420,Input!$B$115:$B$3257,"="&amp;'Output - County'!B420)*VLOOKUP(A420,'Output - State'!$B$2:$G$52,5,FALSE)</f>
        <v>3.5742335743123665</v>
      </c>
      <c r="G420" s="99">
        <f>SUMIFS(Input!$D$115:$D$3257,Input!$A$115:$A$3257,"="&amp;'Output - County'!A420,Input!$B$115:$B$3257,"="&amp;'Output - County'!B420)*VLOOKUP(A420,'Output - State'!$B$2:$G$52,6,FALSE)</f>
        <v>0.86261075159490042</v>
      </c>
    </row>
    <row r="421" spans="1:7" x14ac:dyDescent="0.25">
      <c r="A421" s="88">
        <v>13</v>
      </c>
      <c r="B421" s="88">
        <v>67</v>
      </c>
      <c r="C421" s="97">
        <f>SUMIFS(Input!$C$115:$C$3257,Input!$A$115:$A$3257,"="&amp;'Output - County'!A421,Input!$B$115:$B$3257,"="&amp;'Output - County'!B421)*VLOOKUP(A421,'Output - State'!$B$2:$G$52,2,FALSE)</f>
        <v>175.05103900481492</v>
      </c>
      <c r="D421" s="98">
        <f>SUMIFS(Input!$C$115:$C$3257,Input!$A$115:$A$3257,"="&amp;'Output - County'!A421,Input!$B$115:$B$3257,"="&amp;'Output - County'!B421)*VLOOKUP(A421,'Output - State'!$B$2:$G$52,3,FALSE)</f>
        <v>0</v>
      </c>
      <c r="E421" s="98">
        <f>SUMIFS(Input!$C$115:$C$3257,Input!$A$115:$A$3257,"="&amp;'Output - County'!A421,Input!$B$115:$B$3257,"="&amp;'Output - County'!B421)*VLOOKUP(A421,'Output - State'!$B$2:$G$52,4,FALSE)</f>
        <v>5.4664328039676269</v>
      </c>
      <c r="F421" s="98">
        <f>SUMIFS(Input!$C$115:$C$3257,Input!$A$115:$A$3257,"="&amp;'Output - County'!A421,Input!$B$115:$B$3257,"="&amp;'Output - County'!B421)*VLOOKUP(A421,'Output - State'!$B$2:$G$52,5,FALSE)</f>
        <v>255.02228750120889</v>
      </c>
      <c r="G421" s="99">
        <f>SUMIFS(Input!$D$115:$D$3257,Input!$A$115:$A$3257,"="&amp;'Output - County'!A421,Input!$B$115:$B$3257,"="&amp;'Output - County'!B421)*VLOOKUP(A421,'Output - State'!$B$2:$G$52,6,FALSE)</f>
        <v>98.808140637234047</v>
      </c>
    </row>
    <row r="422" spans="1:7" x14ac:dyDescent="0.25">
      <c r="A422" s="88">
        <v>13</v>
      </c>
      <c r="B422" s="88">
        <v>69</v>
      </c>
      <c r="C422" s="97">
        <f>SUMIFS(Input!$C$115:$C$3257,Input!$A$115:$A$3257,"="&amp;'Output - County'!A422,Input!$B$115:$B$3257,"="&amp;'Output - County'!B422)*VLOOKUP(A422,'Output - State'!$B$2:$G$52,2,FALSE)</f>
        <v>9.2401086430494619</v>
      </c>
      <c r="D422" s="98">
        <f>SUMIFS(Input!$C$115:$C$3257,Input!$A$115:$A$3257,"="&amp;'Output - County'!A422,Input!$B$115:$B$3257,"="&amp;'Output - County'!B422)*VLOOKUP(A422,'Output - State'!$B$2:$G$52,3,FALSE)</f>
        <v>0</v>
      </c>
      <c r="E422" s="98">
        <f>SUMIFS(Input!$C$115:$C$3257,Input!$A$115:$A$3257,"="&amp;'Output - County'!A422,Input!$B$115:$B$3257,"="&amp;'Output - County'!B422)*VLOOKUP(A422,'Output - State'!$B$2:$G$52,4,FALSE)</f>
        <v>0.28854689058544258</v>
      </c>
      <c r="F422" s="98">
        <f>SUMIFS(Input!$C$115:$C$3257,Input!$A$115:$A$3257,"="&amp;'Output - County'!A422,Input!$B$115:$B$3257,"="&amp;'Output - County'!B422)*VLOOKUP(A422,'Output - State'!$B$2:$G$52,5,FALSE)</f>
        <v>13.461409062789677</v>
      </c>
      <c r="G422" s="99">
        <f>SUMIFS(Input!$D$115:$D$3257,Input!$A$115:$A$3257,"="&amp;'Output - County'!A422,Input!$B$115:$B$3257,"="&amp;'Output - County'!B422)*VLOOKUP(A422,'Output - State'!$B$2:$G$52,6,FALSE)</f>
        <v>5.6331096051121534</v>
      </c>
    </row>
    <row r="423" spans="1:7" x14ac:dyDescent="0.25">
      <c r="A423" s="88">
        <v>13</v>
      </c>
      <c r="B423" s="88">
        <v>71</v>
      </c>
      <c r="C423" s="97">
        <f>SUMIFS(Input!$C$115:$C$3257,Input!$A$115:$A$3257,"="&amp;'Output - County'!A423,Input!$B$115:$B$3257,"="&amp;'Output - County'!B423)*VLOOKUP(A423,'Output - State'!$B$2:$G$52,2,FALSE)</f>
        <v>9.6544436260496926</v>
      </c>
      <c r="D423" s="98">
        <f>SUMIFS(Input!$C$115:$C$3257,Input!$A$115:$A$3257,"="&amp;'Output - County'!A423,Input!$B$115:$B$3257,"="&amp;'Output - County'!B423)*VLOOKUP(A423,'Output - State'!$B$2:$G$52,3,FALSE)</f>
        <v>0</v>
      </c>
      <c r="E423" s="98">
        <f>SUMIFS(Input!$C$115:$C$3257,Input!$A$115:$A$3257,"="&amp;'Output - County'!A423,Input!$B$115:$B$3257,"="&amp;'Output - County'!B423)*VLOOKUP(A423,'Output - State'!$B$2:$G$52,4,FALSE)</f>
        <v>0.30148559895175814</v>
      </c>
      <c r="F423" s="98">
        <f>SUMIFS(Input!$C$115:$C$3257,Input!$A$115:$A$3257,"="&amp;'Output - County'!A423,Input!$B$115:$B$3257,"="&amp;'Output - County'!B423)*VLOOKUP(A423,'Output - State'!$B$2:$G$52,5,FALSE)</f>
        <v>14.065031045025311</v>
      </c>
      <c r="G423" s="99">
        <f>SUMIFS(Input!$D$115:$D$3257,Input!$A$115:$A$3257,"="&amp;'Output - County'!A423,Input!$B$115:$B$3257,"="&amp;'Output - County'!B423)*VLOOKUP(A423,'Output - State'!$B$2:$G$52,6,FALSE)</f>
        <v>5.9467862420557536</v>
      </c>
    </row>
    <row r="424" spans="1:7" x14ac:dyDescent="0.25">
      <c r="A424" s="88">
        <v>13</v>
      </c>
      <c r="B424" s="88">
        <v>73</v>
      </c>
      <c r="C424" s="97">
        <f>SUMIFS(Input!$C$115:$C$3257,Input!$A$115:$A$3257,"="&amp;'Output - County'!A424,Input!$B$115:$B$3257,"="&amp;'Output - County'!B424)*VLOOKUP(A424,'Output - State'!$B$2:$G$52,2,FALSE)</f>
        <v>28.981264584696085</v>
      </c>
      <c r="D424" s="98">
        <f>SUMIFS(Input!$C$115:$C$3257,Input!$A$115:$A$3257,"="&amp;'Output - County'!A424,Input!$B$115:$B$3257,"="&amp;'Output - County'!B424)*VLOOKUP(A424,'Output - State'!$B$2:$G$52,3,FALSE)</f>
        <v>0</v>
      </c>
      <c r="E424" s="98">
        <f>SUMIFS(Input!$C$115:$C$3257,Input!$A$115:$A$3257,"="&amp;'Output - County'!A424,Input!$B$115:$B$3257,"="&amp;'Output - County'!B424)*VLOOKUP(A424,'Output - State'!$B$2:$G$52,4,FALSE)</f>
        <v>0.90501682438965869</v>
      </c>
      <c r="F424" s="98">
        <f>SUMIFS(Input!$C$115:$C$3257,Input!$A$115:$A$3257,"="&amp;'Output - County'!A424,Input!$B$115:$B$3257,"="&amp;'Output - County'!B424)*VLOOKUP(A424,'Output - State'!$B$2:$G$52,5,FALSE)</f>
        <v>42.221219771587165</v>
      </c>
      <c r="G424" s="99">
        <f>SUMIFS(Input!$D$115:$D$3257,Input!$A$115:$A$3257,"="&amp;'Output - County'!A424,Input!$B$115:$B$3257,"="&amp;'Output - County'!B424)*VLOOKUP(A424,'Output - State'!$B$2:$G$52,6,FALSE)</f>
        <v>20.12758420388101</v>
      </c>
    </row>
    <row r="425" spans="1:7" x14ac:dyDescent="0.25">
      <c r="A425" s="88">
        <v>13</v>
      </c>
      <c r="B425" s="88">
        <v>75</v>
      </c>
      <c r="C425" s="97">
        <f>SUMIFS(Input!$C$115:$C$3257,Input!$A$115:$A$3257,"="&amp;'Output - County'!A425,Input!$B$115:$B$3257,"="&amp;'Output - County'!B425)*VLOOKUP(A425,'Output - State'!$B$2:$G$52,2,FALSE)</f>
        <v>12.609393781727837</v>
      </c>
      <c r="D425" s="98">
        <f>SUMIFS(Input!$C$115:$C$3257,Input!$A$115:$A$3257,"="&amp;'Output - County'!A425,Input!$B$115:$B$3257,"="&amp;'Output - County'!B425)*VLOOKUP(A425,'Output - State'!$B$2:$G$52,3,FALSE)</f>
        <v>0</v>
      </c>
      <c r="E425" s="98">
        <f>SUMIFS(Input!$C$115:$C$3257,Input!$A$115:$A$3257,"="&amp;'Output - County'!A425,Input!$B$115:$B$3257,"="&amp;'Output - County'!B425)*VLOOKUP(A425,'Output - State'!$B$2:$G$52,4,FALSE)</f>
        <v>0.39376175199215196</v>
      </c>
      <c r="F425" s="98">
        <f>SUMIFS(Input!$C$115:$C$3257,Input!$A$115:$A$3257,"="&amp;'Output - County'!A425,Input!$B$115:$B$3257,"="&amp;'Output - County'!B425)*VLOOKUP(A425,'Output - State'!$B$2:$G$52,5,FALSE)</f>
        <v>18.36993635971108</v>
      </c>
      <c r="G425" s="99">
        <f>SUMIFS(Input!$D$115:$D$3257,Input!$A$115:$A$3257,"="&amp;'Output - County'!A425,Input!$B$115:$B$3257,"="&amp;'Output - County'!B425)*VLOOKUP(A425,'Output - State'!$B$2:$G$52,6,FALSE)</f>
        <v>2.2480158980958014</v>
      </c>
    </row>
    <row r="426" spans="1:7" x14ac:dyDescent="0.25">
      <c r="A426" s="88">
        <v>13</v>
      </c>
      <c r="B426" s="88">
        <v>77</v>
      </c>
      <c r="C426" s="97">
        <f>SUMIFS(Input!$C$115:$C$3257,Input!$A$115:$A$3257,"="&amp;'Output - County'!A426,Input!$B$115:$B$3257,"="&amp;'Output - County'!B426)*VLOOKUP(A426,'Output - State'!$B$2:$G$52,2,FALSE)</f>
        <v>39.865716323307986</v>
      </c>
      <c r="D426" s="98">
        <f>SUMIFS(Input!$C$115:$C$3257,Input!$A$115:$A$3257,"="&amp;'Output - County'!A426,Input!$B$115:$B$3257,"="&amp;'Output - County'!B426)*VLOOKUP(A426,'Output - State'!$B$2:$G$52,3,FALSE)</f>
        <v>0</v>
      </c>
      <c r="E426" s="98">
        <f>SUMIFS(Input!$C$115:$C$3257,Input!$A$115:$A$3257,"="&amp;'Output - County'!A426,Input!$B$115:$B$3257,"="&amp;'Output - County'!B426)*VLOOKUP(A426,'Output - State'!$B$2:$G$52,4,FALSE)</f>
        <v>1.2449126877641914</v>
      </c>
      <c r="F426" s="98">
        <f>SUMIFS(Input!$C$115:$C$3257,Input!$A$115:$A$3257,"="&amp;'Output - County'!A426,Input!$B$115:$B$3257,"="&amp;'Output - County'!B426)*VLOOKUP(A426,'Output - State'!$B$2:$G$52,5,FALSE)</f>
        <v>58.07818238293715</v>
      </c>
      <c r="G426" s="99">
        <f>SUMIFS(Input!$D$115:$D$3257,Input!$A$115:$A$3257,"="&amp;'Output - County'!A426,Input!$B$115:$B$3257,"="&amp;'Output - County'!B426)*VLOOKUP(A426,'Output - State'!$B$2:$G$52,6,FALSE)</f>
        <v>19.081995414069009</v>
      </c>
    </row>
    <row r="427" spans="1:7" x14ac:dyDescent="0.25">
      <c r="A427" s="88">
        <v>13</v>
      </c>
      <c r="B427" s="88">
        <v>79</v>
      </c>
      <c r="C427" s="97">
        <f>SUMIFS(Input!$C$115:$C$3257,Input!$A$115:$A$3257,"="&amp;'Output - County'!A427,Input!$B$115:$B$3257,"="&amp;'Output - County'!B427)*VLOOKUP(A427,'Output - State'!$B$2:$G$52,2,FALSE)</f>
        <v>2.1431440301463298</v>
      </c>
      <c r="D427" s="98">
        <f>SUMIFS(Input!$C$115:$C$3257,Input!$A$115:$A$3257,"="&amp;'Output - County'!A427,Input!$B$115:$B$3257,"="&amp;'Output - County'!B427)*VLOOKUP(A427,'Output - State'!$B$2:$G$52,3,FALSE)</f>
        <v>0</v>
      </c>
      <c r="E427" s="98">
        <f>SUMIFS(Input!$C$115:$C$3257,Input!$A$115:$A$3257,"="&amp;'Output - County'!A427,Input!$B$115:$B$3257,"="&amp;'Output - County'!B427)*VLOOKUP(A427,'Output - State'!$B$2:$G$52,4,FALSE)</f>
        <v>6.6925354437325224E-2</v>
      </c>
      <c r="F427" s="98">
        <f>SUMIFS(Input!$C$115:$C$3257,Input!$A$115:$A$3257,"="&amp;'Output - County'!A427,Input!$B$115:$B$3257,"="&amp;'Output - County'!B427)*VLOOKUP(A427,'Output - State'!$B$2:$G$52,5,FALSE)</f>
        <v>3.1222293573329973</v>
      </c>
      <c r="G427" s="99">
        <f>SUMIFS(Input!$D$115:$D$3257,Input!$A$115:$A$3257,"="&amp;'Output - County'!A427,Input!$B$115:$B$3257,"="&amp;'Output - County'!B427)*VLOOKUP(A427,'Output - State'!$B$2:$G$52,6,FALSE)</f>
        <v>1.6075927643359509</v>
      </c>
    </row>
    <row r="428" spans="1:7" x14ac:dyDescent="0.25">
      <c r="A428" s="88">
        <v>13</v>
      </c>
      <c r="B428" s="88">
        <v>81</v>
      </c>
      <c r="C428" s="97">
        <f>SUMIFS(Input!$C$115:$C$3257,Input!$A$115:$A$3257,"="&amp;'Output - County'!A428,Input!$B$115:$B$3257,"="&amp;'Output - County'!B428)*VLOOKUP(A428,'Output - State'!$B$2:$G$52,2,FALSE)</f>
        <v>11.81827088188501</v>
      </c>
      <c r="D428" s="98">
        <f>SUMIFS(Input!$C$115:$C$3257,Input!$A$115:$A$3257,"="&amp;'Output - County'!A428,Input!$B$115:$B$3257,"="&amp;'Output - County'!B428)*VLOOKUP(A428,'Output - State'!$B$2:$G$52,3,FALSE)</f>
        <v>0</v>
      </c>
      <c r="E428" s="98">
        <f>SUMIFS(Input!$C$115:$C$3257,Input!$A$115:$A$3257,"="&amp;'Output - County'!A428,Input!$B$115:$B$3257,"="&amp;'Output - County'!B428)*VLOOKUP(A428,'Output - State'!$B$2:$G$52,4,FALSE)</f>
        <v>0.36905684194844823</v>
      </c>
      <c r="F428" s="98">
        <f>SUMIFS(Input!$C$115:$C$3257,Input!$A$115:$A$3257,"="&amp;'Output - County'!A428,Input!$B$115:$B$3257,"="&amp;'Output - County'!B428)*VLOOKUP(A428,'Output - State'!$B$2:$G$52,5,FALSE)</f>
        <v>17.217392662972674</v>
      </c>
      <c r="G428" s="99">
        <f>SUMIFS(Input!$D$115:$D$3257,Input!$A$115:$A$3257,"="&amp;'Output - County'!A428,Input!$B$115:$B$3257,"="&amp;'Output - County'!B428)*VLOOKUP(A428,'Output - State'!$B$2:$G$52,6,FALSE)</f>
        <v>2.9537883312189015</v>
      </c>
    </row>
    <row r="429" spans="1:7" x14ac:dyDescent="0.25">
      <c r="A429" s="88">
        <v>13</v>
      </c>
      <c r="B429" s="88">
        <v>83</v>
      </c>
      <c r="C429" s="97">
        <f>SUMIFS(Input!$C$115:$C$3257,Input!$A$115:$A$3257,"="&amp;'Output - County'!A429,Input!$B$115:$B$3257,"="&amp;'Output - County'!B429)*VLOOKUP(A429,'Output - State'!$B$2:$G$52,2,FALSE)</f>
        <v>7.8619701490162868</v>
      </c>
      <c r="D429" s="98">
        <f>SUMIFS(Input!$C$115:$C$3257,Input!$A$115:$A$3257,"="&amp;'Output - County'!A429,Input!$B$115:$B$3257,"="&amp;'Output - County'!B429)*VLOOKUP(A429,'Output - State'!$B$2:$G$52,3,FALSE)</f>
        <v>0</v>
      </c>
      <c r="E429" s="98">
        <f>SUMIFS(Input!$C$115:$C$3257,Input!$A$115:$A$3257,"="&amp;'Output - County'!A429,Input!$B$115:$B$3257,"="&amp;'Output - County'!B429)*VLOOKUP(A429,'Output - State'!$B$2:$G$52,4,FALSE)</f>
        <v>0.24551086226466079</v>
      </c>
      <c r="F429" s="98">
        <f>SUMIFS(Input!$C$115:$C$3257,Input!$A$115:$A$3257,"="&amp;'Output - County'!A429,Input!$B$115:$B$3257,"="&amp;'Output - County'!B429)*VLOOKUP(A429,'Output - State'!$B$2:$G$52,5,FALSE)</f>
        <v>11.453674442990337</v>
      </c>
      <c r="G429" s="99">
        <f>SUMIFS(Input!$D$115:$D$3257,Input!$A$115:$A$3257,"="&amp;'Output - County'!A429,Input!$B$115:$B$3257,"="&amp;'Output - County'!B429)*VLOOKUP(A429,'Output - State'!$B$2:$G$52,6,FALSE)</f>
        <v>2.1173172993693008</v>
      </c>
    </row>
    <row r="430" spans="1:7" x14ac:dyDescent="0.25">
      <c r="A430" s="88">
        <v>13</v>
      </c>
      <c r="B430" s="88">
        <v>85</v>
      </c>
      <c r="C430" s="97">
        <f>SUMIFS(Input!$C$115:$C$3257,Input!$A$115:$A$3257,"="&amp;'Output - County'!A430,Input!$B$115:$B$3257,"="&amp;'Output - County'!B430)*VLOOKUP(A430,'Output - State'!$B$2:$G$52,2,FALSE)</f>
        <v>6.2610841641231465</v>
      </c>
      <c r="D430" s="98">
        <f>SUMIFS(Input!$C$115:$C$3257,Input!$A$115:$A$3257,"="&amp;'Output - County'!A430,Input!$B$115:$B$3257,"="&amp;'Output - County'!B430)*VLOOKUP(A430,'Output - State'!$B$2:$G$52,3,FALSE)</f>
        <v>0</v>
      </c>
      <c r="E430" s="98">
        <f>SUMIFS(Input!$C$115:$C$3257,Input!$A$115:$A$3257,"="&amp;'Output - County'!A430,Input!$B$115:$B$3257,"="&amp;'Output - County'!B430)*VLOOKUP(A430,'Output - State'!$B$2:$G$52,4,FALSE)</f>
        <v>0.19551895297361579</v>
      </c>
      <c r="F430" s="98">
        <f>SUMIFS(Input!$C$115:$C$3257,Input!$A$115:$A$3257,"="&amp;'Output - County'!A430,Input!$B$115:$B$3257,"="&amp;'Output - County'!B430)*VLOOKUP(A430,'Output - State'!$B$2:$G$52,5,FALSE)</f>
        <v>9.1214311828698147</v>
      </c>
      <c r="G430" s="99">
        <f>SUMIFS(Input!$D$115:$D$3257,Input!$A$115:$A$3257,"="&amp;'Output - County'!A430,Input!$B$115:$B$3257,"="&amp;'Output - County'!B430)*VLOOKUP(A430,'Output - State'!$B$2:$G$52,6,FALSE)</f>
        <v>3.2805348280351514</v>
      </c>
    </row>
    <row r="431" spans="1:7" x14ac:dyDescent="0.25">
      <c r="A431" s="88">
        <v>13</v>
      </c>
      <c r="B431" s="88">
        <v>87</v>
      </c>
      <c r="C431" s="97">
        <f>SUMIFS(Input!$C$115:$C$3257,Input!$A$115:$A$3257,"="&amp;'Output - County'!A431,Input!$B$115:$B$3257,"="&amp;'Output - County'!B431)*VLOOKUP(A431,'Output - State'!$B$2:$G$52,2,FALSE)</f>
        <v>8.0638055960586641</v>
      </c>
      <c r="D431" s="98">
        <f>SUMIFS(Input!$C$115:$C$3257,Input!$A$115:$A$3257,"="&amp;'Output - County'!A431,Input!$B$115:$B$3257,"="&amp;'Output - County'!B431)*VLOOKUP(A431,'Output - State'!$B$2:$G$52,3,FALSE)</f>
        <v>0</v>
      </c>
      <c r="E431" s="98">
        <f>SUMIFS(Input!$C$115:$C$3257,Input!$A$115:$A$3257,"="&amp;'Output - County'!A431,Input!$B$115:$B$3257,"="&amp;'Output - County'!B431)*VLOOKUP(A431,'Output - State'!$B$2:$G$52,4,FALSE)</f>
        <v>0.25181370922283036</v>
      </c>
      <c r="F431" s="98">
        <f>SUMIFS(Input!$C$115:$C$3257,Input!$A$115:$A$3257,"="&amp;'Output - County'!A431,Input!$B$115:$B$3257,"="&amp;'Output - County'!B431)*VLOOKUP(A431,'Output - State'!$B$2:$G$52,5,FALSE)</f>
        <v>11.74771747007663</v>
      </c>
      <c r="G431" s="99">
        <f>SUMIFS(Input!$D$115:$D$3257,Input!$A$115:$A$3257,"="&amp;'Output - County'!A431,Input!$B$115:$B$3257,"="&amp;'Output - County'!B431)*VLOOKUP(A431,'Output - State'!$B$2:$G$52,6,FALSE)</f>
        <v>3.4765827261249016</v>
      </c>
    </row>
    <row r="432" spans="1:7" x14ac:dyDescent="0.25">
      <c r="A432" s="88">
        <v>13</v>
      </c>
      <c r="B432" s="88">
        <v>89</v>
      </c>
      <c r="C432" s="97">
        <f>SUMIFS(Input!$C$115:$C$3257,Input!$A$115:$A$3257,"="&amp;'Output - County'!A432,Input!$B$115:$B$3257,"="&amp;'Output - County'!B432)*VLOOKUP(A432,'Output - State'!$B$2:$G$52,2,FALSE)</f>
        <v>215.76613022286733</v>
      </c>
      <c r="D432" s="98">
        <f>SUMIFS(Input!$C$115:$C$3257,Input!$A$115:$A$3257,"="&amp;'Output - County'!A432,Input!$B$115:$B$3257,"="&amp;'Output - County'!B432)*VLOOKUP(A432,'Output - State'!$B$2:$G$52,3,FALSE)</f>
        <v>0</v>
      </c>
      <c r="E432" s="98">
        <f>SUMIFS(Input!$C$115:$C$3257,Input!$A$115:$A$3257,"="&amp;'Output - County'!A432,Input!$B$115:$B$3257,"="&amp;'Output - County'!B432)*VLOOKUP(A432,'Output - State'!$B$2:$G$52,4,FALSE)</f>
        <v>6.7378694747592469</v>
      </c>
      <c r="F432" s="98">
        <f>SUMIFS(Input!$C$115:$C$3257,Input!$A$115:$A$3257,"="&amp;'Output - County'!A432,Input!$B$115:$B$3257,"="&amp;'Output - County'!B432)*VLOOKUP(A432,'Output - State'!$B$2:$G$52,5,FALSE)</f>
        <v>314.33787772722582</v>
      </c>
      <c r="G432" s="99">
        <f>SUMIFS(Input!$D$115:$D$3257,Input!$A$115:$A$3257,"="&amp;'Output - County'!A432,Input!$B$115:$B$3257,"="&amp;'Output - County'!B432)*VLOOKUP(A432,'Output - State'!$B$2:$G$52,6,FALSE)</f>
        <v>98.67744203850755</v>
      </c>
    </row>
    <row r="433" spans="1:7" x14ac:dyDescent="0.25">
      <c r="A433" s="88">
        <v>13</v>
      </c>
      <c r="B433" s="88">
        <v>91</v>
      </c>
      <c r="C433" s="97">
        <f>SUMIFS(Input!$C$115:$C$3257,Input!$A$115:$A$3257,"="&amp;'Output - County'!A433,Input!$B$115:$B$3257,"="&amp;'Output - County'!B433)*VLOOKUP(A433,'Output - State'!$B$2:$G$52,2,FALSE)</f>
        <v>4.6739632445332902</v>
      </c>
      <c r="D433" s="98">
        <f>SUMIFS(Input!$C$115:$C$3257,Input!$A$115:$A$3257,"="&amp;'Output - County'!A433,Input!$B$115:$B$3257,"="&amp;'Output - County'!B433)*VLOOKUP(A433,'Output - State'!$B$2:$G$52,3,FALSE)</f>
        <v>0</v>
      </c>
      <c r="E433" s="98">
        <f>SUMIFS(Input!$C$115:$C$3257,Input!$A$115:$A$3257,"="&amp;'Output - County'!A433,Input!$B$115:$B$3257,"="&amp;'Output - County'!B433)*VLOOKUP(A433,'Output - State'!$B$2:$G$52,4,FALSE)</f>
        <v>0.14595689434184372</v>
      </c>
      <c r="F433" s="98">
        <f>SUMIFS(Input!$C$115:$C$3257,Input!$A$115:$A$3257,"="&amp;'Output - County'!A433,Input!$B$115:$B$3257,"="&amp;'Output - County'!B433)*VLOOKUP(A433,'Output - State'!$B$2:$G$52,5,FALSE)</f>
        <v>6.8092414937603758</v>
      </c>
      <c r="G433" s="99">
        <f>SUMIFS(Input!$D$115:$D$3257,Input!$A$115:$A$3257,"="&amp;'Output - County'!A433,Input!$B$115:$B$3257,"="&amp;'Output - County'!B433)*VLOOKUP(A433,'Output - State'!$B$2:$G$52,6,FALSE)</f>
        <v>2.7185308535112012</v>
      </c>
    </row>
    <row r="434" spans="1:7" x14ac:dyDescent="0.25">
      <c r="A434" s="88">
        <v>13</v>
      </c>
      <c r="B434" s="88">
        <v>93</v>
      </c>
      <c r="C434" s="97">
        <f>SUMIFS(Input!$C$115:$C$3257,Input!$A$115:$A$3257,"="&amp;'Output - County'!A434,Input!$B$115:$B$3257,"="&amp;'Output - County'!B434)*VLOOKUP(A434,'Output - State'!$B$2:$G$52,2,FALSE)</f>
        <v>10.837217300391988</v>
      </c>
      <c r="D434" s="98">
        <f>SUMIFS(Input!$C$115:$C$3257,Input!$A$115:$A$3257,"="&amp;'Output - County'!A434,Input!$B$115:$B$3257,"="&amp;'Output - County'!B434)*VLOOKUP(A434,'Output - State'!$B$2:$G$52,3,FALSE)</f>
        <v>0</v>
      </c>
      <c r="E434" s="98">
        <f>SUMIFS(Input!$C$115:$C$3257,Input!$A$115:$A$3257,"="&amp;'Output - County'!A434,Input!$B$115:$B$3257,"="&amp;'Output - County'!B434)*VLOOKUP(A434,'Output - State'!$B$2:$G$52,4,FALSE)</f>
        <v>0.33842084280892942</v>
      </c>
      <c r="F434" s="98">
        <f>SUMIFS(Input!$C$115:$C$3257,Input!$A$115:$A$3257,"="&amp;'Output - County'!A434,Input!$B$115:$B$3257,"="&amp;'Output - County'!B434)*VLOOKUP(A434,'Output - State'!$B$2:$G$52,5,FALSE)</f>
        <v>15.788149340933771</v>
      </c>
      <c r="G434" s="99">
        <f>SUMIFS(Input!$D$115:$D$3257,Input!$A$115:$A$3257,"="&amp;'Output - County'!A434,Input!$B$115:$B$3257,"="&amp;'Output - County'!B434)*VLOOKUP(A434,'Output - State'!$B$2:$G$52,6,FALSE)</f>
        <v>1.7905708025530509</v>
      </c>
    </row>
    <row r="435" spans="1:7" x14ac:dyDescent="0.25">
      <c r="A435" s="88">
        <v>13</v>
      </c>
      <c r="B435" s="88">
        <v>95</v>
      </c>
      <c r="C435" s="97">
        <f>SUMIFS(Input!$C$115:$C$3257,Input!$A$115:$A$3257,"="&amp;'Output - County'!A435,Input!$B$115:$B$3257,"="&amp;'Output - County'!B435)*VLOOKUP(A435,'Output - State'!$B$2:$G$52,2,FALSE)</f>
        <v>21.952597737995312</v>
      </c>
      <c r="D435" s="98">
        <f>SUMIFS(Input!$C$115:$C$3257,Input!$A$115:$A$3257,"="&amp;'Output - County'!A435,Input!$B$115:$B$3257,"="&amp;'Output - County'!B435)*VLOOKUP(A435,'Output - State'!$B$2:$G$52,3,FALSE)</f>
        <v>0</v>
      </c>
      <c r="E435" s="98">
        <f>SUMIFS(Input!$C$115:$C$3257,Input!$A$115:$A$3257,"="&amp;'Output - County'!A435,Input!$B$115:$B$3257,"="&amp;'Output - County'!B435)*VLOOKUP(A435,'Output - State'!$B$2:$G$52,4,FALSE)</f>
        <v>0.68552806706838421</v>
      </c>
      <c r="F435" s="98">
        <f>SUMIFS(Input!$C$115:$C$3257,Input!$A$115:$A$3257,"="&amp;'Output - County'!A435,Input!$B$115:$B$3257,"="&amp;'Output - County'!B435)*VLOOKUP(A435,'Output - State'!$B$2:$G$52,5,FALSE)</f>
        <v>31.981539347409644</v>
      </c>
      <c r="G435" s="99">
        <f>SUMIFS(Input!$D$115:$D$3257,Input!$A$115:$A$3257,"="&amp;'Output - County'!A435,Input!$B$115:$B$3257,"="&amp;'Output - County'!B435)*VLOOKUP(A435,'Output - State'!$B$2:$G$52,6,FALSE)</f>
        <v>11.658315006403805</v>
      </c>
    </row>
    <row r="436" spans="1:7" x14ac:dyDescent="0.25">
      <c r="A436" s="88">
        <v>13</v>
      </c>
      <c r="B436" s="88">
        <v>97</v>
      </c>
      <c r="C436" s="97">
        <f>SUMIFS(Input!$C$115:$C$3257,Input!$A$115:$A$3257,"="&amp;'Output - County'!A436,Input!$B$115:$B$3257,"="&amp;'Output - County'!B436)*VLOOKUP(A436,'Output - State'!$B$2:$G$52,2,FALSE)</f>
        <v>36.296168538683332</v>
      </c>
      <c r="D436" s="98">
        <f>SUMIFS(Input!$C$115:$C$3257,Input!$A$115:$A$3257,"="&amp;'Output - County'!A436,Input!$B$115:$B$3257,"="&amp;'Output - County'!B436)*VLOOKUP(A436,'Output - State'!$B$2:$G$52,3,FALSE)</f>
        <v>0</v>
      </c>
      <c r="E436" s="98">
        <f>SUMIFS(Input!$C$115:$C$3257,Input!$A$115:$A$3257,"="&amp;'Output - County'!A436,Input!$B$115:$B$3257,"="&amp;'Output - County'!B436)*VLOOKUP(A436,'Output - State'!$B$2:$G$52,4,FALSE)</f>
        <v>1.1334440942834898</v>
      </c>
      <c r="F436" s="98">
        <f>SUMIFS(Input!$C$115:$C$3257,Input!$A$115:$A$3257,"="&amp;'Output - County'!A436,Input!$B$115:$B$3257,"="&amp;'Output - County'!B436)*VLOOKUP(A436,'Output - State'!$B$2:$G$52,5,FALSE)</f>
        <v>52.877903386850683</v>
      </c>
      <c r="G436" s="99">
        <f>SUMIFS(Input!$D$115:$D$3257,Input!$A$115:$A$3257,"="&amp;'Output - County'!A436,Input!$B$115:$B$3257,"="&amp;'Output - County'!B436)*VLOOKUP(A436,'Output - State'!$B$2:$G$52,6,FALSE)</f>
        <v>18.951296815342509</v>
      </c>
    </row>
    <row r="437" spans="1:7" x14ac:dyDescent="0.25">
      <c r="A437" s="88">
        <v>13</v>
      </c>
      <c r="B437" s="88">
        <v>99</v>
      </c>
      <c r="C437" s="97">
        <f>SUMIFS(Input!$C$115:$C$3257,Input!$A$115:$A$3257,"="&amp;'Output - County'!A437,Input!$B$115:$B$3257,"="&amp;'Output - County'!B437)*VLOOKUP(A437,'Output - State'!$B$2:$G$52,2,FALSE)</f>
        <v>3.3549649040054921</v>
      </c>
      <c r="D437" s="98">
        <f>SUMIFS(Input!$C$115:$C$3257,Input!$A$115:$A$3257,"="&amp;'Output - County'!A437,Input!$B$115:$B$3257,"="&amp;'Output - County'!B437)*VLOOKUP(A437,'Output - State'!$B$2:$G$52,3,FALSE)</f>
        <v>0</v>
      </c>
      <c r="E437" s="98">
        <f>SUMIFS(Input!$C$115:$C$3257,Input!$A$115:$A$3257,"="&amp;'Output - County'!A437,Input!$B$115:$B$3257,"="&amp;'Output - County'!B437)*VLOOKUP(A437,'Output - State'!$B$2:$G$52,4,FALSE)</f>
        <v>0.10476767411195584</v>
      </c>
      <c r="F437" s="98">
        <f>SUMIFS(Input!$C$115:$C$3257,Input!$A$115:$A$3257,"="&amp;'Output - County'!A437,Input!$B$115:$B$3257,"="&amp;'Output - County'!B437)*VLOOKUP(A437,'Output - State'!$B$2:$G$52,5,FALSE)</f>
        <v>4.8876649300106152</v>
      </c>
      <c r="G437" s="99">
        <f>SUMIFS(Input!$D$115:$D$3257,Input!$A$115:$A$3257,"="&amp;'Output - County'!A437,Input!$B$115:$B$3257,"="&amp;'Output - County'!B437)*VLOOKUP(A437,'Output - State'!$B$2:$G$52,6,FALSE)</f>
        <v>1.3461955668829508</v>
      </c>
    </row>
    <row r="438" spans="1:7" x14ac:dyDescent="0.25">
      <c r="A438" s="88">
        <v>13</v>
      </c>
      <c r="B438" s="88">
        <v>101</v>
      </c>
      <c r="C438" s="97">
        <f>SUMIFS(Input!$C$115:$C$3257,Input!$A$115:$A$3257,"="&amp;'Output - County'!A438,Input!$B$115:$B$3257,"="&amp;'Output - County'!B438)*VLOOKUP(A438,'Output - State'!$B$2:$G$52,2,FALSE)</f>
        <v>0.7534033944608004</v>
      </c>
      <c r="D438" s="98">
        <f>SUMIFS(Input!$C$115:$C$3257,Input!$A$115:$A$3257,"="&amp;'Output - County'!A438,Input!$B$115:$B$3257,"="&amp;'Output - County'!B438)*VLOOKUP(A438,'Output - State'!$B$2:$G$52,3,FALSE)</f>
        <v>0</v>
      </c>
      <c r="E438" s="98">
        <f>SUMIFS(Input!$C$115:$C$3257,Input!$A$115:$A$3257,"="&amp;'Output - County'!A438,Input!$B$115:$B$3257,"="&amp;'Output - County'!B438)*VLOOKUP(A438,'Output - State'!$B$2:$G$52,4,FALSE)</f>
        <v>2.3527018482808318E-2</v>
      </c>
      <c r="F438" s="98">
        <f>SUMIFS(Input!$C$115:$C$3257,Input!$A$115:$A$3257,"="&amp;'Output - County'!A438,Input!$B$115:$B$3257,"="&amp;'Output - County'!B438)*VLOOKUP(A438,'Output - State'!$B$2:$G$52,5,FALSE)</f>
        <v>1.0975922117279411</v>
      </c>
      <c r="G438" s="99">
        <f>SUMIFS(Input!$D$115:$D$3257,Input!$A$115:$A$3257,"="&amp;'Output - County'!A438,Input!$B$115:$B$3257,"="&amp;'Output - County'!B438)*VLOOKUP(A438,'Output - State'!$B$2:$G$52,6,FALSE)</f>
        <v>0.52279439490600033</v>
      </c>
    </row>
    <row r="439" spans="1:7" x14ac:dyDescent="0.25">
      <c r="A439" s="88">
        <v>13</v>
      </c>
      <c r="B439" s="88">
        <v>103</v>
      </c>
      <c r="C439" s="97">
        <f>SUMIFS(Input!$C$115:$C$3257,Input!$A$115:$A$3257,"="&amp;'Output - County'!A439,Input!$B$115:$B$3257,"="&amp;'Output - County'!B439)*VLOOKUP(A439,'Output - State'!$B$2:$G$52,2,FALSE)</f>
        <v>9.9349679379940632</v>
      </c>
      <c r="D439" s="98">
        <f>SUMIFS(Input!$C$115:$C$3257,Input!$A$115:$A$3257,"="&amp;'Output - County'!A439,Input!$B$115:$B$3257,"="&amp;'Output - County'!B439)*VLOOKUP(A439,'Output - State'!$B$2:$G$52,3,FALSE)</f>
        <v>0</v>
      </c>
      <c r="E439" s="98">
        <f>SUMIFS(Input!$C$115:$C$3257,Input!$A$115:$A$3257,"="&amp;'Output - County'!A439,Input!$B$115:$B$3257,"="&amp;'Output - County'!B439)*VLOOKUP(A439,'Output - State'!$B$2:$G$52,4,FALSE)</f>
        <v>0.31024571434348097</v>
      </c>
      <c r="F439" s="98">
        <f>SUMIFS(Input!$C$115:$C$3257,Input!$A$115:$A$3257,"="&amp;'Output - County'!A439,Input!$B$115:$B$3257,"="&amp;'Output - County'!B439)*VLOOKUP(A439,'Output - State'!$B$2:$G$52,5,FALSE)</f>
        <v>14.473711576934567</v>
      </c>
      <c r="G439" s="99">
        <f>SUMIFS(Input!$D$115:$D$3257,Input!$A$115:$A$3257,"="&amp;'Output - County'!A439,Input!$B$115:$B$3257,"="&amp;'Output - County'!B439)*VLOOKUP(A439,'Output - State'!$B$2:$G$52,6,FALSE)</f>
        <v>8.1294528407883053</v>
      </c>
    </row>
    <row r="440" spans="1:7" x14ac:dyDescent="0.25">
      <c r="A440" s="88">
        <v>13</v>
      </c>
      <c r="B440" s="88">
        <v>105</v>
      </c>
      <c r="C440" s="97">
        <f>SUMIFS(Input!$C$115:$C$3257,Input!$A$115:$A$3257,"="&amp;'Output - County'!A440,Input!$B$115:$B$3257,"="&amp;'Output - County'!B440)*VLOOKUP(A440,'Output - State'!$B$2:$G$52,2,FALSE)</f>
        <v>5.0909241692543112</v>
      </c>
      <c r="D440" s="98">
        <f>SUMIFS(Input!$C$115:$C$3257,Input!$A$115:$A$3257,"="&amp;'Output - County'!A440,Input!$B$115:$B$3257,"="&amp;'Output - County'!B440)*VLOOKUP(A440,'Output - State'!$B$2:$G$52,3,FALSE)</f>
        <v>0</v>
      </c>
      <c r="E440" s="98">
        <f>SUMIFS(Input!$C$115:$C$3257,Input!$A$115:$A$3257,"="&amp;'Output - County'!A440,Input!$B$115:$B$3257,"="&amp;'Output - County'!B440)*VLOOKUP(A440,'Output - State'!$B$2:$G$52,4,FALSE)</f>
        <v>0.15897760470052358</v>
      </c>
      <c r="F440" s="98">
        <f>SUMIFS(Input!$C$115:$C$3257,Input!$A$115:$A$3257,"="&amp;'Output - County'!A440,Input!$B$115:$B$3257,"="&amp;'Output - County'!B440)*VLOOKUP(A440,'Output - State'!$B$2:$G$52,5,FALSE)</f>
        <v>7.4166890669110224</v>
      </c>
      <c r="G440" s="99">
        <f>SUMIFS(Input!$D$115:$D$3257,Input!$A$115:$A$3257,"="&amp;'Output - County'!A440,Input!$B$115:$B$3257,"="&amp;'Output - County'!B440)*VLOOKUP(A440,'Output - State'!$B$2:$G$52,6,FALSE)</f>
        <v>2.496343235676151</v>
      </c>
    </row>
    <row r="441" spans="1:7" x14ac:dyDescent="0.25">
      <c r="A441" s="88">
        <v>13</v>
      </c>
      <c r="B441" s="88">
        <v>107</v>
      </c>
      <c r="C441" s="97">
        <f>SUMIFS(Input!$C$115:$C$3257,Input!$A$115:$A$3257,"="&amp;'Output - County'!A441,Input!$B$115:$B$3257,"="&amp;'Output - County'!B441)*VLOOKUP(A441,'Output - State'!$B$2:$G$52,2,FALSE)</f>
        <v>8.6310622278767131</v>
      </c>
      <c r="D441" s="98">
        <f>SUMIFS(Input!$C$115:$C$3257,Input!$A$115:$A$3257,"="&amp;'Output - County'!A441,Input!$B$115:$B$3257,"="&amp;'Output - County'!B441)*VLOOKUP(A441,'Output - State'!$B$2:$G$52,3,FALSE)</f>
        <v>0</v>
      </c>
      <c r="E441" s="98">
        <f>SUMIFS(Input!$C$115:$C$3257,Input!$A$115:$A$3257,"="&amp;'Output - County'!A441,Input!$B$115:$B$3257,"="&amp;'Output - County'!B441)*VLOOKUP(A441,'Output - State'!$B$2:$G$52,4,FALSE)</f>
        <v>0.26952780151309708</v>
      </c>
      <c r="F441" s="98">
        <f>SUMIFS(Input!$C$115:$C$3257,Input!$A$115:$A$3257,"="&amp;'Output - County'!A441,Input!$B$115:$B$3257,"="&amp;'Output - County'!B441)*VLOOKUP(A441,'Output - State'!$B$2:$G$52,5,FALSE)</f>
        <v>12.574122641213551</v>
      </c>
      <c r="G441" s="99">
        <f>SUMIFS(Input!$D$115:$D$3257,Input!$A$115:$A$3257,"="&amp;'Output - County'!A441,Input!$B$115:$B$3257,"="&amp;'Output - County'!B441)*VLOOKUP(A441,'Output - State'!$B$2:$G$52,6,FALSE)</f>
        <v>2.9537883312189015</v>
      </c>
    </row>
    <row r="442" spans="1:7" x14ac:dyDescent="0.25">
      <c r="A442" s="88">
        <v>13</v>
      </c>
      <c r="B442" s="88">
        <v>109</v>
      </c>
      <c r="C442" s="97">
        <f>SUMIFS(Input!$C$115:$C$3257,Input!$A$115:$A$3257,"="&amp;'Output - County'!A442,Input!$B$115:$B$3257,"="&amp;'Output - County'!B442)*VLOOKUP(A442,'Output - State'!$B$2:$G$52,2,FALSE)</f>
        <v>2.0701487786212152</v>
      </c>
      <c r="D442" s="98">
        <f>SUMIFS(Input!$C$115:$C$3257,Input!$A$115:$A$3257,"="&amp;'Output - County'!A442,Input!$B$115:$B$3257,"="&amp;'Output - County'!B442)*VLOOKUP(A442,'Output - State'!$B$2:$G$52,3,FALSE)</f>
        <v>0</v>
      </c>
      <c r="E442" s="98">
        <f>SUMIFS(Input!$C$115:$C$3257,Input!$A$115:$A$3257,"="&amp;'Output - County'!A442,Input!$B$115:$B$3257,"="&amp;'Output - County'!B442)*VLOOKUP(A442,'Output - State'!$B$2:$G$52,4,FALSE)</f>
        <v>6.4645884176884327E-2</v>
      </c>
      <c r="F442" s="98">
        <f>SUMIFS(Input!$C$115:$C$3257,Input!$A$115:$A$3257,"="&amp;'Output - County'!A442,Input!$B$115:$B$3257,"="&amp;'Output - County'!B442)*VLOOKUP(A442,'Output - State'!$B$2:$G$52,5,FALSE)</f>
        <v>3.0158865665304315</v>
      </c>
      <c r="G442" s="99">
        <f>SUMIFS(Input!$D$115:$D$3257,Input!$A$115:$A$3257,"="&amp;'Output - County'!A442,Input!$B$115:$B$3257,"="&amp;'Output - County'!B442)*VLOOKUP(A442,'Output - State'!$B$2:$G$52,6,FALSE)</f>
        <v>1.3984750063735507</v>
      </c>
    </row>
    <row r="443" spans="1:7" x14ac:dyDescent="0.25">
      <c r="A443" s="88">
        <v>13</v>
      </c>
      <c r="B443" s="88">
        <v>111</v>
      </c>
      <c r="C443" s="97">
        <f>SUMIFS(Input!$C$115:$C$3257,Input!$A$115:$A$3257,"="&amp;'Output - County'!A443,Input!$B$115:$B$3257,"="&amp;'Output - County'!B443)*VLOOKUP(A443,'Output - State'!$B$2:$G$52,2,FALSE)</f>
        <v>5.1118495739677634</v>
      </c>
      <c r="D443" s="98">
        <f>SUMIFS(Input!$C$115:$C$3257,Input!$A$115:$A$3257,"="&amp;'Output - County'!A443,Input!$B$115:$B$3257,"="&amp;'Output - County'!B443)*VLOOKUP(A443,'Output - State'!$B$2:$G$52,3,FALSE)</f>
        <v>0</v>
      </c>
      <c r="E443" s="98">
        <f>SUMIFS(Input!$C$115:$C$3257,Input!$A$115:$A$3257,"="&amp;'Output - County'!A443,Input!$B$115:$B$3257,"="&amp;'Output - County'!B443)*VLOOKUP(A443,'Output - State'!$B$2:$G$52,4,FALSE)</f>
        <v>0.15963105594201418</v>
      </c>
      <c r="F443" s="98">
        <f>SUMIFS(Input!$C$115:$C$3257,Input!$A$115:$A$3257,"="&amp;'Output - County'!A443,Input!$B$115:$B$3257,"="&amp;'Output - County'!B443)*VLOOKUP(A443,'Output - State'!$B$2:$G$52,5,FALSE)</f>
        <v>7.4471741449045696</v>
      </c>
      <c r="G443" s="99">
        <f>SUMIFS(Input!$D$115:$D$3257,Input!$A$115:$A$3257,"="&amp;'Output - County'!A443,Input!$B$115:$B$3257,"="&amp;'Output - County'!B443)*VLOOKUP(A443,'Output - State'!$B$2:$G$52,6,FALSE)</f>
        <v>3.3981635668890018</v>
      </c>
    </row>
    <row r="444" spans="1:7" x14ac:dyDescent="0.25">
      <c r="A444" s="88">
        <v>13</v>
      </c>
      <c r="B444" s="88">
        <v>113</v>
      </c>
      <c r="C444" s="97">
        <f>SUMIFS(Input!$C$115:$C$3257,Input!$A$115:$A$3257,"="&amp;'Output - County'!A444,Input!$B$115:$B$3257,"="&amp;'Output - County'!B444)*VLOOKUP(A444,'Output - State'!$B$2:$G$52,2,FALSE)</f>
        <v>26.524647102378303</v>
      </c>
      <c r="D444" s="98">
        <f>SUMIFS(Input!$C$115:$C$3257,Input!$A$115:$A$3257,"="&amp;'Output - County'!A444,Input!$B$115:$B$3257,"="&amp;'Output - County'!B444)*VLOOKUP(A444,'Output - State'!$B$2:$G$52,3,FALSE)</f>
        <v>0</v>
      </c>
      <c r="E444" s="98">
        <f>SUMIFS(Input!$C$115:$C$3257,Input!$A$115:$A$3257,"="&amp;'Output - County'!A444,Input!$B$115:$B$3257,"="&amp;'Output - County'!B444)*VLOOKUP(A444,'Output - State'!$B$2:$G$52,4,FALSE)</f>
        <v>0.82830243029929917</v>
      </c>
      <c r="F444" s="98">
        <f>SUMIFS(Input!$C$115:$C$3257,Input!$A$115:$A$3257,"="&amp;'Output - County'!A444,Input!$B$115:$B$3257,"="&amp;'Output - County'!B444)*VLOOKUP(A444,'Output - State'!$B$2:$G$52,5,FALSE)</f>
        <v>38.642308081500545</v>
      </c>
      <c r="G444" s="99">
        <f>SUMIFS(Input!$D$115:$D$3257,Input!$A$115:$A$3257,"="&amp;'Output - County'!A444,Input!$B$115:$B$3257,"="&amp;'Output - County'!B444)*VLOOKUP(A444,'Output - State'!$B$2:$G$52,6,FALSE)</f>
        <v>14.768941656094508</v>
      </c>
    </row>
    <row r="445" spans="1:7" x14ac:dyDescent="0.25">
      <c r="A445" s="88">
        <v>13</v>
      </c>
      <c r="B445" s="88">
        <v>115</v>
      </c>
      <c r="C445" s="97">
        <f>SUMIFS(Input!$C$115:$C$3257,Input!$A$115:$A$3257,"="&amp;'Output - County'!A445,Input!$B$115:$B$3257,"="&amp;'Output - County'!B445)*VLOOKUP(A445,'Output - State'!$B$2:$G$52,2,FALSE)</f>
        <v>24.646483571449622</v>
      </c>
      <c r="D445" s="98">
        <f>SUMIFS(Input!$C$115:$C$3257,Input!$A$115:$A$3257,"="&amp;'Output - County'!A445,Input!$B$115:$B$3257,"="&amp;'Output - County'!B445)*VLOOKUP(A445,'Output - State'!$B$2:$G$52,3,FALSE)</f>
        <v>0</v>
      </c>
      <c r="E445" s="98">
        <f>SUMIFS(Input!$C$115:$C$3257,Input!$A$115:$A$3257,"="&amp;'Output - County'!A445,Input!$B$115:$B$3257,"="&amp;'Output - County'!B445)*VLOOKUP(A445,'Output - State'!$B$2:$G$52,4,FALSE)</f>
        <v>0.76965179449015197</v>
      </c>
      <c r="F445" s="98">
        <f>SUMIFS(Input!$C$115:$C$3257,Input!$A$115:$A$3257,"="&amp;'Output - County'!A445,Input!$B$115:$B$3257,"="&amp;'Output - County'!B445)*VLOOKUP(A445,'Output - State'!$B$2:$G$52,5,FALSE)</f>
        <v>35.906114325200676</v>
      </c>
      <c r="G445" s="99">
        <f>SUMIFS(Input!$D$115:$D$3257,Input!$A$115:$A$3257,"="&amp;'Output - County'!A445,Input!$B$115:$B$3257,"="&amp;'Output - County'!B445)*VLOOKUP(A445,'Output - State'!$B$2:$G$52,6,FALSE)</f>
        <v>12.808462675197006</v>
      </c>
    </row>
    <row r="446" spans="1:7" x14ac:dyDescent="0.25">
      <c r="A446" s="88">
        <v>13</v>
      </c>
      <c r="B446" s="88">
        <v>117</v>
      </c>
      <c r="C446" s="97">
        <f>SUMIFS(Input!$C$115:$C$3257,Input!$A$115:$A$3257,"="&amp;'Output - County'!A446,Input!$B$115:$B$3257,"="&amp;'Output - County'!B446)*VLOOKUP(A446,'Output - State'!$B$2:$G$52,2,FALSE)</f>
        <v>45.690718081154422</v>
      </c>
      <c r="D446" s="98">
        <f>SUMIFS(Input!$C$115:$C$3257,Input!$A$115:$A$3257,"="&amp;'Output - County'!A446,Input!$B$115:$B$3257,"="&amp;'Output - County'!B446)*VLOOKUP(A446,'Output - State'!$B$2:$G$52,3,FALSE)</f>
        <v>0</v>
      </c>
      <c r="E446" s="98">
        <f>SUMIFS(Input!$C$115:$C$3257,Input!$A$115:$A$3257,"="&amp;'Output - County'!A446,Input!$B$115:$B$3257,"="&amp;'Output - County'!B446)*VLOOKUP(A446,'Output - State'!$B$2:$G$52,4,FALSE)</f>
        <v>1.426813811420961</v>
      </c>
      <c r="F446" s="98">
        <f>SUMIFS(Input!$C$115:$C$3257,Input!$A$115:$A$3257,"="&amp;'Output - County'!A446,Input!$B$115:$B$3257,"="&amp;'Output - County'!B446)*VLOOKUP(A446,'Output - State'!$B$2:$G$52,5,FALSE)</f>
        <v>66.564308951678626</v>
      </c>
      <c r="G446" s="99">
        <f>SUMIFS(Input!$D$115:$D$3257,Input!$A$115:$A$3257,"="&amp;'Output - County'!A446,Input!$B$115:$B$3257,"="&amp;'Output - County'!B446)*VLOOKUP(A446,'Output - State'!$B$2:$G$52,6,FALSE)</f>
        <v>30.975567898180515</v>
      </c>
    </row>
    <row r="447" spans="1:7" x14ac:dyDescent="0.25">
      <c r="A447" s="88">
        <v>13</v>
      </c>
      <c r="B447" s="88">
        <v>119</v>
      </c>
      <c r="C447" s="97">
        <f>SUMIFS(Input!$C$115:$C$3257,Input!$A$115:$A$3257,"="&amp;'Output - County'!A447,Input!$B$115:$B$3257,"="&amp;'Output - County'!B447)*VLOOKUP(A447,'Output - State'!$B$2:$G$52,2,FALSE)</f>
        <v>12.581681172627635</v>
      </c>
      <c r="D447" s="98">
        <f>SUMIFS(Input!$C$115:$C$3257,Input!$A$115:$A$3257,"="&amp;'Output - County'!A447,Input!$B$115:$B$3257,"="&amp;'Output - County'!B447)*VLOOKUP(A447,'Output - State'!$B$2:$G$52,3,FALSE)</f>
        <v>0</v>
      </c>
      <c r="E447" s="98">
        <f>SUMIFS(Input!$C$115:$C$3257,Input!$A$115:$A$3257,"="&amp;'Output - County'!A447,Input!$B$115:$B$3257,"="&amp;'Output - County'!B447)*VLOOKUP(A447,'Output - State'!$B$2:$G$52,4,FALSE)</f>
        <v>0.39289635229883901</v>
      </c>
      <c r="F447" s="98">
        <f>SUMIFS(Input!$C$115:$C$3257,Input!$A$115:$A$3257,"="&amp;'Output - County'!A447,Input!$B$115:$B$3257,"="&amp;'Output - County'!B447)*VLOOKUP(A447,'Output - State'!$B$2:$G$52,5,FALSE)</f>
        <v>18.329563374748869</v>
      </c>
      <c r="G447" s="99">
        <f>SUMIFS(Input!$D$115:$D$3257,Input!$A$115:$A$3257,"="&amp;'Output - County'!A447,Input!$B$115:$B$3257,"="&amp;'Output - County'!B447)*VLOOKUP(A447,'Output - State'!$B$2:$G$52,6,FALSE)</f>
        <v>3.0060677707095014</v>
      </c>
    </row>
    <row r="448" spans="1:7" x14ac:dyDescent="0.25">
      <c r="A448" s="88">
        <v>13</v>
      </c>
      <c r="B448" s="88">
        <v>121</v>
      </c>
      <c r="C448" s="97">
        <f>SUMIFS(Input!$C$115:$C$3257,Input!$A$115:$A$3257,"="&amp;'Output - County'!A448,Input!$B$115:$B$3257,"="&amp;'Output - County'!B448)*VLOOKUP(A448,'Output - State'!$B$2:$G$52,2,FALSE)</f>
        <v>350.70650143801618</v>
      </c>
      <c r="D448" s="98">
        <f>SUMIFS(Input!$C$115:$C$3257,Input!$A$115:$A$3257,"="&amp;'Output - County'!A448,Input!$B$115:$B$3257,"="&amp;'Output - County'!B448)*VLOOKUP(A448,'Output - State'!$B$2:$G$52,3,FALSE)</f>
        <v>0</v>
      </c>
      <c r="E448" s="98">
        <f>SUMIFS(Input!$C$115:$C$3257,Input!$A$115:$A$3257,"="&amp;'Output - County'!A448,Input!$B$115:$B$3257,"="&amp;'Output - County'!B448)*VLOOKUP(A448,'Output - State'!$B$2:$G$52,4,FALSE)</f>
        <v>10.951740331988313</v>
      </c>
      <c r="F448" s="98">
        <f>SUMIFS(Input!$C$115:$C$3257,Input!$A$115:$A$3257,"="&amp;'Output - County'!A448,Input!$B$115:$B$3257,"="&amp;'Output - County'!B448)*VLOOKUP(A448,'Output - State'!$B$2:$G$52,5,FALSE)</f>
        <v>510.92512644731471</v>
      </c>
      <c r="G448" s="99">
        <f>SUMIFS(Input!$D$115:$D$3257,Input!$A$115:$A$3257,"="&amp;'Output - County'!A448,Input!$B$115:$B$3257,"="&amp;'Output - County'!B448)*VLOOKUP(A448,'Output - State'!$B$2:$G$52,6,FALSE)</f>
        <v>137.23352866282508</v>
      </c>
    </row>
    <row r="449" spans="1:7" x14ac:dyDescent="0.25">
      <c r="A449" s="88">
        <v>13</v>
      </c>
      <c r="B449" s="88">
        <v>123</v>
      </c>
      <c r="C449" s="97">
        <f>SUMIFS(Input!$C$115:$C$3257,Input!$A$115:$A$3257,"="&amp;'Output - County'!A449,Input!$B$115:$B$3257,"="&amp;'Output - County'!B449)*VLOOKUP(A449,'Output - State'!$B$2:$G$52,2,FALSE)</f>
        <v>6.0365933556834603</v>
      </c>
      <c r="D449" s="98">
        <f>SUMIFS(Input!$C$115:$C$3257,Input!$A$115:$A$3257,"="&amp;'Output - County'!A449,Input!$B$115:$B$3257,"="&amp;'Output - County'!B449)*VLOOKUP(A449,'Output - State'!$B$2:$G$52,3,FALSE)</f>
        <v>0</v>
      </c>
      <c r="E449" s="98">
        <f>SUMIFS(Input!$C$115:$C$3257,Input!$A$115:$A$3257,"="&amp;'Output - County'!A449,Input!$B$115:$B$3257,"="&amp;'Output - County'!B449)*VLOOKUP(A449,'Output - State'!$B$2:$G$52,4,FALSE)</f>
        <v>0.18850863228988562</v>
      </c>
      <c r="F449" s="98">
        <f>SUMIFS(Input!$C$115:$C$3257,Input!$A$115:$A$3257,"="&amp;'Output - County'!A449,Input!$B$115:$B$3257,"="&amp;'Output - County'!B449)*VLOOKUP(A449,'Output - State'!$B$2:$G$52,5,FALSE)</f>
        <v>8.7943827984857066</v>
      </c>
      <c r="G449" s="99">
        <f>SUMIFS(Input!$D$115:$D$3257,Input!$A$115:$A$3257,"="&amp;'Output - County'!A449,Input!$B$115:$B$3257,"="&amp;'Output - County'!B449)*VLOOKUP(A449,'Output - State'!$B$2:$G$52,6,FALSE)</f>
        <v>4.0255168407762021</v>
      </c>
    </row>
    <row r="450" spans="1:7" x14ac:dyDescent="0.25">
      <c r="A450" s="88">
        <v>13</v>
      </c>
      <c r="B450" s="88">
        <v>125</v>
      </c>
      <c r="C450" s="97">
        <f>SUMIFS(Input!$C$115:$C$3257,Input!$A$115:$A$3257,"="&amp;'Output - County'!A450,Input!$B$115:$B$3257,"="&amp;'Output - County'!B450)*VLOOKUP(A450,'Output - State'!$B$2:$G$52,2,FALSE)</f>
        <v>0.53204832453851181</v>
      </c>
      <c r="D450" s="98">
        <f>SUMIFS(Input!$C$115:$C$3257,Input!$A$115:$A$3257,"="&amp;'Output - County'!A450,Input!$B$115:$B$3257,"="&amp;'Output - County'!B450)*VLOOKUP(A450,'Output - State'!$B$2:$G$52,3,FALSE)</f>
        <v>0</v>
      </c>
      <c r="E450" s="98">
        <f>SUMIFS(Input!$C$115:$C$3257,Input!$A$115:$A$3257,"="&amp;'Output - County'!A450,Input!$B$115:$B$3257,"="&amp;'Output - County'!B450)*VLOOKUP(A450,'Output - State'!$B$2:$G$52,4,FALSE)</f>
        <v>1.6614619548035569E-2</v>
      </c>
      <c r="F450" s="98">
        <f>SUMIFS(Input!$C$115:$C$3257,Input!$A$115:$A$3257,"="&amp;'Output - County'!A450,Input!$B$115:$B$3257,"="&amp;'Output - County'!B450)*VLOOKUP(A450,'Output - State'!$B$2:$G$52,5,FALSE)</f>
        <v>0.7751121133377834</v>
      </c>
      <c r="G450" s="99">
        <f>SUMIFS(Input!$D$115:$D$3257,Input!$A$115:$A$3257,"="&amp;'Output - County'!A450,Input!$B$115:$B$3257,"="&amp;'Output - County'!B450)*VLOOKUP(A450,'Output - State'!$B$2:$G$52,6,FALSE)</f>
        <v>0.38948182420497018</v>
      </c>
    </row>
    <row r="451" spans="1:7" x14ac:dyDescent="0.25">
      <c r="A451" s="88">
        <v>13</v>
      </c>
      <c r="B451" s="88">
        <v>127</v>
      </c>
      <c r="C451" s="97">
        <f>SUMIFS(Input!$C$115:$C$3257,Input!$A$115:$A$3257,"="&amp;'Output - County'!A451,Input!$B$115:$B$3257,"="&amp;'Output - County'!B451)*VLOOKUP(A451,'Output - State'!$B$2:$G$52,2,FALSE)</f>
        <v>27.29562375202886</v>
      </c>
      <c r="D451" s="98">
        <f>SUMIFS(Input!$C$115:$C$3257,Input!$A$115:$A$3257,"="&amp;'Output - County'!A451,Input!$B$115:$B$3257,"="&amp;'Output - County'!B451)*VLOOKUP(A451,'Output - State'!$B$2:$G$52,3,FALSE)</f>
        <v>0</v>
      </c>
      <c r="E451" s="98">
        <f>SUMIFS(Input!$C$115:$C$3257,Input!$A$115:$A$3257,"="&amp;'Output - County'!A451,Input!$B$115:$B$3257,"="&amp;'Output - County'!B451)*VLOOKUP(A451,'Output - State'!$B$2:$G$52,4,FALSE)</f>
        <v>0.85237822026720067</v>
      </c>
      <c r="F451" s="98">
        <f>SUMIFS(Input!$C$115:$C$3257,Input!$A$115:$A$3257,"="&amp;'Output - County'!A451,Input!$B$115:$B$3257,"="&amp;'Output - County'!B451)*VLOOKUP(A451,'Output - State'!$B$2:$G$52,5,FALSE)</f>
        <v>39.765501807865661</v>
      </c>
      <c r="G451" s="99">
        <f>SUMIFS(Input!$D$115:$D$3257,Input!$A$115:$A$3257,"="&amp;'Output - County'!A451,Input!$B$115:$B$3257,"="&amp;'Output - County'!B451)*VLOOKUP(A451,'Output - State'!$B$2:$G$52,6,FALSE)</f>
        <v>11.109380891752506</v>
      </c>
    </row>
    <row r="452" spans="1:7" x14ac:dyDescent="0.25">
      <c r="A452" s="88">
        <v>13</v>
      </c>
      <c r="B452" s="88">
        <v>129</v>
      </c>
      <c r="C452" s="97">
        <f>SUMIFS(Input!$C$115:$C$3257,Input!$A$115:$A$3257,"="&amp;'Output - County'!A452,Input!$B$115:$B$3257,"="&amp;'Output - County'!B452)*VLOOKUP(A452,'Output - State'!$B$2:$G$52,2,FALSE)</f>
        <v>20.626295364018816</v>
      </c>
      <c r="D452" s="98">
        <f>SUMIFS(Input!$C$115:$C$3257,Input!$A$115:$A$3257,"="&amp;'Output - County'!A452,Input!$B$115:$B$3257,"="&amp;'Output - County'!B452)*VLOOKUP(A452,'Output - State'!$B$2:$G$52,3,FALSE)</f>
        <v>0</v>
      </c>
      <c r="E452" s="98">
        <f>SUMIFS(Input!$C$115:$C$3257,Input!$A$115:$A$3257,"="&amp;'Output - County'!A452,Input!$B$115:$B$3257,"="&amp;'Output - County'!B452)*VLOOKUP(A452,'Output - State'!$B$2:$G$52,4,FALSE)</f>
        <v>0.64411075902895087</v>
      </c>
      <c r="F452" s="98">
        <f>SUMIFS(Input!$C$115:$C$3257,Input!$A$115:$A$3257,"="&amp;'Output - County'!A452,Input!$B$115:$B$3257,"="&amp;'Output - County'!B452)*VLOOKUP(A452,'Output - State'!$B$2:$G$52,5,FALSE)</f>
        <v>30.049321936689406</v>
      </c>
      <c r="G452" s="99">
        <f>SUMIFS(Input!$D$115:$D$3257,Input!$A$115:$A$3257,"="&amp;'Output - County'!A452,Input!$B$115:$B$3257,"="&amp;'Output - County'!B452)*VLOOKUP(A452,'Output - State'!$B$2:$G$52,6,FALSE)</f>
        <v>7.5282392866464036</v>
      </c>
    </row>
    <row r="453" spans="1:7" x14ac:dyDescent="0.25">
      <c r="A453" s="88">
        <v>13</v>
      </c>
      <c r="B453" s="88">
        <v>131</v>
      </c>
      <c r="C453" s="97">
        <f>SUMIFS(Input!$C$115:$C$3257,Input!$A$115:$A$3257,"="&amp;'Output - County'!A453,Input!$B$115:$B$3257,"="&amp;'Output - County'!B453)*VLOOKUP(A453,'Output - State'!$B$2:$G$52,2,FALSE)</f>
        <v>5.7102603426825951</v>
      </c>
      <c r="D453" s="98">
        <f>SUMIFS(Input!$C$115:$C$3257,Input!$A$115:$A$3257,"="&amp;'Output - County'!A453,Input!$B$115:$B$3257,"="&amp;'Output - County'!B453)*VLOOKUP(A453,'Output - State'!$B$2:$G$52,3,FALSE)</f>
        <v>0</v>
      </c>
      <c r="E453" s="98">
        <f>SUMIFS(Input!$C$115:$C$3257,Input!$A$115:$A$3257,"="&amp;'Output - County'!A453,Input!$B$115:$B$3257,"="&amp;'Output - County'!B453)*VLOOKUP(A453,'Output - State'!$B$2:$G$52,4,FALSE)</f>
        <v>0.17831801875552974</v>
      </c>
      <c r="F453" s="98">
        <f>SUMIFS(Input!$C$115:$C$3257,Input!$A$115:$A$3257,"="&amp;'Output - County'!A453,Input!$B$115:$B$3257,"="&amp;'Output - County'!B453)*VLOOKUP(A453,'Output - State'!$B$2:$G$52,5,FALSE)</f>
        <v>8.3189660746789222</v>
      </c>
      <c r="G453" s="99">
        <f>SUMIFS(Input!$D$115:$D$3257,Input!$A$115:$A$3257,"="&amp;'Output - County'!A453,Input!$B$115:$B$3257,"="&amp;'Output - County'!B453)*VLOOKUP(A453,'Output - State'!$B$2:$G$52,6,FALSE)</f>
        <v>3.2413252484172017</v>
      </c>
    </row>
    <row r="454" spans="1:7" x14ac:dyDescent="0.25">
      <c r="A454" s="88">
        <v>13</v>
      </c>
      <c r="B454" s="88">
        <v>133</v>
      </c>
      <c r="C454" s="97">
        <f>SUMIFS(Input!$C$115:$C$3257,Input!$A$115:$A$3257,"="&amp;'Output - County'!A454,Input!$B$115:$B$3257,"="&amp;'Output - County'!B454)*VLOOKUP(A454,'Output - State'!$B$2:$G$52,2,FALSE)</f>
        <v>7.8260961663787043</v>
      </c>
      <c r="D454" s="98">
        <f>SUMIFS(Input!$C$115:$C$3257,Input!$A$115:$A$3257,"="&amp;'Output - County'!A454,Input!$B$115:$B$3257,"="&amp;'Output - County'!B454)*VLOOKUP(A454,'Output - State'!$B$2:$G$52,3,FALSE)</f>
        <v>0</v>
      </c>
      <c r="E454" s="98">
        <f>SUMIFS(Input!$C$115:$C$3257,Input!$A$115:$A$3257,"="&amp;'Output - County'!A454,Input!$B$115:$B$3257,"="&amp;'Output - County'!B454)*VLOOKUP(A454,'Output - State'!$B$2:$G$52,4,FALSE)</f>
        <v>0.24439060204447638</v>
      </c>
      <c r="F454" s="98">
        <f>SUMIFS(Input!$C$115:$C$3257,Input!$A$115:$A$3257,"="&amp;'Output - County'!A454,Input!$B$115:$B$3257,"="&amp;'Output - County'!B454)*VLOOKUP(A454,'Output - State'!$B$2:$G$52,5,FALSE)</f>
        <v>11.401411599159042</v>
      </c>
      <c r="G454" s="99">
        <f>SUMIFS(Input!$D$115:$D$3257,Input!$A$115:$A$3257,"="&amp;'Output - County'!A454,Input!$B$115:$B$3257,"="&amp;'Output - County'!B454)*VLOOKUP(A454,'Output - State'!$B$2:$G$52,6,FALSE)</f>
        <v>2.3133651974590514</v>
      </c>
    </row>
    <row r="455" spans="1:7" x14ac:dyDescent="0.25">
      <c r="A455" s="88">
        <v>13</v>
      </c>
      <c r="B455" s="88">
        <v>135</v>
      </c>
      <c r="C455" s="97">
        <f>SUMIFS(Input!$C$115:$C$3257,Input!$A$115:$A$3257,"="&amp;'Output - County'!A455,Input!$B$115:$B$3257,"="&amp;'Output - County'!B455)*VLOOKUP(A455,'Output - State'!$B$2:$G$52,2,FALSE)</f>
        <v>210.73679038179063</v>
      </c>
      <c r="D455" s="98">
        <f>SUMIFS(Input!$C$115:$C$3257,Input!$A$115:$A$3257,"="&amp;'Output - County'!A455,Input!$B$115:$B$3257,"="&amp;'Output - County'!B455)*VLOOKUP(A455,'Output - State'!$B$2:$G$52,3,FALSE)</f>
        <v>0</v>
      </c>
      <c r="E455" s="98">
        <f>SUMIFS(Input!$C$115:$C$3257,Input!$A$115:$A$3257,"="&amp;'Output - County'!A455,Input!$B$115:$B$3257,"="&amp;'Output - County'!B455)*VLOOKUP(A455,'Output - State'!$B$2:$G$52,4,FALSE)</f>
        <v>6.5808150039839726</v>
      </c>
      <c r="F455" s="98">
        <f>SUMIFS(Input!$C$115:$C$3257,Input!$A$115:$A$3257,"="&amp;'Output - County'!A455,Input!$B$115:$B$3257,"="&amp;'Output - County'!B455)*VLOOKUP(A455,'Output - State'!$B$2:$G$52,5,FALSE)</f>
        <v>307.01090750080476</v>
      </c>
      <c r="G455" s="99">
        <f>SUMIFS(Input!$D$115:$D$3257,Input!$A$115:$A$3257,"="&amp;'Output - County'!A455,Input!$B$115:$B$3257,"="&amp;'Output - County'!B455)*VLOOKUP(A455,'Output - State'!$B$2:$G$52,6,FALSE)</f>
        <v>121.15760101946557</v>
      </c>
    </row>
    <row r="456" spans="1:7" x14ac:dyDescent="0.25">
      <c r="A456" s="88">
        <v>13</v>
      </c>
      <c r="B456" s="88">
        <v>137</v>
      </c>
      <c r="C456" s="97">
        <f>SUMIFS(Input!$C$115:$C$3257,Input!$A$115:$A$3257,"="&amp;'Output - County'!A456,Input!$B$115:$B$3257,"="&amp;'Output - County'!B456)*VLOOKUP(A456,'Output - State'!$B$2:$G$52,2,FALSE)</f>
        <v>9.788033555066507</v>
      </c>
      <c r="D456" s="98">
        <f>SUMIFS(Input!$C$115:$C$3257,Input!$A$115:$A$3257,"="&amp;'Output - County'!A456,Input!$B$115:$B$3257,"="&amp;'Output - County'!B456)*VLOOKUP(A456,'Output - State'!$B$2:$G$52,3,FALSE)</f>
        <v>0</v>
      </c>
      <c r="E456" s="98">
        <f>SUMIFS(Input!$C$115:$C$3257,Input!$A$115:$A$3257,"="&amp;'Output - County'!A456,Input!$B$115:$B$3257,"="&amp;'Output - County'!B456)*VLOOKUP(A456,'Output - State'!$B$2:$G$52,4,FALSE)</f>
        <v>0.3056572986709305</v>
      </c>
      <c r="F456" s="98">
        <f>SUMIFS(Input!$C$115:$C$3257,Input!$A$115:$A$3257,"="&amp;'Output - County'!A456,Input!$B$115:$B$3257,"="&amp;'Output - County'!B456)*VLOOKUP(A456,'Output - State'!$B$2:$G$52,5,FALSE)</f>
        <v>14.259650908344458</v>
      </c>
      <c r="G456" s="99">
        <f>SUMIFS(Input!$D$115:$D$3257,Input!$A$115:$A$3257,"="&amp;'Output - County'!A456,Input!$B$115:$B$3257,"="&amp;'Output - County'!B456)*VLOOKUP(A456,'Output - State'!$B$2:$G$52,6,FALSE)</f>
        <v>5.9337163821831034</v>
      </c>
    </row>
    <row r="457" spans="1:7" x14ac:dyDescent="0.25">
      <c r="A457" s="88">
        <v>13</v>
      </c>
      <c r="B457" s="88">
        <v>139</v>
      </c>
      <c r="C457" s="97">
        <f>SUMIFS(Input!$C$115:$C$3257,Input!$A$115:$A$3257,"="&amp;'Output - County'!A457,Input!$B$115:$B$3257,"="&amp;'Output - County'!B457)*VLOOKUP(A457,'Output - State'!$B$2:$G$52,2,FALSE)</f>
        <v>47.985277192689452</v>
      </c>
      <c r="D457" s="98">
        <f>SUMIFS(Input!$C$115:$C$3257,Input!$A$115:$A$3257,"="&amp;'Output - County'!A457,Input!$B$115:$B$3257,"="&amp;'Output - County'!B457)*VLOOKUP(A457,'Output - State'!$B$2:$G$52,3,FALSE)</f>
        <v>0</v>
      </c>
      <c r="E457" s="98">
        <f>SUMIFS(Input!$C$115:$C$3257,Input!$A$115:$A$3257,"="&amp;'Output - County'!A457,Input!$B$115:$B$3257,"="&amp;'Output - County'!B457)*VLOOKUP(A457,'Output - State'!$B$2:$G$52,4,FALSE)</f>
        <v>1.4984675032199162</v>
      </c>
      <c r="F457" s="98">
        <f>SUMIFS(Input!$C$115:$C$3257,Input!$A$115:$A$3257,"="&amp;'Output - County'!A457,Input!$B$115:$B$3257,"="&amp;'Output - County'!B457)*VLOOKUP(A457,'Output - State'!$B$2:$G$52,5,FALSE)</f>
        <v>69.907126662199659</v>
      </c>
      <c r="G457" s="99">
        <f>SUMIFS(Input!$D$115:$D$3257,Input!$A$115:$A$3257,"="&amp;'Output - County'!A457,Input!$B$115:$B$3257,"="&amp;'Output - County'!B457)*VLOOKUP(A457,'Output - State'!$B$2:$G$52,6,FALSE)</f>
        <v>26.401116942753013</v>
      </c>
    </row>
    <row r="458" spans="1:7" x14ac:dyDescent="0.25">
      <c r="A458" s="88">
        <v>13</v>
      </c>
      <c r="B458" s="88">
        <v>141</v>
      </c>
      <c r="C458" s="97">
        <f>SUMIFS(Input!$C$115:$C$3257,Input!$A$115:$A$3257,"="&amp;'Output - County'!A458,Input!$B$115:$B$3257,"="&amp;'Output - County'!B458)*VLOOKUP(A458,'Output - State'!$B$2:$G$52,2,FALSE)</f>
        <v>1.7096884491806312</v>
      </c>
      <c r="D458" s="98">
        <f>SUMIFS(Input!$C$115:$C$3257,Input!$A$115:$A$3257,"="&amp;'Output - County'!A458,Input!$B$115:$B$3257,"="&amp;'Output - County'!B458)*VLOOKUP(A458,'Output - State'!$B$2:$G$52,3,FALSE)</f>
        <v>0</v>
      </c>
      <c r="E458" s="98">
        <f>SUMIFS(Input!$C$115:$C$3257,Input!$A$115:$A$3257,"="&amp;'Output - County'!A458,Input!$B$115:$B$3257,"="&amp;'Output - County'!B458)*VLOOKUP(A458,'Output - State'!$B$2:$G$52,4,FALSE)</f>
        <v>5.3389554705290686E-2</v>
      </c>
      <c r="F458" s="98">
        <f>SUMIFS(Input!$C$115:$C$3257,Input!$A$115:$A$3257,"="&amp;'Output - County'!A458,Input!$B$115:$B$3257,"="&amp;'Output - County'!B458)*VLOOKUP(A458,'Output - State'!$B$2:$G$52,5,FALSE)</f>
        <v>2.4907516213739589</v>
      </c>
      <c r="G458" s="99">
        <f>SUMIFS(Input!$D$115:$D$3257,Input!$A$115:$A$3257,"="&amp;'Output - County'!A458,Input!$B$115:$B$3257,"="&amp;'Output - County'!B458)*VLOOKUP(A458,'Output - State'!$B$2:$G$52,6,FALSE)</f>
        <v>1.0939472713408056</v>
      </c>
    </row>
    <row r="459" spans="1:7" x14ac:dyDescent="0.25">
      <c r="A459" s="88">
        <v>13</v>
      </c>
      <c r="B459" s="88">
        <v>143</v>
      </c>
      <c r="C459" s="97">
        <f>SUMIFS(Input!$C$115:$C$3257,Input!$A$115:$A$3257,"="&amp;'Output - County'!A459,Input!$B$115:$B$3257,"="&amp;'Output - County'!B459)*VLOOKUP(A459,'Output - State'!$B$2:$G$52,2,FALSE)</f>
        <v>8.0300682595529764</v>
      </c>
      <c r="D459" s="98">
        <f>SUMIFS(Input!$C$115:$C$3257,Input!$A$115:$A$3257,"="&amp;'Output - County'!A459,Input!$B$115:$B$3257,"="&amp;'Output - County'!B459)*VLOOKUP(A459,'Output - State'!$B$2:$G$52,3,FALSE)</f>
        <v>0</v>
      </c>
      <c r="E459" s="98">
        <f>SUMIFS(Input!$C$115:$C$3257,Input!$A$115:$A$3257,"="&amp;'Output - County'!A459,Input!$B$115:$B$3257,"="&amp;'Output - County'!B459)*VLOOKUP(A459,'Output - State'!$B$2:$G$52,4,FALSE)</f>
        <v>0.25076017144298257</v>
      </c>
      <c r="F459" s="98">
        <f>SUMIFS(Input!$C$115:$C$3257,Input!$A$115:$A$3257,"="&amp;'Output - County'!A459,Input!$B$115:$B$3257,"="&amp;'Output - County'!B459)*VLOOKUP(A459,'Output - State'!$B$2:$G$52,5,FALSE)</f>
        <v>11.698567389169988</v>
      </c>
      <c r="G459" s="99">
        <f>SUMIFS(Input!$D$115:$D$3257,Input!$A$115:$A$3257,"="&amp;'Output - County'!A459,Input!$B$115:$B$3257,"="&amp;'Output - County'!B459)*VLOOKUP(A459,'Output - State'!$B$2:$G$52,6,FALSE)</f>
        <v>3.8686785223044016</v>
      </c>
    </row>
    <row r="460" spans="1:7" x14ac:dyDescent="0.25">
      <c r="A460" s="88">
        <v>13</v>
      </c>
      <c r="B460" s="88">
        <v>145</v>
      </c>
      <c r="C460" s="97">
        <f>SUMIFS(Input!$C$115:$C$3257,Input!$A$115:$A$3257,"="&amp;'Output - County'!A460,Input!$B$115:$B$3257,"="&amp;'Output - County'!B460)*VLOOKUP(A460,'Output - State'!$B$2:$G$52,2,FALSE)</f>
        <v>10.597048848610585</v>
      </c>
      <c r="D460" s="98">
        <f>SUMIFS(Input!$C$115:$C$3257,Input!$A$115:$A$3257,"="&amp;'Output - County'!A460,Input!$B$115:$B$3257,"="&amp;'Output - County'!B460)*VLOOKUP(A460,'Output - State'!$B$2:$G$52,3,FALSE)</f>
        <v>0</v>
      </c>
      <c r="E460" s="98">
        <f>SUMIFS(Input!$C$115:$C$3257,Input!$A$115:$A$3257,"="&amp;'Output - County'!A460,Input!$B$115:$B$3257,"="&amp;'Output - County'!B460)*VLOOKUP(A460,'Output - State'!$B$2:$G$52,4,FALSE)</f>
        <v>0.33092094614587753</v>
      </c>
      <c r="F460" s="98">
        <f>SUMIFS(Input!$C$115:$C$3257,Input!$A$115:$A$3257,"="&amp;'Output - County'!A460,Input!$B$115:$B$3257,"="&amp;'Output - County'!B460)*VLOOKUP(A460,'Output - State'!$B$2:$G$52,5,FALSE)</f>
        <v>15.438261055167969</v>
      </c>
      <c r="G460" s="99">
        <f>SUMIFS(Input!$D$115:$D$3257,Input!$A$115:$A$3257,"="&amp;'Output - County'!A460,Input!$B$115:$B$3257,"="&amp;'Output - County'!B460)*VLOOKUP(A460,'Output - State'!$B$2:$G$52,6,FALSE)</f>
        <v>4.5221715159369023</v>
      </c>
    </row>
    <row r="461" spans="1:7" x14ac:dyDescent="0.25">
      <c r="A461" s="88">
        <v>13</v>
      </c>
      <c r="B461" s="88">
        <v>147</v>
      </c>
      <c r="C461" s="97">
        <f>SUMIFS(Input!$C$115:$C$3257,Input!$A$115:$A$3257,"="&amp;'Output - County'!A461,Input!$B$115:$B$3257,"="&amp;'Output - County'!B461)*VLOOKUP(A461,'Output - State'!$B$2:$G$52,2,FALSE)</f>
        <v>5.5267785842534742</v>
      </c>
      <c r="D461" s="98">
        <f>SUMIFS(Input!$C$115:$C$3257,Input!$A$115:$A$3257,"="&amp;'Output - County'!A461,Input!$B$115:$B$3257,"="&amp;'Output - County'!B461)*VLOOKUP(A461,'Output - State'!$B$2:$G$52,3,FALSE)</f>
        <v>0</v>
      </c>
      <c r="E461" s="98">
        <f>SUMIFS(Input!$C$115:$C$3257,Input!$A$115:$A$3257,"="&amp;'Output - County'!A461,Input!$B$115:$B$3257,"="&amp;'Output - County'!B461)*VLOOKUP(A461,'Output - State'!$B$2:$G$52,4,FALSE)</f>
        <v>0.17258831438525737</v>
      </c>
      <c r="F461" s="98">
        <f>SUMIFS(Input!$C$115:$C$3257,Input!$A$115:$A$3257,"="&amp;'Output - County'!A461,Input!$B$115:$B$3257,"="&amp;'Output - County'!B461)*VLOOKUP(A461,'Output - State'!$B$2:$G$52,5,FALSE)</f>
        <v>8.0516615330129255</v>
      </c>
      <c r="G461" s="99">
        <f>SUMIFS(Input!$D$115:$D$3257,Input!$A$115:$A$3257,"="&amp;'Output - County'!A461,Input!$B$115:$B$3257,"="&amp;'Output - County'!B461)*VLOOKUP(A461,'Output - State'!$B$2:$G$52,6,FALSE)</f>
        <v>3.411233426761652</v>
      </c>
    </row>
    <row r="462" spans="1:7" x14ac:dyDescent="0.25">
      <c r="A462" s="88">
        <v>13</v>
      </c>
      <c r="B462" s="88">
        <v>149</v>
      </c>
      <c r="C462" s="97">
        <f>SUMIFS(Input!$C$115:$C$3257,Input!$A$115:$A$3257,"="&amp;'Output - County'!A462,Input!$B$115:$B$3257,"="&amp;'Output - County'!B462)*VLOOKUP(A462,'Output - State'!$B$2:$G$52,2,FALSE)</f>
        <v>2.3630267064333368</v>
      </c>
      <c r="D462" s="98">
        <f>SUMIFS(Input!$C$115:$C$3257,Input!$A$115:$A$3257,"="&amp;'Output - County'!A462,Input!$B$115:$B$3257,"="&amp;'Output - County'!B462)*VLOOKUP(A462,'Output - State'!$B$2:$G$52,3,FALSE)</f>
        <v>0</v>
      </c>
      <c r="E462" s="98">
        <f>SUMIFS(Input!$C$115:$C$3257,Input!$A$115:$A$3257,"="&amp;'Output - County'!A462,Input!$B$115:$B$3257,"="&amp;'Output - County'!B462)*VLOOKUP(A462,'Output - State'!$B$2:$G$52,4,FALSE)</f>
        <v>7.3791773977094008E-2</v>
      </c>
      <c r="F462" s="98">
        <f>SUMIFS(Input!$C$115:$C$3257,Input!$A$115:$A$3257,"="&amp;'Output - County'!A462,Input!$B$115:$B$3257,"="&amp;'Output - County'!B462)*VLOOKUP(A462,'Output - State'!$B$2:$G$52,5,FALSE)</f>
        <v>3.4425644059416376</v>
      </c>
      <c r="G462" s="99">
        <f>SUMIFS(Input!$D$115:$D$3257,Input!$A$115:$A$3257,"="&amp;'Output - County'!A462,Input!$B$115:$B$3257,"="&amp;'Output - County'!B462)*VLOOKUP(A462,'Output - State'!$B$2:$G$52,6,FALSE)</f>
        <v>1.5553133248453506</v>
      </c>
    </row>
    <row r="463" spans="1:7" x14ac:dyDescent="0.25">
      <c r="A463" s="88">
        <v>13</v>
      </c>
      <c r="B463" s="88">
        <v>151</v>
      </c>
      <c r="C463" s="97">
        <f>SUMIFS(Input!$C$115:$C$3257,Input!$A$115:$A$3257,"="&amp;'Output - County'!A463,Input!$B$115:$B$3257,"="&amp;'Output - County'!B463)*VLOOKUP(A463,'Output - State'!$B$2:$G$52,2,FALSE)</f>
        <v>68.48095247391413</v>
      </c>
      <c r="D463" s="98">
        <f>SUMIFS(Input!$C$115:$C$3257,Input!$A$115:$A$3257,"="&amp;'Output - County'!A463,Input!$B$115:$B$3257,"="&amp;'Output - County'!B463)*VLOOKUP(A463,'Output - State'!$B$2:$G$52,3,FALSE)</f>
        <v>0</v>
      </c>
      <c r="E463" s="98">
        <f>SUMIFS(Input!$C$115:$C$3257,Input!$A$115:$A$3257,"="&amp;'Output - County'!A463,Input!$B$115:$B$3257,"="&amp;'Output - County'!B463)*VLOOKUP(A463,'Output - State'!$B$2:$G$52,4,FALSE)</f>
        <v>2.1384993038519209</v>
      </c>
      <c r="F463" s="98">
        <f>SUMIFS(Input!$C$115:$C$3257,Input!$A$115:$A$3257,"="&amp;'Output - County'!A463,Input!$B$115:$B$3257,"="&amp;'Output - County'!B463)*VLOOKUP(A463,'Output - State'!$B$2:$G$52,5,FALSE)</f>
        <v>99.766155342150142</v>
      </c>
      <c r="G463" s="99">
        <f>SUMIFS(Input!$D$115:$D$3257,Input!$A$115:$A$3257,"="&amp;'Output - County'!A463,Input!$B$115:$B$3257,"="&amp;'Output - County'!B463)*VLOOKUP(A463,'Output - State'!$B$2:$G$52,6,FALSE)</f>
        <v>30.060677707095014</v>
      </c>
    </row>
    <row r="464" spans="1:7" x14ac:dyDescent="0.25">
      <c r="A464" s="88">
        <v>13</v>
      </c>
      <c r="B464" s="88">
        <v>153</v>
      </c>
      <c r="C464" s="97">
        <f>SUMIFS(Input!$C$115:$C$3257,Input!$A$115:$A$3257,"="&amp;'Output - County'!A464,Input!$B$115:$B$3257,"="&amp;'Output - County'!B464)*VLOOKUP(A464,'Output - State'!$B$2:$G$52,2,FALSE)</f>
        <v>36.696946026961555</v>
      </c>
      <c r="D464" s="98">
        <f>SUMIFS(Input!$C$115:$C$3257,Input!$A$115:$A$3257,"="&amp;'Output - County'!A464,Input!$B$115:$B$3257,"="&amp;'Output - County'!B464)*VLOOKUP(A464,'Output - State'!$B$2:$G$52,3,FALSE)</f>
        <v>0</v>
      </c>
      <c r="E464" s="98">
        <f>SUMIFS(Input!$C$115:$C$3257,Input!$A$115:$A$3257,"="&amp;'Output - County'!A464,Input!$B$115:$B$3257,"="&amp;'Output - County'!B464)*VLOOKUP(A464,'Output - State'!$B$2:$G$52,4,FALSE)</f>
        <v>1.1459594339322625</v>
      </c>
      <c r="F464" s="98">
        <f>SUMIFS(Input!$C$115:$C$3257,Input!$A$115:$A$3257,"="&amp;'Output - County'!A464,Input!$B$115:$B$3257,"="&amp;'Output - County'!B464)*VLOOKUP(A464,'Output - State'!$B$2:$G$52,5,FALSE)</f>
        <v>53.461774196305804</v>
      </c>
      <c r="G464" s="99">
        <f>SUMIFS(Input!$D$115:$D$3257,Input!$A$115:$A$3257,"="&amp;'Output - County'!A464,Input!$B$115:$B$3257,"="&amp;'Output - County'!B464)*VLOOKUP(A464,'Output - State'!$B$2:$G$52,6,FALSE)</f>
        <v>20.388981401334011</v>
      </c>
    </row>
    <row r="465" spans="1:7" x14ac:dyDescent="0.25">
      <c r="A465" s="88">
        <v>13</v>
      </c>
      <c r="B465" s="88">
        <v>155</v>
      </c>
      <c r="C465" s="97">
        <f>SUMIFS(Input!$C$115:$C$3257,Input!$A$115:$A$3257,"="&amp;'Output - County'!A465,Input!$B$115:$B$3257,"="&amp;'Output - County'!B465)*VLOOKUP(A465,'Output - State'!$B$2:$G$52,2,FALSE)</f>
        <v>2.2323684511828232</v>
      </c>
      <c r="D465" s="98">
        <f>SUMIFS(Input!$C$115:$C$3257,Input!$A$115:$A$3257,"="&amp;'Output - County'!A465,Input!$B$115:$B$3257,"="&amp;'Output - County'!B465)*VLOOKUP(A465,'Output - State'!$B$2:$G$52,3,FALSE)</f>
        <v>0</v>
      </c>
      <c r="E465" s="98">
        <f>SUMIFS(Input!$C$115:$C$3257,Input!$A$115:$A$3257,"="&amp;'Output - County'!A465,Input!$B$115:$B$3257,"="&amp;'Output - County'!B465)*VLOOKUP(A465,'Output - State'!$B$2:$G$52,4,FALSE)</f>
        <v>6.9711623543991269E-2</v>
      </c>
      <c r="F465" s="98">
        <f>SUMIFS(Input!$C$115:$C$3257,Input!$A$115:$A$3257,"="&amp;'Output - County'!A465,Input!$B$115:$B$3257,"="&amp;'Output - County'!B465)*VLOOKUP(A465,'Output - State'!$B$2:$G$52,5,FALSE)</f>
        <v>3.2522155378381683</v>
      </c>
      <c r="G465" s="99">
        <f>SUMIFS(Input!$D$115:$D$3257,Input!$A$115:$A$3257,"="&amp;'Output - County'!A465,Input!$B$115:$B$3257,"="&amp;'Output - County'!B465)*VLOOKUP(A465,'Output - State'!$B$2:$G$52,6,FALSE)</f>
        <v>1.2285668280291007</v>
      </c>
    </row>
    <row r="466" spans="1:7" x14ac:dyDescent="0.25">
      <c r="A466" s="88">
        <v>13</v>
      </c>
      <c r="B466" s="88">
        <v>157</v>
      </c>
      <c r="C466" s="97">
        <f>SUMIFS(Input!$C$115:$C$3257,Input!$A$115:$A$3257,"="&amp;'Output - County'!A466,Input!$B$115:$B$3257,"="&amp;'Output - County'!B466)*VLOOKUP(A466,'Output - State'!$B$2:$G$52,2,FALSE)</f>
        <v>26.557813517476699</v>
      </c>
      <c r="D466" s="98">
        <f>SUMIFS(Input!$C$115:$C$3257,Input!$A$115:$A$3257,"="&amp;'Output - County'!A466,Input!$B$115:$B$3257,"="&amp;'Output - County'!B466)*VLOOKUP(A466,'Output - State'!$B$2:$G$52,3,FALSE)</f>
        <v>0</v>
      </c>
      <c r="E466" s="98">
        <f>SUMIFS(Input!$C$115:$C$3257,Input!$A$115:$A$3257,"="&amp;'Output - County'!A466,Input!$B$115:$B$3257,"="&amp;'Output - County'!B466)*VLOOKUP(A466,'Output - State'!$B$2:$G$52,4,FALSE)</f>
        <v>0.82933813954452607</v>
      </c>
      <c r="F466" s="98">
        <f>SUMIFS(Input!$C$115:$C$3257,Input!$A$115:$A$3257,"="&amp;'Output - County'!A466,Input!$B$115:$B$3257,"="&amp;'Output - County'!B466)*VLOOKUP(A466,'Output - State'!$B$2:$G$52,5,FALSE)</f>
        <v>38.690626418225037</v>
      </c>
      <c r="G466" s="99">
        <f>SUMIFS(Input!$D$115:$D$3257,Input!$A$115:$A$3257,"="&amp;'Output - County'!A466,Input!$B$115:$B$3257,"="&amp;'Output - County'!B466)*VLOOKUP(A466,'Output - State'!$B$2:$G$52,6,FALSE)</f>
        <v>9.1881114904729539</v>
      </c>
    </row>
    <row r="467" spans="1:7" x14ac:dyDescent="0.25">
      <c r="A467" s="88">
        <v>13</v>
      </c>
      <c r="B467" s="88">
        <v>159</v>
      </c>
      <c r="C467" s="97">
        <f>SUMIFS(Input!$C$115:$C$3257,Input!$A$115:$A$3257,"="&amp;'Output - County'!A467,Input!$B$115:$B$3257,"="&amp;'Output - County'!B467)*VLOOKUP(A467,'Output - State'!$B$2:$G$52,2,FALSE)</f>
        <v>2.7633038579505618</v>
      </c>
      <c r="D467" s="98">
        <f>SUMIFS(Input!$C$115:$C$3257,Input!$A$115:$A$3257,"="&amp;'Output - County'!A467,Input!$B$115:$B$3257,"="&amp;'Output - County'!B467)*VLOOKUP(A467,'Output - State'!$B$2:$G$52,3,FALSE)</f>
        <v>0</v>
      </c>
      <c r="E467" s="98">
        <f>SUMIFS(Input!$C$115:$C$3257,Input!$A$115:$A$3257,"="&amp;'Output - County'!A467,Input!$B$115:$B$3257,"="&amp;'Output - County'!B467)*VLOOKUP(A467,'Output - State'!$B$2:$G$52,4,FALSE)</f>
        <v>8.6291489283966835E-2</v>
      </c>
      <c r="F467" s="98">
        <f>SUMIFS(Input!$C$115:$C$3257,Input!$A$115:$A$3257,"="&amp;'Output - County'!A467,Input!$B$115:$B$3257,"="&amp;'Output - County'!B467)*VLOOKUP(A467,'Output - State'!$B$2:$G$52,5,FALSE)</f>
        <v>4.0257063021264576</v>
      </c>
      <c r="G467" s="99">
        <f>SUMIFS(Input!$D$115:$D$3257,Input!$A$115:$A$3257,"="&amp;'Output - County'!A467,Input!$B$115:$B$3257,"="&amp;'Output - County'!B467)*VLOOKUP(A467,'Output - State'!$B$2:$G$52,6,FALSE)</f>
        <v>1.829780382171001</v>
      </c>
    </row>
    <row r="468" spans="1:7" x14ac:dyDescent="0.25">
      <c r="A468" s="88">
        <v>13</v>
      </c>
      <c r="B468" s="88">
        <v>161</v>
      </c>
      <c r="C468" s="97">
        <f>SUMIFS(Input!$C$115:$C$3257,Input!$A$115:$A$3257,"="&amp;'Output - County'!A468,Input!$B$115:$B$3257,"="&amp;'Output - County'!B468)*VLOOKUP(A468,'Output - State'!$B$2:$G$52,2,FALSE)</f>
        <v>2.6464371457772828</v>
      </c>
      <c r="D468" s="98">
        <f>SUMIFS(Input!$C$115:$C$3257,Input!$A$115:$A$3257,"="&amp;'Output - County'!A468,Input!$B$115:$B$3257,"="&amp;'Output - County'!B468)*VLOOKUP(A468,'Output - State'!$B$2:$G$52,3,FALSE)</f>
        <v>0</v>
      </c>
      <c r="E468" s="98">
        <f>SUMIFS(Input!$C$115:$C$3257,Input!$A$115:$A$3257,"="&amp;'Output - County'!A468,Input!$B$115:$B$3257,"="&amp;'Output - County'!B468)*VLOOKUP(A468,'Output - State'!$B$2:$G$52,4,FALSE)</f>
        <v>8.2642016348828867E-2</v>
      </c>
      <c r="F468" s="98">
        <f>SUMIFS(Input!$C$115:$C$3257,Input!$A$115:$A$3257,"="&amp;'Output - County'!A468,Input!$B$115:$B$3257,"="&amp;'Output - County'!B468)*VLOOKUP(A468,'Output - State'!$B$2:$G$52,5,FALSE)</f>
        <v>3.8554495790552212</v>
      </c>
      <c r="G468" s="99">
        <f>SUMIFS(Input!$D$115:$D$3257,Input!$A$115:$A$3257,"="&amp;'Output - County'!A468,Input!$B$115:$B$3257,"="&amp;'Output - County'!B468)*VLOOKUP(A468,'Output - State'!$B$2:$G$52,6,FALSE)</f>
        <v>1.9604789808975009</v>
      </c>
    </row>
    <row r="469" spans="1:7" x14ac:dyDescent="0.25">
      <c r="A469" s="88">
        <v>13</v>
      </c>
      <c r="B469" s="88">
        <v>163</v>
      </c>
      <c r="C469" s="97">
        <f>SUMIFS(Input!$C$115:$C$3257,Input!$A$115:$A$3257,"="&amp;'Output - County'!A469,Input!$B$115:$B$3257,"="&amp;'Output - County'!B469)*VLOOKUP(A469,'Output - State'!$B$2:$G$52,2,FALSE)</f>
        <v>4.6491289582462807</v>
      </c>
      <c r="D469" s="98">
        <f>SUMIFS(Input!$C$115:$C$3257,Input!$A$115:$A$3257,"="&amp;'Output - County'!A469,Input!$B$115:$B$3257,"="&amp;'Output - County'!B469)*VLOOKUP(A469,'Output - State'!$B$2:$G$52,3,FALSE)</f>
        <v>0</v>
      </c>
      <c r="E469" s="98">
        <f>SUMIFS(Input!$C$115:$C$3257,Input!$A$115:$A$3257,"="&amp;'Output - County'!A469,Input!$B$115:$B$3257,"="&amp;'Output - County'!B469)*VLOOKUP(A469,'Output - State'!$B$2:$G$52,4,FALSE)</f>
        <v>0.14518137790964078</v>
      </c>
      <c r="F469" s="98">
        <f>SUMIFS(Input!$C$115:$C$3257,Input!$A$115:$A$3257,"="&amp;'Output - County'!A469,Input!$B$115:$B$3257,"="&amp;'Output - County'!B469)*VLOOKUP(A469,'Output - State'!$B$2:$G$52,5,FALSE)</f>
        <v>6.7730617799273212</v>
      </c>
      <c r="G469" s="99">
        <f>SUMIFS(Input!$D$115:$D$3257,Input!$A$115:$A$3257,"="&amp;'Output - County'!A469,Input!$B$115:$B$3257,"="&amp;'Output - County'!B469)*VLOOKUP(A469,'Output - State'!$B$2:$G$52,6,FALSE)</f>
        <v>2.012758420388101</v>
      </c>
    </row>
    <row r="470" spans="1:7" x14ac:dyDescent="0.25">
      <c r="A470" s="88">
        <v>13</v>
      </c>
      <c r="B470" s="88">
        <v>165</v>
      </c>
      <c r="C470" s="97">
        <f>SUMIFS(Input!$C$115:$C$3257,Input!$A$115:$A$3257,"="&amp;'Output - County'!A470,Input!$B$115:$B$3257,"="&amp;'Output - County'!B470)*VLOOKUP(A470,'Output - State'!$B$2:$G$52,2,FALSE)</f>
        <v>2.2930283412437755</v>
      </c>
      <c r="D470" s="98">
        <f>SUMIFS(Input!$C$115:$C$3257,Input!$A$115:$A$3257,"="&amp;'Output - County'!A470,Input!$B$115:$B$3257,"="&amp;'Output - County'!B470)*VLOOKUP(A470,'Output - State'!$B$2:$G$52,3,FALSE)</f>
        <v>0</v>
      </c>
      <c r="E470" s="98">
        <f>SUMIFS(Input!$C$115:$C$3257,Input!$A$115:$A$3257,"="&amp;'Output - County'!A470,Input!$B$115:$B$3257,"="&amp;'Output - County'!B470)*VLOOKUP(A470,'Output - State'!$B$2:$G$52,4,FALSE)</f>
        <v>7.1605889438095094E-2</v>
      </c>
      <c r="F470" s="98">
        <f>SUMIFS(Input!$C$115:$C$3257,Input!$A$115:$A$3257,"="&amp;'Output - County'!A470,Input!$B$115:$B$3257,"="&amp;'Output - County'!B470)*VLOOKUP(A470,'Output - State'!$B$2:$G$52,5,FALSE)</f>
        <v>3.3405876149812834</v>
      </c>
      <c r="G470" s="99">
        <f>SUMIFS(Input!$D$115:$D$3257,Input!$A$115:$A$3257,"="&amp;'Output - County'!A470,Input!$B$115:$B$3257,"="&amp;'Output - County'!B470)*VLOOKUP(A470,'Output - State'!$B$2:$G$52,6,FALSE)</f>
        <v>1.1462267108314057</v>
      </c>
    </row>
    <row r="471" spans="1:7" x14ac:dyDescent="0.25">
      <c r="A471" s="88">
        <v>13</v>
      </c>
      <c r="B471" s="88">
        <v>167</v>
      </c>
      <c r="C471" s="97">
        <f>SUMIFS(Input!$C$115:$C$3257,Input!$A$115:$A$3257,"="&amp;'Output - County'!A471,Input!$B$115:$B$3257,"="&amp;'Output - County'!B471)*VLOOKUP(A471,'Output - State'!$B$2:$G$52,2,FALSE)</f>
        <v>1.6081293384521507</v>
      </c>
      <c r="D471" s="98">
        <f>SUMIFS(Input!$C$115:$C$3257,Input!$A$115:$A$3257,"="&amp;'Output - County'!A471,Input!$B$115:$B$3257,"="&amp;'Output - County'!B471)*VLOOKUP(A471,'Output - State'!$B$2:$G$52,3,FALSE)</f>
        <v>0</v>
      </c>
      <c r="E471" s="98">
        <f>SUMIFS(Input!$C$115:$C$3257,Input!$A$115:$A$3257,"="&amp;'Output - County'!A471,Input!$B$115:$B$3257,"="&amp;'Output - County'!B471)*VLOOKUP(A471,'Output - State'!$B$2:$G$52,4,FALSE)</f>
        <v>5.0218102210154825E-2</v>
      </c>
      <c r="F471" s="98">
        <f>SUMIFS(Input!$C$115:$C$3257,Input!$A$115:$A$3257,"="&amp;'Output - County'!A471,Input!$B$115:$B$3257,"="&amp;'Output - County'!B471)*VLOOKUP(A471,'Output - State'!$B$2:$G$52,5,FALSE)</f>
        <v>2.3427957058774891</v>
      </c>
      <c r="G471" s="99">
        <f>SUMIFS(Input!$D$115:$D$3257,Input!$A$115:$A$3257,"="&amp;'Output - County'!A471,Input!$B$115:$B$3257,"="&amp;'Output - County'!B471)*VLOOKUP(A471,'Output - State'!$B$2:$G$52,6,FALSE)</f>
        <v>1.2690833936343155</v>
      </c>
    </row>
    <row r="472" spans="1:7" x14ac:dyDescent="0.25">
      <c r="A472" s="88">
        <v>13</v>
      </c>
      <c r="B472" s="88">
        <v>169</v>
      </c>
      <c r="C472" s="97">
        <f>SUMIFS(Input!$C$115:$C$3257,Input!$A$115:$A$3257,"="&amp;'Output - County'!A472,Input!$B$115:$B$3257,"="&amp;'Output - County'!B472)*VLOOKUP(A472,'Output - State'!$B$2:$G$52,2,FALSE)</f>
        <v>4.9150472763001654</v>
      </c>
      <c r="D472" s="98">
        <f>SUMIFS(Input!$C$115:$C$3257,Input!$A$115:$A$3257,"="&amp;'Output - County'!A472,Input!$B$115:$B$3257,"="&amp;'Output - County'!B472)*VLOOKUP(A472,'Output - State'!$B$2:$G$52,3,FALSE)</f>
        <v>0</v>
      </c>
      <c r="E472" s="98">
        <f>SUMIFS(Input!$C$115:$C$3257,Input!$A$115:$A$3257,"="&amp;'Output - County'!A472,Input!$B$115:$B$3257,"="&amp;'Output - County'!B472)*VLOOKUP(A472,'Output - State'!$B$2:$G$52,4,FALSE)</f>
        <v>0.15348538241740992</v>
      </c>
      <c r="F472" s="98">
        <f>SUMIFS(Input!$C$115:$C$3257,Input!$A$115:$A$3257,"="&amp;'Output - County'!A472,Input!$B$115:$B$3257,"="&amp;'Output - County'!B472)*VLOOKUP(A472,'Output - State'!$B$2:$G$52,5,FALSE)</f>
        <v>7.1604636379460578</v>
      </c>
      <c r="G472" s="99">
        <f>SUMIFS(Input!$D$115:$D$3257,Input!$A$115:$A$3257,"="&amp;'Output - County'!A472,Input!$B$115:$B$3257,"="&amp;'Output - County'!B472)*VLOOKUP(A472,'Output - State'!$B$2:$G$52,6,FALSE)</f>
        <v>3.7510497834505516</v>
      </c>
    </row>
    <row r="473" spans="1:7" x14ac:dyDescent="0.25">
      <c r="A473" s="88">
        <v>13</v>
      </c>
      <c r="B473" s="88">
        <v>171</v>
      </c>
      <c r="C473" s="97">
        <f>SUMIFS(Input!$C$115:$C$3257,Input!$A$115:$A$3257,"="&amp;'Output - County'!A473,Input!$B$115:$B$3257,"="&amp;'Output - County'!B473)*VLOOKUP(A473,'Output - State'!$B$2:$G$52,2,FALSE)</f>
        <v>5.7667792411343388</v>
      </c>
      <c r="D473" s="98">
        <f>SUMIFS(Input!$C$115:$C$3257,Input!$A$115:$A$3257,"="&amp;'Output - County'!A473,Input!$B$115:$B$3257,"="&amp;'Output - County'!B473)*VLOOKUP(A473,'Output - State'!$B$2:$G$52,3,FALSE)</f>
        <v>0</v>
      </c>
      <c r="E473" s="98">
        <f>SUMIFS(Input!$C$115:$C$3257,Input!$A$115:$A$3257,"="&amp;'Output - County'!A473,Input!$B$115:$B$3257,"="&amp;'Output - County'!B473)*VLOOKUP(A473,'Output - State'!$B$2:$G$52,4,FALSE)</f>
        <v>0.18008297120766703</v>
      </c>
      <c r="F473" s="98">
        <f>SUMIFS(Input!$C$115:$C$3257,Input!$A$115:$A$3257,"="&amp;'Output - County'!A473,Input!$B$115:$B$3257,"="&amp;'Output - County'!B473)*VLOOKUP(A473,'Output - State'!$B$2:$G$52,5,FALSE)</f>
        <v>8.4013053675626157</v>
      </c>
      <c r="G473" s="99">
        <f>SUMIFS(Input!$D$115:$D$3257,Input!$A$115:$A$3257,"="&amp;'Output - County'!A473,Input!$B$115:$B$3257,"="&amp;'Output - County'!B473)*VLOOKUP(A473,'Output - State'!$B$2:$G$52,6,FALSE)</f>
        <v>2.4832733758035013</v>
      </c>
    </row>
    <row r="474" spans="1:7" x14ac:dyDescent="0.25">
      <c r="A474" s="88">
        <v>13</v>
      </c>
      <c r="B474" s="88">
        <v>173</v>
      </c>
      <c r="C474" s="97">
        <f>SUMIFS(Input!$C$115:$C$3257,Input!$A$115:$A$3257,"="&amp;'Output - County'!A474,Input!$B$115:$B$3257,"="&amp;'Output - County'!B474)*VLOOKUP(A474,'Output - State'!$B$2:$G$52,2,FALSE)</f>
        <v>1.8332602614141915</v>
      </c>
      <c r="D474" s="98">
        <f>SUMIFS(Input!$C$115:$C$3257,Input!$A$115:$A$3257,"="&amp;'Output - County'!A474,Input!$B$115:$B$3257,"="&amp;'Output - County'!B474)*VLOOKUP(A474,'Output - State'!$B$2:$G$52,3,FALSE)</f>
        <v>0</v>
      </c>
      <c r="E474" s="98">
        <f>SUMIFS(Input!$C$115:$C$3257,Input!$A$115:$A$3257,"="&amp;'Output - County'!A474,Input!$B$115:$B$3257,"="&amp;'Output - County'!B474)*VLOOKUP(A474,'Output - State'!$B$2:$G$52,4,FALSE)</f>
        <v>5.7248412166974662E-2</v>
      </c>
      <c r="F474" s="98">
        <f>SUMIFS(Input!$C$115:$C$3257,Input!$A$115:$A$3257,"="&amp;'Output - County'!A474,Input!$B$115:$B$3257,"="&amp;'Output - County'!B474)*VLOOKUP(A474,'Output - State'!$B$2:$G$52,5,FALSE)</f>
        <v>2.6707766381098241</v>
      </c>
      <c r="G474" s="99">
        <f>SUMIFS(Input!$D$115:$D$3257,Input!$A$115:$A$3257,"="&amp;'Output - County'!A474,Input!$B$115:$B$3257,"="&amp;'Output - County'!B474)*VLOOKUP(A474,'Output - State'!$B$2:$G$52,6,FALSE)</f>
        <v>1.3592654267556006</v>
      </c>
    </row>
    <row r="475" spans="1:7" x14ac:dyDescent="0.25">
      <c r="A475" s="88">
        <v>13</v>
      </c>
      <c r="B475" s="88">
        <v>175</v>
      </c>
      <c r="C475" s="97">
        <f>SUMIFS(Input!$C$115:$C$3257,Input!$A$115:$A$3257,"="&amp;'Output - County'!A475,Input!$B$115:$B$3257,"="&amp;'Output - County'!B475)*VLOOKUP(A475,'Output - State'!$B$2:$G$52,2,FALSE)</f>
        <v>17.037084313687611</v>
      </c>
      <c r="D475" s="98">
        <f>SUMIFS(Input!$C$115:$C$3257,Input!$A$115:$A$3257,"="&amp;'Output - County'!A475,Input!$B$115:$B$3257,"="&amp;'Output - County'!B475)*VLOOKUP(A475,'Output - State'!$B$2:$G$52,3,FALSE)</f>
        <v>0</v>
      </c>
      <c r="E475" s="98">
        <f>SUMIFS(Input!$C$115:$C$3257,Input!$A$115:$A$3257,"="&amp;'Output - County'!A475,Input!$B$115:$B$3257,"="&amp;'Output - County'!B475)*VLOOKUP(A475,'Output - State'!$B$2:$G$52,4,FALSE)</f>
        <v>0.53202812794354537</v>
      </c>
      <c r="F475" s="98">
        <f>SUMIFS(Input!$C$115:$C$3257,Input!$A$115:$A$3257,"="&amp;'Output - County'!A475,Input!$B$115:$B$3257,"="&amp;'Output - County'!B475)*VLOOKUP(A475,'Output - State'!$B$2:$G$52,5,FALSE)</f>
        <v>24.820396603918869</v>
      </c>
      <c r="G475" s="99">
        <f>SUMIFS(Input!$D$115:$D$3257,Input!$A$115:$A$3257,"="&amp;'Output - County'!A475,Input!$B$115:$B$3257,"="&amp;'Output - County'!B475)*VLOOKUP(A475,'Output - State'!$B$2:$G$52,6,FALSE)</f>
        <v>6.1820437197634535</v>
      </c>
    </row>
    <row r="476" spans="1:7" x14ac:dyDescent="0.25">
      <c r="A476" s="88">
        <v>13</v>
      </c>
      <c r="B476" s="88">
        <v>177</v>
      </c>
      <c r="C476" s="97">
        <f>SUMIFS(Input!$C$115:$C$3257,Input!$A$115:$A$3257,"="&amp;'Output - County'!A476,Input!$B$115:$B$3257,"="&amp;'Output - County'!B476)*VLOOKUP(A476,'Output - State'!$B$2:$G$52,2,FALSE)</f>
        <v>6.8094364520107895</v>
      </c>
      <c r="D476" s="98">
        <f>SUMIFS(Input!$C$115:$C$3257,Input!$A$115:$A$3257,"="&amp;'Output - County'!A476,Input!$B$115:$B$3257,"="&amp;'Output - County'!B476)*VLOOKUP(A476,'Output - State'!$B$2:$G$52,3,FALSE)</f>
        <v>0</v>
      </c>
      <c r="E476" s="98">
        <f>SUMIFS(Input!$C$115:$C$3257,Input!$A$115:$A$3257,"="&amp;'Output - County'!A476,Input!$B$115:$B$3257,"="&amp;'Output - County'!B476)*VLOOKUP(A476,'Output - State'!$B$2:$G$52,4,FALSE)</f>
        <v>0.21264270700376048</v>
      </c>
      <c r="F476" s="98">
        <f>SUMIFS(Input!$C$115:$C$3257,Input!$A$115:$A$3257,"="&amp;'Output - County'!A476,Input!$B$115:$B$3257,"="&amp;'Output - County'!B476)*VLOOKUP(A476,'Output - State'!$B$2:$G$52,5,FALSE)</f>
        <v>9.9202956489629397</v>
      </c>
      <c r="G476" s="99">
        <f>SUMIFS(Input!$D$115:$D$3257,Input!$A$115:$A$3257,"="&amp;'Output - County'!A476,Input!$B$115:$B$3257,"="&amp;'Output - County'!B476)*VLOOKUP(A476,'Output - State'!$B$2:$G$52,6,FALSE)</f>
        <v>3.894818242049702</v>
      </c>
    </row>
    <row r="477" spans="1:7" x14ac:dyDescent="0.25">
      <c r="A477" s="88">
        <v>13</v>
      </c>
      <c r="B477" s="88">
        <v>179</v>
      </c>
      <c r="C477" s="97">
        <f>SUMIFS(Input!$C$115:$C$3257,Input!$A$115:$A$3257,"="&amp;'Output - County'!A477,Input!$B$115:$B$3257,"="&amp;'Output - County'!B477)*VLOOKUP(A477,'Output - State'!$B$2:$G$52,2,FALSE)</f>
        <v>18.741100063276221</v>
      </c>
      <c r="D477" s="98">
        <f>SUMIFS(Input!$C$115:$C$3257,Input!$A$115:$A$3257,"="&amp;'Output - County'!A477,Input!$B$115:$B$3257,"="&amp;'Output - County'!B477)*VLOOKUP(A477,'Output - State'!$B$2:$G$52,3,FALSE)</f>
        <v>0</v>
      </c>
      <c r="E477" s="98">
        <f>SUMIFS(Input!$C$115:$C$3257,Input!$A$115:$A$3257,"="&amp;'Output - County'!A477,Input!$B$115:$B$3257,"="&amp;'Output - County'!B477)*VLOOKUP(A477,'Output - State'!$B$2:$G$52,4,FALSE)</f>
        <v>0.58524053756410443</v>
      </c>
      <c r="F477" s="98">
        <f>SUMIFS(Input!$C$115:$C$3257,Input!$A$115:$A$3257,"="&amp;'Output - County'!A477,Input!$B$115:$B$3257,"="&amp;'Output - County'!B477)*VLOOKUP(A477,'Output - State'!$B$2:$G$52,5,FALSE)</f>
        <v>27.302883979422088</v>
      </c>
      <c r="G477" s="99">
        <f>SUMIFS(Input!$D$115:$D$3257,Input!$A$115:$A$3257,"="&amp;'Output - County'!A477,Input!$B$115:$B$3257,"="&amp;'Output - County'!B477)*VLOOKUP(A477,'Output - State'!$B$2:$G$52,6,FALSE)</f>
        <v>7.920335082825904</v>
      </c>
    </row>
    <row r="478" spans="1:7" x14ac:dyDescent="0.25">
      <c r="A478" s="88">
        <v>13</v>
      </c>
      <c r="B478" s="88">
        <v>181</v>
      </c>
      <c r="C478" s="97">
        <f>SUMIFS(Input!$C$115:$C$3257,Input!$A$115:$A$3257,"="&amp;'Output - County'!A478,Input!$B$115:$B$3257,"="&amp;'Output - County'!B478)*VLOOKUP(A478,'Output - State'!$B$2:$G$52,2,FALSE)</f>
        <v>1.5865768173115926</v>
      </c>
      <c r="D478" s="98">
        <f>SUMIFS(Input!$C$115:$C$3257,Input!$A$115:$A$3257,"="&amp;'Output - County'!A478,Input!$B$115:$B$3257,"="&amp;'Output - County'!B478)*VLOOKUP(A478,'Output - State'!$B$2:$G$52,3,FALSE)</f>
        <v>0</v>
      </c>
      <c r="E478" s="98">
        <f>SUMIFS(Input!$C$115:$C$3257,Input!$A$115:$A$3257,"="&amp;'Output - County'!A478,Input!$B$115:$B$3257,"="&amp;'Output - County'!B478)*VLOOKUP(A478,'Output - State'!$B$2:$G$52,4,FALSE)</f>
        <v>4.9545067595560439E-2</v>
      </c>
      <c r="F478" s="98">
        <f>SUMIFS(Input!$C$115:$C$3257,Input!$A$115:$A$3257,"="&amp;'Output - County'!A478,Input!$B$115:$B$3257,"="&amp;'Output - County'!B478)*VLOOKUP(A478,'Output - State'!$B$2:$G$52,5,FALSE)</f>
        <v>2.3113970162499906</v>
      </c>
      <c r="G478" s="99">
        <f>SUMIFS(Input!$D$115:$D$3257,Input!$A$115:$A$3257,"="&amp;'Output - County'!A478,Input!$B$115:$B$3257,"="&amp;'Output - County'!B478)*VLOOKUP(A478,'Output - State'!$B$2:$G$52,6,FALSE)</f>
        <v>1.0364398879011454</v>
      </c>
    </row>
    <row r="479" spans="1:7" x14ac:dyDescent="0.25">
      <c r="A479" s="88">
        <v>13</v>
      </c>
      <c r="B479" s="88">
        <v>183</v>
      </c>
      <c r="C479" s="97">
        <f>SUMIFS(Input!$C$115:$C$3257,Input!$A$115:$A$3257,"="&amp;'Output - County'!A479,Input!$B$115:$B$3257,"="&amp;'Output - County'!B479)*VLOOKUP(A479,'Output - State'!$B$2:$G$52,2,FALSE)</f>
        <v>3.0755842927865649</v>
      </c>
      <c r="D479" s="98">
        <f>SUMIFS(Input!$C$115:$C$3257,Input!$A$115:$A$3257,"="&amp;'Output - County'!A479,Input!$B$115:$B$3257,"="&amp;'Output - County'!B479)*VLOOKUP(A479,'Output - State'!$B$2:$G$52,3,FALSE)</f>
        <v>0</v>
      </c>
      <c r="E479" s="98">
        <f>SUMIFS(Input!$C$115:$C$3257,Input!$A$115:$A$3257,"="&amp;'Output - County'!A479,Input!$B$115:$B$3257,"="&amp;'Output - County'!B479)*VLOOKUP(A479,'Output - State'!$B$2:$G$52,4,FALSE)</f>
        <v>9.6043273807667084E-2</v>
      </c>
      <c r="F479" s="98">
        <f>SUMIFS(Input!$C$115:$C$3257,Input!$A$115:$A$3257,"="&amp;'Output - County'!A479,Input!$B$115:$B$3257,"="&amp;'Output - County'!B479)*VLOOKUP(A479,'Output - State'!$B$2:$G$52,5,FALSE)</f>
        <v>4.4806505931543974</v>
      </c>
      <c r="G479" s="99">
        <f>SUMIFS(Input!$D$115:$D$3257,Input!$A$115:$A$3257,"="&amp;'Output - County'!A479,Input!$B$115:$B$3257,"="&amp;'Output - County'!B479)*VLOOKUP(A479,'Output - State'!$B$2:$G$52,6,FALSE)</f>
        <v>2.496343235676151</v>
      </c>
    </row>
    <row r="480" spans="1:7" x14ac:dyDescent="0.25">
      <c r="A480" s="88">
        <v>13</v>
      </c>
      <c r="B480" s="88">
        <v>185</v>
      </c>
      <c r="C480" s="97">
        <f>SUMIFS(Input!$C$115:$C$3257,Input!$A$115:$A$3257,"="&amp;'Output - County'!A480,Input!$B$115:$B$3257,"="&amp;'Output - County'!B480)*VLOOKUP(A480,'Output - State'!$B$2:$G$52,2,FALSE)</f>
        <v>36.29737691673057</v>
      </c>
      <c r="D480" s="98">
        <f>SUMIFS(Input!$C$115:$C$3257,Input!$A$115:$A$3257,"="&amp;'Output - County'!A480,Input!$B$115:$B$3257,"="&amp;'Output - County'!B480)*VLOOKUP(A480,'Output - State'!$B$2:$G$52,3,FALSE)</f>
        <v>0</v>
      </c>
      <c r="E480" s="98">
        <f>SUMIFS(Input!$C$115:$C$3257,Input!$A$115:$A$3257,"="&amp;'Output - County'!A480,Input!$B$115:$B$3257,"="&amp;'Output - County'!B480)*VLOOKUP(A480,'Output - State'!$B$2:$G$52,4,FALSE)</f>
        <v>1.1334818290917752</v>
      </c>
      <c r="F480" s="98">
        <f>SUMIFS(Input!$C$115:$C$3257,Input!$A$115:$A$3257,"="&amp;'Output - County'!A480,Input!$B$115:$B$3257,"="&amp;'Output - County'!B480)*VLOOKUP(A480,'Output - State'!$B$2:$G$52,5,FALSE)</f>
        <v>52.879663806757492</v>
      </c>
      <c r="G480" s="99">
        <f>SUMIFS(Input!$D$115:$D$3257,Input!$A$115:$A$3257,"="&amp;'Output - County'!A480,Input!$B$115:$B$3257,"="&amp;'Output - County'!B480)*VLOOKUP(A480,'Output - State'!$B$2:$G$52,6,FALSE)</f>
        <v>15.161037452274007</v>
      </c>
    </row>
    <row r="481" spans="1:7" x14ac:dyDescent="0.25">
      <c r="A481" s="88">
        <v>13</v>
      </c>
      <c r="B481" s="88">
        <v>187</v>
      </c>
      <c r="C481" s="97">
        <f>SUMIFS(Input!$C$115:$C$3257,Input!$A$115:$A$3257,"="&amp;'Output - County'!A481,Input!$B$115:$B$3257,"="&amp;'Output - County'!B481)*VLOOKUP(A481,'Output - State'!$B$2:$G$52,2,FALSE)</f>
        <v>5.5490745973487314</v>
      </c>
      <c r="D481" s="98">
        <f>SUMIFS(Input!$C$115:$C$3257,Input!$A$115:$A$3257,"="&amp;'Output - County'!A481,Input!$B$115:$B$3257,"="&amp;'Output - County'!B481)*VLOOKUP(A481,'Output - State'!$B$2:$G$52,3,FALSE)</f>
        <v>0</v>
      </c>
      <c r="E481" s="98">
        <f>SUMIFS(Input!$C$115:$C$3257,Input!$A$115:$A$3257,"="&amp;'Output - County'!A481,Input!$B$115:$B$3257,"="&amp;'Output - County'!B481)*VLOOKUP(A481,'Output - State'!$B$2:$G$52,4,FALSE)</f>
        <v>0.17328456650734989</v>
      </c>
      <c r="F481" s="98">
        <f>SUMIFS(Input!$C$115:$C$3257,Input!$A$115:$A$3257,"="&amp;'Output - County'!A481,Input!$B$115:$B$3257,"="&amp;'Output - County'!B481)*VLOOKUP(A481,'Output - State'!$B$2:$G$52,5,FALSE)</f>
        <v>8.0841433754174883</v>
      </c>
      <c r="G481" s="99">
        <f>SUMIFS(Input!$D$115:$D$3257,Input!$A$115:$A$3257,"="&amp;'Output - County'!A481,Input!$B$115:$B$3257,"="&amp;'Output - County'!B481)*VLOOKUP(A481,'Output - State'!$B$2:$G$52,6,FALSE)</f>
        <v>4.2999838981018526</v>
      </c>
    </row>
    <row r="482" spans="1:7" x14ac:dyDescent="0.25">
      <c r="A482" s="88">
        <v>13</v>
      </c>
      <c r="B482" s="88">
        <v>189</v>
      </c>
      <c r="C482" s="97">
        <f>SUMIFS(Input!$C$115:$C$3257,Input!$A$115:$A$3257,"="&amp;'Output - County'!A482,Input!$B$115:$B$3257,"="&amp;'Output - County'!B482)*VLOOKUP(A482,'Output - State'!$B$2:$G$52,2,FALSE)</f>
        <v>8.4197684895179972</v>
      </c>
      <c r="D482" s="98">
        <f>SUMIFS(Input!$C$115:$C$3257,Input!$A$115:$A$3257,"="&amp;'Output - County'!A482,Input!$B$115:$B$3257,"="&amp;'Output - County'!B482)*VLOOKUP(A482,'Output - State'!$B$2:$G$52,3,FALSE)</f>
        <v>0</v>
      </c>
      <c r="E482" s="98">
        <f>SUMIFS(Input!$C$115:$C$3257,Input!$A$115:$A$3257,"="&amp;'Output - County'!A482,Input!$B$115:$B$3257,"="&amp;'Output - County'!B482)*VLOOKUP(A482,'Output - State'!$B$2:$G$52,4,FALSE)</f>
        <v>0.2629295943319031</v>
      </c>
      <c r="F482" s="98">
        <f>SUMIFS(Input!$C$115:$C$3257,Input!$A$115:$A$3257,"="&amp;'Output - County'!A482,Input!$B$115:$B$3257,"="&amp;'Output - County'!B482)*VLOOKUP(A482,'Output - State'!$B$2:$G$52,5,FALSE)</f>
        <v>12.266300346657278</v>
      </c>
      <c r="G482" s="99">
        <f>SUMIFS(Input!$D$115:$D$3257,Input!$A$115:$A$3257,"="&amp;'Output - County'!A482,Input!$B$115:$B$3257,"="&amp;'Output - County'!B482)*VLOOKUP(A482,'Output - State'!$B$2:$G$52,6,FALSE)</f>
        <v>2.8100198726197516</v>
      </c>
    </row>
    <row r="483" spans="1:7" x14ac:dyDescent="0.25">
      <c r="A483" s="88">
        <v>13</v>
      </c>
      <c r="B483" s="88">
        <v>191</v>
      </c>
      <c r="C483" s="97">
        <f>SUMIFS(Input!$C$115:$C$3257,Input!$A$115:$A$3257,"="&amp;'Output - County'!A483,Input!$B$115:$B$3257,"="&amp;'Output - County'!B483)*VLOOKUP(A483,'Output - State'!$B$2:$G$52,2,FALSE)</f>
        <v>12.352654337120153</v>
      </c>
      <c r="D483" s="98">
        <f>SUMIFS(Input!$C$115:$C$3257,Input!$A$115:$A$3257,"="&amp;'Output - County'!A483,Input!$B$115:$B$3257,"="&amp;'Output - County'!B483)*VLOOKUP(A483,'Output - State'!$B$2:$G$52,3,FALSE)</f>
        <v>0</v>
      </c>
      <c r="E483" s="98">
        <f>SUMIFS(Input!$C$115:$C$3257,Input!$A$115:$A$3257,"="&amp;'Output - County'!A483,Input!$B$115:$B$3257,"="&amp;'Output - County'!B483)*VLOOKUP(A483,'Output - State'!$B$2:$G$52,4,FALSE)</f>
        <v>0.38574438214359447</v>
      </c>
      <c r="F483" s="98">
        <f>SUMIFS(Input!$C$115:$C$3257,Input!$A$115:$A$3257,"="&amp;'Output - County'!A483,Input!$B$115:$B$3257,"="&amp;'Output - County'!B483)*VLOOKUP(A483,'Output - State'!$B$2:$G$52,5,FALSE)</f>
        <v>17.995906700544985</v>
      </c>
      <c r="G483" s="99">
        <f>SUMIFS(Input!$D$115:$D$3257,Input!$A$115:$A$3257,"="&amp;'Output - County'!A483,Input!$B$115:$B$3257,"="&amp;'Output - County'!B483)*VLOOKUP(A483,'Output - State'!$B$2:$G$52,6,FALSE)</f>
        <v>1.8689899617889509</v>
      </c>
    </row>
    <row r="484" spans="1:7" x14ac:dyDescent="0.25">
      <c r="A484" s="88">
        <v>13</v>
      </c>
      <c r="B484" s="88">
        <v>193</v>
      </c>
      <c r="C484" s="97">
        <f>SUMIFS(Input!$C$115:$C$3257,Input!$A$115:$A$3257,"="&amp;'Output - County'!A484,Input!$B$115:$B$3257,"="&amp;'Output - County'!B484)*VLOOKUP(A484,'Output - State'!$B$2:$G$52,2,FALSE)</f>
        <v>2.962146746263858</v>
      </c>
      <c r="D484" s="98">
        <f>SUMIFS(Input!$C$115:$C$3257,Input!$A$115:$A$3257,"="&amp;'Output - County'!A484,Input!$B$115:$B$3257,"="&amp;'Output - County'!B484)*VLOOKUP(A484,'Output - State'!$B$2:$G$52,3,FALSE)</f>
        <v>0</v>
      </c>
      <c r="E484" s="98">
        <f>SUMIFS(Input!$C$115:$C$3257,Input!$A$115:$A$3257,"="&amp;'Output - County'!A484,Input!$B$115:$B$3257,"="&amp;'Output - County'!B484)*VLOOKUP(A484,'Output - State'!$B$2:$G$52,4,FALSE)</f>
        <v>9.2500885661680299E-2</v>
      </c>
      <c r="F484" s="98">
        <f>SUMIFS(Input!$C$115:$C$3257,Input!$A$115:$A$3257,"="&amp;'Output - County'!A484,Input!$B$115:$B$3257,"="&amp;'Output - County'!B484)*VLOOKUP(A484,'Output - State'!$B$2:$G$52,5,FALSE)</f>
        <v>4.3153896340237878</v>
      </c>
      <c r="G484" s="99">
        <f>SUMIFS(Input!$D$115:$D$3257,Input!$A$115:$A$3257,"="&amp;'Output - County'!A484,Input!$B$115:$B$3257,"="&amp;'Output - County'!B484)*VLOOKUP(A484,'Output - State'!$B$2:$G$52,6,FALSE)</f>
        <v>1.7252215031898008</v>
      </c>
    </row>
    <row r="485" spans="1:7" x14ac:dyDescent="0.25">
      <c r="A485" s="88">
        <v>13</v>
      </c>
      <c r="B485" s="88">
        <v>195</v>
      </c>
      <c r="C485" s="97">
        <f>SUMIFS(Input!$C$115:$C$3257,Input!$A$115:$A$3257,"="&amp;'Output - County'!A485,Input!$B$115:$B$3257,"="&amp;'Output - County'!B485)*VLOOKUP(A485,'Output - State'!$B$2:$G$52,2,FALSE)</f>
        <v>5.8345689973253716</v>
      </c>
      <c r="D485" s="98">
        <f>SUMIFS(Input!$C$115:$C$3257,Input!$A$115:$A$3257,"="&amp;'Output - County'!A485,Input!$B$115:$B$3257,"="&amp;'Output - County'!B485)*VLOOKUP(A485,'Output - State'!$B$2:$G$52,3,FALSE)</f>
        <v>0</v>
      </c>
      <c r="E485" s="98">
        <f>SUMIFS(Input!$C$115:$C$3257,Input!$A$115:$A$3257,"="&amp;'Output - County'!A485,Input!$B$115:$B$3257,"="&amp;'Output - County'!B485)*VLOOKUP(A485,'Output - State'!$B$2:$G$52,4,FALSE)</f>
        <v>0.18219988607502433</v>
      </c>
      <c r="F485" s="98">
        <f>SUMIFS(Input!$C$115:$C$3257,Input!$A$115:$A$3257,"="&amp;'Output - County'!A485,Input!$B$115:$B$3257,"="&amp;'Output - County'!B485)*VLOOKUP(A485,'Output - State'!$B$2:$G$52,5,FALSE)</f>
        <v>8.5000645568326156</v>
      </c>
      <c r="G485" s="99">
        <f>SUMIFS(Input!$D$115:$D$3257,Input!$A$115:$A$3257,"="&amp;'Output - County'!A485,Input!$B$115:$B$3257,"="&amp;'Output - County'!B485)*VLOOKUP(A485,'Output - State'!$B$2:$G$52,6,FALSE)</f>
        <v>3.8686785223044016</v>
      </c>
    </row>
    <row r="486" spans="1:7" x14ac:dyDescent="0.25">
      <c r="A486" s="88">
        <v>13</v>
      </c>
      <c r="B486" s="88">
        <v>197</v>
      </c>
      <c r="C486" s="97">
        <f>SUMIFS(Input!$C$115:$C$3257,Input!$A$115:$A$3257,"="&amp;'Output - County'!A486,Input!$B$115:$B$3257,"="&amp;'Output - County'!B486)*VLOOKUP(A486,'Output - State'!$B$2:$G$52,2,FALSE)</f>
        <v>1.5446319808375732</v>
      </c>
      <c r="D486" s="98">
        <f>SUMIFS(Input!$C$115:$C$3257,Input!$A$115:$A$3257,"="&amp;'Output - County'!A486,Input!$B$115:$B$3257,"="&amp;'Output - County'!B486)*VLOOKUP(A486,'Output - State'!$B$2:$G$52,3,FALSE)</f>
        <v>0</v>
      </c>
      <c r="E486" s="98">
        <f>SUMIFS(Input!$C$115:$C$3257,Input!$A$115:$A$3257,"="&amp;'Output - County'!A486,Input!$B$115:$B$3257,"="&amp;'Output - County'!B486)*VLOOKUP(A486,'Output - State'!$B$2:$G$52,4,FALSE)</f>
        <v>4.823522886874014E-2</v>
      </c>
      <c r="F486" s="98">
        <f>SUMIFS(Input!$C$115:$C$3257,Input!$A$115:$A$3257,"="&amp;'Output - County'!A486,Input!$B$115:$B$3257,"="&amp;'Output - County'!B486)*VLOOKUP(A486,'Output - State'!$B$2:$G$52,5,FALSE)</f>
        <v>2.2502898773990503</v>
      </c>
      <c r="G486" s="99">
        <f>SUMIFS(Input!$D$115:$D$3257,Input!$A$115:$A$3257,"="&amp;'Output - County'!A486,Input!$B$115:$B$3257,"="&amp;'Output - County'!B486)*VLOOKUP(A486,'Output - State'!$B$2:$G$52,6,FALSE)</f>
        <v>1.0939472713408056</v>
      </c>
    </row>
    <row r="487" spans="1:7" x14ac:dyDescent="0.25">
      <c r="A487" s="88">
        <v>13</v>
      </c>
      <c r="B487" s="88">
        <v>199</v>
      </c>
      <c r="C487" s="97">
        <f>SUMIFS(Input!$C$115:$C$3257,Input!$A$115:$A$3257,"="&amp;'Output - County'!A487,Input!$B$115:$B$3257,"="&amp;'Output - County'!B487)*VLOOKUP(A487,'Output - State'!$B$2:$G$52,2,FALSE)</f>
        <v>6.1759947507726052</v>
      </c>
      <c r="D487" s="98">
        <f>SUMIFS(Input!$C$115:$C$3257,Input!$A$115:$A$3257,"="&amp;'Output - County'!A487,Input!$B$115:$B$3257,"="&amp;'Output - County'!B487)*VLOOKUP(A487,'Output - State'!$B$2:$G$52,3,FALSE)</f>
        <v>0</v>
      </c>
      <c r="E487" s="98">
        <f>SUMIFS(Input!$C$115:$C$3257,Input!$A$115:$A$3257,"="&amp;'Output - County'!A487,Input!$B$115:$B$3257,"="&amp;'Output - County'!B487)*VLOOKUP(A487,'Output - State'!$B$2:$G$52,4,FALSE)</f>
        <v>0.19286181044504752</v>
      </c>
      <c r="F487" s="98">
        <f>SUMIFS(Input!$C$115:$C$3257,Input!$A$115:$A$3257,"="&amp;'Output - County'!A487,Input!$B$115:$B$3257,"="&amp;'Output - County'!B487)*VLOOKUP(A487,'Output - State'!$B$2:$G$52,5,FALSE)</f>
        <v>8.9974690689734569</v>
      </c>
      <c r="G487" s="99">
        <f>SUMIFS(Input!$D$115:$D$3257,Input!$A$115:$A$3257,"="&amp;'Output - County'!A487,Input!$B$115:$B$3257,"="&amp;'Output - County'!B487)*VLOOKUP(A487,'Output - State'!$B$2:$G$52,6,FALSE)</f>
        <v>2.7577404331291513</v>
      </c>
    </row>
    <row r="488" spans="1:7" x14ac:dyDescent="0.25">
      <c r="A488" s="88">
        <v>13</v>
      </c>
      <c r="B488" s="88">
        <v>201</v>
      </c>
      <c r="C488" s="97">
        <f>SUMIFS(Input!$C$115:$C$3257,Input!$A$115:$A$3257,"="&amp;'Output - County'!A488,Input!$B$115:$B$3257,"="&amp;'Output - County'!B488)*VLOOKUP(A488,'Output - State'!$B$2:$G$52,2,FALSE)</f>
        <v>1.6744420661878738</v>
      </c>
      <c r="D488" s="98">
        <f>SUMIFS(Input!$C$115:$C$3257,Input!$A$115:$A$3257,"="&amp;'Output - County'!A488,Input!$B$115:$B$3257,"="&amp;'Output - County'!B488)*VLOOKUP(A488,'Output - State'!$B$2:$G$52,3,FALSE)</f>
        <v>0</v>
      </c>
      <c r="E488" s="98">
        <f>SUMIFS(Input!$C$115:$C$3257,Input!$A$115:$A$3257,"="&amp;'Output - County'!A488,Input!$B$115:$B$3257,"="&amp;'Output - County'!B488)*VLOOKUP(A488,'Output - State'!$B$2:$G$52,4,FALSE)</f>
        <v>5.2288892947964502E-2</v>
      </c>
      <c r="F488" s="98">
        <f>SUMIFS(Input!$C$115:$C$3257,Input!$A$115:$A$3257,"="&amp;'Output - County'!A488,Input!$B$115:$B$3257,"="&amp;'Output - County'!B488)*VLOOKUP(A488,'Output - State'!$B$2:$G$52,5,FALSE)</f>
        <v>2.4394030931500881</v>
      </c>
      <c r="G488" s="99">
        <f>SUMIFS(Input!$D$115:$D$3257,Input!$A$115:$A$3257,"="&amp;'Output - County'!A488,Input!$B$115:$B$3257,"="&amp;'Output - County'!B488)*VLOOKUP(A488,'Output - State'!$B$2:$G$52,6,FALSE)</f>
        <v>0.74236804076652041</v>
      </c>
    </row>
    <row r="489" spans="1:7" x14ac:dyDescent="0.25">
      <c r="A489" s="88">
        <v>13</v>
      </c>
      <c r="B489" s="88">
        <v>205</v>
      </c>
      <c r="C489" s="97">
        <f>SUMIFS(Input!$C$115:$C$3257,Input!$A$115:$A$3257,"="&amp;'Output - County'!A489,Input!$B$115:$B$3257,"="&amp;'Output - County'!B489)*VLOOKUP(A489,'Output - State'!$B$2:$G$52,2,FALSE)</f>
        <v>6.1525202667492556</v>
      </c>
      <c r="D489" s="98">
        <f>SUMIFS(Input!$C$115:$C$3257,Input!$A$115:$A$3257,"="&amp;'Output - County'!A489,Input!$B$115:$B$3257,"="&amp;'Output - County'!B489)*VLOOKUP(A489,'Output - State'!$B$2:$G$52,3,FALSE)</f>
        <v>0</v>
      </c>
      <c r="E489" s="98">
        <f>SUMIFS(Input!$C$115:$C$3257,Input!$A$115:$A$3257,"="&amp;'Output - County'!A489,Input!$B$115:$B$3257,"="&amp;'Output - County'!B489)*VLOOKUP(A489,'Output - State'!$B$2:$G$52,4,FALSE)</f>
        <v>0.19212875744375729</v>
      </c>
      <c r="F489" s="98">
        <f>SUMIFS(Input!$C$115:$C$3257,Input!$A$115:$A$3257,"="&amp;'Output - County'!A489,Input!$B$115:$B$3257,"="&amp;'Output - County'!B489)*VLOOKUP(A489,'Output - State'!$B$2:$G$52,5,FALSE)</f>
        <v>8.9632703767087349</v>
      </c>
      <c r="G489" s="99">
        <f>SUMIFS(Input!$D$115:$D$3257,Input!$A$115:$A$3257,"="&amp;'Output - County'!A489,Input!$B$115:$B$3257,"="&amp;'Output - County'!B489)*VLOOKUP(A489,'Output - State'!$B$2:$G$52,6,FALSE)</f>
        <v>2.8884390318556514</v>
      </c>
    </row>
    <row r="490" spans="1:7" x14ac:dyDescent="0.25">
      <c r="A490" s="88">
        <v>13</v>
      </c>
      <c r="B490" s="88">
        <v>207</v>
      </c>
      <c r="C490" s="97">
        <f>SUMIFS(Input!$C$115:$C$3257,Input!$A$115:$A$3257,"="&amp;'Output - County'!A490,Input!$B$115:$B$3257,"="&amp;'Output - County'!B490)*VLOOKUP(A490,'Output - State'!$B$2:$G$52,2,FALSE)</f>
        <v>22.930622718232776</v>
      </c>
      <c r="D490" s="98">
        <f>SUMIFS(Input!$C$115:$C$3257,Input!$A$115:$A$3257,"="&amp;'Output - County'!A490,Input!$B$115:$B$3257,"="&amp;'Output - County'!B490)*VLOOKUP(A490,'Output - State'!$B$2:$G$52,3,FALSE)</f>
        <v>0</v>
      </c>
      <c r="E490" s="98">
        <f>SUMIFS(Input!$C$115:$C$3257,Input!$A$115:$A$3257,"="&amp;'Output - County'!A490,Input!$B$115:$B$3257,"="&amp;'Output - County'!B490)*VLOOKUP(A490,'Output - State'!$B$2:$G$52,4,FALSE)</f>
        <v>0.71606949010399834</v>
      </c>
      <c r="F490" s="98">
        <f>SUMIFS(Input!$C$115:$C$3257,Input!$A$115:$A$3257,"="&amp;'Output - County'!A490,Input!$B$115:$B$3257,"="&amp;'Output - County'!B490)*VLOOKUP(A490,'Output - State'!$B$2:$G$52,5,FALSE)</f>
        <v>33.406370465873451</v>
      </c>
      <c r="G490" s="99">
        <f>SUMIFS(Input!$D$115:$D$3257,Input!$A$115:$A$3257,"="&amp;'Output - County'!A490,Input!$B$115:$B$3257,"="&amp;'Output - County'!B490)*VLOOKUP(A490,'Output - State'!$B$2:$G$52,6,FALSE)</f>
        <v>3.5942114649787515</v>
      </c>
    </row>
    <row r="491" spans="1:7" x14ac:dyDescent="0.25">
      <c r="A491" s="88">
        <v>13</v>
      </c>
      <c r="B491" s="88">
        <v>209</v>
      </c>
      <c r="C491" s="97">
        <f>SUMIFS(Input!$C$115:$C$3257,Input!$A$115:$A$3257,"="&amp;'Output - County'!A491,Input!$B$115:$B$3257,"="&amp;'Output - County'!B491)*VLOOKUP(A491,'Output - State'!$B$2:$G$52,2,FALSE)</f>
        <v>1.9982899292892136</v>
      </c>
      <c r="D491" s="98">
        <f>SUMIFS(Input!$C$115:$C$3257,Input!$A$115:$A$3257,"="&amp;'Output - County'!A491,Input!$B$115:$B$3257,"="&amp;'Output - County'!B491)*VLOOKUP(A491,'Output - State'!$B$2:$G$52,3,FALSE)</f>
        <v>0</v>
      </c>
      <c r="E491" s="98">
        <f>SUMIFS(Input!$C$115:$C$3257,Input!$A$115:$A$3257,"="&amp;'Output - County'!A491,Input!$B$115:$B$3257,"="&amp;'Output - County'!B491)*VLOOKUP(A491,'Output - State'!$B$2:$G$52,4,FALSE)</f>
        <v>6.2401901087854983E-2</v>
      </c>
      <c r="F491" s="98">
        <f>SUMIFS(Input!$C$115:$C$3257,Input!$A$115:$A$3257,"="&amp;'Output - County'!A491,Input!$B$115:$B$3257,"="&amp;'Output - County'!B491)*VLOOKUP(A491,'Output - State'!$B$2:$G$52,5,FALSE)</f>
        <v>2.9111993379482137</v>
      </c>
      <c r="G491" s="99">
        <f>SUMIFS(Input!$D$115:$D$3257,Input!$A$115:$A$3257,"="&amp;'Output - County'!A491,Input!$B$115:$B$3257,"="&amp;'Output - County'!B491)*VLOOKUP(A491,'Output - State'!$B$2:$G$52,6,FALSE)</f>
        <v>1.1985061503220056</v>
      </c>
    </row>
    <row r="492" spans="1:7" x14ac:dyDescent="0.25">
      <c r="A492" s="88">
        <v>13</v>
      </c>
      <c r="B492" s="88">
        <v>211</v>
      </c>
      <c r="C492" s="97">
        <f>SUMIFS(Input!$C$115:$C$3257,Input!$A$115:$A$3257,"="&amp;'Output - County'!A492,Input!$B$115:$B$3257,"="&amp;'Output - County'!B492)*VLOOKUP(A492,'Output - State'!$B$2:$G$52,2,FALSE)</f>
        <v>11.517183501812022</v>
      </c>
      <c r="D492" s="98">
        <f>SUMIFS(Input!$C$115:$C$3257,Input!$A$115:$A$3257,"="&amp;'Output - County'!A492,Input!$B$115:$B$3257,"="&amp;'Output - County'!B492)*VLOOKUP(A492,'Output - State'!$B$2:$G$52,3,FALSE)</f>
        <v>0</v>
      </c>
      <c r="E492" s="98">
        <f>SUMIFS(Input!$C$115:$C$3257,Input!$A$115:$A$3257,"="&amp;'Output - County'!A492,Input!$B$115:$B$3257,"="&amp;'Output - County'!B492)*VLOOKUP(A492,'Output - State'!$B$2:$G$52,4,FALSE)</f>
        <v>0.35965459023575563</v>
      </c>
      <c r="F492" s="98">
        <f>SUMIFS(Input!$C$115:$C$3257,Input!$A$115:$A$3257,"="&amp;'Output - County'!A492,Input!$B$115:$B$3257,"="&amp;'Output - County'!B492)*VLOOKUP(A492,'Output - State'!$B$2:$G$52,5,FALSE)</f>
        <v>16.778754921428927</v>
      </c>
      <c r="G492" s="99">
        <f>SUMIFS(Input!$D$115:$D$3257,Input!$A$115:$A$3257,"="&amp;'Output - County'!A492,Input!$B$115:$B$3257,"="&amp;'Output - County'!B492)*VLOOKUP(A492,'Output - State'!$B$2:$G$52,6,FALSE)</f>
        <v>2.4571336560582013</v>
      </c>
    </row>
    <row r="493" spans="1:7" x14ac:dyDescent="0.25">
      <c r="A493" s="88">
        <v>13</v>
      </c>
      <c r="B493" s="88">
        <v>213</v>
      </c>
      <c r="C493" s="97">
        <f>SUMIFS(Input!$C$115:$C$3257,Input!$A$115:$A$3257,"="&amp;'Output - County'!A493,Input!$B$115:$B$3257,"="&amp;'Output - County'!B493)*VLOOKUP(A493,'Output - State'!$B$2:$G$52,2,FALSE)</f>
        <v>6.1374050105378979</v>
      </c>
      <c r="D493" s="98">
        <f>SUMIFS(Input!$C$115:$C$3257,Input!$A$115:$A$3257,"="&amp;'Output - County'!A493,Input!$B$115:$B$3257,"="&amp;'Output - County'!B493)*VLOOKUP(A493,'Output - State'!$B$2:$G$52,3,FALSE)</f>
        <v>0</v>
      </c>
      <c r="E493" s="98">
        <f>SUMIFS(Input!$C$115:$C$3257,Input!$A$115:$A$3257,"="&amp;'Output - County'!A493,Input!$B$115:$B$3257,"="&amp;'Output - County'!B493)*VLOOKUP(A493,'Output - State'!$B$2:$G$52,4,FALSE)</f>
        <v>0.19165674349363235</v>
      </c>
      <c r="F493" s="98">
        <f>SUMIFS(Input!$C$115:$C$3257,Input!$A$115:$A$3257,"="&amp;'Output - County'!A493,Input!$B$115:$B$3257,"="&amp;'Output - County'!B493)*VLOOKUP(A493,'Output - State'!$B$2:$G$52,5,FALSE)</f>
        <v>8.941249786387754</v>
      </c>
      <c r="G493" s="99">
        <f>SUMIFS(Input!$D$115:$D$3257,Input!$A$115:$A$3257,"="&amp;'Output - County'!A493,Input!$B$115:$B$3257,"="&amp;'Output - County'!B493)*VLOOKUP(A493,'Output - State'!$B$2:$G$52,6,FALSE)</f>
        <v>5.2148740891873526</v>
      </c>
    </row>
    <row r="494" spans="1:7" x14ac:dyDescent="0.25">
      <c r="A494" s="88">
        <v>13</v>
      </c>
      <c r="B494" s="88">
        <v>215</v>
      </c>
      <c r="C494" s="97">
        <f>SUMIFS(Input!$C$115:$C$3257,Input!$A$115:$A$3257,"="&amp;'Output - County'!A494,Input!$B$115:$B$3257,"="&amp;'Output - County'!B494)*VLOOKUP(A494,'Output - State'!$B$2:$G$52,2,FALSE)</f>
        <v>42.624885092432912</v>
      </c>
      <c r="D494" s="98">
        <f>SUMIFS(Input!$C$115:$C$3257,Input!$A$115:$A$3257,"="&amp;'Output - County'!A494,Input!$B$115:$B$3257,"="&amp;'Output - County'!B494)*VLOOKUP(A494,'Output - State'!$B$2:$G$52,3,FALSE)</f>
        <v>0</v>
      </c>
      <c r="E494" s="98">
        <f>SUMIFS(Input!$C$115:$C$3257,Input!$A$115:$A$3257,"="&amp;'Output - County'!A494,Input!$B$115:$B$3257,"="&amp;'Output - County'!B494)*VLOOKUP(A494,'Output - State'!$B$2:$G$52,4,FALSE)</f>
        <v>1.3310750479362587</v>
      </c>
      <c r="F494" s="98">
        <f>SUMIFS(Input!$C$115:$C$3257,Input!$A$115:$A$3257,"="&amp;'Output - County'!A494,Input!$B$115:$B$3257,"="&amp;'Output - County'!B494)*VLOOKUP(A494,'Output - State'!$B$2:$G$52,5,FALSE)</f>
        <v>62.097864500246828</v>
      </c>
      <c r="G494" s="99">
        <f>SUMIFS(Input!$D$115:$D$3257,Input!$A$115:$A$3257,"="&amp;'Output - County'!A494,Input!$B$115:$B$3257,"="&amp;'Output - County'!B494)*VLOOKUP(A494,'Output - State'!$B$2:$G$52,6,FALSE)</f>
        <v>25.355528152941012</v>
      </c>
    </row>
    <row r="495" spans="1:7" x14ac:dyDescent="0.25">
      <c r="A495" s="88">
        <v>13</v>
      </c>
      <c r="B495" s="88">
        <v>217</v>
      </c>
      <c r="C495" s="97">
        <f>SUMIFS(Input!$C$115:$C$3257,Input!$A$115:$A$3257,"="&amp;'Output - County'!A495,Input!$B$115:$B$3257,"="&amp;'Output - County'!B495)*VLOOKUP(A495,'Output - State'!$B$2:$G$52,2,FALSE)</f>
        <v>26.59914897397449</v>
      </c>
      <c r="D495" s="98">
        <f>SUMIFS(Input!$C$115:$C$3257,Input!$A$115:$A$3257,"="&amp;'Output - County'!A495,Input!$B$115:$B$3257,"="&amp;'Output - County'!B495)*VLOOKUP(A495,'Output - State'!$B$2:$G$52,3,FALSE)</f>
        <v>0</v>
      </c>
      <c r="E495" s="98">
        <f>SUMIFS(Input!$C$115:$C$3257,Input!$A$115:$A$3257,"="&amp;'Output - County'!A495,Input!$B$115:$B$3257,"="&amp;'Output - County'!B495)*VLOOKUP(A495,'Output - State'!$B$2:$G$52,4,FALSE)</f>
        <v>0.83062894876594573</v>
      </c>
      <c r="F495" s="98">
        <f>SUMIFS(Input!$C$115:$C$3257,Input!$A$115:$A$3257,"="&amp;'Output - County'!A495,Input!$B$115:$B$3257,"="&amp;'Output - County'!B495)*VLOOKUP(A495,'Output - State'!$B$2:$G$52,5,FALSE)</f>
        <v>38.750845784707536</v>
      </c>
      <c r="G495" s="99">
        <f>SUMIFS(Input!$D$115:$D$3257,Input!$A$115:$A$3257,"="&amp;'Output - County'!A495,Input!$B$115:$B$3257,"="&amp;'Output - County'!B495)*VLOOKUP(A495,'Output - State'!$B$2:$G$52,6,FALSE)</f>
        <v>14.246147261188506</v>
      </c>
    </row>
    <row r="496" spans="1:7" x14ac:dyDescent="0.25">
      <c r="A496" s="88">
        <v>13</v>
      </c>
      <c r="B496" s="88">
        <v>219</v>
      </c>
      <c r="C496" s="97">
        <f>SUMIFS(Input!$C$115:$C$3257,Input!$A$115:$A$3257,"="&amp;'Output - County'!A496,Input!$B$115:$B$3257,"="&amp;'Output - County'!B496)*VLOOKUP(A496,'Output - State'!$B$2:$G$52,2,FALSE)</f>
        <v>11.689820100107228</v>
      </c>
      <c r="D496" s="98">
        <f>SUMIFS(Input!$C$115:$C$3257,Input!$A$115:$A$3257,"="&amp;'Output - County'!A496,Input!$B$115:$B$3257,"="&amp;'Output - County'!B496)*VLOOKUP(A496,'Output - State'!$B$2:$G$52,3,FALSE)</f>
        <v>0</v>
      </c>
      <c r="E496" s="98">
        <f>SUMIFS(Input!$C$115:$C$3257,Input!$A$115:$A$3257,"="&amp;'Output - County'!A496,Input!$B$115:$B$3257,"="&amp;'Output - County'!B496)*VLOOKUP(A496,'Output - State'!$B$2:$G$52,4,FALSE)</f>
        <v>0.36504562572718358</v>
      </c>
      <c r="F496" s="98">
        <f>SUMIFS(Input!$C$115:$C$3257,Input!$A$115:$A$3257,"="&amp;'Output - County'!A496,Input!$B$115:$B$3257,"="&amp;'Output - County'!B496)*VLOOKUP(A496,'Output - State'!$B$2:$G$52,5,FALSE)</f>
        <v>17.030259742274119</v>
      </c>
      <c r="G496" s="99">
        <f>SUMIFS(Input!$D$115:$D$3257,Input!$A$115:$A$3257,"="&amp;'Output - County'!A496,Input!$B$115:$B$3257,"="&amp;'Output - County'!B496)*VLOOKUP(A496,'Output - State'!$B$2:$G$52,6,FALSE)</f>
        <v>5.1625946496967527</v>
      </c>
    </row>
    <row r="497" spans="1:7" x14ac:dyDescent="0.25">
      <c r="A497" s="88">
        <v>13</v>
      </c>
      <c r="B497" s="88">
        <v>221</v>
      </c>
      <c r="C497" s="97">
        <f>SUMIFS(Input!$C$115:$C$3257,Input!$A$115:$A$3257,"="&amp;'Output - County'!A497,Input!$B$115:$B$3257,"="&amp;'Output - County'!B497)*VLOOKUP(A497,'Output - State'!$B$2:$G$52,2,FALSE)</f>
        <v>2.4869905525165605</v>
      </c>
      <c r="D497" s="98">
        <f>SUMIFS(Input!$C$115:$C$3257,Input!$A$115:$A$3257,"="&amp;'Output - County'!A497,Input!$B$115:$B$3257,"="&amp;'Output - County'!B497)*VLOOKUP(A497,'Output - State'!$B$2:$G$52,3,FALSE)</f>
        <v>0</v>
      </c>
      <c r="E497" s="98">
        <f>SUMIFS(Input!$C$115:$C$3257,Input!$A$115:$A$3257,"="&amp;'Output - County'!A497,Input!$B$115:$B$3257,"="&amp;'Output - County'!B497)*VLOOKUP(A497,'Output - State'!$B$2:$G$52,4,FALSE)</f>
        <v>7.766287373512909E-2</v>
      </c>
      <c r="F497" s="98">
        <f>SUMIFS(Input!$C$115:$C$3257,Input!$A$115:$A$3257,"="&amp;'Output - County'!A497,Input!$B$115:$B$3257,"="&amp;'Output - County'!B497)*VLOOKUP(A497,'Output - State'!$B$2:$G$52,5,FALSE)</f>
        <v>3.6231605553579342</v>
      </c>
      <c r="G497" s="99">
        <f>SUMIFS(Input!$D$115:$D$3257,Input!$A$115:$A$3257,"="&amp;'Output - County'!A497,Input!$B$115:$B$3257,"="&amp;'Output - County'!B497)*VLOOKUP(A497,'Output - State'!$B$2:$G$52,6,FALSE)</f>
        <v>1.9735488407701511</v>
      </c>
    </row>
    <row r="498" spans="1:7" x14ac:dyDescent="0.25">
      <c r="A498" s="88">
        <v>13</v>
      </c>
      <c r="B498" s="88">
        <v>223</v>
      </c>
      <c r="C498" s="97">
        <f>SUMIFS(Input!$C$115:$C$3257,Input!$A$115:$A$3257,"="&amp;'Output - County'!A498,Input!$B$115:$B$3257,"="&amp;'Output - County'!B498)*VLOOKUP(A498,'Output - State'!$B$2:$G$52,2,FALSE)</f>
        <v>28.422757008645206</v>
      </c>
      <c r="D498" s="98">
        <f>SUMIFS(Input!$C$115:$C$3257,Input!$A$115:$A$3257,"="&amp;'Output - County'!A498,Input!$B$115:$B$3257,"="&amp;'Output - County'!B498)*VLOOKUP(A498,'Output - State'!$B$2:$G$52,3,FALSE)</f>
        <v>0</v>
      </c>
      <c r="E498" s="98">
        <f>SUMIFS(Input!$C$115:$C$3257,Input!$A$115:$A$3257,"="&amp;'Output - County'!A498,Input!$B$115:$B$3257,"="&amp;'Output - County'!B498)*VLOOKUP(A498,'Output - State'!$B$2:$G$52,4,FALSE)</f>
        <v>0.88757594456200473</v>
      </c>
      <c r="F498" s="98">
        <f>SUMIFS(Input!$C$115:$C$3257,Input!$A$115:$A$3257,"="&amp;'Output - County'!A498,Input!$B$115:$B$3257,"="&amp;'Output - County'!B498)*VLOOKUP(A498,'Output - State'!$B$2:$G$52,5,FALSE)</f>
        <v>41.407560621427351</v>
      </c>
      <c r="G498" s="99">
        <f>SUMIFS(Input!$D$115:$D$3257,Input!$A$115:$A$3257,"="&amp;'Output - County'!A498,Input!$B$115:$B$3257,"="&amp;'Output - County'!B498)*VLOOKUP(A498,'Output - State'!$B$2:$G$52,6,FALSE)</f>
        <v>21.434570191146012</v>
      </c>
    </row>
    <row r="499" spans="1:7" x14ac:dyDescent="0.25">
      <c r="A499" s="88">
        <v>13</v>
      </c>
      <c r="B499" s="88">
        <v>225</v>
      </c>
      <c r="C499" s="97">
        <f>SUMIFS(Input!$C$115:$C$3257,Input!$A$115:$A$3257,"="&amp;'Output - County'!A499,Input!$B$115:$B$3257,"="&amp;'Output - County'!B499)*VLOOKUP(A499,'Output - State'!$B$2:$G$52,2,FALSE)</f>
        <v>13.588624339090767</v>
      </c>
      <c r="D499" s="98">
        <f>SUMIFS(Input!$C$115:$C$3257,Input!$A$115:$A$3257,"="&amp;'Output - County'!A499,Input!$B$115:$B$3257,"="&amp;'Output - County'!B499)*VLOOKUP(A499,'Output - State'!$B$2:$G$52,3,FALSE)</f>
        <v>0</v>
      </c>
      <c r="E499" s="98">
        <f>SUMIFS(Input!$C$115:$C$3257,Input!$A$115:$A$3257,"="&amp;'Output - County'!A499,Input!$B$115:$B$3257,"="&amp;'Output - County'!B499)*VLOOKUP(A499,'Output - State'!$B$2:$G$52,4,FALSE)</f>
        <v>0.42434082236984327</v>
      </c>
      <c r="F499" s="98">
        <f>SUMIFS(Input!$C$115:$C$3257,Input!$A$115:$A$3257,"="&amp;'Output - County'!A499,Input!$B$115:$B$3257,"="&amp;'Output - County'!B499)*VLOOKUP(A499,'Output - State'!$B$2:$G$52,5,FALSE)</f>
        <v>19.796523817571924</v>
      </c>
      <c r="G499" s="99">
        <f>SUMIFS(Input!$D$115:$D$3257,Input!$A$115:$A$3257,"="&amp;'Output - County'!A499,Input!$B$115:$B$3257,"="&amp;'Output - County'!B499)*VLOOKUP(A499,'Output - State'!$B$2:$G$52,6,FALSE)</f>
        <v>3.5811416051061018</v>
      </c>
    </row>
    <row r="500" spans="1:7" x14ac:dyDescent="0.25">
      <c r="A500" s="88">
        <v>13</v>
      </c>
      <c r="B500" s="88">
        <v>227</v>
      </c>
      <c r="C500" s="97">
        <f>SUMIFS(Input!$C$115:$C$3257,Input!$A$115:$A$3257,"="&amp;'Output - County'!A500,Input!$B$115:$B$3257,"="&amp;'Output - County'!B500)*VLOOKUP(A500,'Output - State'!$B$2:$G$52,2,FALSE)</f>
        <v>7.8033469716076675</v>
      </c>
      <c r="D500" s="98">
        <f>SUMIFS(Input!$C$115:$C$3257,Input!$A$115:$A$3257,"="&amp;'Output - County'!A500,Input!$B$115:$B$3257,"="&amp;'Output - County'!B500)*VLOOKUP(A500,'Output - State'!$B$2:$G$52,3,FALSE)</f>
        <v>0</v>
      </c>
      <c r="E500" s="98">
        <f>SUMIFS(Input!$C$115:$C$3257,Input!$A$115:$A$3257,"="&amp;'Output - County'!A500,Input!$B$115:$B$3257,"="&amp;'Output - County'!B500)*VLOOKUP(A500,'Output - State'!$B$2:$G$52,4,FALSE)</f>
        <v>0.24368019812304162</v>
      </c>
      <c r="F500" s="98">
        <f>SUMIFS(Input!$C$115:$C$3257,Input!$A$115:$A$3257,"="&amp;'Output - County'!A500,Input!$B$115:$B$3257,"="&amp;'Output - County'!B500)*VLOOKUP(A500,'Output - State'!$B$2:$G$52,5,FALSE)</f>
        <v>11.368269541149543</v>
      </c>
      <c r="G500" s="99">
        <f>SUMIFS(Input!$D$115:$D$3257,Input!$A$115:$A$3257,"="&amp;'Output - County'!A500,Input!$B$115:$B$3257,"="&amp;'Output - County'!B500)*VLOOKUP(A500,'Output - State'!$B$2:$G$52,6,FALSE)</f>
        <v>4.1823551592480026</v>
      </c>
    </row>
    <row r="501" spans="1:7" x14ac:dyDescent="0.25">
      <c r="A501" s="88">
        <v>13</v>
      </c>
      <c r="B501" s="88">
        <v>229</v>
      </c>
      <c r="C501" s="97">
        <f>SUMIFS(Input!$C$115:$C$3257,Input!$A$115:$A$3257,"="&amp;'Output - County'!A501,Input!$B$115:$B$3257,"="&amp;'Output - County'!B501)*VLOOKUP(A501,'Output - State'!$B$2:$G$52,2,FALSE)</f>
        <v>3.4034195653091284</v>
      </c>
      <c r="D501" s="98">
        <f>SUMIFS(Input!$C$115:$C$3257,Input!$A$115:$A$3257,"="&amp;'Output - County'!A501,Input!$B$115:$B$3257,"="&amp;'Output - County'!B501)*VLOOKUP(A501,'Output - State'!$B$2:$G$52,3,FALSE)</f>
        <v>0</v>
      </c>
      <c r="E501" s="98">
        <f>SUMIFS(Input!$C$115:$C$3257,Input!$A$115:$A$3257,"="&amp;'Output - County'!A501,Input!$B$115:$B$3257,"="&amp;'Output - County'!B501)*VLOOKUP(A501,'Output - State'!$B$2:$G$52,4,FALSE)</f>
        <v>0.1062807993785134</v>
      </c>
      <c r="F501" s="98">
        <f>SUMIFS(Input!$C$115:$C$3257,Input!$A$115:$A$3257,"="&amp;'Output - County'!A501,Input!$B$115:$B$3257,"="&amp;'Output - County'!B501)*VLOOKUP(A501,'Output - State'!$B$2:$G$52,5,FALSE)</f>
        <v>4.9582558767196474</v>
      </c>
      <c r="G501" s="99">
        <f>SUMIFS(Input!$D$115:$D$3257,Input!$A$115:$A$3257,"="&amp;'Output - County'!A501,Input!$B$115:$B$3257,"="&amp;'Output - County'!B501)*VLOOKUP(A501,'Output - State'!$B$2:$G$52,6,FALSE)</f>
        <v>2.5355528152941011</v>
      </c>
    </row>
    <row r="502" spans="1:7" x14ac:dyDescent="0.25">
      <c r="A502" s="88">
        <v>13</v>
      </c>
      <c r="B502" s="88">
        <v>231</v>
      </c>
      <c r="C502" s="97">
        <f>SUMIFS(Input!$C$115:$C$3257,Input!$A$115:$A$3257,"="&amp;'Output - County'!A502,Input!$B$115:$B$3257,"="&amp;'Output - County'!B502)*VLOOKUP(A502,'Output - State'!$B$2:$G$52,2,FALSE)</f>
        <v>3.3933038005933893</v>
      </c>
      <c r="D502" s="98">
        <f>SUMIFS(Input!$C$115:$C$3257,Input!$A$115:$A$3257,"="&amp;'Output - County'!A502,Input!$B$115:$B$3257,"="&amp;'Output - County'!B502)*VLOOKUP(A502,'Output - State'!$B$2:$G$52,3,FALSE)</f>
        <v>0</v>
      </c>
      <c r="E502" s="98">
        <f>SUMIFS(Input!$C$115:$C$3257,Input!$A$115:$A$3257,"="&amp;'Output - County'!A502,Input!$B$115:$B$3257,"="&amp;'Output - County'!B502)*VLOOKUP(A502,'Output - State'!$B$2:$G$52,4,FALSE)</f>
        <v>0.10596490780544017</v>
      </c>
      <c r="F502" s="98">
        <f>SUMIFS(Input!$C$115:$C$3257,Input!$A$115:$A$3257,"="&amp;'Output - County'!A502,Input!$B$115:$B$3257,"="&amp;'Output - County'!B502)*VLOOKUP(A502,'Output - State'!$B$2:$G$52,5,FALSE)</f>
        <v>4.9435187722025997</v>
      </c>
      <c r="G502" s="99">
        <f>SUMIFS(Input!$D$115:$D$3257,Input!$A$115:$A$3257,"="&amp;'Output - County'!A502,Input!$B$115:$B$3257,"="&amp;'Output - County'!B502)*VLOOKUP(A502,'Output - State'!$B$2:$G$52,6,FALSE)</f>
        <v>2.4309939363129014</v>
      </c>
    </row>
    <row r="503" spans="1:7" x14ac:dyDescent="0.25">
      <c r="A503" s="88">
        <v>13</v>
      </c>
      <c r="B503" s="88">
        <v>233</v>
      </c>
      <c r="C503" s="97">
        <f>SUMIFS(Input!$C$115:$C$3257,Input!$A$115:$A$3257,"="&amp;'Output - County'!A503,Input!$B$115:$B$3257,"="&amp;'Output - County'!B503)*VLOOKUP(A503,'Output - State'!$B$2:$G$52,2,FALSE)</f>
        <v>9.382088430262975</v>
      </c>
      <c r="D503" s="98">
        <f>SUMIFS(Input!$C$115:$C$3257,Input!$A$115:$A$3257,"="&amp;'Output - County'!A503,Input!$B$115:$B$3257,"="&amp;'Output - County'!B503)*VLOOKUP(A503,'Output - State'!$B$2:$G$52,3,FALSE)</f>
        <v>0</v>
      </c>
      <c r="E503" s="98">
        <f>SUMIFS(Input!$C$115:$C$3257,Input!$A$115:$A$3257,"="&amp;'Output - County'!A503,Input!$B$115:$B$3257,"="&amp;'Output - County'!B503)*VLOOKUP(A503,'Output - State'!$B$2:$G$52,4,FALSE)</f>
        <v>0.29298058587075271</v>
      </c>
      <c r="F503" s="98">
        <f>SUMIFS(Input!$C$115:$C$3257,Input!$A$115:$A$3257,"="&amp;'Output - County'!A503,Input!$B$115:$B$3257,"="&amp;'Output - County'!B503)*VLOOKUP(A503,'Output - State'!$B$2:$G$52,5,FALSE)</f>
        <v>13.668251651785273</v>
      </c>
      <c r="G503" s="99">
        <f>SUMIFS(Input!$D$115:$D$3257,Input!$A$115:$A$3257,"="&amp;'Output - County'!A503,Input!$B$115:$B$3257,"="&amp;'Output - County'!B503)*VLOOKUP(A503,'Output - State'!$B$2:$G$52,6,FALSE)</f>
        <v>5.5285507261309528</v>
      </c>
    </row>
    <row r="504" spans="1:7" x14ac:dyDescent="0.25">
      <c r="A504" s="88">
        <v>13</v>
      </c>
      <c r="B504" s="88">
        <v>235</v>
      </c>
      <c r="C504" s="97">
        <f>SUMIFS(Input!$C$115:$C$3257,Input!$A$115:$A$3257,"="&amp;'Output - County'!A504,Input!$B$115:$B$3257,"="&amp;'Output - County'!B504)*VLOOKUP(A504,'Output - State'!$B$2:$G$52,2,FALSE)</f>
        <v>2.4561491433530858</v>
      </c>
      <c r="D504" s="98">
        <f>SUMIFS(Input!$C$115:$C$3257,Input!$A$115:$A$3257,"="&amp;'Output - County'!A504,Input!$B$115:$B$3257,"="&amp;'Output - County'!B504)*VLOOKUP(A504,'Output - State'!$B$2:$G$52,3,FALSE)</f>
        <v>0</v>
      </c>
      <c r="E504" s="98">
        <f>SUMIFS(Input!$C$115:$C$3257,Input!$A$115:$A$3257,"="&amp;'Output - County'!A504,Input!$B$115:$B$3257,"="&amp;'Output - County'!B504)*VLOOKUP(A504,'Output - State'!$B$2:$G$52,4,FALSE)</f>
        <v>7.6699768964484633E-2</v>
      </c>
      <c r="F504" s="98">
        <f>SUMIFS(Input!$C$115:$C$3257,Input!$A$115:$A$3257,"="&amp;'Output - County'!A504,Input!$B$115:$B$3257,"="&amp;'Output - County'!B504)*VLOOKUP(A504,'Output - State'!$B$2:$G$52,5,FALSE)</f>
        <v>3.5782293926562163</v>
      </c>
      <c r="G504" s="99">
        <f>SUMIFS(Input!$D$115:$D$3257,Input!$A$115:$A$3257,"="&amp;'Output - County'!A504,Input!$B$115:$B$3257,"="&amp;'Output - County'!B504)*VLOOKUP(A504,'Output - State'!$B$2:$G$52,6,FALSE)</f>
        <v>1.4507544458641508</v>
      </c>
    </row>
    <row r="505" spans="1:7" x14ac:dyDescent="0.25">
      <c r="A505" s="88">
        <v>13</v>
      </c>
      <c r="B505" s="88">
        <v>237</v>
      </c>
      <c r="C505" s="97">
        <f>SUMIFS(Input!$C$115:$C$3257,Input!$A$115:$A$3257,"="&amp;'Output - County'!A505,Input!$B$115:$B$3257,"="&amp;'Output - County'!B505)*VLOOKUP(A505,'Output - State'!$B$2:$G$52,2,FALSE)</f>
        <v>5.2489057314500274</v>
      </c>
      <c r="D505" s="98">
        <f>SUMIFS(Input!$C$115:$C$3257,Input!$A$115:$A$3257,"="&amp;'Output - County'!A505,Input!$B$115:$B$3257,"="&amp;'Output - County'!B505)*VLOOKUP(A505,'Output - State'!$B$2:$G$52,3,FALSE)</f>
        <v>0</v>
      </c>
      <c r="E505" s="98">
        <f>SUMIFS(Input!$C$115:$C$3257,Input!$A$115:$A$3257,"="&amp;'Output - County'!A505,Input!$B$115:$B$3257,"="&amp;'Output - County'!B505)*VLOOKUP(A505,'Output - State'!$B$2:$G$52,4,FALSE)</f>
        <v>0.16391099783499657</v>
      </c>
      <c r="F505" s="98">
        <f>SUMIFS(Input!$C$115:$C$3257,Input!$A$115:$A$3257,"="&amp;'Output - County'!A505,Input!$B$115:$B$3257,"="&amp;'Output - County'!B505)*VLOOKUP(A505,'Output - State'!$B$2:$G$52,5,FALSE)</f>
        <v>7.6468437669528653</v>
      </c>
      <c r="G505" s="99">
        <f>SUMIFS(Input!$D$115:$D$3257,Input!$A$115:$A$3257,"="&amp;'Output - County'!A505,Input!$B$115:$B$3257,"="&amp;'Output - County'!B505)*VLOOKUP(A505,'Output - State'!$B$2:$G$52,6,FALSE)</f>
        <v>2.8492294522377013</v>
      </c>
    </row>
    <row r="506" spans="1:7" x14ac:dyDescent="0.25">
      <c r="A506" s="88">
        <v>13</v>
      </c>
      <c r="B506" s="88">
        <v>239</v>
      </c>
      <c r="C506" s="97">
        <f>SUMIFS(Input!$C$115:$C$3257,Input!$A$115:$A$3257,"="&amp;'Output - County'!A506,Input!$B$115:$B$3257,"="&amp;'Output - County'!B506)*VLOOKUP(A506,'Output - State'!$B$2:$G$52,2,FALSE)</f>
        <v>0.76658456218832616</v>
      </c>
      <c r="D506" s="98">
        <f>SUMIFS(Input!$C$115:$C$3257,Input!$A$115:$A$3257,"="&amp;'Output - County'!A506,Input!$B$115:$B$3257,"="&amp;'Output - County'!B506)*VLOOKUP(A506,'Output - State'!$B$2:$G$52,3,FALSE)</f>
        <v>0</v>
      </c>
      <c r="E506" s="98">
        <f>SUMIFS(Input!$C$115:$C$3257,Input!$A$115:$A$3257,"="&amp;'Output - County'!A506,Input!$B$115:$B$3257,"="&amp;'Output - County'!B506)*VLOOKUP(A506,'Output - State'!$B$2:$G$52,4,FALSE)</f>
        <v>2.393863539219647E-2</v>
      </c>
      <c r="F506" s="98">
        <f>SUMIFS(Input!$C$115:$C$3257,Input!$A$115:$A$3257,"="&amp;'Output - County'!A506,Input!$B$115:$B$3257,"="&amp;'Output - County'!B506)*VLOOKUP(A506,'Output - State'!$B$2:$G$52,5,FALSE)</f>
        <v>1.1167951342865343</v>
      </c>
      <c r="G506" s="99">
        <f>SUMIFS(Input!$D$115:$D$3257,Input!$A$115:$A$3257,"="&amp;'Output - County'!A506,Input!$B$115:$B$3257,"="&amp;'Output - County'!B506)*VLOOKUP(A506,'Output - State'!$B$2:$G$52,6,FALSE)</f>
        <v>0.29537883312189012</v>
      </c>
    </row>
    <row r="507" spans="1:7" x14ac:dyDescent="0.25">
      <c r="A507" s="88">
        <v>13</v>
      </c>
      <c r="B507" s="88">
        <v>241</v>
      </c>
      <c r="C507" s="97">
        <f>SUMIFS(Input!$C$115:$C$3257,Input!$A$115:$A$3257,"="&amp;'Output - County'!A507,Input!$B$115:$B$3257,"="&amp;'Output - County'!B507)*VLOOKUP(A507,'Output - State'!$B$2:$G$52,2,FALSE)</f>
        <v>3.7177658374016436</v>
      </c>
      <c r="D507" s="98">
        <f>SUMIFS(Input!$C$115:$C$3257,Input!$A$115:$A$3257,"="&amp;'Output - County'!A507,Input!$B$115:$B$3257,"="&amp;'Output - County'!B507)*VLOOKUP(A507,'Output - State'!$B$2:$G$52,3,FALSE)</f>
        <v>0</v>
      </c>
      <c r="E507" s="98">
        <f>SUMIFS(Input!$C$115:$C$3257,Input!$A$115:$A$3257,"="&amp;'Output - County'!A507,Input!$B$115:$B$3257,"="&amp;'Output - County'!B507)*VLOOKUP(A507,'Output - State'!$B$2:$G$52,4,FALSE)</f>
        <v>0.11609709514768159</v>
      </c>
      <c r="F507" s="98">
        <f>SUMIFS(Input!$C$115:$C$3257,Input!$A$115:$A$3257,"="&amp;'Output - County'!A507,Input!$B$115:$B$3257,"="&amp;'Output - County'!B507)*VLOOKUP(A507,'Output - State'!$B$2:$G$52,5,FALSE)</f>
        <v>5.4162097730932972</v>
      </c>
      <c r="G507" s="99">
        <f>SUMIFS(Input!$D$115:$D$3257,Input!$A$115:$A$3257,"="&amp;'Output - County'!A507,Input!$B$115:$B$3257,"="&amp;'Output - County'!B507)*VLOOKUP(A507,'Output - State'!$B$2:$G$52,6,FALSE)</f>
        <v>2.2088063184778512</v>
      </c>
    </row>
    <row r="508" spans="1:7" x14ac:dyDescent="0.25">
      <c r="A508" s="88">
        <v>13</v>
      </c>
      <c r="B508" s="88">
        <v>243</v>
      </c>
      <c r="C508" s="97">
        <f>SUMIFS(Input!$C$115:$C$3257,Input!$A$115:$A$3257,"="&amp;'Output - County'!A508,Input!$B$115:$B$3257,"="&amp;'Output - County'!B508)*VLOOKUP(A508,'Output - State'!$B$2:$G$52,2,FALSE)</f>
        <v>2.5310379120544519</v>
      </c>
      <c r="D508" s="98">
        <f>SUMIFS(Input!$C$115:$C$3257,Input!$A$115:$A$3257,"="&amp;'Output - County'!A508,Input!$B$115:$B$3257,"="&amp;'Output - County'!B508)*VLOOKUP(A508,'Output - State'!$B$2:$G$52,3,FALSE)</f>
        <v>0</v>
      </c>
      <c r="E508" s="98">
        <f>SUMIFS(Input!$C$115:$C$3257,Input!$A$115:$A$3257,"="&amp;'Output - County'!A508,Input!$B$115:$B$3257,"="&amp;'Output - County'!B508)*VLOOKUP(A508,'Output - State'!$B$2:$G$52,4,FALSE)</f>
        <v>7.9038369319016852E-2</v>
      </c>
      <c r="F508" s="98">
        <f>SUMIFS(Input!$C$115:$C$3257,Input!$A$115:$A$3257,"="&amp;'Output - County'!A508,Input!$B$115:$B$3257,"="&amp;'Output - County'!B508)*VLOOKUP(A508,'Output - State'!$B$2:$G$52,5,FALSE)</f>
        <v>3.6873307451014656</v>
      </c>
      <c r="G508" s="99">
        <f>SUMIFS(Input!$D$115:$D$3257,Input!$A$115:$A$3257,"="&amp;'Output - County'!A508,Input!$B$115:$B$3257,"="&amp;'Output - County'!B508)*VLOOKUP(A508,'Output - State'!$B$2:$G$52,6,FALSE)</f>
        <v>0.89005745732746544</v>
      </c>
    </row>
    <row r="509" spans="1:7" x14ac:dyDescent="0.25">
      <c r="A509" s="88">
        <v>13</v>
      </c>
      <c r="B509" s="88">
        <v>245</v>
      </c>
      <c r="C509" s="97">
        <f>SUMIFS(Input!$C$115:$C$3257,Input!$A$115:$A$3257,"="&amp;'Output - County'!A509,Input!$B$115:$B$3257,"="&amp;'Output - County'!B509)*VLOOKUP(A509,'Output - State'!$B$2:$G$52,2,FALSE)</f>
        <v>52.524739714842418</v>
      </c>
      <c r="D509" s="98">
        <f>SUMIFS(Input!$C$115:$C$3257,Input!$A$115:$A$3257,"="&amp;'Output - County'!A509,Input!$B$115:$B$3257,"="&amp;'Output - County'!B509)*VLOOKUP(A509,'Output - State'!$B$2:$G$52,3,FALSE)</f>
        <v>0</v>
      </c>
      <c r="E509" s="98">
        <f>SUMIFS(Input!$C$115:$C$3257,Input!$A$115:$A$3257,"="&amp;'Output - County'!A509,Input!$B$115:$B$3257,"="&amp;'Output - County'!B509)*VLOOKUP(A509,'Output - State'!$B$2:$G$52,4,FALSE)</f>
        <v>1.6402242559050348</v>
      </c>
      <c r="F509" s="98">
        <f>SUMIFS(Input!$C$115:$C$3257,Input!$A$115:$A$3257,"="&amp;'Output - County'!A509,Input!$B$115:$B$3257,"="&amp;'Output - County'!B509)*VLOOKUP(A509,'Output - State'!$B$2:$G$52,5,FALSE)</f>
        <v>76.520421407588827</v>
      </c>
      <c r="G509" s="99">
        <f>SUMIFS(Input!$D$115:$D$3257,Input!$A$115:$A$3257,"="&amp;'Output - County'!A509,Input!$B$115:$B$3257,"="&amp;'Output - County'!B509)*VLOOKUP(A509,'Output - State'!$B$2:$G$52,6,FALSE)</f>
        <v>26.401116942753013</v>
      </c>
    </row>
    <row r="510" spans="1:7" x14ac:dyDescent="0.25">
      <c r="A510" s="88">
        <v>13</v>
      </c>
      <c r="B510" s="88">
        <v>247</v>
      </c>
      <c r="C510" s="97">
        <f>SUMIFS(Input!$C$115:$C$3257,Input!$A$115:$A$3257,"="&amp;'Output - County'!A510,Input!$B$115:$B$3257,"="&amp;'Output - County'!B510)*VLOOKUP(A510,'Output - State'!$B$2:$G$52,2,FALSE)</f>
        <v>28.073775310816494</v>
      </c>
      <c r="D510" s="98">
        <f>SUMIFS(Input!$C$115:$C$3257,Input!$A$115:$A$3257,"="&amp;'Output - County'!A510,Input!$B$115:$B$3257,"="&amp;'Output - County'!B510)*VLOOKUP(A510,'Output - State'!$B$2:$G$52,3,FALSE)</f>
        <v>0</v>
      </c>
      <c r="E510" s="98">
        <f>SUMIFS(Input!$C$115:$C$3257,Input!$A$115:$A$3257,"="&amp;'Output - County'!A510,Input!$B$115:$B$3257,"="&amp;'Output - County'!B510)*VLOOKUP(A510,'Output - State'!$B$2:$G$52,4,FALSE)</f>
        <v>0.8766780657956712</v>
      </c>
      <c r="F510" s="98">
        <f>SUMIFS(Input!$C$115:$C$3257,Input!$A$115:$A$3257,"="&amp;'Output - County'!A510,Input!$B$115:$B$3257,"="&amp;'Output - County'!B510)*VLOOKUP(A510,'Output - State'!$B$2:$G$52,5,FALSE)</f>
        <v>40.899148267051743</v>
      </c>
      <c r="G510" s="99">
        <f>SUMIFS(Input!$D$115:$D$3257,Input!$A$115:$A$3257,"="&amp;'Output - County'!A510,Input!$B$115:$B$3257,"="&amp;'Output - County'!B510)*VLOOKUP(A510,'Output - State'!$B$2:$G$52,6,FALSE)</f>
        <v>11.828223184748255</v>
      </c>
    </row>
    <row r="511" spans="1:7" x14ac:dyDescent="0.25">
      <c r="A511" s="88">
        <v>13</v>
      </c>
      <c r="B511" s="88">
        <v>249</v>
      </c>
      <c r="C511" s="97">
        <f>SUMIFS(Input!$C$115:$C$3257,Input!$A$115:$A$3257,"="&amp;'Output - County'!A511,Input!$B$115:$B$3257,"="&amp;'Output - County'!B511)*VLOOKUP(A511,'Output - State'!$B$2:$G$52,2,FALSE)</f>
        <v>1.2748380047090007</v>
      </c>
      <c r="D511" s="98">
        <f>SUMIFS(Input!$C$115:$C$3257,Input!$A$115:$A$3257,"="&amp;'Output - County'!A511,Input!$B$115:$B$3257,"="&amp;'Output - County'!B511)*VLOOKUP(A511,'Output - State'!$B$2:$G$52,3,FALSE)</f>
        <v>0</v>
      </c>
      <c r="E511" s="98">
        <f>SUMIFS(Input!$C$115:$C$3257,Input!$A$115:$A$3257,"="&amp;'Output - County'!A511,Input!$B$115:$B$3257,"="&amp;'Output - County'!B511)*VLOOKUP(A511,'Output - State'!$B$2:$G$52,4,FALSE)</f>
        <v>3.9810196662095981E-2</v>
      </c>
      <c r="F511" s="98">
        <f>SUMIFS(Input!$C$115:$C$3257,Input!$A$115:$A$3257,"="&amp;'Output - County'!A511,Input!$B$115:$B$3257,"="&amp;'Output - County'!B511)*VLOOKUP(A511,'Output - State'!$B$2:$G$52,5,FALSE)</f>
        <v>1.8572417850397549</v>
      </c>
      <c r="G511" s="99">
        <f>SUMIFS(Input!$D$115:$D$3257,Input!$A$115:$A$3257,"="&amp;'Output - County'!A511,Input!$B$115:$B$3257,"="&amp;'Output - County'!B511)*VLOOKUP(A511,'Output - State'!$B$2:$G$52,6,FALSE)</f>
        <v>0.68355367133959544</v>
      </c>
    </row>
    <row r="512" spans="1:7" x14ac:dyDescent="0.25">
      <c r="A512" s="88">
        <v>13</v>
      </c>
      <c r="B512" s="88">
        <v>251</v>
      </c>
      <c r="C512" s="97">
        <f>SUMIFS(Input!$C$115:$C$3257,Input!$A$115:$A$3257,"="&amp;'Output - County'!A512,Input!$B$115:$B$3257,"="&amp;'Output - County'!B512)*VLOOKUP(A512,'Output - State'!$B$2:$G$52,2,FALSE)</f>
        <v>3.0905060916930318</v>
      </c>
      <c r="D512" s="98">
        <f>SUMIFS(Input!$C$115:$C$3257,Input!$A$115:$A$3257,"="&amp;'Output - County'!A512,Input!$B$115:$B$3257,"="&amp;'Output - County'!B512)*VLOOKUP(A512,'Output - State'!$B$2:$G$52,3,FALSE)</f>
        <v>0</v>
      </c>
      <c r="E512" s="98">
        <f>SUMIFS(Input!$C$115:$C$3257,Input!$A$115:$A$3257,"="&amp;'Output - County'!A512,Input!$B$115:$B$3257,"="&amp;'Output - County'!B512)*VLOOKUP(A512,'Output - State'!$B$2:$G$52,4,FALSE)</f>
        <v>9.6509246540535443E-2</v>
      </c>
      <c r="F512" s="98">
        <f>SUMIFS(Input!$C$115:$C$3257,Input!$A$115:$A$3257,"="&amp;'Output - County'!A512,Input!$B$115:$B$3257,"="&amp;'Output - County'!B512)*VLOOKUP(A512,'Output - State'!$B$2:$G$52,5,FALSE)</f>
        <v>4.5023893461055042</v>
      </c>
      <c r="G512" s="99">
        <f>SUMIFS(Input!$D$115:$D$3257,Input!$A$115:$A$3257,"="&amp;'Output - County'!A512,Input!$B$115:$B$3257,"="&amp;'Output - County'!B512)*VLOOKUP(A512,'Output - State'!$B$2:$G$52,6,FALSE)</f>
        <v>1.829780382171001</v>
      </c>
    </row>
    <row r="513" spans="1:7" x14ac:dyDescent="0.25">
      <c r="A513" s="88">
        <v>13</v>
      </c>
      <c r="B513" s="88">
        <v>253</v>
      </c>
      <c r="C513" s="97">
        <f>SUMIFS(Input!$C$115:$C$3257,Input!$A$115:$A$3257,"="&amp;'Output - County'!A513,Input!$B$115:$B$3257,"="&amp;'Output - County'!B513)*VLOOKUP(A513,'Output - State'!$B$2:$G$52,2,FALSE)</f>
        <v>1.7967826782322454</v>
      </c>
      <c r="D513" s="98">
        <f>SUMIFS(Input!$C$115:$C$3257,Input!$A$115:$A$3257,"="&amp;'Output - County'!A513,Input!$B$115:$B$3257,"="&amp;'Output - County'!B513)*VLOOKUP(A513,'Output - State'!$B$2:$G$52,3,FALSE)</f>
        <v>0</v>
      </c>
      <c r="E513" s="98">
        <f>SUMIFS(Input!$C$115:$C$3257,Input!$A$115:$A$3257,"="&amp;'Output - County'!A513,Input!$B$115:$B$3257,"="&amp;'Output - County'!B513)*VLOOKUP(A513,'Output - State'!$B$2:$G$52,4,FALSE)</f>
        <v>5.6109302919472484E-2</v>
      </c>
      <c r="F513" s="98">
        <f>SUMIFS(Input!$C$115:$C$3257,Input!$A$115:$A$3257,"="&amp;'Output - County'!A513,Input!$B$115:$B$3257,"="&amp;'Output - County'!B513)*VLOOKUP(A513,'Output - State'!$B$2:$G$52,5,FALSE)</f>
        <v>2.6176344416483701</v>
      </c>
      <c r="G513" s="99">
        <f>SUMIFS(Input!$D$115:$D$3257,Input!$A$115:$A$3257,"="&amp;'Output - County'!A513,Input!$B$115:$B$3257,"="&amp;'Output - County'!B513)*VLOOKUP(A513,'Output - State'!$B$2:$G$52,6,FALSE)</f>
        <v>1.0808774114681554</v>
      </c>
    </row>
    <row r="514" spans="1:7" x14ac:dyDescent="0.25">
      <c r="A514" s="88">
        <v>13</v>
      </c>
      <c r="B514" s="88">
        <v>255</v>
      </c>
      <c r="C514" s="97">
        <f>SUMIFS(Input!$C$115:$C$3257,Input!$A$115:$A$3257,"="&amp;'Output - County'!A514,Input!$B$115:$B$3257,"="&amp;'Output - County'!B514)*VLOOKUP(A514,'Output - State'!$B$2:$G$52,2,FALSE)</f>
        <v>17.698128169967333</v>
      </c>
      <c r="D514" s="98">
        <f>SUMIFS(Input!$C$115:$C$3257,Input!$A$115:$A$3257,"="&amp;'Output - County'!A514,Input!$B$115:$B$3257,"="&amp;'Output - County'!B514)*VLOOKUP(A514,'Output - State'!$B$2:$G$52,3,FALSE)</f>
        <v>0</v>
      </c>
      <c r="E514" s="98">
        <f>SUMIFS(Input!$C$115:$C$3257,Input!$A$115:$A$3257,"="&amp;'Output - County'!A514,Input!$B$115:$B$3257,"="&amp;'Output - County'!B514)*VLOOKUP(A514,'Output - State'!$B$2:$G$52,4,FALSE)</f>
        <v>0.55267097497474371</v>
      </c>
      <c r="F514" s="98">
        <f>SUMIFS(Input!$C$115:$C$3257,Input!$A$115:$A$3257,"="&amp;'Output - County'!A514,Input!$B$115:$B$3257,"="&amp;'Output - County'!B514)*VLOOKUP(A514,'Output - State'!$B$2:$G$52,5,FALSE)</f>
        <v>25.783435254391762</v>
      </c>
      <c r="G514" s="99">
        <f>SUMIFS(Input!$D$115:$D$3257,Input!$A$115:$A$3257,"="&amp;'Output - County'!A514,Input!$B$115:$B$3257,"="&amp;'Output - County'!B514)*VLOOKUP(A514,'Output - State'!$B$2:$G$52,6,FALSE)</f>
        <v>8.6391773758216548</v>
      </c>
    </row>
    <row r="515" spans="1:7" x14ac:dyDescent="0.25">
      <c r="A515" s="88">
        <v>13</v>
      </c>
      <c r="B515" s="88">
        <v>257</v>
      </c>
      <c r="C515" s="97">
        <f>SUMIFS(Input!$C$115:$C$3257,Input!$A$115:$A$3257,"="&amp;'Output - County'!A515,Input!$B$115:$B$3257,"="&amp;'Output - County'!B515)*VLOOKUP(A515,'Output - State'!$B$2:$G$52,2,FALSE)</f>
        <v>6.3390041740016585</v>
      </c>
      <c r="D515" s="98">
        <f>SUMIFS(Input!$C$115:$C$3257,Input!$A$115:$A$3257,"="&amp;'Output - County'!A515,Input!$B$115:$B$3257,"="&amp;'Output - County'!B515)*VLOOKUP(A515,'Output - State'!$B$2:$G$52,3,FALSE)</f>
        <v>0</v>
      </c>
      <c r="E515" s="98">
        <f>SUMIFS(Input!$C$115:$C$3257,Input!$A$115:$A$3257,"="&amp;'Output - County'!A515,Input!$B$115:$B$3257,"="&amp;'Output - County'!B515)*VLOOKUP(A515,'Output - State'!$B$2:$G$52,4,FALSE)</f>
        <v>0.19795221187060336</v>
      </c>
      <c r="F515" s="98">
        <f>SUMIFS(Input!$C$115:$C$3257,Input!$A$115:$A$3257,"="&amp;'Output - County'!A515,Input!$B$115:$B$3257,"="&amp;'Output - County'!B515)*VLOOKUP(A515,'Output - State'!$B$2:$G$52,5,FALSE)</f>
        <v>9.2349485848475794</v>
      </c>
      <c r="G515" s="99">
        <f>SUMIFS(Input!$D$115:$D$3257,Input!$A$115:$A$3257,"="&amp;'Output - County'!A515,Input!$B$115:$B$3257,"="&amp;'Output - County'!B515)*VLOOKUP(A515,'Output - State'!$B$2:$G$52,6,FALSE)</f>
        <v>3.3981635668890018</v>
      </c>
    </row>
    <row r="516" spans="1:7" x14ac:dyDescent="0.25">
      <c r="A516" s="88">
        <v>13</v>
      </c>
      <c r="B516" s="88">
        <v>259</v>
      </c>
      <c r="C516" s="97">
        <f>SUMIFS(Input!$C$115:$C$3257,Input!$A$115:$A$3257,"="&amp;'Output - County'!A516,Input!$B$115:$B$3257,"="&amp;'Output - County'!B516)*VLOOKUP(A516,'Output - State'!$B$2:$G$52,2,FALSE)</f>
        <v>2.513680621771984</v>
      </c>
      <c r="D516" s="98">
        <f>SUMIFS(Input!$C$115:$C$3257,Input!$A$115:$A$3257,"="&amp;'Output - County'!A516,Input!$B$115:$B$3257,"="&amp;'Output - County'!B516)*VLOOKUP(A516,'Output - State'!$B$2:$G$52,3,FALSE)</f>
        <v>0</v>
      </c>
      <c r="E516" s="98">
        <f>SUMIFS(Input!$C$115:$C$3257,Input!$A$115:$A$3257,"="&amp;'Output - County'!A516,Input!$B$115:$B$3257,"="&amp;'Output - County'!B516)*VLOOKUP(A516,'Output - State'!$B$2:$G$52,4,FALSE)</f>
        <v>7.8496341910739301E-2</v>
      </c>
      <c r="F516" s="98">
        <f>SUMIFS(Input!$C$115:$C$3257,Input!$A$115:$A$3257,"="&amp;'Output - County'!A516,Input!$B$115:$B$3257,"="&amp;'Output - County'!B516)*VLOOKUP(A516,'Output - State'!$B$2:$G$52,5,FALSE)</f>
        <v>3.6620438579294579</v>
      </c>
      <c r="G516" s="99">
        <f>SUMIFS(Input!$D$115:$D$3257,Input!$A$115:$A$3257,"="&amp;'Output - County'!A516,Input!$B$115:$B$3257,"="&amp;'Output - County'!B516)*VLOOKUP(A516,'Output - State'!$B$2:$G$52,6,FALSE)</f>
        <v>0.84169897579866038</v>
      </c>
    </row>
    <row r="517" spans="1:7" x14ac:dyDescent="0.25">
      <c r="A517" s="88">
        <v>13</v>
      </c>
      <c r="B517" s="88">
        <v>261</v>
      </c>
      <c r="C517" s="97">
        <f>SUMIFS(Input!$C$115:$C$3257,Input!$A$115:$A$3257,"="&amp;'Output - County'!A517,Input!$B$115:$B$3257,"="&amp;'Output - County'!B517)*VLOOKUP(A517,'Output - State'!$B$2:$G$52,2,FALSE)</f>
        <v>7.7522700676862923</v>
      </c>
      <c r="D517" s="98">
        <f>SUMIFS(Input!$C$115:$C$3257,Input!$A$115:$A$3257,"="&amp;'Output - County'!A517,Input!$B$115:$B$3257,"="&amp;'Output - County'!B517)*VLOOKUP(A517,'Output - State'!$B$2:$G$52,3,FALSE)</f>
        <v>0</v>
      </c>
      <c r="E517" s="98">
        <f>SUMIFS(Input!$C$115:$C$3257,Input!$A$115:$A$3257,"="&amp;'Output - County'!A517,Input!$B$115:$B$3257,"="&amp;'Output - County'!B517)*VLOOKUP(A517,'Output - State'!$B$2:$G$52,4,FALSE)</f>
        <v>0.24208518637841994</v>
      </c>
      <c r="F517" s="98">
        <f>SUMIFS(Input!$C$115:$C$3257,Input!$A$115:$A$3257,"="&amp;'Output - County'!A517,Input!$B$115:$B$3257,"="&amp;'Output - County'!B517)*VLOOKUP(A517,'Output - State'!$B$2:$G$52,5,FALSE)</f>
        <v>11.293858392546477</v>
      </c>
      <c r="G517" s="99">
        <f>SUMIFS(Input!$D$115:$D$3257,Input!$A$115:$A$3257,"="&amp;'Output - County'!A517,Input!$B$115:$B$3257,"="&amp;'Output - County'!B517)*VLOOKUP(A517,'Output - State'!$B$2:$G$52,6,FALSE)</f>
        <v>3.894818242049702</v>
      </c>
    </row>
    <row r="518" spans="1:7" x14ac:dyDescent="0.25">
      <c r="A518" s="88">
        <v>13</v>
      </c>
      <c r="B518" s="88">
        <v>263</v>
      </c>
      <c r="C518" s="97">
        <f>SUMIFS(Input!$C$115:$C$3257,Input!$A$115:$A$3257,"="&amp;'Output - County'!A518,Input!$B$115:$B$3257,"="&amp;'Output - County'!B518)*VLOOKUP(A518,'Output - State'!$B$2:$G$52,2,FALSE)</f>
        <v>2.3516626899179376</v>
      </c>
      <c r="D518" s="98">
        <f>SUMIFS(Input!$C$115:$C$3257,Input!$A$115:$A$3257,"="&amp;'Output - County'!A518,Input!$B$115:$B$3257,"="&amp;'Output - County'!B518)*VLOOKUP(A518,'Output - State'!$B$2:$G$52,3,FALSE)</f>
        <v>0</v>
      </c>
      <c r="E518" s="98">
        <f>SUMIFS(Input!$C$115:$C$3257,Input!$A$115:$A$3257,"="&amp;'Output - County'!A518,Input!$B$115:$B$3257,"="&amp;'Output - County'!B518)*VLOOKUP(A518,'Output - State'!$B$2:$G$52,4,FALSE)</f>
        <v>7.3436902432099063E-2</v>
      </c>
      <c r="F518" s="98">
        <f>SUMIFS(Input!$C$115:$C$3257,Input!$A$115:$A$3257,"="&amp;'Output - County'!A518,Input!$B$115:$B$3257,"="&amp;'Output - County'!B518)*VLOOKUP(A518,'Output - State'!$B$2:$G$52,5,FALSE)</f>
        <v>3.4260087916280377</v>
      </c>
      <c r="G518" s="99">
        <f>SUMIFS(Input!$D$115:$D$3257,Input!$A$115:$A$3257,"="&amp;'Output - County'!A518,Input!$B$115:$B$3257,"="&amp;'Output - County'!B518)*VLOOKUP(A518,'Output - State'!$B$2:$G$52,6,FALSE)</f>
        <v>0.82209418598968531</v>
      </c>
    </row>
    <row r="519" spans="1:7" x14ac:dyDescent="0.25">
      <c r="A519" s="88">
        <v>13</v>
      </c>
      <c r="B519" s="88">
        <v>265</v>
      </c>
      <c r="C519" s="97">
        <f>SUMIFS(Input!$C$115:$C$3257,Input!$A$115:$A$3257,"="&amp;'Output - County'!A519,Input!$B$115:$B$3257,"="&amp;'Output - County'!B519)*VLOOKUP(A519,'Output - State'!$B$2:$G$52,2,FALSE)</f>
        <v>3.0892778143649644</v>
      </c>
      <c r="D519" s="98">
        <f>SUMIFS(Input!$C$115:$C$3257,Input!$A$115:$A$3257,"="&amp;'Output - County'!A519,Input!$B$115:$B$3257,"="&amp;'Output - County'!B519)*VLOOKUP(A519,'Output - State'!$B$2:$G$52,3,FALSE)</f>
        <v>0</v>
      </c>
      <c r="E519" s="98">
        <f>SUMIFS(Input!$C$115:$C$3257,Input!$A$115:$A$3257,"="&amp;'Output - County'!A519,Input!$B$115:$B$3257,"="&amp;'Output - County'!B519)*VLOOKUP(A519,'Output - State'!$B$2:$G$52,4,FALSE)</f>
        <v>9.6470890324447334E-2</v>
      </c>
      <c r="F519" s="98">
        <f>SUMIFS(Input!$C$115:$C$3257,Input!$A$115:$A$3257,"="&amp;'Output - County'!A519,Input!$B$115:$B$3257,"="&amp;'Output - County'!B519)*VLOOKUP(A519,'Output - State'!$B$2:$G$52,5,FALSE)</f>
        <v>4.5005999360244759</v>
      </c>
      <c r="G519" s="99">
        <f>SUMIFS(Input!$D$115:$D$3257,Input!$A$115:$A$3257,"="&amp;'Output - County'!A519,Input!$B$115:$B$3257,"="&amp;'Output - County'!B519)*VLOOKUP(A519,'Output - State'!$B$2:$G$52,6,FALSE)</f>
        <v>0.21042474394966509</v>
      </c>
    </row>
    <row r="520" spans="1:7" x14ac:dyDescent="0.25">
      <c r="A520" s="88">
        <v>13</v>
      </c>
      <c r="B520" s="88">
        <v>267</v>
      </c>
      <c r="C520" s="97">
        <f>SUMIFS(Input!$C$115:$C$3257,Input!$A$115:$A$3257,"="&amp;'Output - County'!A520,Input!$B$115:$B$3257,"="&amp;'Output - County'!B520)*VLOOKUP(A520,'Output - State'!$B$2:$G$52,2,FALSE)</f>
        <v>4.3396102480836536</v>
      </c>
      <c r="D520" s="98">
        <f>SUMIFS(Input!$C$115:$C$3257,Input!$A$115:$A$3257,"="&amp;'Output - County'!A520,Input!$B$115:$B$3257,"="&amp;'Output - County'!B520)*VLOOKUP(A520,'Output - State'!$B$2:$G$52,3,FALSE)</f>
        <v>0</v>
      </c>
      <c r="E520" s="98">
        <f>SUMIFS(Input!$C$115:$C$3257,Input!$A$115:$A$3257,"="&amp;'Output - County'!A520,Input!$B$115:$B$3257,"="&amp;'Output - County'!B520)*VLOOKUP(A520,'Output - State'!$B$2:$G$52,4,FALSE)</f>
        <v>0.13551583556099928</v>
      </c>
      <c r="F520" s="98">
        <f>SUMIFS(Input!$C$115:$C$3257,Input!$A$115:$A$3257,"="&amp;'Output - County'!A520,Input!$B$115:$B$3257,"="&amp;'Output - County'!B520)*VLOOKUP(A520,'Output - State'!$B$2:$G$52,5,FALSE)</f>
        <v>6.3221408945738462</v>
      </c>
      <c r="G520" s="99">
        <f>SUMIFS(Input!$D$115:$D$3257,Input!$A$115:$A$3257,"="&amp;'Output - County'!A520,Input!$B$115:$B$3257,"="&amp;'Output - County'!B520)*VLOOKUP(A520,'Output - State'!$B$2:$G$52,6,FALSE)</f>
        <v>3.3328142675257517</v>
      </c>
    </row>
    <row r="521" spans="1:7" x14ac:dyDescent="0.25">
      <c r="A521" s="88">
        <v>13</v>
      </c>
      <c r="B521" s="88">
        <v>269</v>
      </c>
      <c r="C521" s="97">
        <f>SUMIFS(Input!$C$115:$C$3257,Input!$A$115:$A$3257,"="&amp;'Output - County'!A521,Input!$B$115:$B$3257,"="&amp;'Output - County'!B521)*VLOOKUP(A521,'Output - State'!$B$2:$G$52,2,FALSE)</f>
        <v>2.8666764612119442</v>
      </c>
      <c r="D521" s="98">
        <f>SUMIFS(Input!$C$115:$C$3257,Input!$A$115:$A$3257,"="&amp;'Output - County'!A521,Input!$B$115:$B$3257,"="&amp;'Output - County'!B521)*VLOOKUP(A521,'Output - State'!$B$2:$G$52,3,FALSE)</f>
        <v>0</v>
      </c>
      <c r="E521" s="98">
        <f>SUMIFS(Input!$C$115:$C$3257,Input!$A$115:$A$3257,"="&amp;'Output - County'!A521,Input!$B$115:$B$3257,"="&amp;'Output - County'!B521)*VLOOKUP(A521,'Output - State'!$B$2:$G$52,4,FALSE)</f>
        <v>8.9519572891536905E-2</v>
      </c>
      <c r="F521" s="98">
        <f>SUMIFS(Input!$C$115:$C$3257,Input!$A$115:$A$3257,"="&amp;'Output - County'!A521,Input!$B$115:$B$3257,"="&amp;'Output - County'!B521)*VLOOKUP(A521,'Output - State'!$B$2:$G$52,5,FALSE)</f>
        <v>4.1763041957382034</v>
      </c>
      <c r="G521" s="99">
        <f>SUMIFS(Input!$D$115:$D$3257,Input!$A$115:$A$3257,"="&amp;'Output - County'!A521,Input!$B$115:$B$3257,"="&amp;'Output - County'!B521)*VLOOKUP(A521,'Output - State'!$B$2:$G$52,6,FALSE)</f>
        <v>1.0482027617865306</v>
      </c>
    </row>
    <row r="522" spans="1:7" x14ac:dyDescent="0.25">
      <c r="A522" s="88">
        <v>13</v>
      </c>
      <c r="B522" s="88">
        <v>271</v>
      </c>
      <c r="C522" s="97">
        <f>SUMIFS(Input!$C$115:$C$3257,Input!$A$115:$A$3257,"="&amp;'Output - County'!A522,Input!$B$115:$B$3257,"="&amp;'Output - County'!B522)*VLOOKUP(A522,'Output - State'!$B$2:$G$52,2,FALSE)</f>
        <v>3.5151617530846497</v>
      </c>
      <c r="D522" s="98">
        <f>SUMIFS(Input!$C$115:$C$3257,Input!$A$115:$A$3257,"="&amp;'Output - County'!A522,Input!$B$115:$B$3257,"="&amp;'Output - County'!B522)*VLOOKUP(A522,'Output - State'!$B$2:$G$52,3,FALSE)</f>
        <v>0</v>
      </c>
      <c r="E522" s="98">
        <f>SUMIFS(Input!$C$115:$C$3257,Input!$A$115:$A$3257,"="&amp;'Output - County'!A522,Input!$B$115:$B$3257,"="&amp;'Output - County'!B522)*VLOOKUP(A522,'Output - State'!$B$2:$G$52,4,FALSE)</f>
        <v>0.10977024545273191</v>
      </c>
      <c r="F522" s="98">
        <f>SUMIFS(Input!$C$115:$C$3257,Input!$A$115:$A$3257,"="&amp;'Output - County'!A522,Input!$B$115:$B$3257,"="&amp;'Output - County'!B522)*VLOOKUP(A522,'Output - State'!$B$2:$G$52,5,FALSE)</f>
        <v>5.1210469603882185</v>
      </c>
      <c r="G522" s="99">
        <f>SUMIFS(Input!$D$115:$D$3257,Input!$A$115:$A$3257,"="&amp;'Output - County'!A522,Input!$B$115:$B$3257,"="&amp;'Output - County'!B522)*VLOOKUP(A522,'Output - State'!$B$2:$G$52,6,FALSE)</f>
        <v>2.0911775796240013</v>
      </c>
    </row>
    <row r="523" spans="1:7" x14ac:dyDescent="0.25">
      <c r="A523" s="88">
        <v>13</v>
      </c>
      <c r="B523" s="88">
        <v>273</v>
      </c>
      <c r="C523" s="97">
        <f>SUMIFS(Input!$C$115:$C$3257,Input!$A$115:$A$3257,"="&amp;'Output - County'!A523,Input!$B$115:$B$3257,"="&amp;'Output - County'!B523)*VLOOKUP(A523,'Output - State'!$B$2:$G$52,2,FALSE)</f>
        <v>3.0682195483089298</v>
      </c>
      <c r="D523" s="98">
        <f>SUMIFS(Input!$C$115:$C$3257,Input!$A$115:$A$3257,"="&amp;'Output - County'!A523,Input!$B$115:$B$3257,"="&amp;'Output - County'!B523)*VLOOKUP(A523,'Output - State'!$B$2:$G$52,3,FALSE)</f>
        <v>0</v>
      </c>
      <c r="E523" s="98">
        <f>SUMIFS(Input!$C$115:$C$3257,Input!$A$115:$A$3257,"="&amp;'Output - County'!A523,Input!$B$115:$B$3257,"="&amp;'Output - County'!B523)*VLOOKUP(A523,'Output - State'!$B$2:$G$52,4,FALSE)</f>
        <v>9.5813290135280685E-2</v>
      </c>
      <c r="F523" s="98">
        <f>SUMIFS(Input!$C$115:$C$3257,Input!$A$115:$A$3257,"="&amp;'Output - County'!A523,Input!$B$115:$B$3257,"="&amp;'Output - County'!B523)*VLOOKUP(A523,'Output - State'!$B$2:$G$52,5,FALSE)</f>
        <v>4.4699212996053497</v>
      </c>
      <c r="G523" s="99">
        <f>SUMIFS(Input!$D$115:$D$3257,Input!$A$115:$A$3257,"="&amp;'Output - County'!A523,Input!$B$115:$B$3257,"="&amp;'Output - County'!B523)*VLOOKUP(A523,'Output - State'!$B$2:$G$52,6,FALSE)</f>
        <v>1.1227009630606355</v>
      </c>
    </row>
    <row r="524" spans="1:7" x14ac:dyDescent="0.25">
      <c r="A524" s="88">
        <v>13</v>
      </c>
      <c r="B524" s="88">
        <v>275</v>
      </c>
      <c r="C524" s="97">
        <f>SUMIFS(Input!$C$115:$C$3257,Input!$A$115:$A$3257,"="&amp;'Output - County'!A524,Input!$B$115:$B$3257,"="&amp;'Output - County'!B524)*VLOOKUP(A524,'Output - State'!$B$2:$G$52,2,FALSE)</f>
        <v>10.881431849199295</v>
      </c>
      <c r="D524" s="98">
        <f>SUMIFS(Input!$C$115:$C$3257,Input!$A$115:$A$3257,"="&amp;'Output - County'!A524,Input!$B$115:$B$3257,"="&amp;'Output - County'!B524)*VLOOKUP(A524,'Output - State'!$B$2:$G$52,3,FALSE)</f>
        <v>0</v>
      </c>
      <c r="E524" s="98">
        <f>SUMIFS(Input!$C$115:$C$3257,Input!$A$115:$A$3257,"="&amp;'Output - County'!A524,Input!$B$115:$B$3257,"="&amp;'Output - County'!B524)*VLOOKUP(A524,'Output - State'!$B$2:$G$52,4,FALSE)</f>
        <v>0.33980155932102191</v>
      </c>
      <c r="F524" s="98">
        <f>SUMIFS(Input!$C$115:$C$3257,Input!$A$115:$A$3257,"="&amp;'Output - County'!A524,Input!$B$115:$B$3257,"="&amp;'Output - County'!B524)*VLOOKUP(A524,'Output - State'!$B$2:$G$52,5,FALSE)</f>
        <v>15.852563099582543</v>
      </c>
      <c r="G524" s="99">
        <f>SUMIFS(Input!$D$115:$D$3257,Input!$A$115:$A$3257,"="&amp;'Output - County'!A524,Input!$B$115:$B$3257,"="&amp;'Output - County'!B524)*VLOOKUP(A524,'Output - State'!$B$2:$G$52,6,FALSE)</f>
        <v>5.789947923583953</v>
      </c>
    </row>
    <row r="525" spans="1:7" x14ac:dyDescent="0.25">
      <c r="A525" s="88">
        <v>13</v>
      </c>
      <c r="B525" s="88">
        <v>277</v>
      </c>
      <c r="C525" s="97">
        <f>SUMIFS(Input!$C$115:$C$3257,Input!$A$115:$A$3257,"="&amp;'Output - County'!A525,Input!$B$115:$B$3257,"="&amp;'Output - County'!B525)*VLOOKUP(A525,'Output - State'!$B$2:$G$52,2,FALSE)</f>
        <v>17.033516101569255</v>
      </c>
      <c r="D525" s="98">
        <f>SUMIFS(Input!$C$115:$C$3257,Input!$A$115:$A$3257,"="&amp;'Output - County'!A525,Input!$B$115:$B$3257,"="&amp;'Output - County'!B525)*VLOOKUP(A525,'Output - State'!$B$2:$G$52,3,FALSE)</f>
        <v>0</v>
      </c>
      <c r="E525" s="98">
        <f>SUMIFS(Input!$C$115:$C$3257,Input!$A$115:$A$3257,"="&amp;'Output - County'!A525,Input!$B$115:$B$3257,"="&amp;'Output - County'!B525)*VLOOKUP(A525,'Output - State'!$B$2:$G$52,4,FALSE)</f>
        <v>0.53191670105978517</v>
      </c>
      <c r="F525" s="98">
        <f>SUMIFS(Input!$C$115:$C$3257,Input!$A$115:$A$3257,"="&amp;'Output - County'!A525,Input!$B$115:$B$3257,"="&amp;'Output - County'!B525)*VLOOKUP(A525,'Output - State'!$B$2:$G$52,5,FALSE)</f>
        <v>24.815198270781938</v>
      </c>
      <c r="G525" s="99">
        <f>SUMIFS(Input!$D$115:$D$3257,Input!$A$115:$A$3257,"="&amp;'Output - County'!A525,Input!$B$115:$B$3257,"="&amp;'Output - County'!B525)*VLOOKUP(A525,'Output - State'!$B$2:$G$52,6,FALSE)</f>
        <v>5.2932932484232529</v>
      </c>
    </row>
    <row r="526" spans="1:7" x14ac:dyDescent="0.25">
      <c r="A526" s="88">
        <v>13</v>
      </c>
      <c r="B526" s="88">
        <v>279</v>
      </c>
      <c r="C526" s="97">
        <f>SUMIFS(Input!$C$115:$C$3257,Input!$A$115:$A$3257,"="&amp;'Output - County'!A526,Input!$B$115:$B$3257,"="&amp;'Output - County'!B526)*VLOOKUP(A526,'Output - State'!$B$2:$G$52,2,FALSE)</f>
        <v>6.0310553872979824</v>
      </c>
      <c r="D526" s="98">
        <f>SUMIFS(Input!$C$115:$C$3257,Input!$A$115:$A$3257,"="&amp;'Output - County'!A526,Input!$B$115:$B$3257,"="&amp;'Output - County'!B526)*VLOOKUP(A526,'Output - State'!$B$2:$G$52,3,FALSE)</f>
        <v>0</v>
      </c>
      <c r="E526" s="98">
        <f>SUMIFS(Input!$C$115:$C$3257,Input!$A$115:$A$3257,"="&amp;'Output - County'!A526,Input!$B$115:$B$3257,"="&amp;'Output - County'!B526)*VLOOKUP(A526,'Output - State'!$B$2:$G$52,4,FALSE)</f>
        <v>0.18833569454428972</v>
      </c>
      <c r="F526" s="98">
        <f>SUMIFS(Input!$C$115:$C$3257,Input!$A$115:$A$3257,"="&amp;'Output - County'!A526,Input!$B$115:$B$3257,"="&amp;'Output - County'!B526)*VLOOKUP(A526,'Output - State'!$B$2:$G$52,5,FALSE)</f>
        <v>8.7863148351431111</v>
      </c>
      <c r="G526" s="99">
        <f>SUMIFS(Input!$D$115:$D$3257,Input!$A$115:$A$3257,"="&amp;'Output - County'!A526,Input!$B$115:$B$3257,"="&amp;'Output - County'!B526)*VLOOKUP(A526,'Output - State'!$B$2:$G$52,6,FALSE)</f>
        <v>3.5157923057428517</v>
      </c>
    </row>
    <row r="527" spans="1:7" x14ac:dyDescent="0.25">
      <c r="A527" s="88">
        <v>13</v>
      </c>
      <c r="B527" s="88">
        <v>281</v>
      </c>
      <c r="C527" s="97">
        <f>SUMIFS(Input!$C$115:$C$3257,Input!$A$115:$A$3257,"="&amp;'Output - County'!A527,Input!$B$115:$B$3257,"="&amp;'Output - County'!B527)*VLOOKUP(A527,'Output - State'!$B$2:$G$52,2,FALSE)</f>
        <v>2.681062460508699</v>
      </c>
      <c r="D527" s="98">
        <f>SUMIFS(Input!$C$115:$C$3257,Input!$A$115:$A$3257,"="&amp;'Output - County'!A527,Input!$B$115:$B$3257,"="&amp;'Output - County'!B527)*VLOOKUP(A527,'Output - State'!$B$2:$G$52,3,FALSE)</f>
        <v>0</v>
      </c>
      <c r="E527" s="98">
        <f>SUMIFS(Input!$C$115:$C$3257,Input!$A$115:$A$3257,"="&amp;'Output - County'!A527,Input!$B$115:$B$3257,"="&amp;'Output - County'!B527)*VLOOKUP(A527,'Output - State'!$B$2:$G$52,4,FALSE)</f>
        <v>8.3723283603062706E-2</v>
      </c>
      <c r="F527" s="98">
        <f>SUMIFS(Input!$C$115:$C$3257,Input!$A$115:$A$3257,"="&amp;'Output - County'!A527,Input!$B$115:$B$3257,"="&amp;'Output - County'!B527)*VLOOKUP(A527,'Output - State'!$B$2:$G$52,5,FALSE)</f>
        <v>3.9058933068871493</v>
      </c>
      <c r="G527" s="99">
        <f>SUMIFS(Input!$D$115:$D$3257,Input!$A$115:$A$3257,"="&amp;'Output - County'!A527,Input!$B$115:$B$3257,"="&amp;'Output - County'!B527)*VLOOKUP(A527,'Output - State'!$B$2:$G$52,6,FALSE)</f>
        <v>1.5553133248453506</v>
      </c>
    </row>
    <row r="528" spans="1:7" x14ac:dyDescent="0.25">
      <c r="A528" s="88">
        <v>13</v>
      </c>
      <c r="B528" s="88">
        <v>283</v>
      </c>
      <c r="C528" s="97">
        <f>SUMIFS(Input!$C$115:$C$3257,Input!$A$115:$A$3257,"="&amp;'Output - County'!A528,Input!$B$115:$B$3257,"="&amp;'Output - County'!B528)*VLOOKUP(A528,'Output - State'!$B$2:$G$52,2,FALSE)</f>
        <v>4.6882724404719349</v>
      </c>
      <c r="D528" s="98">
        <f>SUMIFS(Input!$C$115:$C$3257,Input!$A$115:$A$3257,"="&amp;'Output - County'!A528,Input!$B$115:$B$3257,"="&amp;'Output - County'!B528)*VLOOKUP(A528,'Output - State'!$B$2:$G$52,3,FALSE)</f>
        <v>0</v>
      </c>
      <c r="E528" s="98">
        <f>SUMIFS(Input!$C$115:$C$3257,Input!$A$115:$A$3257,"="&amp;'Output - County'!A528,Input!$B$115:$B$3257,"="&amp;'Output - County'!B528)*VLOOKUP(A528,'Output - State'!$B$2:$G$52,4,FALSE)</f>
        <v>0.14640373692285383</v>
      </c>
      <c r="F528" s="98">
        <f>SUMIFS(Input!$C$115:$C$3257,Input!$A$115:$A$3257,"="&amp;'Output - County'!A528,Input!$B$115:$B$3257,"="&amp;'Output - County'!B528)*VLOOKUP(A528,'Output - State'!$B$2:$G$52,5,FALSE)</f>
        <v>6.8300877789428123</v>
      </c>
      <c r="G528" s="99">
        <f>SUMIFS(Input!$D$115:$D$3257,Input!$A$115:$A$3257,"="&amp;'Output - County'!A528,Input!$B$115:$B$3257,"="&amp;'Output - County'!B528)*VLOOKUP(A528,'Output - State'!$B$2:$G$52,6,FALSE)</f>
        <v>0.89005745732746544</v>
      </c>
    </row>
    <row r="529" spans="1:7" x14ac:dyDescent="0.25">
      <c r="A529" s="88">
        <v>13</v>
      </c>
      <c r="B529" s="88">
        <v>285</v>
      </c>
      <c r="C529" s="97">
        <f>SUMIFS(Input!$C$115:$C$3257,Input!$A$115:$A$3257,"="&amp;'Output - County'!A529,Input!$B$115:$B$3257,"="&amp;'Output - County'!B529)*VLOOKUP(A529,'Output - State'!$B$2:$G$52,2,FALSE)</f>
        <v>25.308762887940727</v>
      </c>
      <c r="D529" s="98">
        <f>SUMIFS(Input!$C$115:$C$3257,Input!$A$115:$A$3257,"="&amp;'Output - County'!A529,Input!$B$115:$B$3257,"="&amp;'Output - County'!B529)*VLOOKUP(A529,'Output - State'!$B$2:$G$52,3,FALSE)</f>
        <v>0</v>
      </c>
      <c r="E529" s="98">
        <f>SUMIFS(Input!$C$115:$C$3257,Input!$A$115:$A$3257,"="&amp;'Output - County'!A529,Input!$B$115:$B$3257,"="&amp;'Output - County'!B529)*VLOOKUP(A529,'Output - State'!$B$2:$G$52,4,FALSE)</f>
        <v>0.79033322204201395</v>
      </c>
      <c r="F529" s="98">
        <f>SUMIFS(Input!$C$115:$C$3257,Input!$A$115:$A$3257,"="&amp;'Output - County'!A529,Input!$B$115:$B$3257,"="&amp;'Output - County'!B529)*VLOOKUP(A529,'Output - State'!$B$2:$G$52,5,FALSE)</f>
        <v>36.870952850104565</v>
      </c>
      <c r="G529" s="99">
        <f>SUMIFS(Input!$D$115:$D$3257,Input!$A$115:$A$3257,"="&amp;'Output - County'!A529,Input!$B$115:$B$3257,"="&amp;'Output - County'!B529)*VLOOKUP(A529,'Output - State'!$B$2:$G$52,6,FALSE)</f>
        <v>9.1619717707276553</v>
      </c>
    </row>
    <row r="530" spans="1:7" x14ac:dyDescent="0.25">
      <c r="A530" s="88">
        <v>13</v>
      </c>
      <c r="B530" s="88">
        <v>287</v>
      </c>
      <c r="C530" s="97">
        <f>SUMIFS(Input!$C$115:$C$3257,Input!$A$115:$A$3257,"="&amp;'Output - County'!A530,Input!$B$115:$B$3257,"="&amp;'Output - County'!B530)*VLOOKUP(A530,'Output - State'!$B$2:$G$52,2,FALSE)</f>
        <v>8.3744837912884531</v>
      </c>
      <c r="D530" s="98">
        <f>SUMIFS(Input!$C$115:$C$3257,Input!$A$115:$A$3257,"="&amp;'Output - County'!A530,Input!$B$115:$B$3257,"="&amp;'Output - County'!B530)*VLOOKUP(A530,'Output - State'!$B$2:$G$52,3,FALSE)</f>
        <v>0</v>
      </c>
      <c r="E530" s="98">
        <f>SUMIFS(Input!$C$115:$C$3257,Input!$A$115:$A$3257,"="&amp;'Output - County'!A530,Input!$B$115:$B$3257,"="&amp;'Output - County'!B530)*VLOOKUP(A530,'Output - State'!$B$2:$G$52,4,FALSE)</f>
        <v>0.26151545956682498</v>
      </c>
      <c r="F530" s="98">
        <f>SUMIFS(Input!$C$115:$C$3257,Input!$A$115:$A$3257,"="&amp;'Output - County'!A530,Input!$B$115:$B$3257,"="&amp;'Output - County'!B530)*VLOOKUP(A530,'Output - State'!$B$2:$G$52,5,FALSE)</f>
        <v>12.200327545827557</v>
      </c>
      <c r="G530" s="99">
        <f>SUMIFS(Input!$D$115:$D$3257,Input!$A$115:$A$3257,"="&amp;'Output - County'!A530,Input!$B$115:$B$3257,"="&amp;'Output - County'!B530)*VLOOKUP(A530,'Output - State'!$B$2:$G$52,6,FALSE)</f>
        <v>1.0338259159266154</v>
      </c>
    </row>
    <row r="531" spans="1:7" x14ac:dyDescent="0.25">
      <c r="A531" s="88">
        <v>13</v>
      </c>
      <c r="B531" s="88">
        <v>289</v>
      </c>
      <c r="C531" s="97">
        <f>SUMIFS(Input!$C$115:$C$3257,Input!$A$115:$A$3257,"="&amp;'Output - County'!A531,Input!$B$115:$B$3257,"="&amp;'Output - County'!B531)*VLOOKUP(A531,'Output - State'!$B$2:$G$52,2,FALSE)</f>
        <v>7.594799603181837</v>
      </c>
      <c r="D531" s="98">
        <f>SUMIFS(Input!$C$115:$C$3257,Input!$A$115:$A$3257,"="&amp;'Output - County'!A531,Input!$B$115:$B$3257,"="&amp;'Output - County'!B531)*VLOOKUP(A531,'Output - State'!$B$2:$G$52,3,FALSE)</f>
        <v>0</v>
      </c>
      <c r="E531" s="98">
        <f>SUMIFS(Input!$C$115:$C$3257,Input!$A$115:$A$3257,"="&amp;'Output - County'!A531,Input!$B$115:$B$3257,"="&amp;'Output - County'!B531)*VLOOKUP(A531,'Output - State'!$B$2:$G$52,4,FALSE)</f>
        <v>0.23716775362442472</v>
      </c>
      <c r="F531" s="98">
        <f>SUMIFS(Input!$C$115:$C$3257,Input!$A$115:$A$3257,"="&amp;'Output - County'!A531,Input!$B$115:$B$3257,"="&amp;'Output - County'!B531)*VLOOKUP(A531,'Output - State'!$B$2:$G$52,5,FALSE)</f>
        <v>11.064448282785863</v>
      </c>
      <c r="G531" s="99">
        <f>SUMIFS(Input!$D$115:$D$3257,Input!$A$115:$A$3257,"="&amp;'Output - County'!A531,Input!$B$115:$B$3257,"="&amp;'Output - County'!B531)*VLOOKUP(A531,'Output - State'!$B$2:$G$52,6,FALSE)</f>
        <v>1.0678075515955057</v>
      </c>
    </row>
    <row r="532" spans="1:7" x14ac:dyDescent="0.25">
      <c r="A532" s="88">
        <v>13</v>
      </c>
      <c r="B532" s="88">
        <v>291</v>
      </c>
      <c r="C532" s="97">
        <f>SUMIFS(Input!$C$115:$C$3257,Input!$A$115:$A$3257,"="&amp;'Output - County'!A532,Input!$B$115:$B$3257,"="&amp;'Output - County'!B532)*VLOOKUP(A532,'Output - State'!$B$2:$G$52,2,FALSE)</f>
        <v>4.4667069366814207</v>
      </c>
      <c r="D532" s="98">
        <f>SUMIFS(Input!$C$115:$C$3257,Input!$A$115:$A$3257,"="&amp;'Output - County'!A532,Input!$B$115:$B$3257,"="&amp;'Output - County'!B532)*VLOOKUP(A532,'Output - State'!$B$2:$G$52,3,FALSE)</f>
        <v>0</v>
      </c>
      <c r="E532" s="98">
        <f>SUMIFS(Input!$C$115:$C$3257,Input!$A$115:$A$3257,"="&amp;'Output - County'!A532,Input!$B$115:$B$3257,"="&amp;'Output - County'!B532)*VLOOKUP(A532,'Output - State'!$B$2:$G$52,4,FALSE)</f>
        <v>0.13948476663262455</v>
      </c>
      <c r="F532" s="98">
        <f>SUMIFS(Input!$C$115:$C$3257,Input!$A$115:$A$3257,"="&amp;'Output - County'!A532,Input!$B$115:$B$3257,"="&amp;'Output - County'!B532)*VLOOKUP(A532,'Output - State'!$B$2:$G$52,5,FALSE)</f>
        <v>6.50730111095588</v>
      </c>
      <c r="G532" s="99">
        <f>SUMIFS(Input!$D$115:$D$3257,Input!$A$115:$A$3257,"="&amp;'Output - County'!A532,Input!$B$115:$B$3257,"="&amp;'Output - County'!B532)*VLOOKUP(A532,'Output - State'!$B$2:$G$52,6,FALSE)</f>
        <v>3.1236965095633513</v>
      </c>
    </row>
    <row r="533" spans="1:7" x14ac:dyDescent="0.25">
      <c r="A533" s="88">
        <v>13</v>
      </c>
      <c r="B533" s="88">
        <v>293</v>
      </c>
      <c r="C533" s="97">
        <f>SUMIFS(Input!$C$115:$C$3257,Input!$A$115:$A$3257,"="&amp;'Output - County'!A533,Input!$B$115:$B$3257,"="&amp;'Output - County'!B533)*VLOOKUP(A533,'Output - State'!$B$2:$G$52,2,FALSE)</f>
        <v>5.1914093639320811</v>
      </c>
      <c r="D533" s="98">
        <f>SUMIFS(Input!$C$115:$C$3257,Input!$A$115:$A$3257,"="&amp;'Output - County'!A533,Input!$B$115:$B$3257,"="&amp;'Output - County'!B533)*VLOOKUP(A533,'Output - State'!$B$2:$G$52,3,FALSE)</f>
        <v>0</v>
      </c>
      <c r="E533" s="98">
        <f>SUMIFS(Input!$C$115:$C$3257,Input!$A$115:$A$3257,"="&amp;'Output - County'!A533,Input!$B$115:$B$3257,"="&amp;'Output - County'!B533)*VLOOKUP(A533,'Output - State'!$B$2:$G$52,4,FALSE)</f>
        <v>0.1621155213197133</v>
      </c>
      <c r="F533" s="98">
        <f>SUMIFS(Input!$C$115:$C$3257,Input!$A$115:$A$3257,"="&amp;'Output - County'!A533,Input!$B$115:$B$3257,"="&amp;'Output - County'!B533)*VLOOKUP(A533,'Output - State'!$B$2:$G$52,5,FALSE)</f>
        <v>7.5630804528314703</v>
      </c>
      <c r="G533" s="99">
        <f>SUMIFS(Input!$D$115:$D$3257,Input!$A$115:$A$3257,"="&amp;'Output - County'!A533,Input!$B$115:$B$3257,"="&amp;'Output - County'!B533)*VLOOKUP(A533,'Output - State'!$B$2:$G$52,6,FALSE)</f>
        <v>3.4243032866343022</v>
      </c>
    </row>
    <row r="534" spans="1:7" x14ac:dyDescent="0.25">
      <c r="A534" s="88">
        <v>13</v>
      </c>
      <c r="B534" s="88">
        <v>295</v>
      </c>
      <c r="C534" s="97">
        <f>SUMIFS(Input!$C$115:$C$3257,Input!$A$115:$A$3257,"="&amp;'Output - County'!A534,Input!$B$115:$B$3257,"="&amp;'Output - County'!B534)*VLOOKUP(A534,'Output - State'!$B$2:$G$52,2,FALSE)</f>
        <v>12.468253819997219</v>
      </c>
      <c r="D534" s="98">
        <f>SUMIFS(Input!$C$115:$C$3257,Input!$A$115:$A$3257,"="&amp;'Output - County'!A534,Input!$B$115:$B$3257,"="&amp;'Output - County'!B534)*VLOOKUP(A534,'Output - State'!$B$2:$G$52,3,FALSE)</f>
        <v>0</v>
      </c>
      <c r="E534" s="98">
        <f>SUMIFS(Input!$C$115:$C$3257,Input!$A$115:$A$3257,"="&amp;'Output - County'!A534,Input!$B$115:$B$3257,"="&amp;'Output - County'!B534)*VLOOKUP(A534,'Output - State'!$B$2:$G$52,4,FALSE)</f>
        <v>0.38935428248416604</v>
      </c>
      <c r="F534" s="98">
        <f>SUMIFS(Input!$C$115:$C$3257,Input!$A$115:$A$3257,"="&amp;'Output - County'!A534,Input!$B$115:$B$3257,"="&amp;'Output - County'!B534)*VLOOKUP(A534,'Output - State'!$B$2:$G$52,5,FALSE)</f>
        <v>18.164317266542572</v>
      </c>
      <c r="G534" s="99">
        <f>SUMIFS(Input!$D$115:$D$3257,Input!$A$115:$A$3257,"="&amp;'Output - County'!A534,Input!$B$115:$B$3257,"="&amp;'Output - County'!B534)*VLOOKUP(A534,'Output - State'!$B$2:$G$52,6,FALSE)</f>
        <v>9.0704827516191049</v>
      </c>
    </row>
    <row r="535" spans="1:7" x14ac:dyDescent="0.25">
      <c r="A535" s="88">
        <v>13</v>
      </c>
      <c r="B535" s="88">
        <v>297</v>
      </c>
      <c r="C535" s="97">
        <f>SUMIFS(Input!$C$115:$C$3257,Input!$A$115:$A$3257,"="&amp;'Output - County'!A535,Input!$B$115:$B$3257,"="&amp;'Output - County'!B535)*VLOOKUP(A535,'Output - State'!$B$2:$G$52,2,FALSE)</f>
        <v>19.467660828748325</v>
      </c>
      <c r="D535" s="98">
        <f>SUMIFS(Input!$C$115:$C$3257,Input!$A$115:$A$3257,"="&amp;'Output - County'!A535,Input!$B$115:$B$3257,"="&amp;'Output - County'!B535)*VLOOKUP(A535,'Output - State'!$B$2:$G$52,3,FALSE)</f>
        <v>0</v>
      </c>
      <c r="E535" s="98">
        <f>SUMIFS(Input!$C$115:$C$3257,Input!$A$115:$A$3257,"="&amp;'Output - County'!A535,Input!$B$115:$B$3257,"="&amp;'Output - County'!B535)*VLOOKUP(A535,'Output - State'!$B$2:$G$52,4,FALSE)</f>
        <v>0.6079293237891511</v>
      </c>
      <c r="F535" s="98">
        <f>SUMIFS(Input!$C$115:$C$3257,Input!$A$115:$A$3257,"="&amp;'Output - County'!A535,Input!$B$115:$B$3257,"="&amp;'Output - County'!B535)*VLOOKUP(A535,'Output - State'!$B$2:$G$52,5,FALSE)</f>
        <v>28.361370632644576</v>
      </c>
      <c r="G535" s="99">
        <f>SUMIFS(Input!$D$115:$D$3257,Input!$A$115:$A$3257,"="&amp;'Output - County'!A535,Input!$B$115:$B$3257,"="&amp;'Output - County'!B535)*VLOOKUP(A535,'Output - State'!$B$2:$G$52,6,FALSE)</f>
        <v>12.181109401309806</v>
      </c>
    </row>
    <row r="536" spans="1:7" x14ac:dyDescent="0.25">
      <c r="A536" s="88">
        <v>13</v>
      </c>
      <c r="B536" s="88">
        <v>299</v>
      </c>
      <c r="C536" s="97">
        <f>SUMIFS(Input!$C$115:$C$3257,Input!$A$115:$A$3257,"="&amp;'Output - County'!A536,Input!$B$115:$B$3257,"="&amp;'Output - County'!B536)*VLOOKUP(A536,'Output - State'!$B$2:$G$52,2,FALSE)</f>
        <v>9.5694769551386347</v>
      </c>
      <c r="D536" s="98">
        <f>SUMIFS(Input!$C$115:$C$3257,Input!$A$115:$A$3257,"="&amp;'Output - County'!A536,Input!$B$115:$B$3257,"="&amp;'Output - County'!B536)*VLOOKUP(A536,'Output - State'!$B$2:$G$52,3,FALSE)</f>
        <v>0</v>
      </c>
      <c r="E536" s="98">
        <f>SUMIFS(Input!$C$115:$C$3257,Input!$A$115:$A$3257,"="&amp;'Output - County'!A536,Input!$B$115:$B$3257,"="&amp;'Output - County'!B536)*VLOOKUP(A536,'Output - State'!$B$2:$G$52,4,FALSE)</f>
        <v>0.29883228938128853</v>
      </c>
      <c r="F536" s="98">
        <f>SUMIFS(Input!$C$115:$C$3257,Input!$A$115:$A$3257,"="&amp;'Output - County'!A536,Input!$B$115:$B$3257,"="&amp;'Output - County'!B536)*VLOOKUP(A536,'Output - State'!$B$2:$G$52,5,FALSE)</f>
        <v>13.941247747877874</v>
      </c>
      <c r="G536" s="99">
        <f>SUMIFS(Input!$D$115:$D$3257,Input!$A$115:$A$3257,"="&amp;'Output - County'!A536,Input!$B$115:$B$3257,"="&amp;'Output - County'!B536)*VLOOKUP(A536,'Output - State'!$B$2:$G$52,6,FALSE)</f>
        <v>4.6528701146634024</v>
      </c>
    </row>
    <row r="537" spans="1:7" x14ac:dyDescent="0.25">
      <c r="A537" s="88">
        <v>13</v>
      </c>
      <c r="B537" s="88">
        <v>301</v>
      </c>
      <c r="C537" s="97">
        <f>SUMIFS(Input!$C$115:$C$3257,Input!$A$115:$A$3257,"="&amp;'Output - County'!A537,Input!$B$115:$B$3257,"="&amp;'Output - County'!B537)*VLOOKUP(A537,'Output - State'!$B$2:$G$52,2,FALSE)</f>
        <v>4.8886975447877825</v>
      </c>
      <c r="D537" s="98">
        <f>SUMIFS(Input!$C$115:$C$3257,Input!$A$115:$A$3257,"="&amp;'Output - County'!A537,Input!$B$115:$B$3257,"="&amp;'Output - County'!B537)*VLOOKUP(A537,'Output - State'!$B$2:$G$52,3,FALSE)</f>
        <v>0</v>
      </c>
      <c r="E537" s="98">
        <f>SUMIFS(Input!$C$115:$C$3257,Input!$A$115:$A$3257,"="&amp;'Output - County'!A537,Input!$B$115:$B$3257,"="&amp;'Output - County'!B537)*VLOOKUP(A537,'Output - State'!$B$2:$G$52,4,FALSE)</f>
        <v>0.15266254219016015</v>
      </c>
      <c r="F537" s="98">
        <f>SUMIFS(Input!$C$115:$C$3257,Input!$A$115:$A$3257,"="&amp;'Output - County'!A537,Input!$B$115:$B$3257,"="&amp;'Output - County'!B537)*VLOOKUP(A537,'Output - State'!$B$2:$G$52,5,FALSE)</f>
        <v>7.1220761548238025</v>
      </c>
      <c r="G537" s="99">
        <f>SUMIFS(Input!$D$115:$D$3257,Input!$A$115:$A$3257,"="&amp;'Output - County'!A537,Input!$B$115:$B$3257,"="&amp;'Output - County'!B537)*VLOOKUP(A537,'Output - State'!$B$2:$G$52,6,FALSE)</f>
        <v>0.68616764331412539</v>
      </c>
    </row>
    <row r="538" spans="1:7" x14ac:dyDescent="0.25">
      <c r="A538" s="88">
        <v>13</v>
      </c>
      <c r="B538" s="88">
        <v>303</v>
      </c>
      <c r="C538" s="97">
        <f>SUMIFS(Input!$C$115:$C$3257,Input!$A$115:$A$3257,"="&amp;'Output - County'!A538,Input!$B$115:$B$3257,"="&amp;'Output - County'!B538)*VLOOKUP(A538,'Output - State'!$B$2:$G$52,2,FALSE)</f>
        <v>5.2780133816448096</v>
      </c>
      <c r="D538" s="98">
        <f>SUMIFS(Input!$C$115:$C$3257,Input!$A$115:$A$3257,"="&amp;'Output - County'!A538,Input!$B$115:$B$3257,"="&amp;'Output - County'!B538)*VLOOKUP(A538,'Output - State'!$B$2:$G$52,3,FALSE)</f>
        <v>0</v>
      </c>
      <c r="E538" s="98">
        <f>SUMIFS(Input!$C$115:$C$3257,Input!$A$115:$A$3257,"="&amp;'Output - County'!A538,Input!$B$115:$B$3257,"="&amp;'Output - County'!B538)*VLOOKUP(A538,'Output - State'!$B$2:$G$52,4,FALSE)</f>
        <v>0.16481996138514607</v>
      </c>
      <c r="F538" s="98">
        <f>SUMIFS(Input!$C$115:$C$3257,Input!$A$115:$A$3257,"="&amp;'Output - County'!A538,Input!$B$115:$B$3257,"="&amp;'Output - County'!B538)*VLOOKUP(A538,'Output - State'!$B$2:$G$52,5,FALSE)</f>
        <v>7.6892491110094312</v>
      </c>
      <c r="G538" s="99">
        <f>SUMIFS(Input!$D$115:$D$3257,Input!$A$115:$A$3257,"="&amp;'Output - County'!A538,Input!$B$115:$B$3257,"="&amp;'Output - County'!B538)*VLOOKUP(A538,'Output - State'!$B$2:$G$52,6,FALSE)</f>
        <v>2.6662514140206013</v>
      </c>
    </row>
    <row r="539" spans="1:7" x14ac:dyDescent="0.25">
      <c r="A539" s="88">
        <v>13</v>
      </c>
      <c r="B539" s="88">
        <v>305</v>
      </c>
      <c r="C539" s="97">
        <f>SUMIFS(Input!$C$115:$C$3257,Input!$A$115:$A$3257,"="&amp;'Output - County'!A539,Input!$B$115:$B$3257,"="&amp;'Output - County'!B539)*VLOOKUP(A539,'Output - State'!$B$2:$G$52,2,FALSE)</f>
        <v>6.9864950743225993</v>
      </c>
      <c r="D539" s="98">
        <f>SUMIFS(Input!$C$115:$C$3257,Input!$A$115:$A$3257,"="&amp;'Output - County'!A539,Input!$B$115:$B$3257,"="&amp;'Output - County'!B539)*VLOOKUP(A539,'Output - State'!$B$2:$G$52,3,FALSE)</f>
        <v>0</v>
      </c>
      <c r="E539" s="98">
        <f>SUMIFS(Input!$C$115:$C$3257,Input!$A$115:$A$3257,"="&amp;'Output - County'!A539,Input!$B$115:$B$3257,"="&amp;'Output - County'!B539)*VLOOKUP(A539,'Output - State'!$B$2:$G$52,4,FALSE)</f>
        <v>0.21817183191917425</v>
      </c>
      <c r="F539" s="98">
        <f>SUMIFS(Input!$C$115:$C$3257,Input!$A$115:$A$3257,"="&amp;'Output - County'!A539,Input!$B$115:$B$3257,"="&amp;'Output - County'!B539)*VLOOKUP(A539,'Output - State'!$B$2:$G$52,5,FALSE)</f>
        <v>10.178242674815944</v>
      </c>
      <c r="G539" s="99">
        <f>SUMIFS(Input!$D$115:$D$3257,Input!$A$115:$A$3257,"="&amp;'Output - County'!A539,Input!$B$115:$B$3257,"="&amp;'Output - County'!B539)*VLOOKUP(A539,'Output - State'!$B$2:$G$52,6,FALSE)</f>
        <v>3.894818242049702</v>
      </c>
    </row>
    <row r="540" spans="1:7" x14ac:dyDescent="0.25">
      <c r="A540" s="88">
        <v>13</v>
      </c>
      <c r="B540" s="88">
        <v>307</v>
      </c>
      <c r="C540" s="97">
        <f>SUMIFS(Input!$C$115:$C$3257,Input!$A$115:$A$3257,"="&amp;'Output - County'!A540,Input!$B$115:$B$3257,"="&amp;'Output - County'!B540)*VLOOKUP(A540,'Output - State'!$B$2:$G$52,2,FALSE)</f>
        <v>1.0573723476503047</v>
      </c>
      <c r="D540" s="98">
        <f>SUMIFS(Input!$C$115:$C$3257,Input!$A$115:$A$3257,"="&amp;'Output - County'!A540,Input!$B$115:$B$3257,"="&amp;'Output - County'!B540)*VLOOKUP(A540,'Output - State'!$B$2:$G$52,3,FALSE)</f>
        <v>0</v>
      </c>
      <c r="E540" s="98">
        <f>SUMIFS(Input!$C$115:$C$3257,Input!$A$115:$A$3257,"="&amp;'Output - County'!A540,Input!$B$115:$B$3257,"="&amp;'Output - County'!B540)*VLOOKUP(A540,'Output - State'!$B$2:$G$52,4,FALSE)</f>
        <v>3.3019254955949748E-2</v>
      </c>
      <c r="F540" s="98">
        <f>SUMIFS(Input!$C$115:$C$3257,Input!$A$115:$A$3257,"="&amp;'Output - County'!A540,Input!$B$115:$B$3257,"="&amp;'Output - County'!B540)*VLOOKUP(A540,'Output - State'!$B$2:$G$52,5,FALSE)</f>
        <v>1.5404279595900436</v>
      </c>
      <c r="G540" s="99">
        <f>SUMIFS(Input!$D$115:$D$3257,Input!$A$115:$A$3257,"="&amp;'Output - County'!A540,Input!$B$115:$B$3257,"="&amp;'Output - County'!B540)*VLOOKUP(A540,'Output - State'!$B$2:$G$52,6,FALSE)</f>
        <v>0.34112334267616518</v>
      </c>
    </row>
    <row r="541" spans="1:7" x14ac:dyDescent="0.25">
      <c r="A541" s="88">
        <v>13</v>
      </c>
      <c r="B541" s="88">
        <v>309</v>
      </c>
      <c r="C541" s="97">
        <f>SUMIFS(Input!$C$115:$C$3257,Input!$A$115:$A$3257,"="&amp;'Output - County'!A541,Input!$B$115:$B$3257,"="&amp;'Output - County'!B541)*VLOOKUP(A541,'Output - State'!$B$2:$G$52,2,FALSE)</f>
        <v>1.907062116068202</v>
      </c>
      <c r="D541" s="98">
        <f>SUMIFS(Input!$C$115:$C$3257,Input!$A$115:$A$3257,"="&amp;'Output - County'!A541,Input!$B$115:$B$3257,"="&amp;'Output - County'!B541)*VLOOKUP(A541,'Output - State'!$B$2:$G$52,3,FALSE)</f>
        <v>0</v>
      </c>
      <c r="E541" s="98">
        <f>SUMIFS(Input!$C$115:$C$3257,Input!$A$115:$A$3257,"="&amp;'Output - County'!A541,Input!$B$115:$B$3257,"="&amp;'Output - County'!B541)*VLOOKUP(A541,'Output - State'!$B$2:$G$52,4,FALSE)</f>
        <v>5.9553070748654013E-2</v>
      </c>
      <c r="F541" s="98">
        <f>SUMIFS(Input!$C$115:$C$3257,Input!$A$115:$A$3257,"="&amp;'Output - County'!A541,Input!$B$115:$B$3257,"="&amp;'Output - County'!B541)*VLOOKUP(A541,'Output - State'!$B$2:$G$52,5,FALSE)</f>
        <v>2.7782945249084268</v>
      </c>
      <c r="G541" s="99">
        <f>SUMIFS(Input!$D$115:$D$3257,Input!$A$115:$A$3257,"="&amp;'Output - County'!A541,Input!$B$115:$B$3257,"="&amp;'Output - County'!B541)*VLOOKUP(A541,'Output - State'!$B$2:$G$52,6,FALSE)</f>
        <v>1.0325189299393505</v>
      </c>
    </row>
    <row r="542" spans="1:7" x14ac:dyDescent="0.25">
      <c r="A542" s="88">
        <v>13</v>
      </c>
      <c r="B542" s="88">
        <v>311</v>
      </c>
      <c r="C542" s="97">
        <f>SUMIFS(Input!$C$115:$C$3257,Input!$A$115:$A$3257,"="&amp;'Output - County'!A542,Input!$B$115:$B$3257,"="&amp;'Output - County'!B542)*VLOOKUP(A542,'Output - State'!$B$2:$G$52,2,FALSE)</f>
        <v>5.1186056612748274</v>
      </c>
      <c r="D542" s="98">
        <f>SUMIFS(Input!$C$115:$C$3257,Input!$A$115:$A$3257,"="&amp;'Output - County'!A542,Input!$B$115:$B$3257,"="&amp;'Output - County'!B542)*VLOOKUP(A542,'Output - State'!$B$2:$G$52,3,FALSE)</f>
        <v>0</v>
      </c>
      <c r="E542" s="98">
        <f>SUMIFS(Input!$C$115:$C$3257,Input!$A$115:$A$3257,"="&amp;'Output - County'!A542,Input!$B$115:$B$3257,"="&amp;'Output - County'!B542)*VLOOKUP(A542,'Output - State'!$B$2:$G$52,4,FALSE)</f>
        <v>0.15984203268052294</v>
      </c>
      <c r="F542" s="98">
        <f>SUMIFS(Input!$C$115:$C$3257,Input!$A$115:$A$3257,"="&amp;'Output - County'!A542,Input!$B$115:$B$3257,"="&amp;'Output - County'!B542)*VLOOKUP(A542,'Output - State'!$B$2:$G$52,5,FALSE)</f>
        <v>7.457016719101218</v>
      </c>
      <c r="G542" s="99">
        <f>SUMIFS(Input!$D$115:$D$3257,Input!$A$115:$A$3257,"="&amp;'Output - County'!A542,Input!$B$115:$B$3257,"="&amp;'Output - County'!B542)*VLOOKUP(A542,'Output - State'!$B$2:$G$52,6,FALSE)</f>
        <v>3.9209579617950019</v>
      </c>
    </row>
    <row r="543" spans="1:7" x14ac:dyDescent="0.25">
      <c r="A543" s="88">
        <v>13</v>
      </c>
      <c r="B543" s="88">
        <v>313</v>
      </c>
      <c r="C543" s="97">
        <f>SUMIFS(Input!$C$115:$C$3257,Input!$A$115:$A$3257,"="&amp;'Output - County'!A543,Input!$B$115:$B$3257,"="&amp;'Output - County'!B543)*VLOOKUP(A543,'Output - State'!$B$2:$G$52,2,FALSE)</f>
        <v>31.034118472849173</v>
      </c>
      <c r="D543" s="98">
        <f>SUMIFS(Input!$C$115:$C$3257,Input!$A$115:$A$3257,"="&amp;'Output - County'!A543,Input!$B$115:$B$3257,"="&amp;'Output - County'!B543)*VLOOKUP(A543,'Output - State'!$B$2:$G$52,3,FALSE)</f>
        <v>0</v>
      </c>
      <c r="E543" s="98">
        <f>SUMIFS(Input!$C$115:$C$3257,Input!$A$115:$A$3257,"="&amp;'Output - County'!A543,Input!$B$115:$B$3257,"="&amp;'Output - County'!B543)*VLOOKUP(A543,'Output - State'!$B$2:$G$52,4,FALSE)</f>
        <v>0.9691226297579083</v>
      </c>
      <c r="F543" s="98">
        <f>SUMIFS(Input!$C$115:$C$3257,Input!$A$115:$A$3257,"="&amp;'Output - County'!A543,Input!$B$115:$B$3257,"="&amp;'Output - County'!B543)*VLOOKUP(A543,'Output - State'!$B$2:$G$52,5,FALSE)</f>
        <v>45.211910357823278</v>
      </c>
      <c r="G543" s="99">
        <f>SUMIFS(Input!$D$115:$D$3257,Input!$A$115:$A$3257,"="&amp;'Output - County'!A543,Input!$B$115:$B$3257,"="&amp;'Output - County'!B543)*VLOOKUP(A543,'Output - State'!$B$2:$G$52,6,FALSE)</f>
        <v>13.592654267556007</v>
      </c>
    </row>
    <row r="544" spans="1:7" x14ac:dyDescent="0.25">
      <c r="A544" s="88">
        <v>13</v>
      </c>
      <c r="B544" s="88">
        <v>315</v>
      </c>
      <c r="C544" s="97">
        <f>SUMIFS(Input!$C$115:$C$3257,Input!$A$115:$A$3257,"="&amp;'Output - County'!A544,Input!$B$115:$B$3257,"="&amp;'Output - County'!B544)*VLOOKUP(A544,'Output - State'!$B$2:$G$52,2,FALSE)</f>
        <v>1.68905632334468</v>
      </c>
      <c r="D544" s="98">
        <f>SUMIFS(Input!$C$115:$C$3257,Input!$A$115:$A$3257,"="&amp;'Output - County'!A544,Input!$B$115:$B$3257,"="&amp;'Output - County'!B544)*VLOOKUP(A544,'Output - State'!$B$2:$G$52,3,FALSE)</f>
        <v>0</v>
      </c>
      <c r="E544" s="98">
        <f>SUMIFS(Input!$C$115:$C$3257,Input!$A$115:$A$3257,"="&amp;'Output - County'!A544,Input!$B$115:$B$3257,"="&amp;'Output - County'!B544)*VLOOKUP(A544,'Output - State'!$B$2:$G$52,4,FALSE)</f>
        <v>5.2745261874317377E-2</v>
      </c>
      <c r="F544" s="98">
        <f>SUMIFS(Input!$C$115:$C$3257,Input!$A$115:$A$3257,"="&amp;'Output - County'!A544,Input!$B$115:$B$3257,"="&amp;'Output - County'!B544)*VLOOKUP(A544,'Output - State'!$B$2:$G$52,5,FALSE)</f>
        <v>2.4606938053415024</v>
      </c>
      <c r="G544" s="99">
        <f>SUMIFS(Input!$D$115:$D$3257,Input!$A$115:$A$3257,"="&amp;'Output - County'!A544,Input!$B$115:$B$3257,"="&amp;'Output - County'!B544)*VLOOKUP(A544,'Output - State'!$B$2:$G$52,6,FALSE)</f>
        <v>1.1540686267549956</v>
      </c>
    </row>
    <row r="545" spans="1:7" x14ac:dyDescent="0.25">
      <c r="A545" s="88">
        <v>13</v>
      </c>
      <c r="B545" s="88">
        <v>317</v>
      </c>
      <c r="C545" s="97">
        <f>SUMIFS(Input!$C$115:$C$3257,Input!$A$115:$A$3257,"="&amp;'Output - County'!A545,Input!$B$115:$B$3257,"="&amp;'Output - County'!B545)*VLOOKUP(A545,'Output - State'!$B$2:$G$52,2,FALSE)</f>
        <v>2.6165163952925803</v>
      </c>
      <c r="D545" s="98">
        <f>SUMIFS(Input!$C$115:$C$3257,Input!$A$115:$A$3257,"="&amp;'Output - County'!A545,Input!$B$115:$B$3257,"="&amp;'Output - County'!B545)*VLOOKUP(A545,'Output - State'!$B$2:$G$52,3,FALSE)</f>
        <v>0</v>
      </c>
      <c r="E545" s="98">
        <f>SUMIFS(Input!$C$115:$C$3257,Input!$A$115:$A$3257,"="&amp;'Output - County'!A545,Input!$B$115:$B$3257,"="&amp;'Output - County'!B545)*VLOOKUP(A545,'Output - State'!$B$2:$G$52,4,FALSE)</f>
        <v>8.1707661586362071E-2</v>
      </c>
      <c r="F545" s="98">
        <f>SUMIFS(Input!$C$115:$C$3257,Input!$A$115:$A$3257,"="&amp;'Output - County'!A545,Input!$B$115:$B$3257,"="&amp;'Output - County'!B545)*VLOOKUP(A545,'Output - State'!$B$2:$G$52,5,FALSE)</f>
        <v>3.8118596736439665</v>
      </c>
      <c r="G545" s="99">
        <f>SUMIFS(Input!$D$115:$D$3257,Input!$A$115:$A$3257,"="&amp;'Output - County'!A545,Input!$B$115:$B$3257,"="&amp;'Output - County'!B545)*VLOOKUP(A545,'Output - State'!$B$2:$G$52,6,FALSE)</f>
        <v>1.2886881834432906</v>
      </c>
    </row>
    <row r="546" spans="1:7" x14ac:dyDescent="0.25">
      <c r="A546" s="88">
        <v>13</v>
      </c>
      <c r="B546" s="88">
        <v>319</v>
      </c>
      <c r="C546" s="97">
        <f>SUMIFS(Input!$C$115:$C$3257,Input!$A$115:$A$3257,"="&amp;'Output - County'!A546,Input!$B$115:$B$3257,"="&amp;'Output - County'!B546)*VLOOKUP(A546,'Output - State'!$B$2:$G$52,2,FALSE)</f>
        <v>3.4150168971870984</v>
      </c>
      <c r="D546" s="98">
        <f>SUMIFS(Input!$C$115:$C$3257,Input!$A$115:$A$3257,"="&amp;'Output - County'!A546,Input!$B$115:$B$3257,"="&amp;'Output - County'!B546)*VLOOKUP(A546,'Output - State'!$B$2:$G$52,3,FALSE)</f>
        <v>0</v>
      </c>
      <c r="E546" s="98">
        <f>SUMIFS(Input!$C$115:$C$3257,Input!$A$115:$A$3257,"="&amp;'Output - County'!A546,Input!$B$115:$B$3257,"="&amp;'Output - County'!B546)*VLOOKUP(A546,'Output - State'!$B$2:$G$52,4,FALSE)</f>
        <v>0.10664295681429126</v>
      </c>
      <c r="F546" s="98">
        <f>SUMIFS(Input!$C$115:$C$3257,Input!$A$115:$A$3257,"="&amp;'Output - County'!A546,Input!$B$115:$B$3257,"="&amp;'Output - County'!B546)*VLOOKUP(A546,'Output - State'!$B$2:$G$52,5,FALSE)</f>
        <v>4.9751513954280471</v>
      </c>
      <c r="G546" s="99">
        <f>SUMIFS(Input!$D$115:$D$3257,Input!$A$115:$A$3257,"="&amp;'Output - County'!A546,Input!$B$115:$B$3257,"="&amp;'Output - County'!B546)*VLOOKUP(A546,'Output - State'!$B$2:$G$52,6,FALSE)</f>
        <v>1.1815153324875605</v>
      </c>
    </row>
    <row r="547" spans="1:7" x14ac:dyDescent="0.25">
      <c r="A547" s="88">
        <v>13</v>
      </c>
      <c r="B547" s="88">
        <v>321</v>
      </c>
      <c r="C547" s="97">
        <f>SUMIFS(Input!$C$115:$C$3257,Input!$A$115:$A$3257,"="&amp;'Output - County'!A547,Input!$B$115:$B$3257,"="&amp;'Output - County'!B547)*VLOOKUP(A547,'Output - State'!$B$2:$G$52,2,FALSE)</f>
        <v>5.5575332815491176</v>
      </c>
      <c r="D547" s="98">
        <f>SUMIFS(Input!$C$115:$C$3257,Input!$A$115:$A$3257,"="&amp;'Output - County'!A547,Input!$B$115:$B$3257,"="&amp;'Output - County'!B547)*VLOOKUP(A547,'Output - State'!$B$2:$G$52,3,FALSE)</f>
        <v>0</v>
      </c>
      <c r="E547" s="98">
        <f>SUMIFS(Input!$C$115:$C$3257,Input!$A$115:$A$3257,"="&amp;'Output - County'!A547,Input!$B$115:$B$3257,"="&amp;'Output - County'!B547)*VLOOKUP(A547,'Output - State'!$B$2:$G$52,4,FALSE)</f>
        <v>0.17354871134793051</v>
      </c>
      <c r="F547" s="98">
        <f>SUMIFS(Input!$C$115:$C$3257,Input!$A$115:$A$3257,"="&amp;'Output - County'!A547,Input!$B$115:$B$3257,"="&amp;'Output - County'!B547)*VLOOKUP(A547,'Output - State'!$B$2:$G$52,5,FALSE)</f>
        <v>8.0964663699355253</v>
      </c>
      <c r="G547" s="99">
        <f>SUMIFS(Input!$D$115:$D$3257,Input!$A$115:$A$3257,"="&amp;'Output - County'!A547,Input!$B$115:$B$3257,"="&amp;'Output - County'!B547)*VLOOKUP(A547,'Output - State'!$B$2:$G$52,6,FALSE)</f>
        <v>2.6531815541479515</v>
      </c>
    </row>
    <row r="548" spans="1:7" x14ac:dyDescent="0.25">
      <c r="A548" s="88">
        <v>15</v>
      </c>
      <c r="B548" s="88">
        <v>1</v>
      </c>
      <c r="C548" s="97">
        <f>SUMIFS(Input!$C$115:$C$3257,Input!$A$115:$A$3257,"="&amp;'Output - County'!A548,Input!$B$115:$B$3257,"="&amp;'Output - County'!B548)*VLOOKUP(A548,'Output - State'!$B$2:$G$52,2,FALSE)</f>
        <v>35.849917436468729</v>
      </c>
      <c r="D548" s="98">
        <f>SUMIFS(Input!$C$115:$C$3257,Input!$A$115:$A$3257,"="&amp;'Output - County'!A548,Input!$B$115:$B$3257,"="&amp;'Output - County'!B548)*VLOOKUP(A548,'Output - State'!$B$2:$G$52,3,FALSE)</f>
        <v>0</v>
      </c>
      <c r="E548" s="98">
        <f>SUMIFS(Input!$C$115:$C$3257,Input!$A$115:$A$3257,"="&amp;'Output - County'!A548,Input!$B$115:$B$3257,"="&amp;'Output - County'!B548)*VLOOKUP(A548,'Output - State'!$B$2:$G$52,4,FALSE)</f>
        <v>13.572634490261262</v>
      </c>
      <c r="F548" s="98">
        <f>SUMIFS(Input!$C$115:$C$3257,Input!$A$115:$A$3257,"="&amp;'Output - County'!A548,Input!$B$115:$B$3257,"="&amp;'Output - County'!B548)*VLOOKUP(A548,'Output - State'!$B$2:$G$52,5,FALSE)</f>
        <v>126.88356757532559</v>
      </c>
      <c r="G548" s="99">
        <f>SUMIFS(Input!$D$115:$D$3257,Input!$A$115:$A$3257,"="&amp;'Output - County'!A548,Input!$B$115:$B$3257,"="&amp;'Output - County'!B548)*VLOOKUP(A548,'Output - State'!$B$2:$G$52,6,FALSE)</f>
        <v>38.602837985688133</v>
      </c>
    </row>
    <row r="549" spans="1:7" x14ac:dyDescent="0.25">
      <c r="A549" s="88">
        <v>15</v>
      </c>
      <c r="B549" s="88">
        <v>3</v>
      </c>
      <c r="C549" s="97">
        <f>SUMIFS(Input!$C$115:$C$3257,Input!$A$115:$A$3257,"="&amp;'Output - County'!A549,Input!$B$115:$B$3257,"="&amp;'Output - County'!B549)*VLOOKUP(A549,'Output - State'!$B$2:$G$52,2,FALSE)</f>
        <v>131.96035433748892</v>
      </c>
      <c r="D549" s="98">
        <f>SUMIFS(Input!$C$115:$C$3257,Input!$A$115:$A$3257,"="&amp;'Output - County'!A549,Input!$B$115:$B$3257,"="&amp;'Output - County'!B549)*VLOOKUP(A549,'Output - State'!$B$2:$G$52,3,FALSE)</f>
        <v>0</v>
      </c>
      <c r="E549" s="98">
        <f>SUMIFS(Input!$C$115:$C$3257,Input!$A$115:$A$3257,"="&amp;'Output - County'!A549,Input!$B$115:$B$3257,"="&amp;'Output - County'!B549)*VLOOKUP(A549,'Output - State'!$B$2:$G$52,4,FALSE)</f>
        <v>49.959659176401175</v>
      </c>
      <c r="F549" s="98">
        <f>SUMIFS(Input!$C$115:$C$3257,Input!$A$115:$A$3257,"="&amp;'Output - County'!A549,Input!$B$115:$B$3257,"="&amp;'Output - County'!B549)*VLOOKUP(A549,'Output - State'!$B$2:$G$52,5,FALSE)</f>
        <v>467.04711570164091</v>
      </c>
      <c r="G549" s="99">
        <f>SUMIFS(Input!$D$115:$D$3257,Input!$A$115:$A$3257,"="&amp;'Output - County'!A549,Input!$B$115:$B$3257,"="&amp;'Output - County'!B549)*VLOOKUP(A549,'Output - State'!$B$2:$G$52,6,FALSE)</f>
        <v>187.28109517809096</v>
      </c>
    </row>
    <row r="550" spans="1:7" x14ac:dyDescent="0.25">
      <c r="A550" s="88">
        <v>15</v>
      </c>
      <c r="B550" s="88">
        <v>5</v>
      </c>
      <c r="C550" s="97">
        <f>SUMIFS(Input!$C$115:$C$3257,Input!$A$115:$A$3257,"="&amp;'Output - County'!A550,Input!$B$115:$B$3257,"="&amp;'Output - County'!B550)*VLOOKUP(A550,'Output - State'!$B$2:$G$52,2,FALSE)</f>
        <v>3.2342706436960969E-3</v>
      </c>
      <c r="D550" s="98">
        <f>SUMIFS(Input!$C$115:$C$3257,Input!$A$115:$A$3257,"="&amp;'Output - County'!A550,Input!$B$115:$B$3257,"="&amp;'Output - County'!B550)*VLOOKUP(A550,'Output - State'!$B$2:$G$52,3,FALSE)</f>
        <v>0</v>
      </c>
      <c r="E550" s="98">
        <f>SUMIFS(Input!$C$115:$C$3257,Input!$A$115:$A$3257,"="&amp;'Output - County'!A550,Input!$B$115:$B$3257,"="&amp;'Output - County'!B550)*VLOOKUP(A550,'Output - State'!$B$2:$G$52,4,FALSE)</f>
        <v>1.2244818517995759E-3</v>
      </c>
      <c r="F550" s="98">
        <f>SUMIFS(Input!$C$115:$C$3257,Input!$A$115:$A$3257,"="&amp;'Output - County'!A550,Input!$B$115:$B$3257,"="&amp;'Output - County'!B550)*VLOOKUP(A550,'Output - State'!$B$2:$G$52,5,FALSE)</f>
        <v>1.1447050010744128E-2</v>
      </c>
      <c r="G550" s="99">
        <f>SUMIFS(Input!$D$115:$D$3257,Input!$A$115:$A$3257,"="&amp;'Output - County'!A550,Input!$B$115:$B$3257,"="&amp;'Output - County'!B550)*VLOOKUP(A550,'Output - State'!$B$2:$G$52,6,FALSE)</f>
        <v>1.6434871617669208E-2</v>
      </c>
    </row>
    <row r="551" spans="1:7" x14ac:dyDescent="0.25">
      <c r="A551" s="88">
        <v>15</v>
      </c>
      <c r="B551" s="88">
        <v>7</v>
      </c>
      <c r="C551" s="97">
        <f>SUMIFS(Input!$C$115:$C$3257,Input!$A$115:$A$3257,"="&amp;'Output - County'!A551,Input!$B$115:$B$3257,"="&amp;'Output - County'!B551)*VLOOKUP(A551,'Output - State'!$B$2:$G$52,2,FALSE)</f>
        <v>12.710937328163462</v>
      </c>
      <c r="D551" s="98">
        <f>SUMIFS(Input!$C$115:$C$3257,Input!$A$115:$A$3257,"="&amp;'Output - County'!A551,Input!$B$115:$B$3257,"="&amp;'Output - County'!B551)*VLOOKUP(A551,'Output - State'!$B$2:$G$52,3,FALSE)</f>
        <v>0</v>
      </c>
      <c r="E551" s="98">
        <f>SUMIFS(Input!$C$115:$C$3257,Input!$A$115:$A$3257,"="&amp;'Output - County'!A551,Input!$B$115:$B$3257,"="&amp;'Output - County'!B551)*VLOOKUP(A551,'Output - State'!$B$2:$G$52,4,FALSE)</f>
        <v>4.8123097267800654</v>
      </c>
      <c r="F551" s="98">
        <f>SUMIFS(Input!$C$115:$C$3257,Input!$A$115:$A$3257,"="&amp;'Output - County'!A551,Input!$B$115:$B$3257,"="&amp;'Output - County'!B551)*VLOOKUP(A551,'Output - State'!$B$2:$G$52,5,FALSE)</f>
        <v>44.987804456785412</v>
      </c>
      <c r="G551" s="99">
        <f>SUMIFS(Input!$D$115:$D$3257,Input!$A$115:$A$3257,"="&amp;'Output - County'!A551,Input!$B$115:$B$3257,"="&amp;'Output - County'!B551)*VLOOKUP(A551,'Output - State'!$B$2:$G$52,6,FALSE)</f>
        <v>13.797648032508334</v>
      </c>
    </row>
    <row r="552" spans="1:7" x14ac:dyDescent="0.25">
      <c r="A552" s="88">
        <v>15</v>
      </c>
      <c r="B552" s="88">
        <v>9</v>
      </c>
      <c r="C552" s="97">
        <f>SUMIFS(Input!$C$115:$C$3257,Input!$A$115:$A$3257,"="&amp;'Output - County'!A552,Input!$B$115:$B$3257,"="&amp;'Output - County'!B552)*VLOOKUP(A552,'Output - State'!$B$2:$G$52,2,FALSE)</f>
        <v>26.031920702038306</v>
      </c>
      <c r="D552" s="98">
        <f>SUMIFS(Input!$C$115:$C$3257,Input!$A$115:$A$3257,"="&amp;'Output - County'!A552,Input!$B$115:$B$3257,"="&amp;'Output - County'!B552)*VLOOKUP(A552,'Output - State'!$B$2:$G$52,3,FALSE)</f>
        <v>0</v>
      </c>
      <c r="E552" s="98">
        <f>SUMIFS(Input!$C$115:$C$3257,Input!$A$115:$A$3257,"="&amp;'Output - County'!A552,Input!$B$115:$B$3257,"="&amp;'Output - County'!B552)*VLOOKUP(A552,'Output - State'!$B$2:$G$52,4,FALSE)</f>
        <v>9.8555804317923137</v>
      </c>
      <c r="F552" s="98">
        <f>SUMIFS(Input!$C$115:$C$3257,Input!$A$115:$A$3257,"="&amp;'Output - County'!A552,Input!$B$115:$B$3257,"="&amp;'Output - County'!B552)*VLOOKUP(A552,'Output - State'!$B$2:$G$52,5,FALSE)</f>
        <v>92.134744113875072</v>
      </c>
      <c r="G552" s="99">
        <f>SUMIFS(Input!$D$115:$D$3257,Input!$A$115:$A$3257,"="&amp;'Output - County'!A552,Input!$B$115:$B$3257,"="&amp;'Output - County'!B552)*VLOOKUP(A552,'Output - State'!$B$2:$G$52,6,FALSE)</f>
        <v>31.914227443613459</v>
      </c>
    </row>
    <row r="553" spans="1:7" x14ac:dyDescent="0.25">
      <c r="A553" s="88">
        <v>16</v>
      </c>
      <c r="B553" s="88">
        <v>1</v>
      </c>
      <c r="C553" s="97">
        <f>SUMIFS(Input!$C$115:$C$3257,Input!$A$115:$A$3257,"="&amp;'Output - County'!A553,Input!$B$115:$B$3257,"="&amp;'Output - County'!B553)*VLOOKUP(A553,'Output - State'!$B$2:$G$52,2,FALSE)</f>
        <v>41.604313670908596</v>
      </c>
      <c r="D553" s="98">
        <f>SUMIFS(Input!$C$115:$C$3257,Input!$A$115:$A$3257,"="&amp;'Output - County'!A553,Input!$B$115:$B$3257,"="&amp;'Output - County'!B553)*VLOOKUP(A553,'Output - State'!$B$2:$G$52,3,FALSE)</f>
        <v>28.076258586018284</v>
      </c>
      <c r="E553" s="98">
        <f>SUMIFS(Input!$C$115:$C$3257,Input!$A$115:$A$3257,"="&amp;'Output - County'!A553,Input!$B$115:$B$3257,"="&amp;'Output - County'!B553)*VLOOKUP(A553,'Output - State'!$B$2:$G$52,4,FALSE)</f>
        <v>43.491360691880494</v>
      </c>
      <c r="F553" s="98">
        <f>SUMIFS(Input!$C$115:$C$3257,Input!$A$115:$A$3257,"="&amp;'Output - County'!A553,Input!$B$115:$B$3257,"="&amp;'Output - County'!B553)*VLOOKUP(A553,'Output - State'!$B$2:$G$52,5,FALSE)</f>
        <v>690.34318564235059</v>
      </c>
      <c r="G553" s="99">
        <f>SUMIFS(Input!$D$115:$D$3257,Input!$A$115:$A$3257,"="&amp;'Output - County'!A553,Input!$B$115:$B$3257,"="&amp;'Output - County'!B553)*VLOOKUP(A553,'Output - State'!$B$2:$G$52,6,FALSE)</f>
        <v>4.5142889921620837</v>
      </c>
    </row>
    <row r="554" spans="1:7" x14ac:dyDescent="0.25">
      <c r="A554" s="88">
        <v>16</v>
      </c>
      <c r="B554" s="88">
        <v>3</v>
      </c>
      <c r="C554" s="97">
        <f>SUMIFS(Input!$C$115:$C$3257,Input!$A$115:$A$3257,"="&amp;'Output - County'!A554,Input!$B$115:$B$3257,"="&amp;'Output - County'!B554)*VLOOKUP(A554,'Output - State'!$B$2:$G$52,2,FALSE)</f>
        <v>0.4126174532710109</v>
      </c>
      <c r="D554" s="98">
        <f>SUMIFS(Input!$C$115:$C$3257,Input!$A$115:$A$3257,"="&amp;'Output - County'!A554,Input!$B$115:$B$3257,"="&amp;'Output - County'!B554)*VLOOKUP(A554,'Output - State'!$B$2:$G$52,3,FALSE)</f>
        <v>0.27845079735666312</v>
      </c>
      <c r="E554" s="98">
        <f>SUMIFS(Input!$C$115:$C$3257,Input!$A$115:$A$3257,"="&amp;'Output - County'!A554,Input!$B$115:$B$3257,"="&amp;'Output - County'!B554)*VLOOKUP(A554,'Output - State'!$B$2:$G$52,4,FALSE)</f>
        <v>0.43133254474337718</v>
      </c>
      <c r="F554" s="98">
        <f>SUMIFS(Input!$C$115:$C$3257,Input!$A$115:$A$3257,"="&amp;'Output - County'!A554,Input!$B$115:$B$3257,"="&amp;'Output - County'!B554)*VLOOKUP(A554,'Output - State'!$B$2:$G$52,5,FALSE)</f>
        <v>6.8465892598516849</v>
      </c>
      <c r="G554" s="99">
        <f>SUMIFS(Input!$D$115:$D$3257,Input!$A$115:$A$3257,"="&amp;'Output - County'!A554,Input!$B$115:$B$3257,"="&amp;'Output - County'!B554)*VLOOKUP(A554,'Output - State'!$B$2:$G$52,6,FALSE)</f>
        <v>4.0715229076429889E-2</v>
      </c>
    </row>
    <row r="555" spans="1:7" x14ac:dyDescent="0.25">
      <c r="A555" s="88">
        <v>16</v>
      </c>
      <c r="B555" s="88">
        <v>5</v>
      </c>
      <c r="C555" s="97">
        <f>SUMIFS(Input!$C$115:$C$3257,Input!$A$115:$A$3257,"="&amp;'Output - County'!A555,Input!$B$115:$B$3257,"="&amp;'Output - County'!B555)*VLOOKUP(A555,'Output - State'!$B$2:$G$52,2,FALSE)</f>
        <v>8.8904024820475627</v>
      </c>
      <c r="D555" s="98">
        <f>SUMIFS(Input!$C$115:$C$3257,Input!$A$115:$A$3257,"="&amp;'Output - County'!A555,Input!$B$115:$B$3257,"="&amp;'Output - County'!B555)*VLOOKUP(A555,'Output - State'!$B$2:$G$52,3,FALSE)</f>
        <v>5.999599969228262</v>
      </c>
      <c r="E555" s="98">
        <f>SUMIFS(Input!$C$115:$C$3257,Input!$A$115:$A$3257,"="&amp;'Output - County'!A555,Input!$B$115:$B$3257,"="&amp;'Output - County'!B555)*VLOOKUP(A555,'Output - State'!$B$2:$G$52,4,FALSE)</f>
        <v>9.2936445028556101</v>
      </c>
      <c r="F555" s="98">
        <f>SUMIFS(Input!$C$115:$C$3257,Input!$A$115:$A$3257,"="&amp;'Output - County'!A555,Input!$B$115:$B$3257,"="&amp;'Output - County'!B555)*VLOOKUP(A555,'Output - State'!$B$2:$G$52,5,FALSE)</f>
        <v>147.51904861708874</v>
      </c>
      <c r="G555" s="99">
        <f>SUMIFS(Input!$D$115:$D$3257,Input!$A$115:$A$3257,"="&amp;'Output - County'!A555,Input!$B$115:$B$3257,"="&amp;'Output - County'!B555)*VLOOKUP(A555,'Output - State'!$B$2:$G$52,6,FALSE)</f>
        <v>0.8345178158218608</v>
      </c>
    </row>
    <row r="556" spans="1:7" x14ac:dyDescent="0.25">
      <c r="A556" s="88">
        <v>16</v>
      </c>
      <c r="B556" s="88">
        <v>7</v>
      </c>
      <c r="C556" s="97">
        <f>SUMIFS(Input!$C$115:$C$3257,Input!$A$115:$A$3257,"="&amp;'Output - County'!A556,Input!$B$115:$B$3257,"="&amp;'Output - County'!B556)*VLOOKUP(A556,'Output - State'!$B$2:$G$52,2,FALSE)</f>
        <v>0.46131465201398864</v>
      </c>
      <c r="D556" s="98">
        <f>SUMIFS(Input!$C$115:$C$3257,Input!$A$115:$A$3257,"="&amp;'Output - County'!A556,Input!$B$115:$B$3257,"="&amp;'Output - County'!B556)*VLOOKUP(A556,'Output - State'!$B$2:$G$52,3,FALSE)</f>
        <v>0.31131361910965344</v>
      </c>
      <c r="E556" s="98">
        <f>SUMIFS(Input!$C$115:$C$3257,Input!$A$115:$A$3257,"="&amp;'Output - County'!A556,Input!$B$115:$B$3257,"="&amp;'Output - County'!B556)*VLOOKUP(A556,'Output - State'!$B$2:$G$52,4,FALSE)</f>
        <v>0.48223850252380701</v>
      </c>
      <c r="F556" s="98">
        <f>SUMIFS(Input!$C$115:$C$3257,Input!$A$115:$A$3257,"="&amp;'Output - County'!A556,Input!$B$115:$B$3257,"="&amp;'Output - County'!B556)*VLOOKUP(A556,'Output - State'!$B$2:$G$52,5,FALSE)</f>
        <v>7.6546251663685805</v>
      </c>
      <c r="G556" s="99">
        <f>SUMIFS(Input!$D$115:$D$3257,Input!$A$115:$A$3257,"="&amp;'Output - County'!A556,Input!$B$115:$B$3257,"="&amp;'Output - County'!B556)*VLOOKUP(A556,'Output - State'!$B$2:$G$52,6,FALSE)</f>
        <v>5.8137111967289955E-2</v>
      </c>
    </row>
    <row r="557" spans="1:7" x14ac:dyDescent="0.25">
      <c r="A557" s="88">
        <v>16</v>
      </c>
      <c r="B557" s="88">
        <v>9</v>
      </c>
      <c r="C557" s="97">
        <f>SUMIFS(Input!$C$115:$C$3257,Input!$A$115:$A$3257,"="&amp;'Output - County'!A557,Input!$B$115:$B$3257,"="&amp;'Output - County'!B557)*VLOOKUP(A557,'Output - State'!$B$2:$G$52,2,FALSE)</f>
        <v>0.63820158436424179</v>
      </c>
      <c r="D557" s="98">
        <f>SUMIFS(Input!$C$115:$C$3257,Input!$A$115:$A$3257,"="&amp;'Output - County'!A557,Input!$B$115:$B$3257,"="&amp;'Output - County'!B557)*VLOOKUP(A557,'Output - State'!$B$2:$G$52,3,FALSE)</f>
        <v>0.43068401162320386</v>
      </c>
      <c r="E557" s="98">
        <f>SUMIFS(Input!$C$115:$C$3257,Input!$A$115:$A$3257,"="&amp;'Output - County'!A557,Input!$B$115:$B$3257,"="&amp;'Output - County'!B557)*VLOOKUP(A557,'Output - State'!$B$2:$G$52,4,FALSE)</f>
        <v>0.66714849616959615</v>
      </c>
      <c r="F557" s="98">
        <f>SUMIFS(Input!$C$115:$C$3257,Input!$A$115:$A$3257,"="&amp;'Output - County'!A557,Input!$B$115:$B$3257,"="&amp;'Output - County'!B557)*VLOOKUP(A557,'Output - State'!$B$2:$G$52,5,FALSE)</f>
        <v>10.589721977316884</v>
      </c>
      <c r="G557" s="99">
        <f>SUMIFS(Input!$D$115:$D$3257,Input!$A$115:$A$3257,"="&amp;'Output - County'!A557,Input!$B$115:$B$3257,"="&amp;'Output - County'!B557)*VLOOKUP(A557,'Output - State'!$B$2:$G$52,6,FALSE)</f>
        <v>8.8745723897088305E-2</v>
      </c>
    </row>
    <row r="558" spans="1:7" x14ac:dyDescent="0.25">
      <c r="A558" s="88">
        <v>16</v>
      </c>
      <c r="B558" s="88">
        <v>11</v>
      </c>
      <c r="C558" s="97">
        <f>SUMIFS(Input!$C$115:$C$3257,Input!$A$115:$A$3257,"="&amp;'Output - County'!A558,Input!$B$115:$B$3257,"="&amp;'Output - County'!B558)*VLOOKUP(A558,'Output - State'!$B$2:$G$52,2,FALSE)</f>
        <v>6.0267415391341093</v>
      </c>
      <c r="D558" s="98">
        <f>SUMIFS(Input!$C$115:$C$3257,Input!$A$115:$A$3257,"="&amp;'Output - County'!A558,Input!$B$115:$B$3257,"="&amp;'Output - County'!B558)*VLOOKUP(A558,'Output - State'!$B$2:$G$52,3,FALSE)</f>
        <v>4.0670867742770715</v>
      </c>
      <c r="E558" s="98">
        <f>SUMIFS(Input!$C$115:$C$3257,Input!$A$115:$A$3257,"="&amp;'Output - County'!A558,Input!$B$115:$B$3257,"="&amp;'Output - County'!B558)*VLOOKUP(A558,'Output - State'!$B$2:$G$52,4,FALSE)</f>
        <v>6.3000964791422387</v>
      </c>
      <c r="F558" s="98">
        <f>SUMIFS(Input!$C$115:$C$3257,Input!$A$115:$A$3257,"="&amp;'Output - County'!A558,Input!$B$115:$B$3257,"="&amp;'Output - County'!B558)*VLOOKUP(A558,'Output - State'!$B$2:$G$52,5,FALSE)</f>
        <v>100.0021292522397</v>
      </c>
      <c r="G558" s="99">
        <f>SUMIFS(Input!$D$115:$D$3257,Input!$A$115:$A$3257,"="&amp;'Output - County'!A558,Input!$B$115:$B$3257,"="&amp;'Output - County'!B558)*VLOOKUP(A558,'Output - State'!$B$2:$G$52,6,FALSE)</f>
        <v>0.44372861948544151</v>
      </c>
    </row>
    <row r="559" spans="1:7" x14ac:dyDescent="0.25">
      <c r="A559" s="88">
        <v>16</v>
      </c>
      <c r="B559" s="88">
        <v>13</v>
      </c>
      <c r="C559" s="97">
        <f>SUMIFS(Input!$C$115:$C$3257,Input!$A$115:$A$3257,"="&amp;'Output - County'!A559,Input!$B$115:$B$3257,"="&amp;'Output - County'!B559)*VLOOKUP(A559,'Output - State'!$B$2:$G$52,2,FALSE)</f>
        <v>1.8603685178224869</v>
      </c>
      <c r="D559" s="98">
        <f>SUMIFS(Input!$C$115:$C$3257,Input!$A$115:$A$3257,"="&amp;'Output - County'!A559,Input!$B$115:$B$3257,"="&amp;'Output - County'!B559)*VLOOKUP(A559,'Output - State'!$B$2:$G$52,3,FALSE)</f>
        <v>1.2554512492341521</v>
      </c>
      <c r="E559" s="98">
        <f>SUMIFS(Input!$C$115:$C$3257,Input!$A$115:$A$3257,"="&amp;'Output - County'!A559,Input!$B$115:$B$3257,"="&amp;'Output - County'!B559)*VLOOKUP(A559,'Output - State'!$B$2:$G$52,4,FALSE)</f>
        <v>1.9447492600992566</v>
      </c>
      <c r="F559" s="98">
        <f>SUMIFS(Input!$C$115:$C$3257,Input!$A$115:$A$3257,"="&amp;'Output - County'!A559,Input!$B$115:$B$3257,"="&amp;'Output - County'!B559)*VLOOKUP(A559,'Output - State'!$B$2:$G$52,5,FALSE)</f>
        <v>30.869220418370769</v>
      </c>
      <c r="G559" s="99">
        <f>SUMIFS(Input!$D$115:$D$3257,Input!$A$115:$A$3257,"="&amp;'Output - County'!A559,Input!$B$115:$B$3257,"="&amp;'Output - County'!B559)*VLOOKUP(A559,'Output - State'!$B$2:$G$52,6,FALSE)</f>
        <v>0.21945797232685613</v>
      </c>
    </row>
    <row r="560" spans="1:7" x14ac:dyDescent="0.25">
      <c r="A560" s="88">
        <v>16</v>
      </c>
      <c r="B560" s="88">
        <v>15</v>
      </c>
      <c r="C560" s="97">
        <f>SUMIFS(Input!$C$115:$C$3257,Input!$A$115:$A$3257,"="&amp;'Output - County'!A560,Input!$B$115:$B$3257,"="&amp;'Output - County'!B560)*VLOOKUP(A560,'Output - State'!$B$2:$G$52,2,FALSE)</f>
        <v>0.79542603999086914</v>
      </c>
      <c r="D560" s="98">
        <f>SUMIFS(Input!$C$115:$C$3257,Input!$A$115:$A$3257,"="&amp;'Output - County'!A560,Input!$B$115:$B$3257,"="&amp;'Output - County'!B560)*VLOOKUP(A560,'Output - State'!$B$2:$G$52,3,FALSE)</f>
        <v>0.53678537666761228</v>
      </c>
      <c r="E560" s="98">
        <f>SUMIFS(Input!$C$115:$C$3257,Input!$A$115:$A$3257,"="&amp;'Output - County'!A560,Input!$B$115:$B$3257,"="&amp;'Output - County'!B560)*VLOOKUP(A560,'Output - State'!$B$2:$G$52,4,FALSE)</f>
        <v>0.83150418205664745</v>
      </c>
      <c r="F560" s="98">
        <f>SUMIFS(Input!$C$115:$C$3257,Input!$A$115:$A$3257,"="&amp;'Output - County'!A560,Input!$B$115:$B$3257,"="&amp;'Output - County'!B560)*VLOOKUP(A560,'Output - State'!$B$2:$G$52,5,FALSE)</f>
        <v>13.198557984484694</v>
      </c>
      <c r="G560" s="99">
        <f>SUMIFS(Input!$D$115:$D$3257,Input!$A$115:$A$3257,"="&amp;'Output - County'!A560,Input!$B$115:$B$3257,"="&amp;'Output - County'!B560)*VLOOKUP(A560,'Output - State'!$B$2:$G$52,6,FALSE)</f>
        <v>7.3730178422092896E-2</v>
      </c>
    </row>
    <row r="561" spans="1:7" x14ac:dyDescent="0.25">
      <c r="A561" s="88">
        <v>16</v>
      </c>
      <c r="B561" s="88">
        <v>17</v>
      </c>
      <c r="C561" s="97">
        <f>SUMIFS(Input!$C$115:$C$3257,Input!$A$115:$A$3257,"="&amp;'Output - County'!A561,Input!$B$115:$B$3257,"="&amp;'Output - County'!B561)*VLOOKUP(A561,'Output - State'!$B$2:$G$52,2,FALSE)</f>
        <v>3.4318591804066068</v>
      </c>
      <c r="D561" s="98">
        <f>SUMIFS(Input!$C$115:$C$3257,Input!$A$115:$A$3257,"="&amp;'Output - County'!A561,Input!$B$115:$B$3257,"="&amp;'Output - County'!B561)*VLOOKUP(A561,'Output - State'!$B$2:$G$52,3,FALSE)</f>
        <v>2.3159561420014745</v>
      </c>
      <c r="E561" s="98">
        <f>SUMIFS(Input!$C$115:$C$3257,Input!$A$115:$A$3257,"="&amp;'Output - County'!A561,Input!$B$115:$B$3257,"="&amp;'Output - County'!B561)*VLOOKUP(A561,'Output - State'!$B$2:$G$52,4,FALSE)</f>
        <v>3.5875180309288708</v>
      </c>
      <c r="F561" s="98">
        <f>SUMIFS(Input!$C$115:$C$3257,Input!$A$115:$A$3257,"="&amp;'Output - County'!A561,Input!$B$115:$B$3257,"="&amp;'Output - County'!B561)*VLOOKUP(A561,'Output - State'!$B$2:$G$52,5,FALSE)</f>
        <v>56.945071081282023</v>
      </c>
      <c r="G561" s="99">
        <f>SUMIFS(Input!$D$115:$D$3257,Input!$A$115:$A$3257,"="&amp;'Output - County'!A561,Input!$B$115:$B$3257,"="&amp;'Output - County'!B561)*VLOOKUP(A561,'Output - State'!$B$2:$G$52,6,FALSE)</f>
        <v>0.43025312995659953</v>
      </c>
    </row>
    <row r="562" spans="1:7" x14ac:dyDescent="0.25">
      <c r="A562" s="88">
        <v>16</v>
      </c>
      <c r="B562" s="88">
        <v>19</v>
      </c>
      <c r="C562" s="97">
        <f>SUMIFS(Input!$C$115:$C$3257,Input!$A$115:$A$3257,"="&amp;'Output - County'!A562,Input!$B$115:$B$3257,"="&amp;'Output - County'!B562)*VLOOKUP(A562,'Output - State'!$B$2:$G$52,2,FALSE)</f>
        <v>10.972608726612679</v>
      </c>
      <c r="D562" s="98">
        <f>SUMIFS(Input!$C$115:$C$3257,Input!$A$115:$A$3257,"="&amp;'Output - County'!A562,Input!$B$115:$B$3257,"="&amp;'Output - County'!B562)*VLOOKUP(A562,'Output - State'!$B$2:$G$52,3,FALSE)</f>
        <v>7.4047562088974717</v>
      </c>
      <c r="E562" s="98">
        <f>SUMIFS(Input!$C$115:$C$3257,Input!$A$115:$A$3257,"="&amp;'Output - County'!A562,Input!$B$115:$B$3257,"="&amp;'Output - County'!B562)*VLOOKUP(A562,'Output - State'!$B$2:$G$52,4,FALSE)</f>
        <v>11.470293384353422</v>
      </c>
      <c r="F562" s="98">
        <f>SUMIFS(Input!$C$115:$C$3257,Input!$A$115:$A$3257,"="&amp;'Output - County'!A562,Input!$B$115:$B$3257,"="&amp;'Output - County'!B562)*VLOOKUP(A562,'Output - State'!$B$2:$G$52,5,FALSE)</f>
        <v>182.06923741259797</v>
      </c>
      <c r="G562" s="99">
        <f>SUMIFS(Input!$D$115:$D$3257,Input!$A$115:$A$3257,"="&amp;'Output - County'!A562,Input!$B$115:$B$3257,"="&amp;'Output - County'!B562)*VLOOKUP(A562,'Output - State'!$B$2:$G$52,6,FALSE)</f>
        <v>1.1165405609611978</v>
      </c>
    </row>
    <row r="563" spans="1:7" x14ac:dyDescent="0.25">
      <c r="A563" s="88">
        <v>16</v>
      </c>
      <c r="B563" s="88">
        <v>21</v>
      </c>
      <c r="C563" s="97">
        <f>SUMIFS(Input!$C$115:$C$3257,Input!$A$115:$A$3257,"="&amp;'Output - County'!A563,Input!$B$115:$B$3257,"="&amp;'Output - County'!B563)*VLOOKUP(A563,'Output - State'!$B$2:$G$52,2,FALSE)</f>
        <v>0.68996532039516467</v>
      </c>
      <c r="D563" s="98">
        <f>SUMIFS(Input!$C$115:$C$3257,Input!$A$115:$A$3257,"="&amp;'Output - County'!A563,Input!$B$115:$B$3257,"="&amp;'Output - County'!B563)*VLOOKUP(A563,'Output - State'!$B$2:$G$52,3,FALSE)</f>
        <v>0.46561625566112946</v>
      </c>
      <c r="E563" s="98">
        <f>SUMIFS(Input!$C$115:$C$3257,Input!$A$115:$A$3257,"="&amp;'Output - County'!A563,Input!$B$115:$B$3257,"="&amp;'Output - County'!B563)*VLOOKUP(A563,'Output - State'!$B$2:$G$52,4,FALSE)</f>
        <v>0.72126008018196108</v>
      </c>
      <c r="F563" s="98">
        <f>SUMIFS(Input!$C$115:$C$3257,Input!$A$115:$A$3257,"="&amp;'Output - County'!A563,Input!$B$115:$B$3257,"="&amp;'Output - County'!B563)*VLOOKUP(A563,'Output - State'!$B$2:$G$52,5,FALSE)</f>
        <v>11.448641144088867</v>
      </c>
      <c r="G563" s="99">
        <f>SUMIFS(Input!$D$115:$D$3257,Input!$A$115:$A$3257,"="&amp;'Output - County'!A563,Input!$B$115:$B$3257,"="&amp;'Output - County'!B563)*VLOOKUP(A563,'Output - State'!$B$2:$G$52,6,FALSE)</f>
        <v>0.11550419596150323</v>
      </c>
    </row>
    <row r="564" spans="1:7" x14ac:dyDescent="0.25">
      <c r="A564" s="88">
        <v>16</v>
      </c>
      <c r="B564" s="88">
        <v>23</v>
      </c>
      <c r="C564" s="97">
        <f>SUMIFS(Input!$C$115:$C$3257,Input!$A$115:$A$3257,"="&amp;'Output - County'!A564,Input!$B$115:$B$3257,"="&amp;'Output - County'!B564)*VLOOKUP(A564,'Output - State'!$B$2:$G$52,2,FALSE)</f>
        <v>0.36372483364784286</v>
      </c>
      <c r="D564" s="98">
        <f>SUMIFS(Input!$C$115:$C$3257,Input!$A$115:$A$3257,"="&amp;'Output - County'!A564,Input!$B$115:$B$3257,"="&amp;'Output - County'!B564)*VLOOKUP(A564,'Output - State'!$B$2:$G$52,3,FALSE)</f>
        <v>0.24545609776021815</v>
      </c>
      <c r="E564" s="98">
        <f>SUMIFS(Input!$C$115:$C$3257,Input!$A$115:$A$3257,"="&amp;'Output - County'!A564,Input!$B$115:$B$3257,"="&amp;'Output - County'!B564)*VLOOKUP(A564,'Output - State'!$B$2:$G$52,4,FALSE)</f>
        <v>0.38022230237711541</v>
      </c>
      <c r="F564" s="98">
        <f>SUMIFS(Input!$C$115:$C$3257,Input!$A$115:$A$3257,"="&amp;'Output - County'!A564,Input!$B$115:$B$3257,"="&amp;'Output - County'!B564)*VLOOKUP(A564,'Output - State'!$B$2:$G$52,5,FALSE)</f>
        <v>6.0353107214760167</v>
      </c>
      <c r="G564" s="99">
        <f>SUMIFS(Input!$D$115:$D$3257,Input!$A$115:$A$3257,"="&amp;'Output - County'!A564,Input!$B$115:$B$3257,"="&amp;'Output - County'!B564)*VLOOKUP(A564,'Output - State'!$B$2:$G$52,6,FALSE)</f>
        <v>2.4929655628357777E-2</v>
      </c>
    </row>
    <row r="565" spans="1:7" x14ac:dyDescent="0.25">
      <c r="A565" s="88">
        <v>16</v>
      </c>
      <c r="B565" s="88">
        <v>25</v>
      </c>
      <c r="C565" s="97">
        <f>SUMIFS(Input!$C$115:$C$3257,Input!$A$115:$A$3257,"="&amp;'Output - County'!A565,Input!$B$115:$B$3257,"="&amp;'Output - County'!B565)*VLOOKUP(A565,'Output - State'!$B$2:$G$52,2,FALSE)</f>
        <v>0.13559632226206192</v>
      </c>
      <c r="D565" s="98">
        <f>SUMIFS(Input!$C$115:$C$3257,Input!$A$115:$A$3257,"="&amp;'Output - County'!A565,Input!$B$115:$B$3257,"="&amp;'Output - County'!B565)*VLOOKUP(A565,'Output - State'!$B$2:$G$52,3,FALSE)</f>
        <v>9.1505833680048221E-2</v>
      </c>
      <c r="E565" s="98">
        <f>SUMIFS(Input!$C$115:$C$3257,Input!$A$115:$A$3257,"="&amp;'Output - County'!A565,Input!$B$115:$B$3257,"="&amp;'Output - County'!B565)*VLOOKUP(A565,'Output - State'!$B$2:$G$52,4,FALSE)</f>
        <v>0.14174656519127743</v>
      </c>
      <c r="F565" s="98">
        <f>SUMIFS(Input!$C$115:$C$3257,Input!$A$115:$A$3257,"="&amp;'Output - County'!A565,Input!$B$115:$B$3257,"="&amp;'Output - County'!B565)*VLOOKUP(A565,'Output - State'!$B$2:$G$52,5,FALSE)</f>
        <v>2.2499589300335718</v>
      </c>
      <c r="G565" s="99">
        <f>SUMIFS(Input!$D$115:$D$3257,Input!$A$115:$A$3257,"="&amp;'Output - County'!A565,Input!$B$115:$B$3257,"="&amp;'Output - County'!B565)*VLOOKUP(A565,'Output - State'!$B$2:$G$52,6,FALSE)</f>
        <v>1.0780391623073635E-2</v>
      </c>
    </row>
    <row r="566" spans="1:7" x14ac:dyDescent="0.25">
      <c r="A566" s="88">
        <v>16</v>
      </c>
      <c r="B566" s="88">
        <v>27</v>
      </c>
      <c r="C566" s="97">
        <f>SUMIFS(Input!$C$115:$C$3257,Input!$A$115:$A$3257,"="&amp;'Output - County'!A566,Input!$B$115:$B$3257,"="&amp;'Output - County'!B566)*VLOOKUP(A566,'Output - State'!$B$2:$G$52,2,FALSE)</f>
        <v>19.867128090993365</v>
      </c>
      <c r="D566" s="98">
        <f>SUMIFS(Input!$C$115:$C$3257,Input!$A$115:$A$3257,"="&amp;'Output - County'!A566,Input!$B$115:$B$3257,"="&amp;'Output - County'!B566)*VLOOKUP(A566,'Output - State'!$B$2:$G$52,3,FALSE)</f>
        <v>13.407134415350539</v>
      </c>
      <c r="E566" s="98">
        <f>SUMIFS(Input!$C$115:$C$3257,Input!$A$115:$A$3257,"="&amp;'Output - County'!A566,Input!$B$115:$B$3257,"="&amp;'Output - County'!B566)*VLOOKUP(A566,'Output - State'!$B$2:$G$52,4,FALSE)</f>
        <v>20.768241498990545</v>
      </c>
      <c r="F566" s="98">
        <f>SUMIFS(Input!$C$115:$C$3257,Input!$A$115:$A$3257,"="&amp;'Output - County'!A566,Input!$B$115:$B$3257,"="&amp;'Output - County'!B566)*VLOOKUP(A566,'Output - State'!$B$2:$G$52,5,FALSE)</f>
        <v>329.65659773619012</v>
      </c>
      <c r="G566" s="99">
        <f>SUMIFS(Input!$D$115:$D$3257,Input!$A$115:$A$3257,"="&amp;'Output - County'!A566,Input!$B$115:$B$3257,"="&amp;'Output - County'!B566)*VLOOKUP(A566,'Output - State'!$B$2:$G$52,6,FALSE)</f>
        <v>2.1464529749512682</v>
      </c>
    </row>
    <row r="567" spans="1:7" x14ac:dyDescent="0.25">
      <c r="A567" s="88">
        <v>16</v>
      </c>
      <c r="B567" s="88">
        <v>29</v>
      </c>
      <c r="C567" s="97">
        <f>SUMIFS(Input!$C$115:$C$3257,Input!$A$115:$A$3257,"="&amp;'Output - County'!A567,Input!$B$115:$B$3257,"="&amp;'Output - County'!B567)*VLOOKUP(A567,'Output - State'!$B$2:$G$52,2,FALSE)</f>
        <v>0.43480836218654473</v>
      </c>
      <c r="D567" s="98">
        <f>SUMIFS(Input!$C$115:$C$3257,Input!$A$115:$A$3257,"="&amp;'Output - County'!A567,Input!$B$115:$B$3257,"="&amp;'Output - County'!B567)*VLOOKUP(A567,'Output - State'!$B$2:$G$52,3,FALSE)</f>
        <v>0.29342611222183679</v>
      </c>
      <c r="E567" s="98">
        <f>SUMIFS(Input!$C$115:$C$3257,Input!$A$115:$A$3257,"="&amp;'Output - County'!A567,Input!$B$115:$B$3257,"="&amp;'Output - County'!B567)*VLOOKUP(A567,'Output - State'!$B$2:$G$52,4,FALSE)</f>
        <v>0.45452996680302754</v>
      </c>
      <c r="F567" s="98">
        <f>SUMIFS(Input!$C$115:$C$3257,Input!$A$115:$A$3257,"="&amp;'Output - County'!A567,Input!$B$115:$B$3257,"="&amp;'Output - County'!B567)*VLOOKUP(A567,'Output - State'!$B$2:$G$52,5,FALSE)</f>
        <v>7.2148045096987401</v>
      </c>
      <c r="G567" s="99">
        <f>SUMIFS(Input!$D$115:$D$3257,Input!$A$115:$A$3257,"="&amp;'Output - County'!A567,Input!$B$115:$B$3257,"="&amp;'Output - County'!B567)*VLOOKUP(A567,'Output - State'!$B$2:$G$52,6,FALSE)</f>
        <v>6.7762461630748561E-2</v>
      </c>
    </row>
    <row r="568" spans="1:7" x14ac:dyDescent="0.25">
      <c r="A568" s="88">
        <v>16</v>
      </c>
      <c r="B568" s="88">
        <v>31</v>
      </c>
      <c r="C568" s="97">
        <f>SUMIFS(Input!$C$115:$C$3257,Input!$A$115:$A$3257,"="&amp;'Output - County'!A568,Input!$B$115:$B$3257,"="&amp;'Output - County'!B568)*VLOOKUP(A568,'Output - State'!$B$2:$G$52,2,FALSE)</f>
        <v>4.3061297869291533</v>
      </c>
      <c r="D568" s="98">
        <f>SUMIFS(Input!$C$115:$C$3257,Input!$A$115:$A$3257,"="&amp;'Output - County'!A568,Input!$B$115:$B$3257,"="&amp;'Output - County'!B568)*VLOOKUP(A568,'Output - State'!$B$2:$G$52,3,FALSE)</f>
        <v>2.905948992671807</v>
      </c>
      <c r="E568" s="98">
        <f>SUMIFS(Input!$C$115:$C$3257,Input!$A$115:$A$3257,"="&amp;'Output - County'!A568,Input!$B$115:$B$3257,"="&amp;'Output - County'!B568)*VLOOKUP(A568,'Output - State'!$B$2:$G$52,4,FALSE)</f>
        <v>4.5014429328355821</v>
      </c>
      <c r="F568" s="98">
        <f>SUMIFS(Input!$C$115:$C$3257,Input!$A$115:$A$3257,"="&amp;'Output - County'!A568,Input!$B$115:$B$3257,"="&amp;'Output - County'!B568)*VLOOKUP(A568,'Output - State'!$B$2:$G$52,5,FALSE)</f>
        <v>71.451902281390687</v>
      </c>
      <c r="G568" s="99">
        <f>SUMIFS(Input!$D$115:$D$3257,Input!$A$115:$A$3257,"="&amp;'Output - County'!A568,Input!$B$115:$B$3257,"="&amp;'Output - County'!B568)*VLOOKUP(A568,'Output - State'!$B$2:$G$52,6,FALSE)</f>
        <v>0.22908332199031473</v>
      </c>
    </row>
    <row r="569" spans="1:7" x14ac:dyDescent="0.25">
      <c r="A569" s="88">
        <v>16</v>
      </c>
      <c r="B569" s="88">
        <v>33</v>
      </c>
      <c r="C569" s="97">
        <f>SUMIFS(Input!$C$115:$C$3257,Input!$A$115:$A$3257,"="&amp;'Output - County'!A569,Input!$B$115:$B$3257,"="&amp;'Output - County'!B569)*VLOOKUP(A569,'Output - State'!$B$2:$G$52,2,FALSE)</f>
        <v>0.66940676286468814</v>
      </c>
      <c r="D569" s="98">
        <f>SUMIFS(Input!$C$115:$C$3257,Input!$A$115:$A$3257,"="&amp;'Output - County'!A569,Input!$B$115:$B$3257,"="&amp;'Output - County'!B569)*VLOOKUP(A569,'Output - State'!$B$2:$G$52,3,FALSE)</f>
        <v>0.45174251694386752</v>
      </c>
      <c r="E569" s="98">
        <f>SUMIFS(Input!$C$115:$C$3257,Input!$A$115:$A$3257,"="&amp;'Output - County'!A569,Input!$B$115:$B$3257,"="&amp;'Output - County'!B569)*VLOOKUP(A569,'Output - State'!$B$2:$G$52,4,FALSE)</f>
        <v>0.69976904807564522</v>
      </c>
      <c r="F569" s="98">
        <f>SUMIFS(Input!$C$115:$C$3257,Input!$A$115:$A$3257,"="&amp;'Output - County'!A569,Input!$B$115:$B$3257,"="&amp;'Output - County'!B569)*VLOOKUP(A569,'Output - State'!$B$2:$G$52,5,FALSE)</f>
        <v>11.10751161098171</v>
      </c>
      <c r="G569" s="99">
        <f>SUMIFS(Input!$D$115:$D$3257,Input!$A$115:$A$3257,"="&amp;'Output - County'!A569,Input!$B$115:$B$3257,"="&amp;'Output - County'!B569)*VLOOKUP(A569,'Output - State'!$B$2:$G$52,6,FALSE)</f>
        <v>8.19117256360327E-3</v>
      </c>
    </row>
    <row r="570" spans="1:7" x14ac:dyDescent="0.25">
      <c r="A570" s="88">
        <v>16</v>
      </c>
      <c r="B570" s="88">
        <v>35</v>
      </c>
      <c r="C570" s="97">
        <f>SUMIFS(Input!$C$115:$C$3257,Input!$A$115:$A$3257,"="&amp;'Output - County'!A570,Input!$B$115:$B$3257,"="&amp;'Output - County'!B570)*VLOOKUP(A570,'Output - State'!$B$2:$G$52,2,FALSE)</f>
        <v>0.3967344173230351</v>
      </c>
      <c r="D570" s="98">
        <f>SUMIFS(Input!$C$115:$C$3257,Input!$A$115:$A$3257,"="&amp;'Output - County'!A570,Input!$B$115:$B$3257,"="&amp;'Output - County'!B570)*VLOOKUP(A570,'Output - State'!$B$2:$G$52,3,FALSE)</f>
        <v>0.26773228802290122</v>
      </c>
      <c r="E570" s="98">
        <f>SUMIFS(Input!$C$115:$C$3257,Input!$A$115:$A$3257,"="&amp;'Output - County'!A570,Input!$B$115:$B$3257,"="&amp;'Output - County'!B570)*VLOOKUP(A570,'Output - State'!$B$2:$G$52,4,FALSE)</f>
        <v>0.41472910187061235</v>
      </c>
      <c r="F570" s="98">
        <f>SUMIFS(Input!$C$115:$C$3257,Input!$A$115:$A$3257,"="&amp;'Output - County'!A570,Input!$B$115:$B$3257,"="&amp;'Output - County'!B570)*VLOOKUP(A570,'Output - State'!$B$2:$G$52,5,FALSE)</f>
        <v>6.5830409720291989</v>
      </c>
      <c r="G570" s="99">
        <f>SUMIFS(Input!$D$115:$D$3257,Input!$A$115:$A$3257,"="&amp;'Output - County'!A570,Input!$B$115:$B$3257,"="&amp;'Output - County'!B570)*VLOOKUP(A570,'Output - State'!$B$2:$G$52,6,FALSE)</f>
        <v>8.431806305189736E-2</v>
      </c>
    </row>
    <row r="571" spans="1:7" x14ac:dyDescent="0.25">
      <c r="A571" s="88">
        <v>16</v>
      </c>
      <c r="B571" s="88">
        <v>37</v>
      </c>
      <c r="C571" s="97">
        <f>SUMIFS(Input!$C$115:$C$3257,Input!$A$115:$A$3257,"="&amp;'Output - County'!A571,Input!$B$115:$B$3257,"="&amp;'Output - County'!B571)*VLOOKUP(A571,'Output - State'!$B$2:$G$52,2,FALSE)</f>
        <v>0.38320471240708115</v>
      </c>
      <c r="D571" s="98">
        <f>SUMIFS(Input!$C$115:$C$3257,Input!$A$115:$A$3257,"="&amp;'Output - County'!A571,Input!$B$115:$B$3257,"="&amp;'Output - County'!B571)*VLOOKUP(A571,'Output - State'!$B$2:$G$52,3,FALSE)</f>
        <v>0.25860190080349943</v>
      </c>
      <c r="E571" s="98">
        <f>SUMIFS(Input!$C$115:$C$3257,Input!$A$115:$A$3257,"="&amp;'Output - County'!A571,Input!$B$115:$B$3257,"="&amp;'Output - County'!B571)*VLOOKUP(A571,'Output - State'!$B$2:$G$52,4,FALSE)</f>
        <v>0.4005857300748672</v>
      </c>
      <c r="F571" s="98">
        <f>SUMIFS(Input!$C$115:$C$3257,Input!$A$115:$A$3257,"="&amp;'Output - County'!A571,Input!$B$115:$B$3257,"="&amp;'Output - County'!B571)*VLOOKUP(A571,'Output - State'!$B$2:$G$52,5,FALSE)</f>
        <v>6.3585416649053892</v>
      </c>
      <c r="G571" s="99">
        <f>SUMIFS(Input!$D$115:$D$3257,Input!$A$115:$A$3257,"="&amp;'Output - County'!A571,Input!$B$115:$B$3257,"="&amp;'Output - County'!B571)*VLOOKUP(A571,'Output - State'!$B$2:$G$52,6,FALSE)</f>
        <v>4.0907736069699059E-2</v>
      </c>
    </row>
    <row r="572" spans="1:7" x14ac:dyDescent="0.25">
      <c r="A572" s="88">
        <v>16</v>
      </c>
      <c r="B572" s="88">
        <v>39</v>
      </c>
      <c r="C572" s="97">
        <f>SUMIFS(Input!$C$115:$C$3257,Input!$A$115:$A$3257,"="&amp;'Output - County'!A572,Input!$B$115:$B$3257,"="&amp;'Output - County'!B572)*VLOOKUP(A572,'Output - State'!$B$2:$G$52,2,FALSE)</f>
        <v>6.9065898901968481</v>
      </c>
      <c r="D572" s="98">
        <f>SUMIFS(Input!$C$115:$C$3257,Input!$A$115:$A$3257,"="&amp;'Output - County'!A572,Input!$B$115:$B$3257,"="&amp;'Output - County'!B572)*VLOOKUP(A572,'Output - State'!$B$2:$G$52,3,FALSE)</f>
        <v>4.6608437105486216</v>
      </c>
      <c r="E572" s="98">
        <f>SUMIFS(Input!$C$115:$C$3257,Input!$A$115:$A$3257,"="&amp;'Output - County'!A572,Input!$B$115:$B$3257,"="&amp;'Output - County'!B572)*VLOOKUP(A572,'Output - State'!$B$2:$G$52,4,FALSE)</f>
        <v>7.2198521153704798</v>
      </c>
      <c r="F572" s="98">
        <f>SUMIFS(Input!$C$115:$C$3257,Input!$A$115:$A$3257,"="&amp;'Output - County'!A572,Input!$B$115:$B$3257,"="&amp;'Output - County'!B572)*VLOOKUP(A572,'Output - State'!$B$2:$G$52,5,FALSE)</f>
        <v>114.60151234408329</v>
      </c>
      <c r="G572" s="99">
        <f>SUMIFS(Input!$D$115:$D$3257,Input!$A$115:$A$3257,"="&amp;'Output - County'!A572,Input!$B$115:$B$3257,"="&amp;'Output - County'!B572)*VLOOKUP(A572,'Output - State'!$B$2:$G$52,6,FALSE)</f>
        <v>0.26373458077876566</v>
      </c>
    </row>
    <row r="573" spans="1:7" x14ac:dyDescent="0.25">
      <c r="A573" s="88">
        <v>16</v>
      </c>
      <c r="B573" s="88">
        <v>41</v>
      </c>
      <c r="C573" s="97">
        <f>SUMIFS(Input!$C$115:$C$3257,Input!$A$115:$A$3257,"="&amp;'Output - County'!A573,Input!$B$115:$B$3257,"="&amp;'Output - County'!B573)*VLOOKUP(A573,'Output - State'!$B$2:$G$52,2,FALSE)</f>
        <v>0.71151187456292386</v>
      </c>
      <c r="D573" s="98">
        <f>SUMIFS(Input!$C$115:$C$3257,Input!$A$115:$A$3257,"="&amp;'Output - County'!A573,Input!$B$115:$B$3257,"="&amp;'Output - County'!B573)*VLOOKUP(A573,'Output - State'!$B$2:$G$52,3,FALSE)</f>
        <v>0.4801567341133593</v>
      </c>
      <c r="E573" s="98">
        <f>SUMIFS(Input!$C$115:$C$3257,Input!$A$115:$A$3257,"="&amp;'Output - County'!A573,Input!$B$115:$B$3257,"="&amp;'Output - County'!B573)*VLOOKUP(A573,'Output - State'!$B$2:$G$52,4,FALSE)</f>
        <v>0.74378392149297423</v>
      </c>
      <c r="F573" s="98">
        <f>SUMIFS(Input!$C$115:$C$3257,Input!$A$115:$A$3257,"="&amp;'Output - County'!A573,Input!$B$115:$B$3257,"="&amp;'Output - County'!B573)*VLOOKUP(A573,'Output - State'!$B$2:$G$52,5,FALSE)</f>
        <v>11.806164572102707</v>
      </c>
      <c r="G573" s="99">
        <f>SUMIFS(Input!$D$115:$D$3257,Input!$A$115:$A$3257,"="&amp;'Output - County'!A573,Input!$B$115:$B$3257,"="&amp;'Output - County'!B573)*VLOOKUP(A573,'Output - State'!$B$2:$G$52,6,FALSE)</f>
        <v>0.13186729038938283</v>
      </c>
    </row>
    <row r="574" spans="1:7" x14ac:dyDescent="0.25">
      <c r="A574" s="88">
        <v>16</v>
      </c>
      <c r="B574" s="88">
        <v>43</v>
      </c>
      <c r="C574" s="97">
        <f>SUMIFS(Input!$C$115:$C$3257,Input!$A$115:$A$3257,"="&amp;'Output - County'!A574,Input!$B$115:$B$3257,"="&amp;'Output - County'!B574)*VLOOKUP(A574,'Output - State'!$B$2:$G$52,2,FALSE)</f>
        <v>1.5083649629806548</v>
      </c>
      <c r="D574" s="98">
        <f>SUMIFS(Input!$C$115:$C$3257,Input!$A$115:$A$3257,"="&amp;'Output - County'!A574,Input!$B$115:$B$3257,"="&amp;'Output - County'!B574)*VLOOKUP(A574,'Output - State'!$B$2:$G$52,3,FALSE)</f>
        <v>1.017905140263065</v>
      </c>
      <c r="E574" s="98">
        <f>SUMIFS(Input!$C$115:$C$3257,Input!$A$115:$A$3257,"="&amp;'Output - County'!A574,Input!$B$115:$B$3257,"="&amp;'Output - County'!B574)*VLOOKUP(A574,'Output - State'!$B$2:$G$52,4,FALSE)</f>
        <v>1.5767798786176677</v>
      </c>
      <c r="F574" s="98">
        <f>SUMIFS(Input!$C$115:$C$3257,Input!$A$115:$A$3257,"="&amp;'Output - County'!A574,Input!$B$115:$B$3257,"="&amp;'Output - County'!B574)*VLOOKUP(A574,'Output - State'!$B$2:$G$52,5,FALSE)</f>
        <v>25.028401667481006</v>
      </c>
      <c r="G574" s="99">
        <f>SUMIFS(Input!$D$115:$D$3257,Input!$A$115:$A$3257,"="&amp;'Output - County'!A574,Input!$B$115:$B$3257,"="&amp;'Output - County'!B574)*VLOOKUP(A574,'Output - State'!$B$2:$G$52,6,FALSE)</f>
        <v>0.12705461555765354</v>
      </c>
    </row>
    <row r="575" spans="1:7" x14ac:dyDescent="0.25">
      <c r="A575" s="88">
        <v>16</v>
      </c>
      <c r="B575" s="88">
        <v>45</v>
      </c>
      <c r="C575" s="97">
        <f>SUMIFS(Input!$C$115:$C$3257,Input!$A$115:$A$3257,"="&amp;'Output - County'!A575,Input!$B$115:$B$3257,"="&amp;'Output - County'!B575)*VLOOKUP(A575,'Output - State'!$B$2:$G$52,2,FALSE)</f>
        <v>1.0319656747663082</v>
      </c>
      <c r="D575" s="98">
        <f>SUMIFS(Input!$C$115:$C$3257,Input!$A$115:$A$3257,"="&amp;'Output - County'!A575,Input!$B$115:$B$3257,"="&amp;'Output - County'!B575)*VLOOKUP(A575,'Output - State'!$B$2:$G$52,3,FALSE)</f>
        <v>0.69641180397342561</v>
      </c>
      <c r="E575" s="98">
        <f>SUMIFS(Input!$C$115:$C$3257,Input!$A$115:$A$3257,"="&amp;'Output - County'!A575,Input!$B$115:$B$3257,"="&amp;'Output - County'!B575)*VLOOKUP(A575,'Output - State'!$B$2:$G$52,4,FALSE)</f>
        <v>1.0787725459892479</v>
      </c>
      <c r="F575" s="98">
        <f>SUMIFS(Input!$C$115:$C$3257,Input!$A$115:$A$3257,"="&amp;'Output - County'!A575,Input!$B$115:$B$3257,"="&amp;'Output - County'!B575)*VLOOKUP(A575,'Output - State'!$B$2:$G$52,5,FALSE)</f>
        <v>17.123476114205843</v>
      </c>
      <c r="G575" s="99">
        <f>SUMIFS(Input!$D$115:$D$3257,Input!$A$115:$A$3257,"="&amp;'Output - County'!A575,Input!$B$115:$B$3257,"="&amp;'Output - County'!B575)*VLOOKUP(A575,'Output - State'!$B$2:$G$52,6,FALSE)</f>
        <v>0.1694061540768714</v>
      </c>
    </row>
    <row r="576" spans="1:7" x14ac:dyDescent="0.25">
      <c r="A576" s="88">
        <v>16</v>
      </c>
      <c r="B576" s="88">
        <v>47</v>
      </c>
      <c r="C576" s="97">
        <f>SUMIFS(Input!$C$115:$C$3257,Input!$A$115:$A$3257,"="&amp;'Output - County'!A576,Input!$B$115:$B$3257,"="&amp;'Output - County'!B576)*VLOOKUP(A576,'Output - State'!$B$2:$G$52,2,FALSE)</f>
        <v>3.0173479036844841</v>
      </c>
      <c r="D576" s="98">
        <f>SUMIFS(Input!$C$115:$C$3257,Input!$A$115:$A$3257,"="&amp;'Output - County'!A576,Input!$B$115:$B$3257,"="&amp;'Output - County'!B576)*VLOOKUP(A576,'Output - State'!$B$2:$G$52,3,FALSE)</f>
        <v>2.0362273166655429</v>
      </c>
      <c r="E576" s="98">
        <f>SUMIFS(Input!$C$115:$C$3257,Input!$A$115:$A$3257,"="&amp;'Output - County'!A576,Input!$B$115:$B$3257,"="&amp;'Output - County'!B576)*VLOOKUP(A576,'Output - State'!$B$2:$G$52,4,FALSE)</f>
        <v>3.1542057645765627</v>
      </c>
      <c r="F576" s="98">
        <f>SUMIFS(Input!$C$115:$C$3257,Input!$A$115:$A$3257,"="&amp;'Output - County'!A576,Input!$B$115:$B$3257,"="&amp;'Output - County'!B576)*VLOOKUP(A576,'Output - State'!$B$2:$G$52,5,FALSE)</f>
        <v>50.067057481045197</v>
      </c>
      <c r="G576" s="99">
        <f>SUMIFS(Input!$D$115:$D$3257,Input!$A$115:$A$3257,"="&amp;'Output - County'!A576,Input!$B$115:$B$3257,"="&amp;'Output - County'!B576)*VLOOKUP(A576,'Output - State'!$B$2:$G$52,6,FALSE)</f>
        <v>0.14534277991822489</v>
      </c>
    </row>
    <row r="577" spans="1:7" x14ac:dyDescent="0.25">
      <c r="A577" s="88">
        <v>16</v>
      </c>
      <c r="B577" s="88">
        <v>49</v>
      </c>
      <c r="C577" s="97">
        <f>SUMIFS(Input!$C$115:$C$3257,Input!$A$115:$A$3257,"="&amp;'Output - County'!A577,Input!$B$115:$B$3257,"="&amp;'Output - County'!B577)*VLOOKUP(A577,'Output - State'!$B$2:$G$52,2,FALSE)</f>
        <v>1.1178437195411828</v>
      </c>
      <c r="D577" s="98">
        <f>SUMIFS(Input!$C$115:$C$3257,Input!$A$115:$A$3257,"="&amp;'Output - County'!A577,Input!$B$115:$B$3257,"="&amp;'Output - County'!B577)*VLOOKUP(A577,'Output - State'!$B$2:$G$52,3,FALSE)</f>
        <v>0.75436575103365566</v>
      </c>
      <c r="E577" s="98">
        <f>SUMIFS(Input!$C$115:$C$3257,Input!$A$115:$A$3257,"="&amp;'Output - County'!A577,Input!$B$115:$B$3257,"="&amp;'Output - County'!B577)*VLOOKUP(A577,'Output - State'!$B$2:$G$52,4,FALSE)</f>
        <v>1.1685457615832158</v>
      </c>
      <c r="F577" s="98">
        <f>SUMIFS(Input!$C$115:$C$3257,Input!$A$115:$A$3257,"="&amp;'Output - County'!A577,Input!$B$115:$B$3257,"="&amp;'Output - County'!B577)*VLOOKUP(A577,'Output - State'!$B$2:$G$52,5,FALSE)</f>
        <v>18.548456309182072</v>
      </c>
      <c r="G577" s="99">
        <f>SUMIFS(Input!$D$115:$D$3257,Input!$A$115:$A$3257,"="&amp;'Output - County'!A577,Input!$B$115:$B$3257,"="&amp;'Output - County'!B577)*VLOOKUP(A577,'Output - State'!$B$2:$G$52,6,FALSE)</f>
        <v>0.15881826944706692</v>
      </c>
    </row>
    <row r="578" spans="1:7" x14ac:dyDescent="0.25">
      <c r="A578" s="88">
        <v>16</v>
      </c>
      <c r="B578" s="88">
        <v>51</v>
      </c>
      <c r="C578" s="97">
        <f>SUMIFS(Input!$C$115:$C$3257,Input!$A$115:$A$3257,"="&amp;'Output - County'!A578,Input!$B$115:$B$3257,"="&amp;'Output - County'!B578)*VLOOKUP(A578,'Output - State'!$B$2:$G$52,2,FALSE)</f>
        <v>2.3933883338759641</v>
      </c>
      <c r="D578" s="98">
        <f>SUMIFS(Input!$C$115:$C$3257,Input!$A$115:$A$3257,"="&amp;'Output - County'!A578,Input!$B$115:$B$3257,"="&amp;'Output - County'!B578)*VLOOKUP(A578,'Output - State'!$B$2:$G$52,3,FALSE)</f>
        <v>1.6151543873597929</v>
      </c>
      <c r="E578" s="98">
        <f>SUMIFS(Input!$C$115:$C$3257,Input!$A$115:$A$3257,"="&amp;'Output - County'!A578,Input!$B$115:$B$3257,"="&amp;'Output - County'!B578)*VLOOKUP(A578,'Output - State'!$B$2:$G$52,4,FALSE)</f>
        <v>2.5019452580736488</v>
      </c>
      <c r="F578" s="98">
        <f>SUMIFS(Input!$C$115:$C$3257,Input!$A$115:$A$3257,"="&amp;'Output - County'!A578,Input!$B$115:$B$3257,"="&amp;'Output - County'!B578)*VLOOKUP(A578,'Output - State'!$B$2:$G$52,5,FALSE)</f>
        <v>39.713654212796129</v>
      </c>
      <c r="G578" s="99">
        <f>SUMIFS(Input!$D$115:$D$3257,Input!$A$115:$A$3257,"="&amp;'Output - County'!A578,Input!$B$115:$B$3257,"="&amp;'Output - County'!B578)*VLOOKUP(A578,'Output - State'!$B$2:$G$52,6,FALSE)</f>
        <v>0.28298528010568286</v>
      </c>
    </row>
    <row r="579" spans="1:7" x14ac:dyDescent="0.25">
      <c r="A579" s="88">
        <v>16</v>
      </c>
      <c r="B579" s="88">
        <v>53</v>
      </c>
      <c r="C579" s="97">
        <f>SUMIFS(Input!$C$115:$C$3257,Input!$A$115:$A$3257,"="&amp;'Output - County'!A579,Input!$B$115:$B$3257,"="&amp;'Output - County'!B579)*VLOOKUP(A579,'Output - State'!$B$2:$G$52,2,FALSE)</f>
        <v>5.1823138789525629</v>
      </c>
      <c r="D579" s="98">
        <f>SUMIFS(Input!$C$115:$C$3257,Input!$A$115:$A$3257,"="&amp;'Output - County'!A579,Input!$B$115:$B$3257,"="&amp;'Output - County'!B579)*VLOOKUP(A579,'Output - State'!$B$2:$G$52,3,FALSE)</f>
        <v>3.4972331400607395</v>
      </c>
      <c r="E579" s="98">
        <f>SUMIFS(Input!$C$115:$C$3257,Input!$A$115:$A$3257,"="&amp;'Output - County'!A579,Input!$B$115:$B$3257,"="&amp;'Output - County'!B579)*VLOOKUP(A579,'Output - State'!$B$2:$G$52,4,FALSE)</f>
        <v>5.417368110212645</v>
      </c>
      <c r="F579" s="98">
        <f>SUMIFS(Input!$C$115:$C$3257,Input!$A$115:$A$3257,"="&amp;'Output - County'!A579,Input!$B$115:$B$3257,"="&amp;'Output - County'!B579)*VLOOKUP(A579,'Output - State'!$B$2:$G$52,5,FALSE)</f>
        <v>85.990484075603504</v>
      </c>
      <c r="G579" s="99">
        <f>SUMIFS(Input!$D$115:$D$3257,Input!$A$115:$A$3257,"="&amp;'Output - County'!A579,Input!$B$115:$B$3257,"="&amp;'Output - County'!B579)*VLOOKUP(A579,'Output - State'!$B$2:$G$52,6,FALSE)</f>
        <v>0.23197092688935228</v>
      </c>
    </row>
    <row r="580" spans="1:7" x14ac:dyDescent="0.25">
      <c r="A580" s="88">
        <v>16</v>
      </c>
      <c r="B580" s="88">
        <v>55</v>
      </c>
      <c r="C580" s="97">
        <f>SUMIFS(Input!$C$115:$C$3257,Input!$A$115:$A$3257,"="&amp;'Output - County'!A580,Input!$B$115:$B$3257,"="&amp;'Output - County'!B580)*VLOOKUP(A580,'Output - State'!$B$2:$G$52,2,FALSE)</f>
        <v>16.2811063228108</v>
      </c>
      <c r="D580" s="98">
        <f>SUMIFS(Input!$C$115:$C$3257,Input!$A$115:$A$3257,"="&amp;'Output - County'!A580,Input!$B$115:$B$3257,"="&amp;'Output - County'!B580)*VLOOKUP(A580,'Output - State'!$B$2:$G$52,3,FALSE)</f>
        <v>10.987143179466141</v>
      </c>
      <c r="E580" s="98">
        <f>SUMIFS(Input!$C$115:$C$3257,Input!$A$115:$A$3257,"="&amp;'Output - County'!A580,Input!$B$115:$B$3257,"="&amp;'Output - County'!B580)*VLOOKUP(A580,'Output - State'!$B$2:$G$52,4,FALSE)</f>
        <v>17.019568527177597</v>
      </c>
      <c r="F580" s="98">
        <f>SUMIFS(Input!$C$115:$C$3257,Input!$A$115:$A$3257,"="&amp;'Output - County'!A580,Input!$B$115:$B$3257,"="&amp;'Output - County'!B580)*VLOOKUP(A580,'Output - State'!$B$2:$G$52,5,FALSE)</f>
        <v>270.15349642770741</v>
      </c>
      <c r="G580" s="99">
        <f>SUMIFS(Input!$D$115:$D$3257,Input!$A$115:$A$3257,"="&amp;'Output - County'!A580,Input!$B$115:$B$3257,"="&amp;'Output - County'!B580)*VLOOKUP(A580,'Output - State'!$B$2:$G$52,6,FALSE)</f>
        <v>1.5496812958168349</v>
      </c>
    </row>
    <row r="581" spans="1:7" x14ac:dyDescent="0.25">
      <c r="A581" s="88">
        <v>16</v>
      </c>
      <c r="B581" s="88">
        <v>57</v>
      </c>
      <c r="C581" s="97">
        <f>SUMIFS(Input!$C$115:$C$3257,Input!$A$115:$A$3257,"="&amp;'Output - County'!A581,Input!$B$115:$B$3257,"="&amp;'Output - County'!B581)*VLOOKUP(A581,'Output - State'!$B$2:$G$52,2,FALSE)</f>
        <v>1.9886670863271294</v>
      </c>
      <c r="D581" s="98">
        <f>SUMIFS(Input!$C$115:$C$3257,Input!$A$115:$A$3257,"="&amp;'Output - County'!A581,Input!$B$115:$B$3257,"="&amp;'Output - County'!B581)*VLOOKUP(A581,'Output - State'!$B$2:$G$52,3,FALSE)</f>
        <v>1.3420322661461337</v>
      </c>
      <c r="E581" s="98">
        <f>SUMIFS(Input!$C$115:$C$3257,Input!$A$115:$A$3257,"="&amp;'Output - County'!A581,Input!$B$115:$B$3257,"="&amp;'Output - County'!B581)*VLOOKUP(A581,'Output - State'!$B$2:$G$52,4,FALSE)</f>
        <v>2.0788670672868568</v>
      </c>
      <c r="F581" s="98">
        <f>SUMIFS(Input!$C$115:$C$3257,Input!$A$115:$A$3257,"="&amp;'Output - County'!A581,Input!$B$115:$B$3257,"="&amp;'Output - County'!B581)*VLOOKUP(A581,'Output - State'!$B$2:$G$52,5,FALSE)</f>
        <v>32.998087227602142</v>
      </c>
      <c r="G581" s="99">
        <f>SUMIFS(Input!$D$115:$D$3257,Input!$A$115:$A$3257,"="&amp;'Output - County'!A581,Input!$B$115:$B$3257,"="&amp;'Output - County'!B581)*VLOOKUP(A581,'Output - State'!$B$2:$G$52,6,FALSE)</f>
        <v>0.38308891660565236</v>
      </c>
    </row>
    <row r="582" spans="1:7" x14ac:dyDescent="0.25">
      <c r="A582" s="88">
        <v>16</v>
      </c>
      <c r="B582" s="88">
        <v>59</v>
      </c>
      <c r="C582" s="97">
        <f>SUMIFS(Input!$C$115:$C$3257,Input!$A$115:$A$3257,"="&amp;'Output - County'!A582,Input!$B$115:$B$3257,"="&amp;'Output - County'!B582)*VLOOKUP(A582,'Output - State'!$B$2:$G$52,2,FALSE)</f>
        <v>0.48111287261047631</v>
      </c>
      <c r="D582" s="98">
        <f>SUMIFS(Input!$C$115:$C$3257,Input!$A$115:$A$3257,"="&amp;'Output - County'!A582,Input!$B$115:$B$3257,"="&amp;'Output - County'!B582)*VLOOKUP(A582,'Output - State'!$B$2:$G$52,3,FALSE)</f>
        <v>0.32467425198553479</v>
      </c>
      <c r="E582" s="98">
        <f>SUMIFS(Input!$C$115:$C$3257,Input!$A$115:$A$3257,"="&amp;'Output - County'!A582,Input!$B$115:$B$3257,"="&amp;'Output - County'!B582)*VLOOKUP(A582,'Output - State'!$B$2:$G$52,4,FALSE)</f>
        <v>0.50293471109078902</v>
      </c>
      <c r="F582" s="98">
        <f>SUMIFS(Input!$C$115:$C$3257,Input!$A$115:$A$3257,"="&amp;'Output - County'!A582,Input!$B$115:$B$3257,"="&amp;'Output - County'!B582)*VLOOKUP(A582,'Output - State'!$B$2:$G$52,5,FALSE)</f>
        <v>7.9831383773961724</v>
      </c>
      <c r="G582" s="99">
        <f>SUMIFS(Input!$D$115:$D$3257,Input!$A$115:$A$3257,"="&amp;'Output - County'!A582,Input!$B$115:$B$3257,"="&amp;'Output - County'!B582)*VLOOKUP(A582,'Output - State'!$B$2:$G$52,6,FALSE)</f>
        <v>7.6329022831226709E-2</v>
      </c>
    </row>
    <row r="583" spans="1:7" x14ac:dyDescent="0.25">
      <c r="A583" s="88">
        <v>16</v>
      </c>
      <c r="B583" s="88">
        <v>61</v>
      </c>
      <c r="C583" s="97">
        <f>SUMIFS(Input!$C$115:$C$3257,Input!$A$115:$A$3257,"="&amp;'Output - County'!A583,Input!$B$115:$B$3257,"="&amp;'Output - County'!B583)*VLOOKUP(A583,'Output - State'!$B$2:$G$52,2,FALSE)</f>
        <v>0.29173652097712716</v>
      </c>
      <c r="D583" s="98">
        <f>SUMIFS(Input!$C$115:$C$3257,Input!$A$115:$A$3257,"="&amp;'Output - County'!A583,Input!$B$115:$B$3257,"="&amp;'Output - County'!B583)*VLOOKUP(A583,'Output - State'!$B$2:$G$52,3,FALSE)</f>
        <v>0.19687549869778417</v>
      </c>
      <c r="E583" s="98">
        <f>SUMIFS(Input!$C$115:$C$3257,Input!$A$115:$A$3257,"="&amp;'Output - County'!A583,Input!$B$115:$B$3257,"="&amp;'Output - County'!B583)*VLOOKUP(A583,'Output - State'!$B$2:$G$52,4,FALSE)</f>
        <v>0.30496881552170796</v>
      </c>
      <c r="F583" s="98">
        <f>SUMIFS(Input!$C$115:$C$3257,Input!$A$115:$A$3257,"="&amp;'Output - County'!A583,Input!$B$115:$B$3257,"="&amp;'Output - County'!B583)*VLOOKUP(A583,'Output - State'!$B$2:$G$52,5,FALSE)</f>
        <v>4.8408037890645987</v>
      </c>
      <c r="G583" s="99">
        <f>SUMIFS(Input!$D$115:$D$3257,Input!$A$115:$A$3257,"="&amp;'Output - County'!A583,Input!$B$115:$B$3257,"="&amp;'Output - County'!B583)*VLOOKUP(A583,'Output - State'!$B$2:$G$52,6,FALSE)</f>
        <v>3.6865089211046448E-2</v>
      </c>
    </row>
    <row r="584" spans="1:7" x14ac:dyDescent="0.25">
      <c r="A584" s="88">
        <v>16</v>
      </c>
      <c r="B584" s="88">
        <v>63</v>
      </c>
      <c r="C584" s="97">
        <f>SUMIFS(Input!$C$115:$C$3257,Input!$A$115:$A$3257,"="&amp;'Output - County'!A584,Input!$B$115:$B$3257,"="&amp;'Output - County'!B584)*VLOOKUP(A584,'Output - State'!$B$2:$G$52,2,FALSE)</f>
        <v>0.45848838168741413</v>
      </c>
      <c r="D584" s="98">
        <f>SUMIFS(Input!$C$115:$C$3257,Input!$A$115:$A$3257,"="&amp;'Output - County'!A584,Input!$B$115:$B$3257,"="&amp;'Output - County'!B584)*VLOOKUP(A584,'Output - State'!$B$2:$G$52,3,FALSE)</f>
        <v>0.30940633860142136</v>
      </c>
      <c r="E584" s="98">
        <f>SUMIFS(Input!$C$115:$C$3257,Input!$A$115:$A$3257,"="&amp;'Output - County'!A584,Input!$B$115:$B$3257,"="&amp;'Output - County'!B584)*VLOOKUP(A584,'Output - State'!$B$2:$G$52,4,FALSE)</f>
        <v>0.4792840410427669</v>
      </c>
      <c r="F584" s="98">
        <f>SUMIFS(Input!$C$115:$C$3257,Input!$A$115:$A$3257,"="&amp;'Output - County'!A584,Input!$B$115:$B$3257,"="&amp;'Output - County'!B584)*VLOOKUP(A584,'Output - State'!$B$2:$G$52,5,FALSE)</f>
        <v>7.6077286720250585</v>
      </c>
      <c r="G584" s="99">
        <f>SUMIFS(Input!$D$115:$D$3257,Input!$A$115:$A$3257,"="&amp;'Output - County'!A584,Input!$B$115:$B$3257,"="&amp;'Output - County'!B584)*VLOOKUP(A584,'Output - State'!$B$2:$G$52,6,FALSE)</f>
        <v>5.1976888182676449E-2</v>
      </c>
    </row>
    <row r="585" spans="1:7" x14ac:dyDescent="0.25">
      <c r="A585" s="88">
        <v>16</v>
      </c>
      <c r="B585" s="88">
        <v>65</v>
      </c>
      <c r="C585" s="97">
        <f>SUMIFS(Input!$C$115:$C$3257,Input!$A$115:$A$3257,"="&amp;'Output - County'!A585,Input!$B$115:$B$3257,"="&amp;'Output - County'!B585)*VLOOKUP(A585,'Output - State'!$B$2:$G$52,2,FALSE)</f>
        <v>2.8081400982069269</v>
      </c>
      <c r="D585" s="98">
        <f>SUMIFS(Input!$C$115:$C$3257,Input!$A$115:$A$3257,"="&amp;'Output - County'!A585,Input!$B$115:$B$3257,"="&amp;'Output - County'!B585)*VLOOKUP(A585,'Output - State'!$B$2:$G$52,3,FALSE)</f>
        <v>1.8950455033741849</v>
      </c>
      <c r="E585" s="98">
        <f>SUMIFS(Input!$C$115:$C$3257,Input!$A$115:$A$3257,"="&amp;'Output - County'!A585,Input!$B$115:$B$3257,"="&amp;'Output - County'!B585)*VLOOKUP(A585,'Output - State'!$B$2:$G$52,4,FALSE)</f>
        <v>2.9355089198322299</v>
      </c>
      <c r="F585" s="98">
        <f>SUMIFS(Input!$C$115:$C$3257,Input!$A$115:$A$3257,"="&amp;'Output - County'!A585,Input!$B$115:$B$3257,"="&amp;'Output - County'!B585)*VLOOKUP(A585,'Output - State'!$B$2:$G$52,5,FALSE)</f>
        <v>46.595658240162876</v>
      </c>
      <c r="G585" s="99">
        <f>SUMIFS(Input!$D$115:$D$3257,Input!$A$115:$A$3257,"="&amp;'Output - County'!A585,Input!$B$115:$B$3257,"="&amp;'Output - County'!B585)*VLOOKUP(A585,'Output - State'!$B$2:$G$52,6,FALSE)</f>
        <v>0.37827624177392305</v>
      </c>
    </row>
    <row r="586" spans="1:7" x14ac:dyDescent="0.25">
      <c r="A586" s="88">
        <v>16</v>
      </c>
      <c r="B586" s="88">
        <v>67</v>
      </c>
      <c r="C586" s="97">
        <f>SUMIFS(Input!$C$115:$C$3257,Input!$A$115:$A$3257,"="&amp;'Output - County'!A586,Input!$B$115:$B$3257,"="&amp;'Output - County'!B586)*VLOOKUP(A586,'Output - State'!$B$2:$G$52,2,FALSE)</f>
        <v>2.6458978126320871</v>
      </c>
      <c r="D586" s="98">
        <f>SUMIFS(Input!$C$115:$C$3257,Input!$A$115:$A$3257,"="&amp;'Output - County'!A586,Input!$B$115:$B$3257,"="&amp;'Output - County'!B586)*VLOOKUP(A586,'Output - State'!$B$2:$G$52,3,FALSE)</f>
        <v>1.7855579055395647</v>
      </c>
      <c r="E586" s="98">
        <f>SUMIFS(Input!$C$115:$C$3257,Input!$A$115:$A$3257,"="&amp;'Output - County'!A586,Input!$B$115:$B$3257,"="&amp;'Output - County'!B586)*VLOOKUP(A586,'Output - State'!$B$2:$G$52,4,FALSE)</f>
        <v>2.7659078102640082</v>
      </c>
      <c r="F586" s="98">
        <f>SUMIFS(Input!$C$115:$C$3257,Input!$A$115:$A$3257,"="&amp;'Output - County'!A586,Input!$B$115:$B$3257,"="&amp;'Output - County'!B586)*VLOOKUP(A586,'Output - State'!$B$2:$G$52,5,FALSE)</f>
        <v>43.903561041887308</v>
      </c>
      <c r="G586" s="99">
        <f>SUMIFS(Input!$D$115:$D$3257,Input!$A$115:$A$3257,"="&amp;'Output - County'!A586,Input!$B$115:$B$3257,"="&amp;'Output - County'!B586)*VLOOKUP(A586,'Output - State'!$B$2:$G$52,6,FALSE)</f>
        <v>0.19924473803359305</v>
      </c>
    </row>
    <row r="587" spans="1:7" x14ac:dyDescent="0.25">
      <c r="A587" s="88">
        <v>16</v>
      </c>
      <c r="B587" s="88">
        <v>69</v>
      </c>
      <c r="C587" s="97">
        <f>SUMIFS(Input!$C$115:$C$3257,Input!$A$115:$A$3257,"="&amp;'Output - County'!A587,Input!$B$115:$B$3257,"="&amp;'Output - County'!B587)*VLOOKUP(A587,'Output - State'!$B$2:$G$52,2,FALSE)</f>
        <v>3.6693769377048078</v>
      </c>
      <c r="D587" s="98">
        <f>SUMIFS(Input!$C$115:$C$3257,Input!$A$115:$A$3257,"="&amp;'Output - County'!A587,Input!$B$115:$B$3257,"="&amp;'Output - County'!B587)*VLOOKUP(A587,'Output - State'!$B$2:$G$52,3,FALSE)</f>
        <v>2.4762426455939703</v>
      </c>
      <c r="E587" s="98">
        <f>SUMIFS(Input!$C$115:$C$3257,Input!$A$115:$A$3257,"="&amp;'Output - County'!A587,Input!$B$115:$B$3257,"="&amp;'Output - County'!B587)*VLOOKUP(A587,'Output - State'!$B$2:$G$52,4,FALSE)</f>
        <v>3.8358088820913965</v>
      </c>
      <c r="F587" s="98">
        <f>SUMIFS(Input!$C$115:$C$3257,Input!$A$115:$A$3257,"="&amp;'Output - County'!A587,Input!$B$115:$B$3257,"="&amp;'Output - County'!B587)*VLOOKUP(A587,'Output - State'!$B$2:$G$52,5,FALSE)</f>
        <v>60.886219264060969</v>
      </c>
      <c r="G587" s="99">
        <f>SUMIFS(Input!$D$115:$D$3257,Input!$A$115:$A$3257,"="&amp;'Output - County'!A587,Input!$B$115:$B$3257,"="&amp;'Output - County'!B587)*VLOOKUP(A587,'Output - State'!$B$2:$G$52,6,FALSE)</f>
        <v>0.38790159143738168</v>
      </c>
    </row>
    <row r="588" spans="1:7" x14ac:dyDescent="0.25">
      <c r="A588" s="88">
        <v>16</v>
      </c>
      <c r="B588" s="88">
        <v>71</v>
      </c>
      <c r="C588" s="97">
        <f>SUMIFS(Input!$C$115:$C$3257,Input!$A$115:$A$3257,"="&amp;'Output - County'!A588,Input!$B$115:$B$3257,"="&amp;'Output - County'!B588)*VLOOKUP(A588,'Output - State'!$B$2:$G$52,2,FALSE)</f>
        <v>2.0538995095703227</v>
      </c>
      <c r="D588" s="98">
        <f>SUMIFS(Input!$C$115:$C$3257,Input!$A$115:$A$3257,"="&amp;'Output - County'!A588,Input!$B$115:$B$3257,"="&amp;'Output - County'!B588)*VLOOKUP(A588,'Output - State'!$B$2:$G$52,3,FALSE)</f>
        <v>1.3860537202111034</v>
      </c>
      <c r="E588" s="98">
        <f>SUMIFS(Input!$C$115:$C$3257,Input!$A$115:$A$3257,"="&amp;'Output - County'!A588,Input!$B$115:$B$3257,"="&amp;'Output - County'!B588)*VLOOKUP(A588,'Output - State'!$B$2:$G$52,4,FALSE)</f>
        <v>2.1470582378110543</v>
      </c>
      <c r="F588" s="98">
        <f>SUMIFS(Input!$C$115:$C$3257,Input!$A$115:$A$3257,"="&amp;'Output - County'!A588,Input!$B$115:$B$3257,"="&amp;'Output - County'!B588)*VLOOKUP(A588,'Output - State'!$B$2:$G$52,5,FALSE)</f>
        <v>34.080493230621123</v>
      </c>
      <c r="G588" s="99">
        <f>SUMIFS(Input!$D$115:$D$3257,Input!$A$115:$A$3257,"="&amp;'Output - County'!A588,Input!$B$115:$B$3257,"="&amp;'Output - County'!B588)*VLOOKUP(A588,'Output - State'!$B$2:$G$52,6,FALSE)</f>
        <v>4.2929059499025368E-2</v>
      </c>
    </row>
    <row r="589" spans="1:7" x14ac:dyDescent="0.25">
      <c r="A589" s="88">
        <v>16</v>
      </c>
      <c r="B589" s="88">
        <v>73</v>
      </c>
      <c r="C589" s="97">
        <f>SUMIFS(Input!$C$115:$C$3257,Input!$A$115:$A$3257,"="&amp;'Output - County'!A589,Input!$B$115:$B$3257,"="&amp;'Output - County'!B589)*VLOOKUP(A589,'Output - State'!$B$2:$G$52,2,FALSE)</f>
        <v>0.69838091357181253</v>
      </c>
      <c r="D589" s="98">
        <f>SUMIFS(Input!$C$115:$C$3257,Input!$A$115:$A$3257,"="&amp;'Output - County'!A589,Input!$B$115:$B$3257,"="&amp;'Output - County'!B589)*VLOOKUP(A589,'Output - State'!$B$2:$G$52,3,FALSE)</f>
        <v>0.47129543527820628</v>
      </c>
      <c r="E589" s="98">
        <f>SUMIFS(Input!$C$115:$C$3257,Input!$A$115:$A$3257,"="&amp;'Output - County'!A589,Input!$B$115:$B$3257,"="&amp;'Output - County'!B589)*VLOOKUP(A589,'Output - State'!$B$2:$G$52,4,FALSE)</f>
        <v>0.73005737945185978</v>
      </c>
      <c r="F589" s="98">
        <f>SUMIFS(Input!$C$115:$C$3257,Input!$A$115:$A$3257,"="&amp;'Output - County'!A589,Input!$B$115:$B$3257,"="&amp;'Output - County'!B589)*VLOOKUP(A589,'Output - State'!$B$2:$G$52,5,FALSE)</f>
        <v>11.58828164984487</v>
      </c>
      <c r="G589" s="99">
        <f>SUMIFS(Input!$D$115:$D$3257,Input!$A$115:$A$3257,"="&amp;'Output - County'!A589,Input!$B$115:$B$3257,"="&amp;'Output - County'!B589)*VLOOKUP(A589,'Output - State'!$B$2:$G$52,6,FALSE)</f>
        <v>0.11261659106246565</v>
      </c>
    </row>
    <row r="590" spans="1:7" x14ac:dyDescent="0.25">
      <c r="A590" s="88">
        <v>16</v>
      </c>
      <c r="B590" s="88">
        <v>75</v>
      </c>
      <c r="C590" s="97">
        <f>SUMIFS(Input!$C$115:$C$3257,Input!$A$115:$A$3257,"="&amp;'Output - County'!A590,Input!$B$115:$B$3257,"="&amp;'Output - County'!B590)*VLOOKUP(A590,'Output - State'!$B$2:$G$52,2,FALSE)</f>
        <v>3.5256588108098739</v>
      </c>
      <c r="D590" s="98">
        <f>SUMIFS(Input!$C$115:$C$3257,Input!$A$115:$A$3257,"="&amp;'Output - County'!A590,Input!$B$115:$B$3257,"="&amp;'Output - County'!B590)*VLOOKUP(A590,'Output - State'!$B$2:$G$52,3,FALSE)</f>
        <v>2.3792558925827838</v>
      </c>
      <c r="E590" s="98">
        <f>SUMIFS(Input!$C$115:$C$3257,Input!$A$115:$A$3257,"="&amp;'Output - County'!A590,Input!$B$115:$B$3257,"="&amp;'Output - County'!B590)*VLOOKUP(A590,'Output - State'!$B$2:$G$52,4,FALSE)</f>
        <v>3.685572131542147</v>
      </c>
      <c r="F590" s="98">
        <f>SUMIFS(Input!$C$115:$C$3257,Input!$A$115:$A$3257,"="&amp;'Output - County'!A590,Input!$B$115:$B$3257,"="&amp;'Output - County'!B590)*VLOOKUP(A590,'Output - State'!$B$2:$G$52,5,FALSE)</f>
        <v>58.501494681413298</v>
      </c>
      <c r="G590" s="99">
        <f>SUMIFS(Input!$D$115:$D$3257,Input!$A$115:$A$3257,"="&amp;'Output - County'!A590,Input!$B$115:$B$3257,"="&amp;'Output - County'!B590)*VLOOKUP(A590,'Output - State'!$B$2:$G$52,6,FALSE)</f>
        <v>0.22619571709127714</v>
      </c>
    </row>
    <row r="591" spans="1:7" x14ac:dyDescent="0.25">
      <c r="A591" s="88">
        <v>16</v>
      </c>
      <c r="B591" s="88">
        <v>77</v>
      </c>
      <c r="C591" s="97">
        <f>SUMIFS(Input!$C$115:$C$3257,Input!$A$115:$A$3257,"="&amp;'Output - County'!A591,Input!$B$115:$B$3257,"="&amp;'Output - County'!B591)*VLOOKUP(A591,'Output - State'!$B$2:$G$52,2,FALSE)</f>
        <v>2.1420533841376068</v>
      </c>
      <c r="D591" s="98">
        <f>SUMIFS(Input!$C$115:$C$3257,Input!$A$115:$A$3257,"="&amp;'Output - County'!A591,Input!$B$115:$B$3257,"="&amp;'Output - County'!B591)*VLOOKUP(A591,'Output - State'!$B$2:$G$52,3,FALSE)</f>
        <v>1.4455434884425433</v>
      </c>
      <c r="E591" s="98">
        <f>SUMIFS(Input!$C$115:$C$3257,Input!$A$115:$A$3257,"="&amp;'Output - County'!A591,Input!$B$115:$B$3257,"="&amp;'Output - County'!B591)*VLOOKUP(A591,'Output - State'!$B$2:$G$52,4,FALSE)</f>
        <v>2.2392105080183953</v>
      </c>
      <c r="F591" s="98">
        <f>SUMIFS(Input!$C$115:$C$3257,Input!$A$115:$A$3257,"="&amp;'Output - County'!A591,Input!$B$115:$B$3257,"="&amp;'Output - County'!B591)*VLOOKUP(A591,'Output - State'!$B$2:$G$52,5,FALSE)</f>
        <v>35.543236422994667</v>
      </c>
      <c r="G591" s="99">
        <f>SUMIFS(Input!$D$115:$D$3257,Input!$A$115:$A$3257,"="&amp;'Output - County'!A591,Input!$B$115:$B$3257,"="&amp;'Output - County'!B591)*VLOOKUP(A591,'Output - State'!$B$2:$G$52,6,FALSE)</f>
        <v>7.4115192408631236E-2</v>
      </c>
    </row>
    <row r="592" spans="1:7" x14ac:dyDescent="0.25">
      <c r="A592" s="88">
        <v>16</v>
      </c>
      <c r="B592" s="88">
        <v>79</v>
      </c>
      <c r="C592" s="97">
        <f>SUMIFS(Input!$C$115:$C$3257,Input!$A$115:$A$3257,"="&amp;'Output - County'!A592,Input!$B$115:$B$3257,"="&amp;'Output - County'!B592)*VLOOKUP(A592,'Output - State'!$B$2:$G$52,2,FALSE)</f>
        <v>2.3541409863426268</v>
      </c>
      <c r="D592" s="98">
        <f>SUMIFS(Input!$C$115:$C$3257,Input!$A$115:$A$3257,"="&amp;'Output - County'!A592,Input!$B$115:$B$3257,"="&amp;'Output - County'!B592)*VLOOKUP(A592,'Output - State'!$B$2:$G$52,3,FALSE)</f>
        <v>1.588668704003074</v>
      </c>
      <c r="E592" s="98">
        <f>SUMIFS(Input!$C$115:$C$3257,Input!$A$115:$A$3257,"="&amp;'Output - County'!A592,Input!$B$115:$B$3257,"="&amp;'Output - County'!B592)*VLOOKUP(A592,'Output - State'!$B$2:$G$52,4,FALSE)</f>
        <v>2.4609177684418349</v>
      </c>
      <c r="F592" s="98">
        <f>SUMIFS(Input!$C$115:$C$3257,Input!$A$115:$A$3257,"="&amp;'Output - County'!A592,Input!$B$115:$B$3257,"="&amp;'Output - County'!B592)*VLOOKUP(A592,'Output - State'!$B$2:$G$52,5,FALSE)</f>
        <v>39.062420325404261</v>
      </c>
      <c r="G592" s="99">
        <f>SUMIFS(Input!$D$115:$D$3257,Input!$A$115:$A$3257,"="&amp;'Output - County'!A592,Input!$B$115:$B$3257,"="&amp;'Output - County'!B592)*VLOOKUP(A592,'Output - State'!$B$2:$G$52,6,FALSE)</f>
        <v>0.1232044756922701</v>
      </c>
    </row>
    <row r="593" spans="1:7" x14ac:dyDescent="0.25">
      <c r="A593" s="88">
        <v>16</v>
      </c>
      <c r="B593" s="88">
        <v>81</v>
      </c>
      <c r="C593" s="97">
        <f>SUMIFS(Input!$C$115:$C$3257,Input!$A$115:$A$3257,"="&amp;'Output - County'!A593,Input!$B$115:$B$3257,"="&amp;'Output - County'!B593)*VLOOKUP(A593,'Output - State'!$B$2:$G$52,2,FALSE)</f>
        <v>0.69608989322404435</v>
      </c>
      <c r="D593" s="98">
        <f>SUMIFS(Input!$C$115:$C$3257,Input!$A$115:$A$3257,"="&amp;'Output - County'!A593,Input!$B$115:$B$3257,"="&amp;'Output - County'!B593)*VLOOKUP(A593,'Output - State'!$B$2:$G$52,3,FALSE)</f>
        <v>0.46974936291132224</v>
      </c>
      <c r="E593" s="98">
        <f>SUMIFS(Input!$C$115:$C$3257,Input!$A$115:$A$3257,"="&amp;'Output - County'!A593,Input!$B$115:$B$3257,"="&amp;'Output - County'!B593)*VLOOKUP(A593,'Output - State'!$B$2:$G$52,4,FALSE)</f>
        <v>0.72766244528504775</v>
      </c>
      <c r="F593" s="98">
        <f>SUMIFS(Input!$C$115:$C$3257,Input!$A$115:$A$3257,"="&amp;'Output - County'!A593,Input!$B$115:$B$3257,"="&amp;'Output - County'!B593)*VLOOKUP(A593,'Output - State'!$B$2:$G$52,5,FALSE)</f>
        <v>11.5502665945369</v>
      </c>
      <c r="G593" s="99">
        <f>SUMIFS(Input!$D$115:$D$3257,Input!$A$115:$A$3257,"="&amp;'Output - County'!A593,Input!$B$115:$B$3257,"="&amp;'Output - County'!B593)*VLOOKUP(A593,'Output - State'!$B$2:$G$52,6,FALSE)</f>
        <v>0.11261659106246565</v>
      </c>
    </row>
    <row r="594" spans="1:7" x14ac:dyDescent="0.25">
      <c r="A594" s="88">
        <v>16</v>
      </c>
      <c r="B594" s="88">
        <v>83</v>
      </c>
      <c r="C594" s="97">
        <f>SUMIFS(Input!$C$115:$C$3257,Input!$A$115:$A$3257,"="&amp;'Output - County'!A594,Input!$B$115:$B$3257,"="&amp;'Output - County'!B594)*VLOOKUP(A594,'Output - State'!$B$2:$G$52,2,FALSE)</f>
        <v>5.3951772980685497</v>
      </c>
      <c r="D594" s="98">
        <f>SUMIFS(Input!$C$115:$C$3257,Input!$A$115:$A$3257,"="&amp;'Output - County'!A594,Input!$B$115:$B$3257,"="&amp;'Output - County'!B594)*VLOOKUP(A594,'Output - State'!$B$2:$G$52,3,FALSE)</f>
        <v>3.640881907971635</v>
      </c>
      <c r="E594" s="98">
        <f>SUMIFS(Input!$C$115:$C$3257,Input!$A$115:$A$3257,"="&amp;'Output - County'!A594,Input!$B$115:$B$3257,"="&amp;'Output - County'!B594)*VLOOKUP(A594,'Output - State'!$B$2:$G$52,4,FALSE)</f>
        <v>5.639886376277774</v>
      </c>
      <c r="F594" s="98">
        <f>SUMIFS(Input!$C$115:$C$3257,Input!$A$115:$A$3257,"="&amp;'Output - County'!A594,Input!$B$115:$B$3257,"="&amp;'Output - County'!B594)*VLOOKUP(A594,'Output - State'!$B$2:$G$52,5,FALSE)</f>
        <v>89.522541160395804</v>
      </c>
      <c r="G594" s="99">
        <f>SUMIFS(Input!$D$115:$D$3257,Input!$A$115:$A$3257,"="&amp;'Output - County'!A594,Input!$B$115:$B$3257,"="&amp;'Output - County'!B594)*VLOOKUP(A594,'Output - State'!$B$2:$G$52,6,FALSE)</f>
        <v>0.82778007105743978</v>
      </c>
    </row>
    <row r="595" spans="1:7" x14ac:dyDescent="0.25">
      <c r="A595" s="88">
        <v>16</v>
      </c>
      <c r="B595" s="88">
        <v>85</v>
      </c>
      <c r="C595" s="97">
        <f>SUMIFS(Input!$C$115:$C$3257,Input!$A$115:$A$3257,"="&amp;'Output - County'!A595,Input!$B$115:$B$3257,"="&amp;'Output - County'!B595)*VLOOKUP(A595,'Output - State'!$B$2:$G$52,2,FALSE)</f>
        <v>0.94459604682403053</v>
      </c>
      <c r="D595" s="98">
        <f>SUMIFS(Input!$C$115:$C$3257,Input!$A$115:$A$3257,"="&amp;'Output - County'!A595,Input!$B$115:$B$3257,"="&amp;'Output - County'!B595)*VLOOKUP(A595,'Output - State'!$B$2:$G$52,3,FALSE)</f>
        <v>0.63745127680129166</v>
      </c>
      <c r="E595" s="98">
        <f>SUMIFS(Input!$C$115:$C$3257,Input!$A$115:$A$3257,"="&amp;'Output - County'!A595,Input!$B$115:$B$3257,"="&amp;'Output - County'!B595)*VLOOKUP(A595,'Output - State'!$B$2:$G$52,4,FALSE)</f>
        <v>0.98744009348420925</v>
      </c>
      <c r="F595" s="98">
        <f>SUMIFS(Input!$C$115:$C$3257,Input!$A$115:$A$3257,"="&amp;'Output - County'!A595,Input!$B$115:$B$3257,"="&amp;'Output - County'!B595)*VLOOKUP(A595,'Output - State'!$B$2:$G$52,5,FALSE)</f>
        <v>15.673745979029178</v>
      </c>
      <c r="G595" s="99">
        <f>SUMIFS(Input!$D$115:$D$3257,Input!$A$115:$A$3257,"="&amp;'Output - County'!A595,Input!$B$115:$B$3257,"="&amp;'Output - County'!B595)*VLOOKUP(A595,'Output - State'!$B$2:$G$52,6,FALSE)</f>
        <v>0.10587884629804463</v>
      </c>
    </row>
    <row r="596" spans="1:7" x14ac:dyDescent="0.25">
      <c r="A596" s="88">
        <v>16</v>
      </c>
      <c r="B596" s="88">
        <v>87</v>
      </c>
      <c r="C596" s="97">
        <f>SUMIFS(Input!$C$115:$C$3257,Input!$A$115:$A$3257,"="&amp;'Output - County'!A596,Input!$B$115:$B$3257,"="&amp;'Output - County'!B596)*VLOOKUP(A596,'Output - State'!$B$2:$G$52,2,FALSE)</f>
        <v>0.66245076680094339</v>
      </c>
      <c r="D596" s="98">
        <f>SUMIFS(Input!$C$115:$C$3257,Input!$A$115:$A$3257,"="&amp;'Output - County'!A596,Input!$B$115:$B$3257,"="&amp;'Output - County'!B596)*VLOOKUP(A596,'Output - State'!$B$2:$G$52,3,FALSE)</f>
        <v>0.4470483319669481</v>
      </c>
      <c r="E596" s="98">
        <f>SUMIFS(Input!$C$115:$C$3257,Input!$A$115:$A$3257,"="&amp;'Output - County'!A596,Input!$B$115:$B$3257,"="&amp;'Output - County'!B596)*VLOOKUP(A596,'Output - State'!$B$2:$G$52,4,FALSE)</f>
        <v>0.69249754887071646</v>
      </c>
      <c r="F596" s="98">
        <f>SUMIFS(Input!$C$115:$C$3257,Input!$A$115:$A$3257,"="&amp;'Output - County'!A596,Input!$B$115:$B$3257,"="&amp;'Output - County'!B596)*VLOOKUP(A596,'Output - State'!$B$2:$G$52,5,FALSE)</f>
        <v>10.992090298664307</v>
      </c>
      <c r="G596" s="99">
        <f>SUMIFS(Input!$D$115:$D$3257,Input!$A$115:$A$3257,"="&amp;'Output - County'!A596,Input!$B$115:$B$3257,"="&amp;'Output - County'!B596)*VLOOKUP(A596,'Output - State'!$B$2:$G$52,6,FALSE)</f>
        <v>9.7216031600931868E-2</v>
      </c>
    </row>
    <row r="597" spans="1:7" x14ac:dyDescent="0.25">
      <c r="A597" s="88">
        <v>17</v>
      </c>
      <c r="B597" s="88">
        <v>1</v>
      </c>
      <c r="C597" s="97">
        <f>SUMIFS(Input!$C$115:$C$3257,Input!$A$115:$A$3257,"="&amp;'Output - County'!A597,Input!$B$115:$B$3257,"="&amp;'Output - County'!B597)*VLOOKUP(A597,'Output - State'!$B$2:$G$52,2,FALSE)</f>
        <v>9.8869997098863465</v>
      </c>
      <c r="D597" s="98">
        <f>SUMIFS(Input!$C$115:$C$3257,Input!$A$115:$A$3257,"="&amp;'Output - County'!A597,Input!$B$115:$B$3257,"="&amp;'Output - County'!B597)*VLOOKUP(A597,'Output - State'!$B$2:$G$52,3,FALSE)</f>
        <v>3.6260426670756423</v>
      </c>
      <c r="E597" s="98">
        <f>SUMIFS(Input!$C$115:$C$3257,Input!$A$115:$A$3257,"="&amp;'Output - County'!A597,Input!$B$115:$B$3257,"="&amp;'Output - County'!B597)*VLOOKUP(A597,'Output - State'!$B$2:$G$52,4,FALSE)</f>
        <v>13.273836317321907</v>
      </c>
      <c r="F597" s="98">
        <f>SUMIFS(Input!$C$115:$C$3257,Input!$A$115:$A$3257,"="&amp;'Output - County'!A597,Input!$B$115:$B$3257,"="&amp;'Output - County'!B597)*VLOOKUP(A597,'Output - State'!$B$2:$G$52,5,FALSE)</f>
        <v>43.521134664546025</v>
      </c>
      <c r="G597" s="99">
        <f>SUMIFS(Input!$D$115:$D$3257,Input!$A$115:$A$3257,"="&amp;'Output - County'!A597,Input!$B$115:$B$3257,"="&amp;'Output - County'!B597)*VLOOKUP(A597,'Output - State'!$B$2:$G$52,6,FALSE)</f>
        <v>13.094155024717219</v>
      </c>
    </row>
    <row r="598" spans="1:7" x14ac:dyDescent="0.25">
      <c r="A598" s="88">
        <v>17</v>
      </c>
      <c r="B598" s="88">
        <v>3</v>
      </c>
      <c r="C598" s="97">
        <f>SUMIFS(Input!$C$115:$C$3257,Input!$A$115:$A$3257,"="&amp;'Output - County'!A598,Input!$B$115:$B$3257,"="&amp;'Output - County'!B598)*VLOOKUP(A598,'Output - State'!$B$2:$G$52,2,FALSE)</f>
        <v>1.8190879295909668</v>
      </c>
      <c r="D598" s="98">
        <f>SUMIFS(Input!$C$115:$C$3257,Input!$A$115:$A$3257,"="&amp;'Output - County'!A598,Input!$B$115:$B$3257,"="&amp;'Output - County'!B598)*VLOOKUP(A598,'Output - State'!$B$2:$G$52,3,FALSE)</f>
        <v>0.66714783467258354</v>
      </c>
      <c r="E598" s="98">
        <f>SUMIFS(Input!$C$115:$C$3257,Input!$A$115:$A$3257,"="&amp;'Output - County'!A598,Input!$B$115:$B$3257,"="&amp;'Output - County'!B598)*VLOOKUP(A598,'Output - State'!$B$2:$G$52,4,FALSE)</f>
        <v>2.4422247529816161</v>
      </c>
      <c r="F598" s="98">
        <f>SUMIFS(Input!$C$115:$C$3257,Input!$A$115:$A$3257,"="&amp;'Output - County'!A598,Input!$B$115:$B$3257,"="&amp;'Output - County'!B598)*VLOOKUP(A598,'Output - State'!$B$2:$G$52,5,FALSE)</f>
        <v>8.0073604807750876</v>
      </c>
      <c r="G598" s="99">
        <f>SUMIFS(Input!$D$115:$D$3257,Input!$A$115:$A$3257,"="&amp;'Output - County'!A598,Input!$B$115:$B$3257,"="&amp;'Output - County'!B598)*VLOOKUP(A598,'Output - State'!$B$2:$G$52,6,FALSE)</f>
        <v>1.2056203711782316</v>
      </c>
    </row>
    <row r="599" spans="1:7" x14ac:dyDescent="0.25">
      <c r="A599" s="88">
        <v>17</v>
      </c>
      <c r="B599" s="88">
        <v>5</v>
      </c>
      <c r="C599" s="97">
        <f>SUMIFS(Input!$C$115:$C$3257,Input!$A$115:$A$3257,"="&amp;'Output - County'!A599,Input!$B$115:$B$3257,"="&amp;'Output - County'!B599)*VLOOKUP(A599,'Output - State'!$B$2:$G$52,2,FALSE)</f>
        <v>5.4281463602824296</v>
      </c>
      <c r="D599" s="98">
        <f>SUMIFS(Input!$C$115:$C$3257,Input!$A$115:$A$3257,"="&amp;'Output - County'!A599,Input!$B$115:$B$3257,"="&amp;'Output - County'!B599)*VLOOKUP(A599,'Output - State'!$B$2:$G$52,3,FALSE)</f>
        <v>1.990764729752551</v>
      </c>
      <c r="E599" s="98">
        <f>SUMIFS(Input!$C$115:$C$3257,Input!$A$115:$A$3257,"="&amp;'Output - County'!A599,Input!$B$115:$B$3257,"="&amp;'Output - County'!B599)*VLOOKUP(A599,'Output - State'!$B$2:$G$52,4,FALSE)</f>
        <v>7.287582523220677</v>
      </c>
      <c r="F599" s="98">
        <f>SUMIFS(Input!$C$115:$C$3257,Input!$A$115:$A$3257,"="&amp;'Output - County'!A599,Input!$B$115:$B$3257,"="&amp;'Output - County'!B599)*VLOOKUP(A599,'Output - State'!$B$2:$G$52,5,FALSE)</f>
        <v>23.893910757223296</v>
      </c>
      <c r="G599" s="99">
        <f>SUMIFS(Input!$D$115:$D$3257,Input!$A$115:$A$3257,"="&amp;'Output - County'!A599,Input!$B$115:$B$3257,"="&amp;'Output - County'!B599)*VLOOKUP(A599,'Output - State'!$B$2:$G$52,6,FALSE)</f>
        <v>3.3134599605229544</v>
      </c>
    </row>
    <row r="600" spans="1:7" x14ac:dyDescent="0.25">
      <c r="A600" s="88">
        <v>17</v>
      </c>
      <c r="B600" s="88">
        <v>7</v>
      </c>
      <c r="C600" s="97">
        <f>SUMIFS(Input!$C$115:$C$3257,Input!$A$115:$A$3257,"="&amp;'Output - County'!A600,Input!$B$115:$B$3257,"="&amp;'Output - County'!B600)*VLOOKUP(A600,'Output - State'!$B$2:$G$52,2,FALSE)</f>
        <v>11.585729100193438</v>
      </c>
      <c r="D600" s="98">
        <f>SUMIFS(Input!$C$115:$C$3257,Input!$A$115:$A$3257,"="&amp;'Output - County'!A600,Input!$B$115:$B$3257,"="&amp;'Output - County'!B600)*VLOOKUP(A600,'Output - State'!$B$2:$G$52,3,FALSE)</f>
        <v>4.2490491836945967</v>
      </c>
      <c r="E600" s="98">
        <f>SUMIFS(Input!$C$115:$C$3257,Input!$A$115:$A$3257,"="&amp;'Output - County'!A600,Input!$B$115:$B$3257,"="&amp;'Output - County'!B600)*VLOOKUP(A600,'Output - State'!$B$2:$G$52,4,FALSE)</f>
        <v>15.554473167327396</v>
      </c>
      <c r="F600" s="98">
        <f>SUMIFS(Input!$C$115:$C$3257,Input!$A$115:$A$3257,"="&amp;'Output - County'!A600,Input!$B$115:$B$3257,"="&amp;'Output - County'!B600)*VLOOKUP(A600,'Output - State'!$B$2:$G$52,5,FALSE)</f>
        <v>50.998694361473227</v>
      </c>
      <c r="G600" s="99">
        <f>SUMIFS(Input!$D$115:$D$3257,Input!$A$115:$A$3257,"="&amp;'Output - County'!A600,Input!$B$115:$B$3257,"="&amp;'Output - County'!B600)*VLOOKUP(A600,'Output - State'!$B$2:$G$52,6,FALSE)</f>
        <v>10.678922161926389</v>
      </c>
    </row>
    <row r="601" spans="1:7" x14ac:dyDescent="0.25">
      <c r="A601" s="88">
        <v>17</v>
      </c>
      <c r="B601" s="88">
        <v>9</v>
      </c>
      <c r="C601" s="97">
        <f>SUMIFS(Input!$C$115:$C$3257,Input!$A$115:$A$3257,"="&amp;'Output - County'!A601,Input!$B$115:$B$3257,"="&amp;'Output - County'!B601)*VLOOKUP(A601,'Output - State'!$B$2:$G$52,2,FALSE)</f>
        <v>0.9361588076153724</v>
      </c>
      <c r="D601" s="98">
        <f>SUMIFS(Input!$C$115:$C$3257,Input!$A$115:$A$3257,"="&amp;'Output - County'!A601,Input!$B$115:$B$3257,"="&amp;'Output - County'!B601)*VLOOKUP(A601,'Output - State'!$B$2:$G$52,3,FALSE)</f>
        <v>0.34333487197108653</v>
      </c>
      <c r="E601" s="98">
        <f>SUMIFS(Input!$C$115:$C$3257,Input!$A$115:$A$3257,"="&amp;'Output - County'!A601,Input!$B$115:$B$3257,"="&amp;'Output - County'!B601)*VLOOKUP(A601,'Output - State'!$B$2:$G$52,4,FALSE)</f>
        <v>1.2568442544688361</v>
      </c>
      <c r="F601" s="98">
        <f>SUMIFS(Input!$C$115:$C$3257,Input!$A$115:$A$3257,"="&amp;'Output - County'!A601,Input!$B$115:$B$3257,"="&amp;'Output - County'!B601)*VLOOKUP(A601,'Output - State'!$B$2:$G$52,5,FALSE)</f>
        <v>4.1208349073672421</v>
      </c>
      <c r="G601" s="99">
        <f>SUMIFS(Input!$D$115:$D$3257,Input!$A$115:$A$3257,"="&amp;'Output - County'!A601,Input!$B$115:$B$3257,"="&amp;'Output - County'!B601)*VLOOKUP(A601,'Output - State'!$B$2:$G$52,6,FALSE)</f>
        <v>1.3094155024717218</v>
      </c>
    </row>
    <row r="602" spans="1:7" x14ac:dyDescent="0.25">
      <c r="A602" s="88">
        <v>17</v>
      </c>
      <c r="B602" s="88">
        <v>11</v>
      </c>
      <c r="C602" s="97">
        <f>SUMIFS(Input!$C$115:$C$3257,Input!$A$115:$A$3257,"="&amp;'Output - County'!A602,Input!$B$115:$B$3257,"="&amp;'Output - County'!B602)*VLOOKUP(A602,'Output - State'!$B$2:$G$52,2,FALSE)</f>
        <v>10.59286056286048</v>
      </c>
      <c r="D602" s="98">
        <f>SUMIFS(Input!$C$115:$C$3257,Input!$A$115:$A$3257,"="&amp;'Output - County'!A602,Input!$B$115:$B$3257,"="&amp;'Output - County'!B602)*VLOOKUP(A602,'Output - State'!$B$2:$G$52,3,FALSE)</f>
        <v>3.8849161013838587</v>
      </c>
      <c r="E602" s="98">
        <f>SUMIFS(Input!$C$115:$C$3257,Input!$A$115:$A$3257,"="&amp;'Output - County'!A602,Input!$B$115:$B$3257,"="&amp;'Output - County'!B602)*VLOOKUP(A602,'Output - State'!$B$2:$G$52,4,FALSE)</f>
        <v>14.221493007937061</v>
      </c>
      <c r="F602" s="98">
        <f>SUMIFS(Input!$C$115:$C$3257,Input!$A$115:$A$3257,"="&amp;'Output - County'!A602,Input!$B$115:$B$3257,"="&amp;'Output - County'!B602)*VLOOKUP(A602,'Output - State'!$B$2:$G$52,5,FALSE)</f>
        <v>46.628231472286473</v>
      </c>
      <c r="G602" s="99">
        <f>SUMIFS(Input!$D$115:$D$3257,Input!$A$115:$A$3257,"="&amp;'Output - County'!A602,Input!$B$115:$B$3257,"="&amp;'Output - County'!B602)*VLOOKUP(A602,'Output - State'!$B$2:$G$52,6,FALSE)</f>
        <v>6.5869987167022597</v>
      </c>
    </row>
    <row r="603" spans="1:7" x14ac:dyDescent="0.25">
      <c r="A603" s="88">
        <v>17</v>
      </c>
      <c r="B603" s="88">
        <v>13</v>
      </c>
      <c r="C603" s="97">
        <f>SUMIFS(Input!$C$115:$C$3257,Input!$A$115:$A$3257,"="&amp;'Output - County'!A603,Input!$B$115:$B$3257,"="&amp;'Output - County'!B603)*VLOOKUP(A603,'Output - State'!$B$2:$G$52,2,FALSE)</f>
        <v>0.55686610092113786</v>
      </c>
      <c r="D603" s="98">
        <f>SUMIFS(Input!$C$115:$C$3257,Input!$A$115:$A$3257,"="&amp;'Output - County'!A603,Input!$B$115:$B$3257,"="&amp;'Output - County'!B603)*VLOOKUP(A603,'Output - State'!$B$2:$G$52,3,FALSE)</f>
        <v>0.20422982715059756</v>
      </c>
      <c r="E603" s="98">
        <f>SUMIFS(Input!$C$115:$C$3257,Input!$A$115:$A$3257,"="&amp;'Output - County'!A603,Input!$B$115:$B$3257,"="&amp;'Output - County'!B603)*VLOOKUP(A603,'Output - State'!$B$2:$G$52,4,FALSE)</f>
        <v>0.74762311026480421</v>
      </c>
      <c r="F603" s="98">
        <f>SUMIFS(Input!$C$115:$C$3257,Input!$A$115:$A$3257,"="&amp;'Output - County'!A603,Input!$B$115:$B$3257,"="&amp;'Output - County'!B603)*VLOOKUP(A603,'Output - State'!$B$2:$G$52,5,FALSE)</f>
        <v>2.451243580403434</v>
      </c>
      <c r="G603" s="99">
        <f>SUMIFS(Input!$D$115:$D$3257,Input!$A$115:$A$3257,"="&amp;'Output - County'!A603,Input!$B$115:$B$3257,"="&amp;'Output - County'!B603)*VLOOKUP(A603,'Output - State'!$B$2:$G$52,6,FALSE)</f>
        <v>0.96409708489914892</v>
      </c>
    </row>
    <row r="604" spans="1:7" x14ac:dyDescent="0.25">
      <c r="A604" s="88">
        <v>17</v>
      </c>
      <c r="B604" s="88">
        <v>15</v>
      </c>
      <c r="C604" s="97">
        <f>SUMIFS(Input!$C$115:$C$3257,Input!$A$115:$A$3257,"="&amp;'Output - County'!A604,Input!$B$115:$B$3257,"="&amp;'Output - County'!B604)*VLOOKUP(A604,'Output - State'!$B$2:$G$52,2,FALSE)</f>
        <v>2.2332542807923472</v>
      </c>
      <c r="D604" s="98">
        <f>SUMIFS(Input!$C$115:$C$3257,Input!$A$115:$A$3257,"="&amp;'Output - County'!A604,Input!$B$115:$B$3257,"="&amp;'Output - County'!B604)*VLOOKUP(A604,'Output - State'!$B$2:$G$52,3,FALSE)</f>
        <v>0.81904273755414791</v>
      </c>
      <c r="E604" s="98">
        <f>SUMIFS(Input!$C$115:$C$3257,Input!$A$115:$A$3257,"="&amp;'Output - County'!A604,Input!$B$115:$B$3257,"="&amp;'Output - County'!B604)*VLOOKUP(A604,'Output - State'!$B$2:$G$52,4,FALSE)</f>
        <v>2.9982656668386656</v>
      </c>
      <c r="F604" s="98">
        <f>SUMIFS(Input!$C$115:$C$3257,Input!$A$115:$A$3257,"="&amp;'Output - County'!A604,Input!$B$115:$B$3257,"="&amp;'Output - County'!B604)*VLOOKUP(A604,'Output - State'!$B$2:$G$52,5,FALSE)</f>
        <v>9.8304605185079854</v>
      </c>
      <c r="G604" s="99">
        <f>SUMIFS(Input!$D$115:$D$3257,Input!$A$115:$A$3257,"="&amp;'Output - County'!A604,Input!$B$115:$B$3257,"="&amp;'Output - County'!B604)*VLOOKUP(A604,'Output - State'!$B$2:$G$52,6,FALSE)</f>
        <v>2.8543661105709792</v>
      </c>
    </row>
    <row r="605" spans="1:7" x14ac:dyDescent="0.25">
      <c r="A605" s="88">
        <v>17</v>
      </c>
      <c r="B605" s="88">
        <v>17</v>
      </c>
      <c r="C605" s="97">
        <f>SUMIFS(Input!$C$115:$C$3257,Input!$A$115:$A$3257,"="&amp;'Output - County'!A605,Input!$B$115:$B$3257,"="&amp;'Output - County'!B605)*VLOOKUP(A605,'Output - State'!$B$2:$G$52,2,FALSE)</f>
        <v>1.7633670204272196</v>
      </c>
      <c r="D605" s="98">
        <f>SUMIFS(Input!$C$115:$C$3257,Input!$A$115:$A$3257,"="&amp;'Output - County'!A605,Input!$B$115:$B$3257,"="&amp;'Output - County'!B605)*VLOOKUP(A605,'Output - State'!$B$2:$G$52,3,FALSE)</f>
        <v>0.64671227282322286</v>
      </c>
      <c r="E605" s="98">
        <f>SUMIFS(Input!$C$115:$C$3257,Input!$A$115:$A$3257,"="&amp;'Output - County'!A605,Input!$B$115:$B$3257,"="&amp;'Output - County'!B605)*VLOOKUP(A605,'Output - State'!$B$2:$G$52,4,FALSE)</f>
        <v>2.3674163935809012</v>
      </c>
      <c r="F605" s="98">
        <f>SUMIFS(Input!$C$115:$C$3257,Input!$A$115:$A$3257,"="&amp;'Output - County'!A605,Input!$B$115:$B$3257,"="&amp;'Output - County'!B605)*VLOOKUP(A605,'Output - State'!$B$2:$G$52,5,FALSE)</f>
        <v>7.7620851432101929</v>
      </c>
      <c r="G605" s="99">
        <f>SUMIFS(Input!$D$115:$D$3257,Input!$A$115:$A$3257,"="&amp;'Output - County'!A605,Input!$B$115:$B$3257,"="&amp;'Output - County'!B605)*VLOOKUP(A605,'Output - State'!$B$2:$G$52,6,FALSE)</f>
        <v>2.4551540671344787</v>
      </c>
    </row>
    <row r="606" spans="1:7" x14ac:dyDescent="0.25">
      <c r="A606" s="88">
        <v>17</v>
      </c>
      <c r="B606" s="88">
        <v>19</v>
      </c>
      <c r="C606" s="97">
        <f>SUMIFS(Input!$C$115:$C$3257,Input!$A$115:$A$3257,"="&amp;'Output - County'!A606,Input!$B$115:$B$3257,"="&amp;'Output - County'!B606)*VLOOKUP(A606,'Output - State'!$B$2:$G$52,2,FALSE)</f>
        <v>38.228403767997037</v>
      </c>
      <c r="D606" s="98">
        <f>SUMIFS(Input!$C$115:$C$3257,Input!$A$115:$A$3257,"="&amp;'Output - County'!A606,Input!$B$115:$B$3257,"="&amp;'Output - County'!B606)*VLOOKUP(A606,'Output - State'!$B$2:$G$52,3,FALSE)</f>
        <v>14.020211107960673</v>
      </c>
      <c r="E606" s="98">
        <f>SUMIFS(Input!$C$115:$C$3257,Input!$A$115:$A$3257,"="&amp;'Output - County'!A606,Input!$B$115:$B$3257,"="&amp;'Output - County'!B606)*VLOOKUP(A606,'Output - State'!$B$2:$G$52,4,FALSE)</f>
        <v>51.323716919044784</v>
      </c>
      <c r="F606" s="98">
        <f>SUMIFS(Input!$C$115:$C$3257,Input!$A$115:$A$3257,"="&amp;'Output - County'!A606,Input!$B$115:$B$3257,"="&amp;'Output - County'!B606)*VLOOKUP(A606,'Output - State'!$B$2:$G$52,5,FALSE)</f>
        <v>168.27587308756608</v>
      </c>
      <c r="G606" s="99">
        <f>SUMIFS(Input!$D$115:$D$3257,Input!$A$115:$A$3257,"="&amp;'Output - County'!A606,Input!$B$115:$B$3257,"="&amp;'Output - County'!B606)*VLOOKUP(A606,'Output - State'!$B$2:$G$52,6,FALSE)</f>
        <v>41.917264560832557</v>
      </c>
    </row>
    <row r="607" spans="1:7" x14ac:dyDescent="0.25">
      <c r="A607" s="88">
        <v>17</v>
      </c>
      <c r="B607" s="88">
        <v>21</v>
      </c>
      <c r="C607" s="97">
        <f>SUMIFS(Input!$C$115:$C$3257,Input!$A$115:$A$3257,"="&amp;'Output - County'!A607,Input!$B$115:$B$3257,"="&amp;'Output - County'!B607)*VLOOKUP(A607,'Output - State'!$B$2:$G$52,2,FALSE)</f>
        <v>5.3936962419152632</v>
      </c>
      <c r="D607" s="98">
        <f>SUMIFS(Input!$C$115:$C$3257,Input!$A$115:$A$3257,"="&amp;'Output - County'!A607,Input!$B$115:$B$3257,"="&amp;'Output - County'!B607)*VLOOKUP(A607,'Output - State'!$B$2:$G$52,3,FALSE)</f>
        <v>1.9781301992831872</v>
      </c>
      <c r="E607" s="98">
        <f>SUMIFS(Input!$C$115:$C$3257,Input!$A$115:$A$3257,"="&amp;'Output - County'!A607,Input!$B$115:$B$3257,"="&amp;'Output - County'!B607)*VLOOKUP(A607,'Output - State'!$B$2:$G$52,4,FALSE)</f>
        <v>7.2413313605084069</v>
      </c>
      <c r="F607" s="98">
        <f>SUMIFS(Input!$C$115:$C$3257,Input!$A$115:$A$3257,"="&amp;'Output - County'!A607,Input!$B$115:$B$3257,"="&amp;'Output - County'!B607)*VLOOKUP(A607,'Output - State'!$B$2:$G$52,5,FALSE)</f>
        <v>23.742266346920768</v>
      </c>
      <c r="G607" s="99">
        <f>SUMIFS(Input!$D$115:$D$3257,Input!$A$115:$A$3257,"="&amp;'Output - County'!A607,Input!$B$115:$B$3257,"="&amp;'Output - County'!B607)*VLOOKUP(A607,'Output - State'!$B$2:$G$52,6,FALSE)</f>
        <v>6.5271169101867841</v>
      </c>
    </row>
    <row r="608" spans="1:7" x14ac:dyDescent="0.25">
      <c r="A608" s="88">
        <v>17</v>
      </c>
      <c r="B608" s="88">
        <v>23</v>
      </c>
      <c r="C608" s="97">
        <f>SUMIFS(Input!$C$115:$C$3257,Input!$A$115:$A$3257,"="&amp;'Output - County'!A608,Input!$B$115:$B$3257,"="&amp;'Output - County'!B608)*VLOOKUP(A608,'Output - State'!$B$2:$G$52,2,FALSE)</f>
        <v>7.1303509849521269</v>
      </c>
      <c r="D608" s="98">
        <f>SUMIFS(Input!$C$115:$C$3257,Input!$A$115:$A$3257,"="&amp;'Output - County'!A608,Input!$B$115:$B$3257,"="&amp;'Output - County'!B608)*VLOOKUP(A608,'Output - State'!$B$2:$G$52,3,FALSE)</f>
        <v>2.6150457834855598</v>
      </c>
      <c r="E608" s="98">
        <f>SUMIFS(Input!$C$115:$C$3257,Input!$A$115:$A$3257,"="&amp;'Output - County'!A608,Input!$B$115:$B$3257,"="&amp;'Output - County'!B608)*VLOOKUP(A608,'Output - State'!$B$2:$G$52,4,FALSE)</f>
        <v>9.572885064886643</v>
      </c>
      <c r="F608" s="98">
        <f>SUMIFS(Input!$C$115:$C$3257,Input!$A$115:$A$3257,"="&amp;'Output - County'!A608,Input!$B$115:$B$3257,"="&amp;'Output - County'!B608)*VLOOKUP(A608,'Output - State'!$B$2:$G$52,5,FALSE)</f>
        <v>31.386767930343868</v>
      </c>
      <c r="G608" s="99">
        <f>SUMIFS(Input!$D$115:$D$3257,Input!$A$115:$A$3257,"="&amp;'Output - County'!A608,Input!$B$115:$B$3257,"="&amp;'Output - County'!B608)*VLOOKUP(A608,'Output - State'!$B$2:$G$52,6,FALSE)</f>
        <v>3.1138539388047044</v>
      </c>
    </row>
    <row r="609" spans="1:7" x14ac:dyDescent="0.25">
      <c r="A609" s="88">
        <v>17</v>
      </c>
      <c r="B609" s="88">
        <v>25</v>
      </c>
      <c r="C609" s="97">
        <f>SUMIFS(Input!$C$115:$C$3257,Input!$A$115:$A$3257,"="&amp;'Output - County'!A609,Input!$B$115:$B$3257,"="&amp;'Output - County'!B609)*VLOOKUP(A609,'Output - State'!$B$2:$G$52,2,FALSE)</f>
        <v>2.188782027039236</v>
      </c>
      <c r="D609" s="98">
        <f>SUMIFS(Input!$C$115:$C$3257,Input!$A$115:$A$3257,"="&amp;'Output - County'!A609,Input!$B$115:$B$3257,"="&amp;'Output - County'!B609)*VLOOKUP(A609,'Output - State'!$B$2:$G$52,3,FALSE)</f>
        <v>0.80273260360637921</v>
      </c>
      <c r="E609" s="98">
        <f>SUMIFS(Input!$C$115:$C$3257,Input!$A$115:$A$3257,"="&amp;'Output - County'!A609,Input!$B$115:$B$3257,"="&amp;'Output - County'!B609)*VLOOKUP(A609,'Output - State'!$B$2:$G$52,4,FALSE)</f>
        <v>2.9385592407940764</v>
      </c>
      <c r="F609" s="98">
        <f>SUMIFS(Input!$C$115:$C$3257,Input!$A$115:$A$3257,"="&amp;'Output - County'!A609,Input!$B$115:$B$3257,"="&amp;'Output - County'!B609)*VLOOKUP(A609,'Output - State'!$B$2:$G$52,5,FALSE)</f>
        <v>9.6347001259503049</v>
      </c>
      <c r="G609" s="99">
        <f>SUMIFS(Input!$D$115:$D$3257,Input!$A$115:$A$3257,"="&amp;'Output - County'!A609,Input!$B$115:$B$3257,"="&amp;'Output - County'!B609)*VLOOKUP(A609,'Output - State'!$B$2:$G$52,6,FALSE)</f>
        <v>2.6547600888527283</v>
      </c>
    </row>
    <row r="610" spans="1:7" x14ac:dyDescent="0.25">
      <c r="A610" s="88">
        <v>17</v>
      </c>
      <c r="B610" s="88">
        <v>27</v>
      </c>
      <c r="C610" s="97">
        <f>SUMIFS(Input!$C$115:$C$3257,Input!$A$115:$A$3257,"="&amp;'Output - County'!A610,Input!$B$115:$B$3257,"="&amp;'Output - County'!B610)*VLOOKUP(A610,'Output - State'!$B$2:$G$52,2,FALSE)</f>
        <v>7.2768361488154358</v>
      </c>
      <c r="D610" s="98">
        <f>SUMIFS(Input!$C$115:$C$3257,Input!$A$115:$A$3257,"="&amp;'Output - County'!A610,Input!$B$115:$B$3257,"="&amp;'Output - County'!B610)*VLOOKUP(A610,'Output - State'!$B$2:$G$52,3,FALSE)</f>
        <v>2.6687690028491446</v>
      </c>
      <c r="E610" s="98">
        <f>SUMIFS(Input!$C$115:$C$3257,Input!$A$115:$A$3257,"="&amp;'Output - County'!A610,Input!$B$115:$B$3257,"="&amp;'Output - County'!B610)*VLOOKUP(A610,'Output - State'!$B$2:$G$52,4,FALSE)</f>
        <v>9.7695493862270535</v>
      </c>
      <c r="F610" s="98">
        <f>SUMIFS(Input!$C$115:$C$3257,Input!$A$115:$A$3257,"="&amp;'Output - County'!A610,Input!$B$115:$B$3257,"="&amp;'Output - County'!B610)*VLOOKUP(A610,'Output - State'!$B$2:$G$52,5,FALSE)</f>
        <v>32.031574315488022</v>
      </c>
      <c r="G610" s="99">
        <f>SUMIFS(Input!$D$115:$D$3257,Input!$A$115:$A$3257,"="&amp;'Output - County'!A610,Input!$B$115:$B$3257,"="&amp;'Output - County'!B610)*VLOOKUP(A610,'Output - State'!$B$2:$G$52,6,FALSE)</f>
        <v>7.5251470187780356</v>
      </c>
    </row>
    <row r="611" spans="1:7" x14ac:dyDescent="0.25">
      <c r="A611" s="88">
        <v>17</v>
      </c>
      <c r="B611" s="88">
        <v>29</v>
      </c>
      <c r="C611" s="97">
        <f>SUMIFS(Input!$C$115:$C$3257,Input!$A$115:$A$3257,"="&amp;'Output - County'!A611,Input!$B$115:$B$3257,"="&amp;'Output - County'!B611)*VLOOKUP(A611,'Output - State'!$B$2:$G$52,2,FALSE)</f>
        <v>10.087458179884999</v>
      </c>
      <c r="D611" s="98">
        <f>SUMIFS(Input!$C$115:$C$3257,Input!$A$115:$A$3257,"="&amp;'Output - County'!A611,Input!$B$115:$B$3257,"="&amp;'Output - County'!B611)*VLOOKUP(A611,'Output - State'!$B$2:$G$52,3,FALSE)</f>
        <v>3.6995605174367578</v>
      </c>
      <c r="E611" s="98">
        <f>SUMIFS(Input!$C$115:$C$3257,Input!$A$115:$A$3257,"="&amp;'Output - County'!A611,Input!$B$115:$B$3257,"="&amp;'Output - County'!B611)*VLOOKUP(A611,'Output - State'!$B$2:$G$52,4,FALSE)</f>
        <v>13.542962745688465</v>
      </c>
      <c r="F611" s="98">
        <f>SUMIFS(Input!$C$115:$C$3257,Input!$A$115:$A$3257,"="&amp;'Output - County'!A611,Input!$B$115:$B$3257,"="&amp;'Output - County'!B611)*VLOOKUP(A611,'Output - State'!$B$2:$G$52,5,FALSE)</f>
        <v>44.403523692911889</v>
      </c>
      <c r="G611" s="99">
        <f>SUMIFS(Input!$D$115:$D$3257,Input!$A$115:$A$3257,"="&amp;'Output - County'!A611,Input!$B$115:$B$3257,"="&amp;'Output - County'!B611)*VLOOKUP(A611,'Output - State'!$B$2:$G$52,6,FALSE)</f>
        <v>10.139985903287114</v>
      </c>
    </row>
    <row r="612" spans="1:7" x14ac:dyDescent="0.25">
      <c r="A612" s="88">
        <v>17</v>
      </c>
      <c r="B612" s="88">
        <v>31</v>
      </c>
      <c r="C612" s="97">
        <f>SUMIFS(Input!$C$115:$C$3257,Input!$A$115:$A$3257,"="&amp;'Output - County'!A612,Input!$B$115:$B$3257,"="&amp;'Output - County'!B612)*VLOOKUP(A612,'Output - State'!$B$2:$G$52,2,FALSE)</f>
        <v>695.95248080714077</v>
      </c>
      <c r="D612" s="98">
        <f>SUMIFS(Input!$C$115:$C$3257,Input!$A$115:$A$3257,"="&amp;'Output - County'!A612,Input!$B$115:$B$3257,"="&amp;'Output - County'!B612)*VLOOKUP(A612,'Output - State'!$B$2:$G$52,3,FALSE)</f>
        <v>255.23955332379023</v>
      </c>
      <c r="E612" s="98">
        <f>SUMIFS(Input!$C$115:$C$3257,Input!$A$115:$A$3257,"="&amp;'Output - County'!A612,Input!$B$115:$B$3257,"="&amp;'Output - County'!B612)*VLOOKUP(A612,'Output - State'!$B$2:$G$52,4,FALSE)</f>
        <v>934.35416060857722</v>
      </c>
      <c r="F612" s="98">
        <f>SUMIFS(Input!$C$115:$C$3257,Input!$A$115:$A$3257,"="&amp;'Output - County'!A612,Input!$B$115:$B$3257,"="&amp;'Output - County'!B612)*VLOOKUP(A612,'Output - State'!$B$2:$G$52,5,FALSE)</f>
        <v>3063.4815946283297</v>
      </c>
      <c r="G612" s="99">
        <f>SUMIFS(Input!$D$115:$D$3257,Input!$A$115:$A$3257,"="&amp;'Output - County'!A612,Input!$B$115:$B$3257,"="&amp;'Output - County'!B612)*VLOOKUP(A612,'Output - State'!$B$2:$G$52,6,FALSE)</f>
        <v>1031.9631322833538</v>
      </c>
    </row>
    <row r="613" spans="1:7" x14ac:dyDescent="0.25">
      <c r="A613" s="88">
        <v>17</v>
      </c>
      <c r="B613" s="88">
        <v>33</v>
      </c>
      <c r="C613" s="97">
        <f>SUMIFS(Input!$C$115:$C$3257,Input!$A$115:$A$3257,"="&amp;'Output - County'!A613,Input!$B$115:$B$3257,"="&amp;'Output - County'!B613)*VLOOKUP(A613,'Output - State'!$B$2:$G$52,2,FALSE)</f>
        <v>2.5131386996819471</v>
      </c>
      <c r="D613" s="98">
        <f>SUMIFS(Input!$C$115:$C$3257,Input!$A$115:$A$3257,"="&amp;'Output - County'!A613,Input!$B$115:$B$3257,"="&amp;'Output - County'!B613)*VLOOKUP(A613,'Output - State'!$B$2:$G$52,3,FALSE)</f>
        <v>0.92168993837570301</v>
      </c>
      <c r="E613" s="98">
        <f>SUMIFS(Input!$C$115:$C$3257,Input!$A$115:$A$3257,"="&amp;'Output - County'!A613,Input!$B$115:$B$3257,"="&amp;'Output - County'!B613)*VLOOKUP(A613,'Output - State'!$B$2:$G$52,4,FALSE)</f>
        <v>3.3740257632402475</v>
      </c>
      <c r="F613" s="98">
        <f>SUMIFS(Input!$C$115:$C$3257,Input!$A$115:$A$3257,"="&amp;'Output - County'!A613,Input!$B$115:$B$3257,"="&amp;'Output - County'!B613)*VLOOKUP(A613,'Output - State'!$B$2:$G$52,5,FALSE)</f>
        <v>11.0624710214336</v>
      </c>
      <c r="G613" s="99">
        <f>SUMIFS(Input!$D$115:$D$3257,Input!$A$115:$A$3257,"="&amp;'Output - County'!A613,Input!$B$115:$B$3257,"="&amp;'Output - County'!B613)*VLOOKUP(A613,'Output - State'!$B$2:$G$52,6,FALSE)</f>
        <v>3.7525932083031051</v>
      </c>
    </row>
    <row r="614" spans="1:7" x14ac:dyDescent="0.25">
      <c r="A614" s="88">
        <v>17</v>
      </c>
      <c r="B614" s="88">
        <v>35</v>
      </c>
      <c r="C614" s="97">
        <f>SUMIFS(Input!$C$115:$C$3257,Input!$A$115:$A$3257,"="&amp;'Output - County'!A614,Input!$B$115:$B$3257,"="&amp;'Output - County'!B614)*VLOOKUP(A614,'Output - State'!$B$2:$G$52,2,FALSE)</f>
        <v>6.5666693832528562</v>
      </c>
      <c r="D614" s="98">
        <f>SUMIFS(Input!$C$115:$C$3257,Input!$A$115:$A$3257,"="&amp;'Output - County'!A614,Input!$B$115:$B$3257,"="&amp;'Output - County'!B614)*VLOOKUP(A614,'Output - State'!$B$2:$G$52,3,FALSE)</f>
        <v>2.4083163814038246</v>
      </c>
      <c r="E614" s="98">
        <f>SUMIFS(Input!$C$115:$C$3257,Input!$A$115:$A$3257,"="&amp;'Output - County'!A614,Input!$B$115:$B$3257,"="&amp;'Output - County'!B614)*VLOOKUP(A614,'Output - State'!$B$2:$G$52,4,FALSE)</f>
        <v>8.8161117731305776</v>
      </c>
      <c r="F614" s="98">
        <f>SUMIFS(Input!$C$115:$C$3257,Input!$A$115:$A$3257,"="&amp;'Output - County'!A614,Input!$B$115:$B$3257,"="&amp;'Output - County'!B614)*VLOOKUP(A614,'Output - State'!$B$2:$G$52,5,FALSE)</f>
        <v>28.905523506825727</v>
      </c>
      <c r="G614" s="99">
        <f>SUMIFS(Input!$D$115:$D$3257,Input!$A$115:$A$3257,"="&amp;'Output - County'!A614,Input!$B$115:$B$3257,"="&amp;'Output - County'!B614)*VLOOKUP(A614,'Output - State'!$B$2:$G$52,6,FALSE)</f>
        <v>2.155745034557103</v>
      </c>
    </row>
    <row r="615" spans="1:7" x14ac:dyDescent="0.25">
      <c r="A615" s="88">
        <v>17</v>
      </c>
      <c r="B615" s="88">
        <v>37</v>
      </c>
      <c r="C615" s="97">
        <f>SUMIFS(Input!$C$115:$C$3257,Input!$A$115:$A$3257,"="&amp;'Output - County'!A615,Input!$B$115:$B$3257,"="&amp;'Output - County'!B615)*VLOOKUP(A615,'Output - State'!$B$2:$G$52,2,FALSE)</f>
        <v>15.401650601730687</v>
      </c>
      <c r="D615" s="98">
        <f>SUMIFS(Input!$C$115:$C$3257,Input!$A$115:$A$3257,"="&amp;'Output - County'!A615,Input!$B$115:$B$3257,"="&amp;'Output - County'!B615)*VLOOKUP(A615,'Output - State'!$B$2:$G$52,3,FALSE)</f>
        <v>5.6485328071187624</v>
      </c>
      <c r="E615" s="98">
        <f>SUMIFS(Input!$C$115:$C$3257,Input!$A$115:$A$3257,"="&amp;'Output - County'!A615,Input!$B$115:$B$3257,"="&amp;'Output - County'!B615)*VLOOKUP(A615,'Output - State'!$B$2:$G$52,4,FALSE)</f>
        <v>20.677555891857683</v>
      </c>
      <c r="F615" s="98">
        <f>SUMIFS(Input!$C$115:$C$3257,Input!$A$115:$A$3257,"="&amp;'Output - County'!A615,Input!$B$115:$B$3257,"="&amp;'Output - County'!B615)*VLOOKUP(A615,'Output - State'!$B$2:$G$52,5,FALSE)</f>
        <v>67.795825787670907</v>
      </c>
      <c r="G615" s="99">
        <f>SUMIFS(Input!$D$115:$D$3257,Input!$A$115:$A$3257,"="&amp;'Output - County'!A615,Input!$B$115:$B$3257,"="&amp;'Output - County'!B615)*VLOOKUP(A615,'Output - State'!$B$2:$G$52,6,FALSE)</f>
        <v>20.759026258698029</v>
      </c>
    </row>
    <row r="616" spans="1:7" x14ac:dyDescent="0.25">
      <c r="A616" s="88">
        <v>17</v>
      </c>
      <c r="B616" s="88">
        <v>39</v>
      </c>
      <c r="C616" s="97">
        <f>SUMIFS(Input!$C$115:$C$3257,Input!$A$115:$A$3257,"="&amp;'Output - County'!A616,Input!$B$115:$B$3257,"="&amp;'Output - County'!B616)*VLOOKUP(A616,'Output - State'!$B$2:$G$52,2,FALSE)</f>
        <v>3.7829432569070649</v>
      </c>
      <c r="D616" s="98">
        <f>SUMIFS(Input!$C$115:$C$3257,Input!$A$115:$A$3257,"="&amp;'Output - County'!A616,Input!$B$115:$B$3257,"="&amp;'Output - County'!B616)*VLOOKUP(A616,'Output - State'!$B$2:$G$52,3,FALSE)</f>
        <v>1.3873889004927251</v>
      </c>
      <c r="E616" s="98">
        <f>SUMIFS(Input!$C$115:$C$3257,Input!$A$115:$A$3257,"="&amp;'Output - County'!A616,Input!$B$115:$B$3257,"="&amp;'Output - County'!B616)*VLOOKUP(A616,'Output - State'!$B$2:$G$52,4,FALSE)</f>
        <v>5.078807632581416</v>
      </c>
      <c r="F616" s="98">
        <f>SUMIFS(Input!$C$115:$C$3257,Input!$A$115:$A$3257,"="&amp;'Output - County'!A616,Input!$B$115:$B$3257,"="&amp;'Output - County'!B616)*VLOOKUP(A616,'Output - State'!$B$2:$G$52,5,FALSE)</f>
        <v>16.651965990002164</v>
      </c>
      <c r="G616" s="99">
        <f>SUMIFS(Input!$D$115:$D$3257,Input!$A$115:$A$3257,"="&amp;'Output - County'!A616,Input!$B$115:$B$3257,"="&amp;'Output - County'!B616)*VLOOKUP(A616,'Output - State'!$B$2:$G$52,6,FALSE)</f>
        <v>3.1537751431483541</v>
      </c>
    </row>
    <row r="617" spans="1:7" x14ac:dyDescent="0.25">
      <c r="A617" s="88">
        <v>17</v>
      </c>
      <c r="B617" s="88">
        <v>41</v>
      </c>
      <c r="C617" s="97">
        <f>SUMIFS(Input!$C$115:$C$3257,Input!$A$115:$A$3257,"="&amp;'Output - County'!A617,Input!$B$115:$B$3257,"="&amp;'Output - County'!B617)*VLOOKUP(A617,'Output - State'!$B$2:$G$52,2,FALSE)</f>
        <v>5.2781083920319052</v>
      </c>
      <c r="D617" s="98">
        <f>SUMIFS(Input!$C$115:$C$3257,Input!$A$115:$A$3257,"="&amp;'Output - County'!A617,Input!$B$115:$B$3257,"="&amp;'Output - County'!B617)*VLOOKUP(A617,'Output - State'!$B$2:$G$52,3,FALSE)</f>
        <v>1.9357385245819638</v>
      </c>
      <c r="E617" s="98">
        <f>SUMIFS(Input!$C$115:$C$3257,Input!$A$115:$A$3257,"="&amp;'Output - County'!A617,Input!$B$115:$B$3257,"="&amp;'Output - County'!B617)*VLOOKUP(A617,'Output - State'!$B$2:$G$52,4,FALSE)</f>
        <v>7.0861483682313171</v>
      </c>
      <c r="F617" s="98">
        <f>SUMIFS(Input!$C$115:$C$3257,Input!$A$115:$A$3257,"="&amp;'Output - County'!A617,Input!$B$115:$B$3257,"="&amp;'Output - County'!B617)*VLOOKUP(A617,'Output - State'!$B$2:$G$52,5,FALSE)</f>
        <v>23.233465443919954</v>
      </c>
      <c r="G617" s="99">
        <f>SUMIFS(Input!$D$115:$D$3257,Input!$A$115:$A$3257,"="&amp;'Output - County'!A617,Input!$B$115:$B$3257,"="&amp;'Output - County'!B617)*VLOOKUP(A617,'Output - State'!$B$2:$G$52,6,FALSE)</f>
        <v>3.8923174235058804</v>
      </c>
    </row>
    <row r="618" spans="1:7" x14ac:dyDescent="0.25">
      <c r="A618" s="88">
        <v>17</v>
      </c>
      <c r="B618" s="88">
        <v>43</v>
      </c>
      <c r="C618" s="97">
        <f>SUMIFS(Input!$C$115:$C$3257,Input!$A$115:$A$3257,"="&amp;'Output - County'!A618,Input!$B$115:$B$3257,"="&amp;'Output - County'!B618)*VLOOKUP(A618,'Output - State'!$B$2:$G$52,2,FALSE)</f>
        <v>162.9923290269054</v>
      </c>
      <c r="D618" s="98">
        <f>SUMIFS(Input!$C$115:$C$3257,Input!$A$115:$A$3257,"="&amp;'Output - County'!A618,Input!$B$115:$B$3257,"="&amp;'Output - County'!B618)*VLOOKUP(A618,'Output - State'!$B$2:$G$52,3,FALSE)</f>
        <v>59.777198017575813</v>
      </c>
      <c r="E618" s="98">
        <f>SUMIFS(Input!$C$115:$C$3257,Input!$A$115:$A$3257,"="&amp;'Output - County'!A618,Input!$B$115:$B$3257,"="&amp;'Output - County'!B618)*VLOOKUP(A618,'Output - State'!$B$2:$G$52,4,FALSE)</f>
        <v>218.82609082296506</v>
      </c>
      <c r="F618" s="98">
        <f>SUMIFS(Input!$C$115:$C$3257,Input!$A$115:$A$3257,"="&amp;'Output - County'!A618,Input!$B$115:$B$3257,"="&amp;'Output - County'!B618)*VLOOKUP(A618,'Output - State'!$B$2:$G$52,5,FALSE)</f>
        <v>717.46852523671066</v>
      </c>
      <c r="G618" s="99">
        <f>SUMIFS(Input!$D$115:$D$3257,Input!$A$115:$A$3257,"="&amp;'Output - County'!A618,Input!$B$115:$B$3257,"="&amp;'Output - County'!B618)*VLOOKUP(A618,'Output - State'!$B$2:$G$52,6,FALSE)</f>
        <v>185.03478213281801</v>
      </c>
    </row>
    <row r="619" spans="1:7" x14ac:dyDescent="0.25">
      <c r="A619" s="88">
        <v>17</v>
      </c>
      <c r="B619" s="88">
        <v>45</v>
      </c>
      <c r="C619" s="97">
        <f>SUMIFS(Input!$C$115:$C$3257,Input!$A$115:$A$3257,"="&amp;'Output - County'!A619,Input!$B$115:$B$3257,"="&amp;'Output - County'!B619)*VLOOKUP(A619,'Output - State'!$B$2:$G$52,2,FALSE)</f>
        <v>2.6856798769328032</v>
      </c>
      <c r="D619" s="98">
        <f>SUMIFS(Input!$C$115:$C$3257,Input!$A$115:$A$3257,"="&amp;'Output - County'!A619,Input!$B$115:$B$3257,"="&amp;'Output - County'!B619)*VLOOKUP(A619,'Output - State'!$B$2:$G$52,3,FALSE)</f>
        <v>0.98496916249800825</v>
      </c>
      <c r="E619" s="98">
        <f>SUMIFS(Input!$C$115:$C$3257,Input!$A$115:$A$3257,"="&amp;'Output - County'!A619,Input!$B$115:$B$3257,"="&amp;'Output - County'!B619)*VLOOKUP(A619,'Output - State'!$B$2:$G$52,4,FALSE)</f>
        <v>3.6056717035689156</v>
      </c>
      <c r="F619" s="98">
        <f>SUMIFS(Input!$C$115:$C$3257,Input!$A$115:$A$3257,"="&amp;'Output - County'!A619,Input!$B$115:$B$3257,"="&amp;'Output - County'!B619)*VLOOKUP(A619,'Output - State'!$B$2:$G$52,5,FALSE)</f>
        <v>11.821972187677705</v>
      </c>
      <c r="G619" s="99">
        <f>SUMIFS(Input!$D$115:$D$3257,Input!$A$115:$A$3257,"="&amp;'Output - County'!A619,Input!$B$115:$B$3257,"="&amp;'Output - County'!B619)*VLOOKUP(A619,'Output - State'!$B$2:$G$52,6,FALSE)</f>
        <v>3.4731447778975548</v>
      </c>
    </row>
    <row r="620" spans="1:7" x14ac:dyDescent="0.25">
      <c r="A620" s="88">
        <v>17</v>
      </c>
      <c r="B620" s="88">
        <v>47</v>
      </c>
      <c r="C620" s="97">
        <f>SUMIFS(Input!$C$115:$C$3257,Input!$A$115:$A$3257,"="&amp;'Output - County'!A620,Input!$B$115:$B$3257,"="&amp;'Output - County'!B620)*VLOOKUP(A620,'Output - State'!$B$2:$G$52,2,FALSE)</f>
        <v>1.0937433627105235</v>
      </c>
      <c r="D620" s="98">
        <f>SUMIFS(Input!$C$115:$C$3257,Input!$A$115:$A$3257,"="&amp;'Output - County'!A620,Input!$B$115:$B$3257,"="&amp;'Output - County'!B620)*VLOOKUP(A620,'Output - State'!$B$2:$G$52,3,FALSE)</f>
        <v>0.40112877681724318</v>
      </c>
      <c r="E620" s="98">
        <f>SUMIFS(Input!$C$115:$C$3257,Input!$A$115:$A$3257,"="&amp;'Output - County'!A620,Input!$B$115:$B$3257,"="&amp;'Output - County'!B620)*VLOOKUP(A620,'Output - State'!$B$2:$G$52,4,FALSE)</f>
        <v>1.4684101138649295</v>
      </c>
      <c r="F620" s="98">
        <f>SUMIFS(Input!$C$115:$C$3257,Input!$A$115:$A$3257,"="&amp;'Output - County'!A620,Input!$B$115:$B$3257,"="&amp;'Output - County'!B620)*VLOOKUP(A620,'Output - State'!$B$2:$G$52,5,FALSE)</f>
        <v>4.8144991983139533</v>
      </c>
      <c r="G620" s="99">
        <f>SUMIFS(Input!$D$115:$D$3257,Input!$A$115:$A$3257,"="&amp;'Output - County'!A620,Input!$B$115:$B$3257,"="&amp;'Output - County'!B620)*VLOOKUP(A620,'Output - State'!$B$2:$G$52,6,FALSE)</f>
        <v>1.2754824787796193</v>
      </c>
    </row>
    <row r="621" spans="1:7" x14ac:dyDescent="0.25">
      <c r="A621" s="88">
        <v>17</v>
      </c>
      <c r="B621" s="88">
        <v>49</v>
      </c>
      <c r="C621" s="97">
        <f>SUMIFS(Input!$C$115:$C$3257,Input!$A$115:$A$3257,"="&amp;'Output - County'!A621,Input!$B$115:$B$3257,"="&amp;'Output - County'!B621)*VLOOKUP(A621,'Output - State'!$B$2:$G$52,2,FALSE)</f>
        <v>14.668348320286851</v>
      </c>
      <c r="D621" s="98">
        <f>SUMIFS(Input!$C$115:$C$3257,Input!$A$115:$A$3257,"="&amp;'Output - County'!A621,Input!$B$115:$B$3257,"="&amp;'Output - County'!B621)*VLOOKUP(A621,'Output - State'!$B$2:$G$52,3,FALSE)</f>
        <v>5.3795952690989672</v>
      </c>
      <c r="E621" s="98">
        <f>SUMIFS(Input!$C$115:$C$3257,Input!$A$115:$A$3257,"="&amp;'Output - County'!A621,Input!$B$115:$B$3257,"="&amp;'Output - County'!B621)*VLOOKUP(A621,'Output - State'!$B$2:$G$52,4,FALSE)</f>
        <v>19.693057586950168</v>
      </c>
      <c r="F621" s="98">
        <f>SUMIFS(Input!$C$115:$C$3257,Input!$A$115:$A$3257,"="&amp;'Output - County'!A621,Input!$B$115:$B$3257,"="&amp;'Output - County'!B621)*VLOOKUP(A621,'Output - State'!$B$2:$G$52,5,FALSE)</f>
        <v>64.567935803146682</v>
      </c>
      <c r="G621" s="99">
        <f>SUMIFS(Input!$D$115:$D$3257,Input!$A$115:$A$3257,"="&amp;'Output - County'!A621,Input!$B$115:$B$3257,"="&amp;'Output - County'!B621)*VLOOKUP(A621,'Output - State'!$B$2:$G$52,6,FALSE)</f>
        <v>6.8265259427641594</v>
      </c>
    </row>
    <row r="622" spans="1:7" x14ac:dyDescent="0.25">
      <c r="A622" s="88">
        <v>17</v>
      </c>
      <c r="B622" s="88">
        <v>51</v>
      </c>
      <c r="C622" s="97">
        <f>SUMIFS(Input!$C$115:$C$3257,Input!$A$115:$A$3257,"="&amp;'Output - County'!A622,Input!$B$115:$B$3257,"="&amp;'Output - County'!B622)*VLOOKUP(A622,'Output - State'!$B$2:$G$52,2,FALSE)</f>
        <v>8.7506081092877022</v>
      </c>
      <c r="D622" s="98">
        <f>SUMIFS(Input!$C$115:$C$3257,Input!$A$115:$A$3257,"="&amp;'Output - County'!A622,Input!$B$115:$B$3257,"="&amp;'Output - County'!B622)*VLOOKUP(A622,'Output - State'!$B$2:$G$52,3,FALSE)</f>
        <v>3.2092727114583957</v>
      </c>
      <c r="E622" s="98">
        <f>SUMIFS(Input!$C$115:$C$3257,Input!$A$115:$A$3257,"="&amp;'Output - County'!A622,Input!$B$115:$B$3257,"="&amp;'Output - County'!B622)*VLOOKUP(A622,'Output - State'!$B$2:$G$52,4,FALSE)</f>
        <v>11.7481686181874</v>
      </c>
      <c r="F622" s="98">
        <f>SUMIFS(Input!$C$115:$C$3257,Input!$A$115:$A$3257,"="&amp;'Output - County'!A622,Input!$B$115:$B$3257,"="&amp;'Output - County'!B622)*VLOOKUP(A622,'Output - State'!$B$2:$G$52,5,FALSE)</f>
        <v>38.518904126210032</v>
      </c>
      <c r="G622" s="99">
        <f>SUMIFS(Input!$D$115:$D$3257,Input!$A$115:$A$3257,"="&amp;'Output - County'!A622,Input!$B$115:$B$3257,"="&amp;'Output - County'!B622)*VLOOKUP(A622,'Output - State'!$B$2:$G$52,6,FALSE)</f>
        <v>4.2715688647705559</v>
      </c>
    </row>
    <row r="623" spans="1:7" x14ac:dyDescent="0.25">
      <c r="A623" s="88">
        <v>17</v>
      </c>
      <c r="B623" s="88">
        <v>53</v>
      </c>
      <c r="C623" s="97">
        <f>SUMIFS(Input!$C$115:$C$3257,Input!$A$115:$A$3257,"="&amp;'Output - County'!A623,Input!$B$115:$B$3257,"="&amp;'Output - County'!B623)*VLOOKUP(A623,'Output - State'!$B$2:$G$52,2,FALSE)</f>
        <v>2.7015209076222004</v>
      </c>
      <c r="D623" s="98">
        <f>SUMIFS(Input!$C$115:$C$3257,Input!$A$115:$A$3257,"="&amp;'Output - County'!A623,Input!$B$115:$B$3257,"="&amp;'Output - County'!B623)*VLOOKUP(A623,'Output - State'!$B$2:$G$52,3,FALSE)</f>
        <v>0.99077883730893923</v>
      </c>
      <c r="E623" s="98">
        <f>SUMIFS(Input!$C$115:$C$3257,Input!$A$115:$A$3257,"="&amp;'Output - County'!A623,Input!$B$115:$B$3257,"="&amp;'Output - County'!B623)*VLOOKUP(A623,'Output - State'!$B$2:$G$52,4,FALSE)</f>
        <v>3.626939151190915</v>
      </c>
      <c r="F623" s="98">
        <f>SUMIFS(Input!$C$115:$C$3257,Input!$A$115:$A$3257,"="&amp;'Output - County'!A623,Input!$B$115:$B$3257,"="&amp;'Output - County'!B623)*VLOOKUP(A623,'Output - State'!$B$2:$G$52,5,FALSE)</f>
        <v>11.891702100703705</v>
      </c>
      <c r="G623" s="99">
        <f>SUMIFS(Input!$D$115:$D$3257,Input!$A$115:$A$3257,"="&amp;'Output - County'!A623,Input!$B$115:$B$3257,"="&amp;'Output - County'!B623)*VLOOKUP(A623,'Output - State'!$B$2:$G$52,6,FALSE)</f>
        <v>2.6347994866809037</v>
      </c>
    </row>
    <row r="624" spans="1:7" x14ac:dyDescent="0.25">
      <c r="A624" s="88">
        <v>17</v>
      </c>
      <c r="B624" s="88">
        <v>55</v>
      </c>
      <c r="C624" s="97">
        <f>SUMIFS(Input!$C$115:$C$3257,Input!$A$115:$A$3257,"="&amp;'Output - County'!A624,Input!$B$115:$B$3257,"="&amp;'Output - County'!B624)*VLOOKUP(A624,'Output - State'!$B$2:$G$52,2,FALSE)</f>
        <v>9.8050402276342812</v>
      </c>
      <c r="D624" s="98">
        <f>SUMIFS(Input!$C$115:$C$3257,Input!$A$115:$A$3257,"="&amp;'Output - County'!A624,Input!$B$115:$B$3257,"="&amp;'Output - County'!B624)*VLOOKUP(A624,'Output - State'!$B$2:$G$52,3,FALSE)</f>
        <v>3.5959841469646072</v>
      </c>
      <c r="E624" s="98">
        <f>SUMIFS(Input!$C$115:$C$3257,Input!$A$115:$A$3257,"="&amp;'Output - County'!A624,Input!$B$115:$B$3257,"="&amp;'Output - County'!B624)*VLOOKUP(A624,'Output - State'!$B$2:$G$52,4,FALSE)</f>
        <v>13.163801242578401</v>
      </c>
      <c r="F624" s="98">
        <f>SUMIFS(Input!$C$115:$C$3257,Input!$A$115:$A$3257,"="&amp;'Output - County'!A624,Input!$B$115:$B$3257,"="&amp;'Output - County'!B624)*VLOOKUP(A624,'Output - State'!$B$2:$G$52,5,FALSE)</f>
        <v>43.160360944631591</v>
      </c>
      <c r="G624" s="99">
        <f>SUMIFS(Input!$D$115:$D$3257,Input!$A$115:$A$3257,"="&amp;'Output - County'!A624,Input!$B$115:$B$3257,"="&amp;'Output - County'!B624)*VLOOKUP(A624,'Output - State'!$B$2:$G$52,6,FALSE)</f>
        <v>7.7247530404962861</v>
      </c>
    </row>
    <row r="625" spans="1:7" x14ac:dyDescent="0.25">
      <c r="A625" s="88">
        <v>17</v>
      </c>
      <c r="B625" s="88">
        <v>57</v>
      </c>
      <c r="C625" s="97">
        <f>SUMIFS(Input!$C$115:$C$3257,Input!$A$115:$A$3257,"="&amp;'Output - County'!A625,Input!$B$115:$B$3257,"="&amp;'Output - County'!B625)*VLOOKUP(A625,'Output - State'!$B$2:$G$52,2,FALSE)</f>
        <v>4.9841262403841426</v>
      </c>
      <c r="D625" s="98">
        <f>SUMIFS(Input!$C$115:$C$3257,Input!$A$115:$A$3257,"="&amp;'Output - County'!A625,Input!$B$115:$B$3257,"="&amp;'Output - County'!B625)*VLOOKUP(A625,'Output - State'!$B$2:$G$52,3,FALSE)</f>
        <v>1.8279210009132247</v>
      </c>
      <c r="E625" s="98">
        <f>SUMIFS(Input!$C$115:$C$3257,Input!$A$115:$A$3257,"="&amp;'Output - County'!A625,Input!$B$115:$B$3257,"="&amp;'Output - County'!B625)*VLOOKUP(A625,'Output - State'!$B$2:$G$52,4,FALSE)</f>
        <v>6.6914612967545697</v>
      </c>
      <c r="F625" s="98">
        <f>SUMIFS(Input!$C$115:$C$3257,Input!$A$115:$A$3257,"="&amp;'Output - County'!A625,Input!$B$115:$B$3257,"="&amp;'Output - County'!B625)*VLOOKUP(A625,'Output - State'!$B$2:$G$52,5,FALSE)</f>
        <v>21.93939877189996</v>
      </c>
      <c r="G625" s="99">
        <f>SUMIFS(Input!$D$115:$D$3257,Input!$A$115:$A$3257,"="&amp;'Output - County'!A625,Input!$B$115:$B$3257,"="&amp;'Output - County'!B625)*VLOOKUP(A625,'Output - State'!$B$2:$G$52,6,FALSE)</f>
        <v>6.9462895557951096</v>
      </c>
    </row>
    <row r="626" spans="1:7" x14ac:dyDescent="0.25">
      <c r="A626" s="88">
        <v>17</v>
      </c>
      <c r="B626" s="88">
        <v>59</v>
      </c>
      <c r="C626" s="97">
        <f>SUMIFS(Input!$C$115:$C$3257,Input!$A$115:$A$3257,"="&amp;'Output - County'!A626,Input!$B$115:$B$3257,"="&amp;'Output - County'!B626)*VLOOKUP(A626,'Output - State'!$B$2:$G$52,2,FALSE)</f>
        <v>0.87264543845662434</v>
      </c>
      <c r="D626" s="98">
        <f>SUMIFS(Input!$C$115:$C$3257,Input!$A$115:$A$3257,"="&amp;'Output - County'!A626,Input!$B$115:$B$3257,"="&amp;'Output - County'!B626)*VLOOKUP(A626,'Output - State'!$B$2:$G$52,3,FALSE)</f>
        <v>0.32004143682826358</v>
      </c>
      <c r="E626" s="98">
        <f>SUMIFS(Input!$C$115:$C$3257,Input!$A$115:$A$3257,"="&amp;'Output - County'!A626,Input!$B$115:$B$3257,"="&amp;'Output - County'!B626)*VLOOKUP(A626,'Output - State'!$B$2:$G$52,4,FALSE)</f>
        <v>1.1715740925478386</v>
      </c>
      <c r="F626" s="98">
        <f>SUMIFS(Input!$C$115:$C$3257,Input!$A$115:$A$3257,"="&amp;'Output - County'!A626,Input!$B$115:$B$3257,"="&amp;'Output - County'!B626)*VLOOKUP(A626,'Output - State'!$B$2:$G$52,5,FALSE)</f>
        <v>3.8412582943131421</v>
      </c>
      <c r="G626" s="99">
        <f>SUMIFS(Input!$D$115:$D$3257,Input!$A$115:$A$3257,"="&amp;'Output - County'!A626,Input!$B$115:$B$3257,"="&amp;'Output - County'!B626)*VLOOKUP(A626,'Output - State'!$B$2:$G$52,6,FALSE)</f>
        <v>1.008010409677164</v>
      </c>
    </row>
    <row r="627" spans="1:7" x14ac:dyDescent="0.25">
      <c r="A627" s="88">
        <v>17</v>
      </c>
      <c r="B627" s="88">
        <v>61</v>
      </c>
      <c r="C627" s="97">
        <f>SUMIFS(Input!$C$115:$C$3257,Input!$A$115:$A$3257,"="&amp;'Output - County'!A627,Input!$B$115:$B$3257,"="&amp;'Output - County'!B627)*VLOOKUP(A627,'Output - State'!$B$2:$G$52,2,FALSE)</f>
        <v>1.8713955263253961</v>
      </c>
      <c r="D627" s="98">
        <f>SUMIFS(Input!$C$115:$C$3257,Input!$A$115:$A$3257,"="&amp;'Output - County'!A627,Input!$B$115:$B$3257,"="&amp;'Output - County'!B627)*VLOOKUP(A627,'Output - State'!$B$2:$G$52,3,FALSE)</f>
        <v>0.68633156918625715</v>
      </c>
      <c r="E627" s="98">
        <f>SUMIFS(Input!$C$115:$C$3257,Input!$A$115:$A$3257,"="&amp;'Output - County'!A627,Input!$B$115:$B$3257,"="&amp;'Output - County'!B627)*VLOOKUP(A627,'Output - State'!$B$2:$G$52,4,FALSE)</f>
        <v>2.5124505542943258</v>
      </c>
      <c r="F627" s="98">
        <f>SUMIFS(Input!$C$115:$C$3257,Input!$A$115:$A$3257,"="&amp;'Output - County'!A627,Input!$B$115:$B$3257,"="&amp;'Output - County'!B627)*VLOOKUP(A627,'Output - State'!$B$2:$G$52,5,FALSE)</f>
        <v>8.2376109134904372</v>
      </c>
      <c r="G627" s="99">
        <f>SUMIFS(Input!$D$115:$D$3257,Input!$A$115:$A$3257,"="&amp;'Output - County'!A627,Input!$B$115:$B$3257,"="&amp;'Output - County'!B627)*VLOOKUP(A627,'Output - State'!$B$2:$G$52,6,FALSE)</f>
        <v>2.6148388845090786</v>
      </c>
    </row>
    <row r="628" spans="1:7" x14ac:dyDescent="0.25">
      <c r="A628" s="88">
        <v>17</v>
      </c>
      <c r="B628" s="88">
        <v>63</v>
      </c>
      <c r="C628" s="97">
        <f>SUMIFS(Input!$C$115:$C$3257,Input!$A$115:$A$3257,"="&amp;'Output - County'!A628,Input!$B$115:$B$3257,"="&amp;'Output - County'!B628)*VLOOKUP(A628,'Output - State'!$B$2:$G$52,2,FALSE)</f>
        <v>15.142253993653608</v>
      </c>
      <c r="D628" s="98">
        <f>SUMIFS(Input!$C$115:$C$3257,Input!$A$115:$A$3257,"="&amp;'Output - County'!A628,Input!$B$115:$B$3257,"="&amp;'Output - County'!B628)*VLOOKUP(A628,'Output - State'!$B$2:$G$52,3,FALSE)</f>
        <v>5.5533994809144875</v>
      </c>
      <c r="E628" s="98">
        <f>SUMIFS(Input!$C$115:$C$3257,Input!$A$115:$A$3257,"="&amp;'Output - County'!A628,Input!$B$115:$B$3257,"="&amp;'Output - County'!B628)*VLOOKUP(A628,'Output - State'!$B$2:$G$52,4,FALSE)</f>
        <v>20.329301798814605</v>
      </c>
      <c r="F628" s="98">
        <f>SUMIFS(Input!$C$115:$C$3257,Input!$A$115:$A$3257,"="&amp;'Output - County'!A628,Input!$B$115:$B$3257,"="&amp;'Output - County'!B628)*VLOOKUP(A628,'Output - State'!$B$2:$G$52,5,FALSE)</f>
        <v>66.653999648001815</v>
      </c>
      <c r="G628" s="99">
        <f>SUMIFS(Input!$D$115:$D$3257,Input!$A$115:$A$3257,"="&amp;'Output - County'!A628,Input!$B$115:$B$3257,"="&amp;'Output - County'!B628)*VLOOKUP(A628,'Output - State'!$B$2:$G$52,6,FALSE)</f>
        <v>10.179907107630765</v>
      </c>
    </row>
    <row r="629" spans="1:7" x14ac:dyDescent="0.25">
      <c r="A629" s="88">
        <v>17</v>
      </c>
      <c r="B629" s="88">
        <v>65</v>
      </c>
      <c r="C629" s="97">
        <f>SUMIFS(Input!$C$115:$C$3257,Input!$A$115:$A$3257,"="&amp;'Output - County'!A629,Input!$B$115:$B$3257,"="&amp;'Output - County'!B629)*VLOOKUP(A629,'Output - State'!$B$2:$G$52,2,FALSE)</f>
        <v>1.2035261119307967</v>
      </c>
      <c r="D629" s="98">
        <f>SUMIFS(Input!$C$115:$C$3257,Input!$A$115:$A$3257,"="&amp;'Output - County'!A629,Input!$B$115:$B$3257,"="&amp;'Output - County'!B629)*VLOOKUP(A629,'Output - State'!$B$2:$G$52,3,FALSE)</f>
        <v>0.44139143935009689</v>
      </c>
      <c r="E629" s="98">
        <f>SUMIFS(Input!$C$115:$C$3257,Input!$A$115:$A$3257,"="&amp;'Output - County'!A629,Input!$B$115:$B$3257,"="&amp;'Output - County'!B629)*VLOOKUP(A629,'Output - State'!$B$2:$G$52,4,FALSE)</f>
        <v>1.6157994419093478</v>
      </c>
      <c r="F629" s="98">
        <f>SUMIFS(Input!$C$115:$C$3257,Input!$A$115:$A$3257,"="&amp;'Output - County'!A629,Input!$B$115:$B$3257,"="&amp;'Output - County'!B629)*VLOOKUP(A629,'Output - State'!$B$2:$G$52,5,FALSE)</f>
        <v>5.2977468925443922</v>
      </c>
      <c r="G629" s="99">
        <f>SUMIFS(Input!$D$115:$D$3257,Input!$A$115:$A$3257,"="&amp;'Output - County'!A629,Input!$B$115:$B$3257,"="&amp;'Output - County'!B629)*VLOOKUP(A629,'Output - State'!$B$2:$G$52,6,FALSE)</f>
        <v>1.6267890770037396</v>
      </c>
    </row>
    <row r="630" spans="1:7" x14ac:dyDescent="0.25">
      <c r="A630" s="88">
        <v>17</v>
      </c>
      <c r="B630" s="88">
        <v>67</v>
      </c>
      <c r="C630" s="97">
        <f>SUMIFS(Input!$C$115:$C$3257,Input!$A$115:$A$3257,"="&amp;'Output - County'!A630,Input!$B$115:$B$3257,"="&amp;'Output - County'!B630)*VLOOKUP(A630,'Output - State'!$B$2:$G$52,2,FALSE)</f>
        <v>2.8455065852137342</v>
      </c>
      <c r="D630" s="98">
        <f>SUMIFS(Input!$C$115:$C$3257,Input!$A$115:$A$3257,"="&amp;'Output - County'!A630,Input!$B$115:$B$3257,"="&amp;'Output - County'!B630)*VLOOKUP(A630,'Output - State'!$B$2:$G$52,3,FALSE)</f>
        <v>1.0435853737420935</v>
      </c>
      <c r="E630" s="98">
        <f>SUMIFS(Input!$C$115:$C$3257,Input!$A$115:$A$3257,"="&amp;'Output - County'!A630,Input!$B$115:$B$3257,"="&amp;'Output - County'!B630)*VLOOKUP(A630,'Output - State'!$B$2:$G$52,4,FALSE)</f>
        <v>3.820247775897113</v>
      </c>
      <c r="F630" s="98">
        <f>SUMIFS(Input!$C$115:$C$3257,Input!$A$115:$A$3257,"="&amp;'Output - County'!A630,Input!$B$115:$B$3257,"="&amp;'Output - County'!B630)*VLOOKUP(A630,'Output - State'!$B$2:$G$52,5,FALSE)</f>
        <v>12.525506110828339</v>
      </c>
      <c r="G630" s="99">
        <f>SUMIFS(Input!$D$115:$D$3257,Input!$A$115:$A$3257,"="&amp;'Output - County'!A630,Input!$B$115:$B$3257,"="&amp;'Output - County'!B630)*VLOOKUP(A630,'Output - State'!$B$2:$G$52,6,FALSE)</f>
        <v>3.5529871865848546</v>
      </c>
    </row>
    <row r="631" spans="1:7" x14ac:dyDescent="0.25">
      <c r="A631" s="88">
        <v>17</v>
      </c>
      <c r="B631" s="88">
        <v>69</v>
      </c>
      <c r="C631" s="97">
        <f>SUMIFS(Input!$C$115:$C$3257,Input!$A$115:$A$3257,"="&amp;'Output - County'!A631,Input!$B$115:$B$3257,"="&amp;'Output - County'!B631)*VLOOKUP(A631,'Output - State'!$B$2:$G$52,2,FALSE)</f>
        <v>0.45196752444403726</v>
      </c>
      <c r="D631" s="98">
        <f>SUMIFS(Input!$C$115:$C$3257,Input!$A$115:$A$3257,"="&amp;'Output - County'!A631,Input!$B$115:$B$3257,"="&amp;'Output - County'!B631)*VLOOKUP(A631,'Output - State'!$B$2:$G$52,3,FALSE)</f>
        <v>0.16575842781990652</v>
      </c>
      <c r="E631" s="98">
        <f>SUMIFS(Input!$C$115:$C$3257,Input!$A$115:$A$3257,"="&amp;'Output - County'!A631,Input!$B$115:$B$3257,"="&amp;'Output - County'!B631)*VLOOKUP(A631,'Output - State'!$B$2:$G$52,4,FALSE)</f>
        <v>0.60679105049597526</v>
      </c>
      <c r="F631" s="98">
        <f>SUMIFS(Input!$C$115:$C$3257,Input!$A$115:$A$3257,"="&amp;'Output - County'!A631,Input!$B$115:$B$3257,"="&amp;'Output - County'!B631)*VLOOKUP(A631,'Output - State'!$B$2:$G$52,5,FALSE)</f>
        <v>1.9894953041883479</v>
      </c>
      <c r="G631" s="99">
        <f>SUMIFS(Input!$D$115:$D$3257,Input!$A$115:$A$3257,"="&amp;'Output - County'!A631,Input!$B$115:$B$3257,"="&amp;'Output - County'!B631)*VLOOKUP(A631,'Output - State'!$B$2:$G$52,6,FALSE)</f>
        <v>0.77646742448399364</v>
      </c>
    </row>
    <row r="632" spans="1:7" x14ac:dyDescent="0.25">
      <c r="A632" s="88">
        <v>17</v>
      </c>
      <c r="B632" s="88">
        <v>71</v>
      </c>
      <c r="C632" s="97">
        <f>SUMIFS(Input!$C$115:$C$3257,Input!$A$115:$A$3257,"="&amp;'Output - County'!A632,Input!$B$115:$B$3257,"="&amp;'Output - County'!B632)*VLOOKUP(A632,'Output - State'!$B$2:$G$52,2,FALSE)</f>
        <v>1.7407152002490267</v>
      </c>
      <c r="D632" s="98">
        <f>SUMIFS(Input!$C$115:$C$3257,Input!$A$115:$A$3257,"="&amp;'Output - County'!A632,Input!$B$115:$B$3257,"="&amp;'Output - County'!B632)*VLOOKUP(A632,'Output - State'!$B$2:$G$52,3,FALSE)</f>
        <v>0.63840475093962035</v>
      </c>
      <c r="E632" s="98">
        <f>SUMIFS(Input!$C$115:$C$3257,Input!$A$115:$A$3257,"="&amp;'Output - County'!A632,Input!$B$115:$B$3257,"="&amp;'Output - County'!B632)*VLOOKUP(A632,'Output - State'!$B$2:$G$52,4,FALSE)</f>
        <v>2.3370050896305141</v>
      </c>
      <c r="F632" s="98">
        <f>SUMIFS(Input!$C$115:$C$3257,Input!$A$115:$A$3257,"="&amp;'Output - County'!A632,Input!$B$115:$B$3257,"="&amp;'Output - County'!B632)*VLOOKUP(A632,'Output - State'!$B$2:$G$52,5,FALSE)</f>
        <v>7.6623751254798957</v>
      </c>
      <c r="G632" s="99">
        <f>SUMIFS(Input!$D$115:$D$3257,Input!$A$115:$A$3257,"="&amp;'Output - County'!A632,Input!$B$115:$B$3257,"="&amp;'Output - County'!B632)*VLOOKUP(A632,'Output - State'!$B$2:$G$52,6,FALSE)</f>
        <v>1.3373603455122769</v>
      </c>
    </row>
    <row r="633" spans="1:7" x14ac:dyDescent="0.25">
      <c r="A633" s="88">
        <v>17</v>
      </c>
      <c r="B633" s="88">
        <v>73</v>
      </c>
      <c r="C633" s="97">
        <f>SUMIFS(Input!$C$115:$C$3257,Input!$A$115:$A$3257,"="&amp;'Output - County'!A633,Input!$B$115:$B$3257,"="&amp;'Output - County'!B633)*VLOOKUP(A633,'Output - State'!$B$2:$G$52,2,FALSE)</f>
        <v>14.35805053800056</v>
      </c>
      <c r="D633" s="98">
        <f>SUMIFS(Input!$C$115:$C$3257,Input!$A$115:$A$3257,"="&amp;'Output - County'!A633,Input!$B$115:$B$3257,"="&amp;'Output - County'!B633)*VLOOKUP(A633,'Output - State'!$B$2:$G$52,3,FALSE)</f>
        <v>5.2657940117828614</v>
      </c>
      <c r="E633" s="98">
        <f>SUMIFS(Input!$C$115:$C$3257,Input!$A$115:$A$3257,"="&amp;'Output - County'!A633,Input!$B$115:$B$3257,"="&amp;'Output - County'!B633)*VLOOKUP(A633,'Output - State'!$B$2:$G$52,4,FALSE)</f>
        <v>19.276465891536475</v>
      </c>
      <c r="F633" s="98">
        <f>SUMIFS(Input!$C$115:$C$3257,Input!$A$115:$A$3257,"="&amp;'Output - County'!A633,Input!$B$115:$B$3257,"="&amp;'Output - County'!B633)*VLOOKUP(A633,'Output - State'!$B$2:$G$52,5,FALSE)</f>
        <v>63.202050098154899</v>
      </c>
      <c r="G633" s="99">
        <f>SUMIFS(Input!$D$115:$D$3257,Input!$A$115:$A$3257,"="&amp;'Output - County'!A633,Input!$B$115:$B$3257,"="&amp;'Output - County'!B633)*VLOOKUP(A633,'Output - State'!$B$2:$G$52,6,FALSE)</f>
        <v>9.8006556663660884</v>
      </c>
    </row>
    <row r="634" spans="1:7" x14ac:dyDescent="0.25">
      <c r="A634" s="88">
        <v>17</v>
      </c>
      <c r="B634" s="88">
        <v>75</v>
      </c>
      <c r="C634" s="97">
        <f>SUMIFS(Input!$C$115:$C$3257,Input!$A$115:$A$3257,"="&amp;'Output - County'!A634,Input!$B$115:$B$3257,"="&amp;'Output - County'!B634)*VLOOKUP(A634,'Output - State'!$B$2:$G$52,2,FALSE)</f>
        <v>8.9662199164136478</v>
      </c>
      <c r="D634" s="98">
        <f>SUMIFS(Input!$C$115:$C$3257,Input!$A$115:$A$3257,"="&amp;'Output - County'!A634,Input!$B$115:$B$3257,"="&amp;'Output - County'!B634)*VLOOKUP(A634,'Output - State'!$B$2:$G$52,3,FALSE)</f>
        <v>3.2883480260234599</v>
      </c>
      <c r="E634" s="98">
        <f>SUMIFS(Input!$C$115:$C$3257,Input!$A$115:$A$3257,"="&amp;'Output - County'!A634,Input!$B$115:$B$3257,"="&amp;'Output - County'!B634)*VLOOKUP(A634,'Output - State'!$B$2:$G$52,4,FALSE)</f>
        <v>12.037639228064123</v>
      </c>
      <c r="F634" s="98">
        <f>SUMIFS(Input!$C$115:$C$3257,Input!$A$115:$A$3257,"="&amp;'Output - County'!A634,Input!$B$115:$B$3257,"="&amp;'Output - County'!B634)*VLOOKUP(A634,'Output - State'!$B$2:$G$52,5,FALSE)</f>
        <v>39.467995940566141</v>
      </c>
      <c r="G634" s="99">
        <f>SUMIFS(Input!$D$115:$D$3257,Input!$A$115:$A$3257,"="&amp;'Output - County'!A634,Input!$B$115:$B$3257,"="&amp;'Output - County'!B634)*VLOOKUP(A634,'Output - State'!$B$2:$G$52,6,FALSE)</f>
        <v>5.4891655972518825</v>
      </c>
    </row>
    <row r="635" spans="1:7" x14ac:dyDescent="0.25">
      <c r="A635" s="88">
        <v>17</v>
      </c>
      <c r="B635" s="88">
        <v>77</v>
      </c>
      <c r="C635" s="97">
        <f>SUMIFS(Input!$C$115:$C$3257,Input!$A$115:$A$3257,"="&amp;'Output - County'!A635,Input!$B$115:$B$3257,"="&amp;'Output - County'!B635)*VLOOKUP(A635,'Output - State'!$B$2:$G$52,2,FALSE)</f>
        <v>8.1844868139052007</v>
      </c>
      <c r="D635" s="98">
        <f>SUMIFS(Input!$C$115:$C$3257,Input!$A$115:$A$3257,"="&amp;'Output - County'!A635,Input!$B$115:$B$3257,"="&amp;'Output - County'!B635)*VLOOKUP(A635,'Output - State'!$B$2:$G$52,3,FALSE)</f>
        <v>3.0016485552905299</v>
      </c>
      <c r="E635" s="98">
        <f>SUMIFS(Input!$C$115:$C$3257,Input!$A$115:$A$3257,"="&amp;'Output - County'!A635,Input!$B$115:$B$3257,"="&amp;'Output - County'!B635)*VLOOKUP(A635,'Output - State'!$B$2:$G$52,4,FALSE)</f>
        <v>10.988119904608146</v>
      </c>
      <c r="F635" s="98">
        <f>SUMIFS(Input!$C$115:$C$3257,Input!$A$115:$A$3257,"="&amp;'Output - County'!A635,Input!$B$115:$B$3257,"="&amp;'Output - County'!B635)*VLOOKUP(A635,'Output - State'!$B$2:$G$52,5,FALSE)</f>
        <v>36.026920525950338</v>
      </c>
      <c r="G635" s="99">
        <f>SUMIFS(Input!$D$115:$D$3257,Input!$A$115:$A$3257,"="&amp;'Output - County'!A635,Input!$B$115:$B$3257,"="&amp;'Output - County'!B635)*VLOOKUP(A635,'Output - State'!$B$2:$G$52,6,FALSE)</f>
        <v>11.437425044455741</v>
      </c>
    </row>
    <row r="636" spans="1:7" x14ac:dyDescent="0.25">
      <c r="A636" s="88">
        <v>17</v>
      </c>
      <c r="B636" s="88">
        <v>79</v>
      </c>
      <c r="C636" s="97">
        <f>SUMIFS(Input!$C$115:$C$3257,Input!$A$115:$A$3257,"="&amp;'Output - County'!A636,Input!$B$115:$B$3257,"="&amp;'Output - County'!B636)*VLOOKUP(A636,'Output - State'!$B$2:$G$52,2,FALSE)</f>
        <v>1.8066808683854578</v>
      </c>
      <c r="D636" s="98">
        <f>SUMIFS(Input!$C$115:$C$3257,Input!$A$115:$A$3257,"="&amp;'Output - County'!A636,Input!$B$115:$B$3257,"="&amp;'Output - County'!B636)*VLOOKUP(A636,'Output - State'!$B$2:$G$52,3,FALSE)</f>
        <v>0.66259756314185736</v>
      </c>
      <c r="E636" s="98">
        <f>SUMIFS(Input!$C$115:$C$3257,Input!$A$115:$A$3257,"="&amp;'Output - County'!A636,Input!$B$115:$B$3257,"="&amp;'Output - County'!B636)*VLOOKUP(A636,'Output - State'!$B$2:$G$52,4,FALSE)</f>
        <v>2.4255675966699557</v>
      </c>
      <c r="F636" s="98">
        <f>SUMIFS(Input!$C$115:$C$3257,Input!$A$115:$A$3257,"="&amp;'Output - County'!A636,Input!$B$115:$B$3257,"="&amp;'Output - County'!B636)*VLOOKUP(A636,'Output - State'!$B$2:$G$52,5,FALSE)</f>
        <v>7.9527464019482936</v>
      </c>
      <c r="G636" s="99">
        <f>SUMIFS(Input!$D$115:$D$3257,Input!$A$115:$A$3257,"="&amp;'Output - County'!A636,Input!$B$115:$B$3257,"="&amp;'Output - County'!B636)*VLOOKUP(A636,'Output - State'!$B$2:$G$52,6,FALSE)</f>
        <v>1.9202099289295678</v>
      </c>
    </row>
    <row r="637" spans="1:7" x14ac:dyDescent="0.25">
      <c r="A637" s="88">
        <v>17</v>
      </c>
      <c r="B637" s="88">
        <v>81</v>
      </c>
      <c r="C637" s="97">
        <f>SUMIFS(Input!$C$115:$C$3257,Input!$A$115:$A$3257,"="&amp;'Output - County'!A637,Input!$B$115:$B$3257,"="&amp;'Output - County'!B637)*VLOOKUP(A637,'Output - State'!$B$2:$G$52,2,FALSE)</f>
        <v>14.516861195980587</v>
      </c>
      <c r="D637" s="98">
        <f>SUMIFS(Input!$C$115:$C$3257,Input!$A$115:$A$3257,"="&amp;'Output - County'!A637,Input!$B$115:$B$3257,"="&amp;'Output - County'!B637)*VLOOKUP(A637,'Output - State'!$B$2:$G$52,3,FALSE)</f>
        <v>5.3240375880667887</v>
      </c>
      <c r="E637" s="98">
        <f>SUMIFS(Input!$C$115:$C$3257,Input!$A$115:$A$3257,"="&amp;'Output - County'!A637,Input!$B$115:$B$3257,"="&amp;'Output - County'!B637)*VLOOKUP(A637,'Output - State'!$B$2:$G$52,4,FALSE)</f>
        <v>19.489677860923425</v>
      </c>
      <c r="F637" s="98">
        <f>SUMIFS(Input!$C$115:$C$3257,Input!$A$115:$A$3257,"="&amp;'Output - County'!A637,Input!$B$115:$B$3257,"="&amp;'Output - County'!B637)*VLOOKUP(A637,'Output - State'!$B$2:$G$52,5,FALSE)</f>
        <v>63.90111151566488</v>
      </c>
      <c r="G637" s="99">
        <f>SUMIFS(Input!$D$115:$D$3257,Input!$A$115:$A$3257,"="&amp;'Output - County'!A637,Input!$B$115:$B$3257,"="&amp;'Output - County'!B637)*VLOOKUP(A637,'Output - State'!$B$2:$G$52,6,FALSE)</f>
        <v>7.5251470187780356</v>
      </c>
    </row>
    <row r="638" spans="1:7" x14ac:dyDescent="0.25">
      <c r="A638" s="88">
        <v>17</v>
      </c>
      <c r="B638" s="88">
        <v>83</v>
      </c>
      <c r="C638" s="97">
        <f>SUMIFS(Input!$C$115:$C$3257,Input!$A$115:$A$3257,"="&amp;'Output - County'!A638,Input!$B$115:$B$3257,"="&amp;'Output - County'!B638)*VLOOKUP(A638,'Output - State'!$B$2:$G$52,2,FALSE)</f>
        <v>3.3794964028837797</v>
      </c>
      <c r="D638" s="98">
        <f>SUMIFS(Input!$C$115:$C$3257,Input!$A$115:$A$3257,"="&amp;'Output - County'!A638,Input!$B$115:$B$3257,"="&amp;'Output - County'!B638)*VLOOKUP(A638,'Output - State'!$B$2:$G$52,3,FALSE)</f>
        <v>1.239425357505761</v>
      </c>
      <c r="E638" s="98">
        <f>SUMIFS(Input!$C$115:$C$3257,Input!$A$115:$A$3257,"="&amp;'Output - County'!A638,Input!$B$115:$B$3257,"="&amp;'Output - County'!B638)*VLOOKUP(A638,'Output - State'!$B$2:$G$52,4,FALSE)</f>
        <v>4.537158228294631</v>
      </c>
      <c r="F638" s="98">
        <f>SUMIFS(Input!$C$115:$C$3257,Input!$A$115:$A$3257,"="&amp;'Output - County'!A638,Input!$B$115:$B$3257,"="&amp;'Output - County'!B638)*VLOOKUP(A638,'Output - State'!$B$2:$G$52,5,FALSE)</f>
        <v>14.876051619702595</v>
      </c>
      <c r="G638" s="99">
        <f>SUMIFS(Input!$D$115:$D$3257,Input!$A$115:$A$3257,"="&amp;'Output - County'!A638,Input!$B$115:$B$3257,"="&amp;'Output - County'!B638)*VLOOKUP(A638,'Output - State'!$B$2:$G$52,6,FALSE)</f>
        <v>4.3514112734578561</v>
      </c>
    </row>
    <row r="639" spans="1:7" x14ac:dyDescent="0.25">
      <c r="A639" s="88">
        <v>17</v>
      </c>
      <c r="B639" s="88">
        <v>85</v>
      </c>
      <c r="C639" s="97">
        <f>SUMIFS(Input!$C$115:$C$3257,Input!$A$115:$A$3257,"="&amp;'Output - County'!A639,Input!$B$115:$B$3257,"="&amp;'Output - County'!B639)*VLOOKUP(A639,'Output - State'!$B$2:$G$52,2,FALSE)</f>
        <v>3.5381626476007662</v>
      </c>
      <c r="D639" s="98">
        <f>SUMIFS(Input!$C$115:$C$3257,Input!$A$115:$A$3257,"="&amp;'Output - County'!A639,Input!$B$115:$B$3257,"="&amp;'Output - County'!B639)*VLOOKUP(A639,'Output - State'!$B$2:$G$52,3,FALSE)</f>
        <v>1.2976159704369181</v>
      </c>
      <c r="E639" s="98">
        <f>SUMIFS(Input!$C$115:$C$3257,Input!$A$115:$A$3257,"="&amp;'Output - County'!A639,Input!$B$115:$B$3257,"="&amp;'Output - County'!B639)*VLOOKUP(A639,'Output - State'!$B$2:$G$52,4,FALSE)</f>
        <v>4.7501763150000897</v>
      </c>
      <c r="F639" s="98">
        <f>SUMIFS(Input!$C$115:$C$3257,Input!$A$115:$A$3257,"="&amp;'Output - County'!A639,Input!$B$115:$B$3257,"="&amp;'Output - County'!B639)*VLOOKUP(A639,'Output - State'!$B$2:$G$52,5,FALSE)</f>
        <v>15.574477351033496</v>
      </c>
      <c r="G639" s="99">
        <f>SUMIFS(Input!$D$115:$D$3257,Input!$A$115:$A$3257,"="&amp;'Output - County'!A639,Input!$B$115:$B$3257,"="&amp;'Output - County'!B639)*VLOOKUP(A639,'Output - State'!$B$2:$G$52,6,FALSE)</f>
        <v>4.2516082625987313</v>
      </c>
    </row>
    <row r="640" spans="1:7" x14ac:dyDescent="0.25">
      <c r="A640" s="88">
        <v>17</v>
      </c>
      <c r="B640" s="88">
        <v>87</v>
      </c>
      <c r="C640" s="97">
        <f>SUMIFS(Input!$C$115:$C$3257,Input!$A$115:$A$3257,"="&amp;'Output - County'!A640,Input!$B$115:$B$3257,"="&amp;'Output - County'!B640)*VLOOKUP(A640,'Output - State'!$B$2:$G$52,2,FALSE)</f>
        <v>5.5313407769123915</v>
      </c>
      <c r="D640" s="98">
        <f>SUMIFS(Input!$C$115:$C$3257,Input!$A$115:$A$3257,"="&amp;'Output - County'!A640,Input!$B$115:$B$3257,"="&amp;'Output - County'!B640)*VLOOKUP(A640,'Output - State'!$B$2:$G$52,3,FALSE)</f>
        <v>2.0286111309545314</v>
      </c>
      <c r="E640" s="98">
        <f>SUMIFS(Input!$C$115:$C$3257,Input!$A$115:$A$3257,"="&amp;'Output - County'!A640,Input!$B$115:$B$3257,"="&amp;'Output - County'!B640)*VLOOKUP(A640,'Output - State'!$B$2:$G$52,4,FALSE)</f>
        <v>7.426126655455044</v>
      </c>
      <c r="F640" s="98">
        <f>SUMIFS(Input!$C$115:$C$3257,Input!$A$115:$A$3257,"="&amp;'Output - County'!A640,Input!$B$115:$B$3257,"="&amp;'Output - County'!B640)*VLOOKUP(A640,'Output - State'!$B$2:$G$52,5,FALSE)</f>
        <v>24.348157569660337</v>
      </c>
      <c r="G640" s="99">
        <f>SUMIFS(Input!$D$115:$D$3257,Input!$A$115:$A$3257,"="&amp;'Output - County'!A640,Input!$B$115:$B$3257,"="&amp;'Output - County'!B640)*VLOOKUP(A640,'Output - State'!$B$2:$G$52,6,FALSE)</f>
        <v>2.4751146693063033</v>
      </c>
    </row>
    <row r="641" spans="1:7" x14ac:dyDescent="0.25">
      <c r="A641" s="88">
        <v>17</v>
      </c>
      <c r="B641" s="88">
        <v>89</v>
      </c>
      <c r="C641" s="97">
        <f>SUMIFS(Input!$C$115:$C$3257,Input!$A$115:$A$3257,"="&amp;'Output - County'!A641,Input!$B$115:$B$3257,"="&amp;'Output - County'!B641)*VLOOKUP(A641,'Output - State'!$B$2:$G$52,2,FALSE)</f>
        <v>79.581782398133484</v>
      </c>
      <c r="D641" s="98">
        <f>SUMIFS(Input!$C$115:$C$3257,Input!$A$115:$A$3257,"="&amp;'Output - County'!A641,Input!$B$115:$B$3257,"="&amp;'Output - County'!B641)*VLOOKUP(A641,'Output - State'!$B$2:$G$52,3,FALSE)</f>
        <v>29.186502171029044</v>
      </c>
      <c r="E641" s="98">
        <f>SUMIFS(Input!$C$115:$C$3257,Input!$A$115:$A$3257,"="&amp;'Output - County'!A641,Input!$B$115:$B$3257,"="&amp;'Output - County'!B641)*VLOOKUP(A641,'Output - State'!$B$2:$G$52,4,FALSE)</f>
        <v>106.84288301710659</v>
      </c>
      <c r="F641" s="98">
        <f>SUMIFS(Input!$C$115:$C$3257,Input!$A$115:$A$3257,"="&amp;'Output - County'!A641,Input!$B$115:$B$3257,"="&amp;'Output - County'!B641)*VLOOKUP(A641,'Output - State'!$B$2:$G$52,5,FALSE)</f>
        <v>350.30743099248855</v>
      </c>
      <c r="G641" s="99">
        <f>SUMIFS(Input!$D$115:$D$3257,Input!$A$115:$A$3257,"="&amp;'Output - County'!A641,Input!$B$115:$B$3257,"="&amp;'Output - County'!B641)*VLOOKUP(A641,'Output - State'!$B$2:$G$52,6,FALSE)</f>
        <v>106.39000957582741</v>
      </c>
    </row>
    <row r="642" spans="1:7" x14ac:dyDescent="0.25">
      <c r="A642" s="88">
        <v>17</v>
      </c>
      <c r="B642" s="88">
        <v>91</v>
      </c>
      <c r="C642" s="97">
        <f>SUMIFS(Input!$C$115:$C$3257,Input!$A$115:$A$3257,"="&amp;'Output - County'!A642,Input!$B$115:$B$3257,"="&amp;'Output - County'!B642)*VLOOKUP(A642,'Output - State'!$B$2:$G$52,2,FALSE)</f>
        <v>18.147468340907846</v>
      </c>
      <c r="D642" s="98">
        <f>SUMIFS(Input!$C$115:$C$3257,Input!$A$115:$A$3257,"="&amp;'Output - County'!A642,Input!$B$115:$B$3257,"="&amp;'Output - County'!B642)*VLOOKUP(A642,'Output - State'!$B$2:$G$52,3,FALSE)</f>
        <v>6.6555574425411512</v>
      </c>
      <c r="E642" s="98">
        <f>SUMIFS(Input!$C$115:$C$3257,Input!$A$115:$A$3257,"="&amp;'Output - County'!A642,Input!$B$115:$B$3257,"="&amp;'Output - County'!B642)*VLOOKUP(A642,'Output - State'!$B$2:$G$52,4,FALSE)</f>
        <v>24.363965955225176</v>
      </c>
      <c r="F642" s="98">
        <f>SUMIFS(Input!$C$115:$C$3257,Input!$A$115:$A$3257,"="&amp;'Output - County'!A642,Input!$B$115:$B$3257,"="&amp;'Output - County'!B642)*VLOOKUP(A642,'Output - State'!$B$2:$G$52,5,FALSE)</f>
        <v>79.882516097931088</v>
      </c>
      <c r="G642" s="99">
        <f>SUMIFS(Input!$D$115:$D$3257,Input!$A$115:$A$3257,"="&amp;'Output - County'!A642,Input!$B$115:$B$3257,"="&amp;'Output - County'!B642)*VLOOKUP(A642,'Output - State'!$B$2:$G$52,6,FALSE)</f>
        <v>21.95666238900753</v>
      </c>
    </row>
    <row r="643" spans="1:7" x14ac:dyDescent="0.25">
      <c r="A643" s="88">
        <v>17</v>
      </c>
      <c r="B643" s="88">
        <v>93</v>
      </c>
      <c r="C643" s="97">
        <f>SUMIFS(Input!$C$115:$C$3257,Input!$A$115:$A$3257,"="&amp;'Output - County'!A643,Input!$B$115:$B$3257,"="&amp;'Output - County'!B643)*VLOOKUP(A643,'Output - State'!$B$2:$G$52,2,FALSE)</f>
        <v>16.746705392402262</v>
      </c>
      <c r="D643" s="98">
        <f>SUMIFS(Input!$C$115:$C$3257,Input!$A$115:$A$3257,"="&amp;'Output - County'!A643,Input!$B$115:$B$3257,"="&amp;'Output - County'!B643)*VLOOKUP(A643,'Output - State'!$B$2:$G$52,3,FALSE)</f>
        <v>6.1418296821710321</v>
      </c>
      <c r="E643" s="98">
        <f>SUMIFS(Input!$C$115:$C$3257,Input!$A$115:$A$3257,"="&amp;'Output - County'!A643,Input!$B$115:$B$3257,"="&amp;'Output - County'!B643)*VLOOKUP(A643,'Output - State'!$B$2:$G$52,4,FALSE)</f>
        <v>22.48336530351887</v>
      </c>
      <c r="F643" s="98">
        <f>SUMIFS(Input!$C$115:$C$3257,Input!$A$115:$A$3257,"="&amp;'Output - County'!A643,Input!$B$115:$B$3257,"="&amp;'Output - County'!B643)*VLOOKUP(A643,'Output - State'!$B$2:$G$52,5,FALSE)</f>
        <v>73.716561338767974</v>
      </c>
      <c r="G643" s="99">
        <f>SUMIFS(Input!$D$115:$D$3257,Input!$A$115:$A$3257,"="&amp;'Output - County'!A643,Input!$B$115:$B$3257,"="&amp;'Output - County'!B643)*VLOOKUP(A643,'Output - State'!$B$2:$G$52,6,FALSE)</f>
        <v>25.549570779936037</v>
      </c>
    </row>
    <row r="644" spans="1:7" x14ac:dyDescent="0.25">
      <c r="A644" s="88">
        <v>17</v>
      </c>
      <c r="B644" s="88">
        <v>95</v>
      </c>
      <c r="C644" s="97">
        <f>SUMIFS(Input!$C$115:$C$3257,Input!$A$115:$A$3257,"="&amp;'Output - County'!A644,Input!$B$115:$B$3257,"="&amp;'Output - County'!B644)*VLOOKUP(A644,'Output - State'!$B$2:$G$52,2,FALSE)</f>
        <v>10.615319790833668</v>
      </c>
      <c r="D644" s="98">
        <f>SUMIFS(Input!$C$115:$C$3257,Input!$A$115:$A$3257,"="&amp;'Output - County'!A644,Input!$B$115:$B$3257,"="&amp;'Output - County'!B644)*VLOOKUP(A644,'Output - State'!$B$2:$G$52,3,FALSE)</f>
        <v>3.8931529903582689</v>
      </c>
      <c r="E644" s="98">
        <f>SUMIFS(Input!$C$115:$C$3257,Input!$A$115:$A$3257,"="&amp;'Output - County'!A644,Input!$B$115:$B$3257,"="&amp;'Output - County'!B644)*VLOOKUP(A644,'Output - State'!$B$2:$G$52,4,FALSE)</f>
        <v>14.251645746348839</v>
      </c>
      <c r="F644" s="98">
        <f>SUMIFS(Input!$C$115:$C$3257,Input!$A$115:$A$3257,"="&amp;'Output - County'!A644,Input!$B$115:$B$3257,"="&amp;'Output - County'!B644)*VLOOKUP(A644,'Output - State'!$B$2:$G$52,5,FALSE)</f>
        <v>46.727093727142766</v>
      </c>
      <c r="G644" s="99">
        <f>SUMIFS(Input!$D$115:$D$3257,Input!$A$115:$A$3257,"="&amp;'Output - County'!A644,Input!$B$115:$B$3257,"="&amp;'Output - County'!B644)*VLOOKUP(A644,'Output - State'!$B$2:$G$52,6,FALSE)</f>
        <v>9.9803010859125134</v>
      </c>
    </row>
    <row r="645" spans="1:7" x14ac:dyDescent="0.25">
      <c r="A645" s="88">
        <v>17</v>
      </c>
      <c r="B645" s="88">
        <v>97</v>
      </c>
      <c r="C645" s="97">
        <f>SUMIFS(Input!$C$115:$C$3257,Input!$A$115:$A$3257,"="&amp;'Output - County'!A645,Input!$B$115:$B$3257,"="&amp;'Output - County'!B645)*VLOOKUP(A645,'Output - State'!$B$2:$G$52,2,FALSE)</f>
        <v>119.9623078589939</v>
      </c>
      <c r="D645" s="98">
        <f>SUMIFS(Input!$C$115:$C$3257,Input!$A$115:$A$3257,"="&amp;'Output - County'!A645,Input!$B$115:$B$3257,"="&amp;'Output - County'!B645)*VLOOKUP(A645,'Output - State'!$B$2:$G$52,3,FALSE)</f>
        <v>43.996000758715084</v>
      </c>
      <c r="E645" s="98">
        <f>SUMIFS(Input!$C$115:$C$3257,Input!$A$115:$A$3257,"="&amp;'Output - County'!A645,Input!$B$115:$B$3257,"="&amp;'Output - County'!B645)*VLOOKUP(A645,'Output - State'!$B$2:$G$52,4,FALSE)</f>
        <v>161.05594067897158</v>
      </c>
      <c r="F645" s="98">
        <f>SUMIFS(Input!$C$115:$C$3257,Input!$A$115:$A$3257,"="&amp;'Output - County'!A645,Input!$B$115:$B$3257,"="&amp;'Output - County'!B645)*VLOOKUP(A645,'Output - State'!$B$2:$G$52,5,FALSE)</f>
        <v>528.05663074718723</v>
      </c>
      <c r="G645" s="99">
        <f>SUMIFS(Input!$D$115:$D$3257,Input!$A$115:$A$3257,"="&amp;'Output - County'!A645,Input!$B$115:$B$3257,"="&amp;'Output - County'!B645)*VLOOKUP(A645,'Output - State'!$B$2:$G$52,6,FALSE)</f>
        <v>139.72421520277518</v>
      </c>
    </row>
    <row r="646" spans="1:7" x14ac:dyDescent="0.25">
      <c r="A646" s="88">
        <v>17</v>
      </c>
      <c r="B646" s="88">
        <v>99</v>
      </c>
      <c r="C646" s="97">
        <f>SUMIFS(Input!$C$115:$C$3257,Input!$A$115:$A$3257,"="&amp;'Output - County'!A646,Input!$B$115:$B$3257,"="&amp;'Output - County'!B646)*VLOOKUP(A646,'Output - State'!$B$2:$G$52,2,FALSE)</f>
        <v>26.668872063582608</v>
      </c>
      <c r="D646" s="98">
        <f>SUMIFS(Input!$C$115:$C$3257,Input!$A$115:$A$3257,"="&amp;'Output - County'!A646,Input!$B$115:$B$3257,"="&amp;'Output - County'!B646)*VLOOKUP(A646,'Output - State'!$B$2:$G$52,3,FALSE)</f>
        <v>9.7807697808098553</v>
      </c>
      <c r="E646" s="98">
        <f>SUMIFS(Input!$C$115:$C$3257,Input!$A$115:$A$3257,"="&amp;'Output - County'!A646,Input!$B$115:$B$3257,"="&amp;'Output - County'!B646)*VLOOKUP(A646,'Output - State'!$B$2:$G$52,4,FALSE)</f>
        <v>35.804415184276749</v>
      </c>
      <c r="F646" s="98">
        <f>SUMIFS(Input!$C$115:$C$3257,Input!$A$115:$A$3257,"="&amp;'Output - County'!A646,Input!$B$115:$B$3257,"="&amp;'Output - County'!B646)*VLOOKUP(A646,'Output - State'!$B$2:$G$52,5,FALSE)</f>
        <v>117.39249585191605</v>
      </c>
      <c r="G646" s="99">
        <f>SUMIFS(Input!$D$115:$D$3257,Input!$A$115:$A$3257,"="&amp;'Output - County'!A646,Input!$B$115:$B$3257,"="&amp;'Output - County'!B646)*VLOOKUP(A646,'Output - State'!$B$2:$G$52,6,FALSE)</f>
        <v>21.757056367289284</v>
      </c>
    </row>
    <row r="647" spans="1:7" x14ac:dyDescent="0.25">
      <c r="A647" s="88">
        <v>17</v>
      </c>
      <c r="B647" s="88">
        <v>101</v>
      </c>
      <c r="C647" s="97">
        <f>SUMIFS(Input!$C$115:$C$3257,Input!$A$115:$A$3257,"="&amp;'Output - County'!A647,Input!$B$115:$B$3257,"="&amp;'Output - County'!B647)*VLOOKUP(A647,'Output - State'!$B$2:$G$52,2,FALSE)</f>
        <v>2.5493025029532124</v>
      </c>
      <c r="D647" s="98">
        <f>SUMIFS(Input!$C$115:$C$3257,Input!$A$115:$A$3257,"="&amp;'Output - County'!A647,Input!$B$115:$B$3257,"="&amp;'Output - County'!B647)*VLOOKUP(A647,'Output - State'!$B$2:$G$52,3,FALSE)</f>
        <v>0.93495296027447117</v>
      </c>
      <c r="E647" s="98">
        <f>SUMIFS(Input!$C$115:$C$3257,Input!$A$115:$A$3257,"="&amp;'Output - County'!A647,Input!$B$115:$B$3257,"="&amp;'Output - County'!B647)*VLOOKUP(A647,'Output - State'!$B$2:$G$52,4,FALSE)</f>
        <v>3.4225776413954176</v>
      </c>
      <c r="F647" s="98">
        <f>SUMIFS(Input!$C$115:$C$3257,Input!$A$115:$A$3257,"="&amp;'Output - County'!A647,Input!$B$115:$B$3257,"="&amp;'Output - County'!B647)*VLOOKUP(A647,'Output - State'!$B$2:$G$52,5,FALSE)</f>
        <v>11.221658823429497</v>
      </c>
      <c r="G647" s="99">
        <f>SUMIFS(Input!$D$115:$D$3257,Input!$A$115:$A$3257,"="&amp;'Output - County'!A647,Input!$B$115:$B$3257,"="&amp;'Output - County'!B647)*VLOOKUP(A647,'Output - State'!$B$2:$G$52,6,FALSE)</f>
        <v>3.1537751431483541</v>
      </c>
    </row>
    <row r="648" spans="1:7" x14ac:dyDescent="0.25">
      <c r="A648" s="88">
        <v>17</v>
      </c>
      <c r="B648" s="88">
        <v>103</v>
      </c>
      <c r="C648" s="97">
        <f>SUMIFS(Input!$C$115:$C$3257,Input!$A$115:$A$3257,"="&amp;'Output - County'!A648,Input!$B$115:$B$3257,"="&amp;'Output - County'!B648)*VLOOKUP(A648,'Output - State'!$B$2:$G$52,2,FALSE)</f>
        <v>11.286261351218814</v>
      </c>
      <c r="D648" s="98">
        <f>SUMIFS(Input!$C$115:$C$3257,Input!$A$115:$A$3257,"="&amp;'Output - County'!A648,Input!$B$115:$B$3257,"="&amp;'Output - County'!B648)*VLOOKUP(A648,'Output - State'!$B$2:$G$52,3,FALSE)</f>
        <v>4.1392198252382322</v>
      </c>
      <c r="E648" s="98">
        <f>SUMIFS(Input!$C$115:$C$3257,Input!$A$115:$A$3257,"="&amp;'Output - County'!A648,Input!$B$115:$B$3257,"="&amp;'Output - County'!B648)*VLOOKUP(A648,'Output - State'!$B$2:$G$52,4,FALSE)</f>
        <v>15.152421382271594</v>
      </c>
      <c r="F648" s="98">
        <f>SUMIFS(Input!$C$115:$C$3257,Input!$A$115:$A$3257,"="&amp;'Output - County'!A648,Input!$B$115:$B$3257,"="&amp;'Output - County'!B648)*VLOOKUP(A648,'Output - State'!$B$2:$G$52,5,FALSE)</f>
        <v>49.680480887897339</v>
      </c>
      <c r="G648" s="99">
        <f>SUMIFS(Input!$D$115:$D$3257,Input!$A$115:$A$3257,"="&amp;'Output - County'!A648,Input!$B$115:$B$3257,"="&amp;'Output - County'!B648)*VLOOKUP(A648,'Output - State'!$B$2:$G$52,6,FALSE)</f>
        <v>6.8464865449359849</v>
      </c>
    </row>
    <row r="649" spans="1:7" x14ac:dyDescent="0.25">
      <c r="A649" s="88">
        <v>17</v>
      </c>
      <c r="B649" s="88">
        <v>105</v>
      </c>
      <c r="C649" s="97">
        <f>SUMIFS(Input!$C$115:$C$3257,Input!$A$115:$A$3257,"="&amp;'Output - County'!A649,Input!$B$115:$B$3257,"="&amp;'Output - County'!B649)*VLOOKUP(A649,'Output - State'!$B$2:$G$52,2,FALSE)</f>
        <v>9.9447316446617915</v>
      </c>
      <c r="D649" s="98">
        <f>SUMIFS(Input!$C$115:$C$3257,Input!$A$115:$A$3257,"="&amp;'Output - County'!A649,Input!$B$115:$B$3257,"="&amp;'Output - County'!B649)*VLOOKUP(A649,'Output - State'!$B$2:$G$52,3,FALSE)</f>
        <v>3.6472157696235534</v>
      </c>
      <c r="E649" s="98">
        <f>SUMIFS(Input!$C$115:$C$3257,Input!$A$115:$A$3257,"="&amp;'Output - County'!A649,Input!$B$115:$B$3257,"="&amp;'Output - County'!B649)*VLOOKUP(A649,'Output - State'!$B$2:$G$52,4,FALSE)</f>
        <v>13.351344588281528</v>
      </c>
      <c r="F649" s="98">
        <f>SUMIFS(Input!$C$115:$C$3257,Input!$A$115:$A$3257,"="&amp;'Output - County'!A649,Input!$B$115:$B$3257,"="&amp;'Output - County'!B649)*VLOOKUP(A649,'Output - State'!$B$2:$G$52,5,FALSE)</f>
        <v>43.775262244351097</v>
      </c>
      <c r="G649" s="99">
        <f>SUMIFS(Input!$D$115:$D$3257,Input!$A$115:$A$3257,"="&amp;'Output - County'!A649,Input!$B$115:$B$3257,"="&amp;'Output - County'!B649)*VLOOKUP(A649,'Output - State'!$B$2:$G$52,6,FALSE)</f>
        <v>7.1259349753415346</v>
      </c>
    </row>
    <row r="650" spans="1:7" x14ac:dyDescent="0.25">
      <c r="A650" s="88">
        <v>17</v>
      </c>
      <c r="B650" s="88">
        <v>107</v>
      </c>
      <c r="C650" s="97">
        <f>SUMIFS(Input!$C$115:$C$3257,Input!$A$115:$A$3257,"="&amp;'Output - County'!A650,Input!$B$115:$B$3257,"="&amp;'Output - County'!B650)*VLOOKUP(A650,'Output - State'!$B$2:$G$52,2,FALSE)</f>
        <v>10.805388426365402</v>
      </c>
      <c r="D650" s="98">
        <f>SUMIFS(Input!$C$115:$C$3257,Input!$A$115:$A$3257,"="&amp;'Output - County'!A650,Input!$B$115:$B$3257,"="&amp;'Output - County'!B650)*VLOOKUP(A650,'Output - State'!$B$2:$G$52,3,FALSE)</f>
        <v>3.9628603841414169</v>
      </c>
      <c r="E650" s="98">
        <f>SUMIFS(Input!$C$115:$C$3257,Input!$A$115:$A$3257,"="&amp;'Output - County'!A650,Input!$B$115:$B$3257,"="&amp;'Output - County'!B650)*VLOOKUP(A650,'Output - State'!$B$2:$G$52,4,FALSE)</f>
        <v>14.506823255313686</v>
      </c>
      <c r="F650" s="98">
        <f>SUMIFS(Input!$C$115:$C$3257,Input!$A$115:$A$3257,"="&amp;'Output - County'!A650,Input!$B$115:$B$3257,"="&amp;'Output - County'!B650)*VLOOKUP(A650,'Output - State'!$B$2:$G$52,5,FALSE)</f>
        <v>47.563748215380656</v>
      </c>
      <c r="G650" s="99">
        <f>SUMIFS(Input!$D$115:$D$3257,Input!$A$115:$A$3257,"="&amp;'Output - County'!A650,Input!$B$115:$B$3257,"="&amp;'Output - County'!B650)*VLOOKUP(A650,'Output - State'!$B$2:$G$52,6,FALSE)</f>
        <v>5.7686140276574331</v>
      </c>
    </row>
    <row r="651" spans="1:7" x14ac:dyDescent="0.25">
      <c r="A651" s="88">
        <v>17</v>
      </c>
      <c r="B651" s="88">
        <v>109</v>
      </c>
      <c r="C651" s="97">
        <f>SUMIFS(Input!$C$115:$C$3257,Input!$A$115:$A$3257,"="&amp;'Output - County'!A651,Input!$B$115:$B$3257,"="&amp;'Output - County'!B651)*VLOOKUP(A651,'Output - State'!$B$2:$G$52,2,FALSE)</f>
        <v>4.0535174545871184</v>
      </c>
      <c r="D651" s="98">
        <f>SUMIFS(Input!$C$115:$C$3257,Input!$A$115:$A$3257,"="&amp;'Output - County'!A651,Input!$B$115:$B$3257,"="&amp;'Output - County'!B651)*VLOOKUP(A651,'Output - State'!$B$2:$G$52,3,FALSE)</f>
        <v>1.4866215913176866</v>
      </c>
      <c r="E651" s="98">
        <f>SUMIFS(Input!$C$115:$C$3257,Input!$A$115:$A$3257,"="&amp;'Output - County'!A651,Input!$B$115:$B$3257,"="&amp;'Output - County'!B651)*VLOOKUP(A651,'Output - State'!$B$2:$G$52,4,FALSE)</f>
        <v>5.4420682492581225</v>
      </c>
      <c r="F651" s="98">
        <f>SUMIFS(Input!$C$115:$C$3257,Input!$A$115:$A$3257,"="&amp;'Output - County'!A651,Input!$B$115:$B$3257,"="&amp;'Output - County'!B651)*VLOOKUP(A651,'Output - State'!$B$2:$G$52,5,FALSE)</f>
        <v>17.842994253329632</v>
      </c>
      <c r="G651" s="99">
        <f>SUMIFS(Input!$D$115:$D$3257,Input!$A$115:$A$3257,"="&amp;'Output - County'!A651,Input!$B$115:$B$3257,"="&amp;'Output - County'!B651)*VLOOKUP(A651,'Output - State'!$B$2:$G$52,6,FALSE)</f>
        <v>5.9881806515475082</v>
      </c>
    </row>
    <row r="652" spans="1:7" x14ac:dyDescent="0.25">
      <c r="A652" s="88">
        <v>17</v>
      </c>
      <c r="B652" s="88">
        <v>111</v>
      </c>
      <c r="C652" s="97">
        <f>SUMIFS(Input!$C$115:$C$3257,Input!$A$115:$A$3257,"="&amp;'Output - County'!A652,Input!$B$115:$B$3257,"="&amp;'Output - County'!B652)*VLOOKUP(A652,'Output - State'!$B$2:$G$52,2,FALSE)</f>
        <v>44.161886338597519</v>
      </c>
      <c r="D652" s="98">
        <f>SUMIFS(Input!$C$115:$C$3257,Input!$A$115:$A$3257,"="&amp;'Output - County'!A652,Input!$B$115:$B$3257,"="&amp;'Output - County'!B652)*VLOOKUP(A652,'Output - State'!$B$2:$G$52,3,FALSE)</f>
        <v>16.196307152935105</v>
      </c>
      <c r="E652" s="98">
        <f>SUMIFS(Input!$C$115:$C$3257,Input!$A$115:$A$3257,"="&amp;'Output - County'!A652,Input!$B$115:$B$3257,"="&amp;'Output - County'!B652)*VLOOKUP(A652,'Output - State'!$B$2:$G$52,4,FALSE)</f>
        <v>59.289740864112602</v>
      </c>
      <c r="F652" s="98">
        <f>SUMIFS(Input!$C$115:$C$3257,Input!$A$115:$A$3257,"="&amp;'Output - County'!A652,Input!$B$115:$B$3257,"="&amp;'Output - County'!B652)*VLOOKUP(A652,'Output - State'!$B$2:$G$52,5,FALSE)</f>
        <v>194.39420034175075</v>
      </c>
      <c r="G652" s="99">
        <f>SUMIFS(Input!$D$115:$D$3257,Input!$A$115:$A$3257,"="&amp;'Output - County'!A652,Input!$B$115:$B$3257,"="&amp;'Output - County'!B652)*VLOOKUP(A652,'Output - State'!$B$2:$G$52,6,FALSE)</f>
        <v>61.478654689221088</v>
      </c>
    </row>
    <row r="653" spans="1:7" x14ac:dyDescent="0.25">
      <c r="A653" s="88">
        <v>17</v>
      </c>
      <c r="B653" s="88">
        <v>113</v>
      </c>
      <c r="C653" s="97">
        <f>SUMIFS(Input!$C$115:$C$3257,Input!$A$115:$A$3257,"="&amp;'Output - County'!A653,Input!$B$115:$B$3257,"="&amp;'Output - County'!B653)*VLOOKUP(A653,'Output - State'!$B$2:$G$52,2,FALSE)</f>
        <v>37.67916158000979</v>
      </c>
      <c r="D653" s="98">
        <f>SUMIFS(Input!$C$115:$C$3257,Input!$A$115:$A$3257,"="&amp;'Output - County'!A653,Input!$B$115:$B$3257,"="&amp;'Output - County'!B653)*VLOOKUP(A653,'Output - State'!$B$2:$G$52,3,FALSE)</f>
        <v>13.818777339715663</v>
      </c>
      <c r="E653" s="98">
        <f>SUMIFS(Input!$C$115:$C$3257,Input!$A$115:$A$3257,"="&amp;'Output - County'!A653,Input!$B$115:$B$3257,"="&amp;'Output - County'!B653)*VLOOKUP(A653,'Output - State'!$B$2:$G$52,4,FALSE)</f>
        <v>50.586329327678676</v>
      </c>
      <c r="F653" s="98">
        <f>SUMIFS(Input!$C$115:$C$3257,Input!$A$115:$A$3257,"="&amp;'Output - County'!A653,Input!$B$115:$B$3257,"="&amp;'Output - County'!B653)*VLOOKUP(A653,'Output - State'!$B$2:$G$52,5,FALSE)</f>
        <v>165.85818886300393</v>
      </c>
      <c r="G653" s="99">
        <f>SUMIFS(Input!$D$115:$D$3257,Input!$A$115:$A$3257,"="&amp;'Output - County'!A653,Input!$B$115:$B$3257,"="&amp;'Output - County'!B653)*VLOOKUP(A653,'Output - State'!$B$2:$G$52,6,FALSE)</f>
        <v>34.332235735539044</v>
      </c>
    </row>
    <row r="654" spans="1:7" x14ac:dyDescent="0.25">
      <c r="A654" s="88">
        <v>17</v>
      </c>
      <c r="B654" s="88">
        <v>115</v>
      </c>
      <c r="C654" s="97">
        <f>SUMIFS(Input!$C$115:$C$3257,Input!$A$115:$A$3257,"="&amp;'Output - County'!A654,Input!$B$115:$B$3257,"="&amp;'Output - County'!B654)*VLOOKUP(A654,'Output - State'!$B$2:$G$52,2,FALSE)</f>
        <v>19.116410279612595</v>
      </c>
      <c r="D654" s="98">
        <f>SUMIFS(Input!$C$115:$C$3257,Input!$A$115:$A$3257,"="&amp;'Output - County'!A654,Input!$B$115:$B$3257,"="&amp;'Output - County'!B654)*VLOOKUP(A654,'Output - State'!$B$2:$G$52,3,FALSE)</f>
        <v>7.0109154798382711</v>
      </c>
      <c r="E654" s="98">
        <f>SUMIFS(Input!$C$115:$C$3257,Input!$A$115:$A$3257,"="&amp;'Output - County'!A654,Input!$B$115:$B$3257,"="&amp;'Output - County'!B654)*VLOOKUP(A654,'Output - State'!$B$2:$G$52,4,FALSE)</f>
        <v>25.664823351073448</v>
      </c>
      <c r="F654" s="98">
        <f>SUMIFS(Input!$C$115:$C$3257,Input!$A$115:$A$3257,"="&amp;'Output - County'!A654,Input!$B$115:$B$3257,"="&amp;'Output - County'!B654)*VLOOKUP(A654,'Output - State'!$B$2:$G$52,5,FALSE)</f>
        <v>84.147657580066351</v>
      </c>
      <c r="G654" s="99">
        <f>SUMIFS(Input!$D$115:$D$3257,Input!$A$115:$A$3257,"="&amp;'Output - County'!A654,Input!$B$115:$B$3257,"="&amp;'Output - County'!B654)*VLOOKUP(A654,'Output - State'!$B$2:$G$52,6,FALSE)</f>
        <v>20.958632280416278</v>
      </c>
    </row>
    <row r="655" spans="1:7" x14ac:dyDescent="0.25">
      <c r="A655" s="88">
        <v>17</v>
      </c>
      <c r="B655" s="88">
        <v>117</v>
      </c>
      <c r="C655" s="97">
        <f>SUMIFS(Input!$C$115:$C$3257,Input!$A$115:$A$3257,"="&amp;'Output - County'!A655,Input!$B$115:$B$3257,"="&amp;'Output - County'!B655)*VLOOKUP(A655,'Output - State'!$B$2:$G$52,2,FALSE)</f>
        <v>7.5306144657924685</v>
      </c>
      <c r="D655" s="98">
        <f>SUMIFS(Input!$C$115:$C$3257,Input!$A$115:$A$3257,"="&amp;'Output - County'!A655,Input!$B$115:$B$3257,"="&amp;'Output - County'!B655)*VLOOKUP(A655,'Output - State'!$B$2:$G$52,3,FALSE)</f>
        <v>2.7618418290187683</v>
      </c>
      <c r="E655" s="98">
        <f>SUMIFS(Input!$C$115:$C$3257,Input!$A$115:$A$3257,"="&amp;'Output - County'!A655,Input!$B$115:$B$3257,"="&amp;'Output - County'!B655)*VLOOKUP(A655,'Output - State'!$B$2:$G$52,4,FALSE)</f>
        <v>10.110260617063865</v>
      </c>
      <c r="F655" s="98">
        <f>SUMIFS(Input!$C$115:$C$3257,Input!$A$115:$A$3257,"="&amp;'Output - County'!A655,Input!$B$115:$B$3257,"="&amp;'Output - County'!B655)*VLOOKUP(A655,'Output - State'!$B$2:$G$52,5,FALSE)</f>
        <v>33.148669554911905</v>
      </c>
      <c r="G655" s="99">
        <f>SUMIFS(Input!$D$115:$D$3257,Input!$A$115:$A$3257,"="&amp;'Output - County'!A655,Input!$B$115:$B$3257,"="&amp;'Output - County'!B655)*VLOOKUP(A655,'Output - State'!$B$2:$G$52,6,FALSE)</f>
        <v>9.0421527838367375</v>
      </c>
    </row>
    <row r="656" spans="1:7" x14ac:dyDescent="0.25">
      <c r="A656" s="88">
        <v>17</v>
      </c>
      <c r="B656" s="88">
        <v>119</v>
      </c>
      <c r="C656" s="97">
        <f>SUMIFS(Input!$C$115:$C$3257,Input!$A$115:$A$3257,"="&amp;'Output - County'!A656,Input!$B$115:$B$3257,"="&amp;'Output - County'!B656)*VLOOKUP(A656,'Output - State'!$B$2:$G$52,2,FALSE)</f>
        <v>61.515169994738706</v>
      </c>
      <c r="D656" s="98">
        <f>SUMIFS(Input!$C$115:$C$3257,Input!$A$115:$A$3257,"="&amp;'Output - County'!A656,Input!$B$115:$B$3257,"="&amp;'Output - County'!B656)*VLOOKUP(A656,'Output - State'!$B$2:$G$52,3,FALSE)</f>
        <v>22.560598525181707</v>
      </c>
      <c r="E656" s="98">
        <f>SUMIFS(Input!$C$115:$C$3257,Input!$A$115:$A$3257,"="&amp;'Output - County'!A656,Input!$B$115:$B$3257,"="&amp;'Output - County'!B656)*VLOOKUP(A656,'Output - State'!$B$2:$G$52,4,FALSE)</f>
        <v>82.587470567628841</v>
      </c>
      <c r="F656" s="98">
        <f>SUMIFS(Input!$C$115:$C$3257,Input!$A$115:$A$3257,"="&amp;'Output - County'!A656,Input!$B$115:$B$3257,"="&amp;'Output - County'!B656)*VLOOKUP(A656,'Output - State'!$B$2:$G$52,5,FALSE)</f>
        <v>270.78083097104081</v>
      </c>
      <c r="G656" s="99">
        <f>SUMIFS(Input!$D$115:$D$3257,Input!$A$115:$A$3257,"="&amp;'Output - County'!A656,Input!$B$115:$B$3257,"="&amp;'Output - County'!B656)*VLOOKUP(A656,'Output - State'!$B$2:$G$52,6,FALSE)</f>
        <v>52.695989733618077</v>
      </c>
    </row>
    <row r="657" spans="1:7" x14ac:dyDescent="0.25">
      <c r="A657" s="88">
        <v>17</v>
      </c>
      <c r="B657" s="88">
        <v>121</v>
      </c>
      <c r="C657" s="97">
        <f>SUMIFS(Input!$C$115:$C$3257,Input!$A$115:$A$3257,"="&amp;'Output - County'!A657,Input!$B$115:$B$3257,"="&amp;'Output - County'!B657)*VLOOKUP(A657,'Output - State'!$B$2:$G$52,2,FALSE)</f>
        <v>9.287141947214506</v>
      </c>
      <c r="D657" s="98">
        <f>SUMIFS(Input!$C$115:$C$3257,Input!$A$115:$A$3257,"="&amp;'Output - County'!A657,Input!$B$115:$B$3257,"="&amp;'Output - County'!B657)*VLOOKUP(A657,'Output - State'!$B$2:$G$52,3,FALSE)</f>
        <v>3.4060457109262794</v>
      </c>
      <c r="E657" s="98">
        <f>SUMIFS(Input!$C$115:$C$3257,Input!$A$115:$A$3257,"="&amp;'Output - County'!A657,Input!$B$115:$B$3257,"="&amp;'Output - County'!B657)*VLOOKUP(A657,'Output - State'!$B$2:$G$52,4,FALSE)</f>
        <v>12.468494556522717</v>
      </c>
      <c r="F657" s="98">
        <f>SUMIFS(Input!$C$115:$C$3257,Input!$A$115:$A$3257,"="&amp;'Output - County'!A657,Input!$B$115:$B$3257,"="&amp;'Output - County'!B657)*VLOOKUP(A657,'Output - State'!$B$2:$G$52,5,FALSE)</f>
        <v>40.880648042228266</v>
      </c>
      <c r="G657" s="99">
        <f>SUMIFS(Input!$D$115:$D$3257,Input!$A$115:$A$3257,"="&amp;'Output - County'!A657,Input!$B$115:$B$3257,"="&amp;'Output - County'!B657)*VLOOKUP(A657,'Output - State'!$B$2:$G$52,6,FALSE)</f>
        <v>7.46526521226256</v>
      </c>
    </row>
    <row r="658" spans="1:7" x14ac:dyDescent="0.25">
      <c r="A658" s="88">
        <v>17</v>
      </c>
      <c r="B658" s="88">
        <v>123</v>
      </c>
      <c r="C658" s="97">
        <f>SUMIFS(Input!$C$115:$C$3257,Input!$A$115:$A$3257,"="&amp;'Output - County'!A658,Input!$B$115:$B$3257,"="&amp;'Output - County'!B658)*VLOOKUP(A658,'Output - State'!$B$2:$G$52,2,FALSE)</f>
        <v>3.4228760372130496</v>
      </c>
      <c r="D658" s="98">
        <f>SUMIFS(Input!$C$115:$C$3257,Input!$A$115:$A$3257,"="&amp;'Output - County'!A658,Input!$B$115:$B$3257,"="&amp;'Output - County'!B658)*VLOOKUP(A658,'Output - State'!$B$2:$G$52,3,FALSE)</f>
        <v>1.2553347748796471</v>
      </c>
      <c r="E658" s="98">
        <f>SUMIFS(Input!$C$115:$C$3257,Input!$A$115:$A$3257,"="&amp;'Output - County'!A658,Input!$B$115:$B$3257,"="&amp;'Output - County'!B658)*VLOOKUP(A658,'Output - State'!$B$2:$G$52,4,FALSE)</f>
        <v>4.5953977531745833</v>
      </c>
      <c r="F658" s="98">
        <f>SUMIFS(Input!$C$115:$C$3257,Input!$A$115:$A$3257,"="&amp;'Output - County'!A658,Input!$B$115:$B$3257,"="&amp;'Output - County'!B658)*VLOOKUP(A658,'Output - State'!$B$2:$G$52,5,FALSE)</f>
        <v>15.067002460477385</v>
      </c>
      <c r="G658" s="99">
        <f>SUMIFS(Input!$D$115:$D$3257,Input!$A$115:$A$3257,"="&amp;'Output - County'!A658,Input!$B$115:$B$3257,"="&amp;'Output - County'!B658)*VLOOKUP(A658,'Output - State'!$B$2:$G$52,6,FALSE)</f>
        <v>2.2954692497598783</v>
      </c>
    </row>
    <row r="659" spans="1:7" x14ac:dyDescent="0.25">
      <c r="A659" s="88">
        <v>17</v>
      </c>
      <c r="B659" s="88">
        <v>125</v>
      </c>
      <c r="C659" s="97">
        <f>SUMIFS(Input!$C$115:$C$3257,Input!$A$115:$A$3257,"="&amp;'Output - County'!A659,Input!$B$115:$B$3257,"="&amp;'Output - County'!B659)*VLOOKUP(A659,'Output - State'!$B$2:$G$52,2,FALSE)</f>
        <v>1.6381722087443236</v>
      </c>
      <c r="D659" s="98">
        <f>SUMIFS(Input!$C$115:$C$3257,Input!$A$115:$A$3257,"="&amp;'Output - County'!A659,Input!$B$115:$B$3257,"="&amp;'Output - County'!B659)*VLOOKUP(A659,'Output - State'!$B$2:$G$52,3,FALSE)</f>
        <v>0.60079725894851332</v>
      </c>
      <c r="E659" s="98">
        <f>SUMIFS(Input!$C$115:$C$3257,Input!$A$115:$A$3257,"="&amp;'Output - County'!A659,Input!$B$115:$B$3257,"="&amp;'Output - County'!B659)*VLOOKUP(A659,'Output - State'!$B$2:$G$52,4,FALSE)</f>
        <v>2.1993355311535465</v>
      </c>
      <c r="F659" s="98">
        <f>SUMIFS(Input!$C$115:$C$3257,Input!$A$115:$A$3257,"="&amp;'Output - County'!A659,Input!$B$115:$B$3257,"="&amp;'Output - County'!B659)*VLOOKUP(A659,'Output - State'!$B$2:$G$52,5,FALSE)</f>
        <v>7.2109957916948355</v>
      </c>
      <c r="G659" s="99">
        <f>SUMIFS(Input!$D$115:$D$3257,Input!$A$115:$A$3257,"="&amp;'Output - County'!A659,Input!$B$115:$B$3257,"="&amp;'Output - County'!B659)*VLOOKUP(A659,'Output - State'!$B$2:$G$52,6,FALSE)</f>
        <v>2.6946812931963788</v>
      </c>
    </row>
    <row r="660" spans="1:7" x14ac:dyDescent="0.25">
      <c r="A660" s="88">
        <v>17</v>
      </c>
      <c r="B660" s="88">
        <v>127</v>
      </c>
      <c r="C660" s="97">
        <f>SUMIFS(Input!$C$115:$C$3257,Input!$A$115:$A$3257,"="&amp;'Output - County'!A660,Input!$B$115:$B$3257,"="&amp;'Output - County'!B660)*VLOOKUP(A660,'Output - State'!$B$2:$G$52,2,FALSE)</f>
        <v>4.3761032026045443</v>
      </c>
      <c r="D660" s="98">
        <f>SUMIFS(Input!$C$115:$C$3257,Input!$A$115:$A$3257,"="&amp;'Output - County'!A660,Input!$B$115:$B$3257,"="&amp;'Output - County'!B660)*VLOOKUP(A660,'Output - State'!$B$2:$G$52,3,FALSE)</f>
        <v>1.6049294420736711</v>
      </c>
      <c r="E660" s="98">
        <f>SUMIFS(Input!$C$115:$C$3257,Input!$A$115:$A$3257,"="&amp;'Output - County'!A660,Input!$B$115:$B$3257,"="&amp;'Output - County'!B660)*VLOOKUP(A660,'Output - State'!$B$2:$G$52,4,FALSE)</f>
        <v>5.8751572088140218</v>
      </c>
      <c r="F660" s="98">
        <f>SUMIFS(Input!$C$115:$C$3257,Input!$A$115:$A$3257,"="&amp;'Output - County'!A660,Input!$B$115:$B$3257,"="&amp;'Output - County'!B660)*VLOOKUP(A660,'Output - State'!$B$2:$G$52,5,FALSE)</f>
        <v>19.26296979619238</v>
      </c>
      <c r="G660" s="99">
        <f>SUMIFS(Input!$D$115:$D$3257,Input!$A$115:$A$3257,"="&amp;'Output - County'!A660,Input!$B$115:$B$3257,"="&amp;'Output - County'!B660)*VLOOKUP(A660,'Output - State'!$B$2:$G$52,6,FALSE)</f>
        <v>2.7944843040555041</v>
      </c>
    </row>
    <row r="661" spans="1:7" x14ac:dyDescent="0.25">
      <c r="A661" s="88">
        <v>17</v>
      </c>
      <c r="B661" s="88">
        <v>129</v>
      </c>
      <c r="C661" s="97">
        <f>SUMIFS(Input!$C$115:$C$3257,Input!$A$115:$A$3257,"="&amp;'Output - County'!A661,Input!$B$115:$B$3257,"="&amp;'Output - County'!B661)*VLOOKUP(A661,'Output - State'!$B$2:$G$52,2,FALSE)</f>
        <v>1.3821575896533842</v>
      </c>
      <c r="D661" s="98">
        <f>SUMIFS(Input!$C$115:$C$3257,Input!$A$115:$A$3257,"="&amp;'Output - County'!A661,Input!$B$115:$B$3257,"="&amp;'Output - County'!B661)*VLOOKUP(A661,'Output - State'!$B$2:$G$52,3,FALSE)</f>
        <v>0.50690427225300394</v>
      </c>
      <c r="E661" s="98">
        <f>SUMIFS(Input!$C$115:$C$3257,Input!$A$115:$A$3257,"="&amp;'Output - County'!A661,Input!$B$115:$B$3257,"="&amp;'Output - County'!B661)*VLOOKUP(A661,'Output - State'!$B$2:$G$52,4,FALSE)</f>
        <v>1.8556219427677219</v>
      </c>
      <c r="F661" s="98">
        <f>SUMIFS(Input!$C$115:$C$3257,Input!$A$115:$A$3257,"="&amp;'Output - County'!A661,Input!$B$115:$B$3257,"="&amp;'Output - County'!B661)*VLOOKUP(A661,'Output - State'!$B$2:$G$52,5,FALSE)</f>
        <v>6.0840566756343879</v>
      </c>
      <c r="G661" s="99">
        <f>SUMIFS(Input!$D$115:$D$3257,Input!$A$115:$A$3257,"="&amp;'Output - County'!A661,Input!$B$115:$B$3257,"="&amp;'Output - County'!B661)*VLOOKUP(A661,'Output - State'!$B$2:$G$52,6,FALSE)</f>
        <v>2.4551540671344787</v>
      </c>
    </row>
    <row r="662" spans="1:7" x14ac:dyDescent="0.25">
      <c r="A662" s="88">
        <v>17</v>
      </c>
      <c r="B662" s="88">
        <v>131</v>
      </c>
      <c r="C662" s="97">
        <f>SUMIFS(Input!$C$115:$C$3257,Input!$A$115:$A$3257,"="&amp;'Output - County'!A662,Input!$B$115:$B$3257,"="&amp;'Output - County'!B662)*VLOOKUP(A662,'Output - State'!$B$2:$G$52,2,FALSE)</f>
        <v>1.9999396716561053</v>
      </c>
      <c r="D662" s="98">
        <f>SUMIFS(Input!$C$115:$C$3257,Input!$A$115:$A$3257,"="&amp;'Output - County'!A662,Input!$B$115:$B$3257,"="&amp;'Output - County'!B662)*VLOOKUP(A662,'Output - State'!$B$2:$G$52,3,FALSE)</f>
        <v>0.73347494627221455</v>
      </c>
      <c r="E662" s="98">
        <f>SUMIFS(Input!$C$115:$C$3257,Input!$A$115:$A$3257,"="&amp;'Output - County'!A662,Input!$B$115:$B$3257,"="&amp;'Output - County'!B662)*VLOOKUP(A662,'Output - State'!$B$2:$G$52,4,FALSE)</f>
        <v>2.6850280798063082</v>
      </c>
      <c r="F662" s="98">
        <f>SUMIFS(Input!$C$115:$C$3257,Input!$A$115:$A$3257,"="&amp;'Output - County'!A662,Input!$B$115:$B$3257,"="&amp;'Output - County'!B662)*VLOOKUP(A662,'Output - State'!$B$2:$G$52,5,FALSE)</f>
        <v>8.803443544564832</v>
      </c>
      <c r="G662" s="99">
        <f>SUMIFS(Input!$D$115:$D$3257,Input!$A$115:$A$3257,"="&amp;'Output - County'!A662,Input!$B$115:$B$3257,"="&amp;'Output - County'!B662)*VLOOKUP(A662,'Output - State'!$B$2:$G$52,6,FALSE)</f>
        <v>3.1138539388047044</v>
      </c>
    </row>
    <row r="663" spans="1:7" x14ac:dyDescent="0.25">
      <c r="A663" s="88">
        <v>17</v>
      </c>
      <c r="B663" s="88">
        <v>133</v>
      </c>
      <c r="C663" s="97">
        <f>SUMIFS(Input!$C$115:$C$3257,Input!$A$115:$A$3257,"="&amp;'Output - County'!A663,Input!$B$115:$B$3257,"="&amp;'Output - County'!B663)*VLOOKUP(A663,'Output - State'!$B$2:$G$52,2,FALSE)</f>
        <v>7.421298176984795</v>
      </c>
      <c r="D663" s="98">
        <f>SUMIFS(Input!$C$115:$C$3257,Input!$A$115:$A$3257,"="&amp;'Output - County'!A663,Input!$B$115:$B$3257,"="&amp;'Output - County'!B663)*VLOOKUP(A663,'Output - State'!$B$2:$G$52,3,FALSE)</f>
        <v>2.721750240159245</v>
      </c>
      <c r="E663" s="98">
        <f>SUMIFS(Input!$C$115:$C$3257,Input!$A$115:$A$3257,"="&amp;'Output - County'!A663,Input!$B$115:$B$3257,"="&amp;'Output - County'!B663)*VLOOKUP(A663,'Output - State'!$B$2:$G$52,4,FALSE)</f>
        <v>9.9634975375626897</v>
      </c>
      <c r="F663" s="98">
        <f>SUMIFS(Input!$C$115:$C$3257,Input!$A$115:$A$3257,"="&amp;'Output - County'!A663,Input!$B$115:$B$3257,"="&amp;'Output - County'!B663)*VLOOKUP(A663,'Output - State'!$B$2:$G$52,5,FALSE)</f>
        <v>32.667475151571331</v>
      </c>
      <c r="G663" s="99">
        <f>SUMIFS(Input!$D$115:$D$3257,Input!$A$115:$A$3257,"="&amp;'Output - County'!A663,Input!$B$115:$B$3257,"="&amp;'Output - County'!B663)*VLOOKUP(A663,'Output - State'!$B$2:$G$52,6,FALSE)</f>
        <v>6.8664471471078095</v>
      </c>
    </row>
    <row r="664" spans="1:7" x14ac:dyDescent="0.25">
      <c r="A664" s="88">
        <v>17</v>
      </c>
      <c r="B664" s="88">
        <v>135</v>
      </c>
      <c r="C664" s="97">
        <f>SUMIFS(Input!$C$115:$C$3257,Input!$A$115:$A$3257,"="&amp;'Output - County'!A664,Input!$B$115:$B$3257,"="&amp;'Output - County'!B664)*VLOOKUP(A664,'Output - State'!$B$2:$G$52,2,FALSE)</f>
        <v>9.4848542073771505</v>
      </c>
      <c r="D664" s="98">
        <f>SUMIFS(Input!$C$115:$C$3257,Input!$A$115:$A$3257,"="&amp;'Output - County'!A664,Input!$B$115:$B$3257,"="&amp;'Output - County'!B664)*VLOOKUP(A664,'Output - State'!$B$2:$G$52,3,FALSE)</f>
        <v>3.4785563928510346</v>
      </c>
      <c r="E664" s="98">
        <f>SUMIFS(Input!$C$115:$C$3257,Input!$A$115:$A$3257,"="&amp;'Output - County'!A664,Input!$B$115:$B$3257,"="&amp;'Output - County'!B664)*VLOOKUP(A664,'Output - State'!$B$2:$G$52,4,FALSE)</f>
        <v>12.733934048414529</v>
      </c>
      <c r="F664" s="98">
        <f>SUMIFS(Input!$C$115:$C$3257,Input!$A$115:$A$3257,"="&amp;'Output - County'!A664,Input!$B$115:$B$3257,"="&amp;'Output - County'!B664)*VLOOKUP(A664,'Output - State'!$B$2:$G$52,5,FALSE)</f>
        <v>41.750948654330656</v>
      </c>
      <c r="G664" s="99">
        <f>SUMIFS(Input!$D$115:$D$3257,Input!$A$115:$A$3257,"="&amp;'Output - County'!A664,Input!$B$115:$B$3257,"="&amp;'Output - County'!B664)*VLOOKUP(A664,'Output - State'!$B$2:$G$52,6,FALSE)</f>
        <v>5.728692823313783</v>
      </c>
    </row>
    <row r="665" spans="1:7" x14ac:dyDescent="0.25">
      <c r="A665" s="88">
        <v>17</v>
      </c>
      <c r="B665" s="88">
        <v>137</v>
      </c>
      <c r="C665" s="97">
        <f>SUMIFS(Input!$C$115:$C$3257,Input!$A$115:$A$3257,"="&amp;'Output - County'!A665,Input!$B$115:$B$3257,"="&amp;'Output - County'!B665)*VLOOKUP(A665,'Output - State'!$B$2:$G$52,2,FALSE)</f>
        <v>6.8303411908092473</v>
      </c>
      <c r="D665" s="98">
        <f>SUMIFS(Input!$C$115:$C$3257,Input!$A$115:$A$3257,"="&amp;'Output - County'!A665,Input!$B$115:$B$3257,"="&amp;'Output - County'!B665)*VLOOKUP(A665,'Output - State'!$B$2:$G$52,3,FALSE)</f>
        <v>2.5050176307573984</v>
      </c>
      <c r="E665" s="98">
        <f>SUMIFS(Input!$C$115:$C$3257,Input!$A$115:$A$3257,"="&amp;'Output - County'!A665,Input!$B$115:$B$3257,"="&amp;'Output - County'!B665)*VLOOKUP(A665,'Output - State'!$B$2:$G$52,4,FALSE)</f>
        <v>9.1701055546309682</v>
      </c>
      <c r="F665" s="98">
        <f>SUMIFS(Input!$C$115:$C$3257,Input!$A$115:$A$3257,"="&amp;'Output - County'!A665,Input!$B$115:$B$3257,"="&amp;'Output - County'!B665)*VLOOKUP(A665,'Output - State'!$B$2:$G$52,5,FALSE)</f>
        <v>30.066168452777472</v>
      </c>
      <c r="G665" s="99">
        <f>SUMIFS(Input!$D$115:$D$3257,Input!$A$115:$A$3257,"="&amp;'Output - County'!A665,Input!$B$115:$B$3257,"="&amp;'Output - County'!B665)*VLOOKUP(A665,'Output - State'!$B$2:$G$52,6,FALSE)</f>
        <v>6.7866047384205093</v>
      </c>
    </row>
    <row r="666" spans="1:7" x14ac:dyDescent="0.25">
      <c r="A666" s="88">
        <v>17</v>
      </c>
      <c r="B666" s="88">
        <v>139</v>
      </c>
      <c r="C666" s="97">
        <f>SUMIFS(Input!$C$115:$C$3257,Input!$A$115:$A$3257,"="&amp;'Output - County'!A666,Input!$B$115:$B$3257,"="&amp;'Output - County'!B666)*VLOOKUP(A666,'Output - State'!$B$2:$G$52,2,FALSE)</f>
        <v>2.4696318184488124</v>
      </c>
      <c r="D666" s="98">
        <f>SUMIFS(Input!$C$115:$C$3257,Input!$A$115:$A$3257,"="&amp;'Output - County'!A666,Input!$B$115:$B$3257,"="&amp;'Output - County'!B666)*VLOOKUP(A666,'Output - State'!$B$2:$G$52,3,FALSE)</f>
        <v>0.90573385338613921</v>
      </c>
      <c r="E666" s="98">
        <f>SUMIFS(Input!$C$115:$C$3257,Input!$A$115:$A$3257,"="&amp;'Output - County'!A666,Input!$B$115:$B$3257,"="&amp;'Output - County'!B666)*VLOOKUP(A666,'Output - State'!$B$2:$G$52,4,FALSE)</f>
        <v>3.3156154024521989</v>
      </c>
      <c r="F666" s="98">
        <f>SUMIFS(Input!$C$115:$C$3257,Input!$A$115:$A$3257,"="&amp;'Output - County'!A666,Input!$B$115:$B$3257,"="&amp;'Output - County'!B666)*VLOOKUP(A666,'Output - State'!$B$2:$G$52,5,FALSE)</f>
        <v>10.870960058295983</v>
      </c>
      <c r="G666" s="99">
        <f>SUMIFS(Input!$D$115:$D$3257,Input!$A$115:$A$3257,"="&amp;'Output - County'!A666,Input!$B$115:$B$3257,"="&amp;'Output - County'!B666)*VLOOKUP(A666,'Output - State'!$B$2:$G$52,6,FALSE)</f>
        <v>2.9142479170864539</v>
      </c>
    </row>
    <row r="667" spans="1:7" x14ac:dyDescent="0.25">
      <c r="A667" s="88">
        <v>17</v>
      </c>
      <c r="B667" s="88">
        <v>141</v>
      </c>
      <c r="C667" s="97">
        <f>SUMIFS(Input!$C$115:$C$3257,Input!$A$115:$A$3257,"="&amp;'Output - County'!A667,Input!$B$115:$B$3257,"="&amp;'Output - County'!B667)*VLOOKUP(A667,'Output - State'!$B$2:$G$52,2,FALSE)</f>
        <v>12.963291755388074</v>
      </c>
      <c r="D667" s="98">
        <f>SUMIFS(Input!$C$115:$C$3257,Input!$A$115:$A$3257,"="&amp;'Output - County'!A667,Input!$B$115:$B$3257,"="&amp;'Output - County'!B667)*VLOOKUP(A667,'Output - State'!$B$2:$G$52,3,FALSE)</f>
        <v>4.7542682704627488</v>
      </c>
      <c r="E667" s="98">
        <f>SUMIFS(Input!$C$115:$C$3257,Input!$A$115:$A$3257,"="&amp;'Output - County'!A667,Input!$B$115:$B$3257,"="&amp;'Output - County'!B667)*VLOOKUP(A667,'Output - State'!$B$2:$G$52,4,FALSE)</f>
        <v>17.40392615999054</v>
      </c>
      <c r="F667" s="98">
        <f>SUMIFS(Input!$C$115:$C$3257,Input!$A$115:$A$3257,"="&amp;'Output - County'!A667,Input!$B$115:$B$3257,"="&amp;'Output - County'!B667)*VLOOKUP(A667,'Output - State'!$B$2:$G$52,5,FALSE)</f>
        <v>57.062524803950758</v>
      </c>
      <c r="G667" s="99">
        <f>SUMIFS(Input!$D$115:$D$3257,Input!$A$115:$A$3257,"="&amp;'Output - County'!A667,Input!$B$115:$B$3257,"="&amp;'Output - County'!B667)*VLOOKUP(A667,'Output - State'!$B$2:$G$52,6,FALSE)</f>
        <v>10.139985903287114</v>
      </c>
    </row>
    <row r="668" spans="1:7" x14ac:dyDescent="0.25">
      <c r="A668" s="88">
        <v>17</v>
      </c>
      <c r="B668" s="88">
        <v>143</v>
      </c>
      <c r="C668" s="97">
        <f>SUMIFS(Input!$C$115:$C$3257,Input!$A$115:$A$3257,"="&amp;'Output - County'!A668,Input!$B$115:$B$3257,"="&amp;'Output - County'!B668)*VLOOKUP(A668,'Output - State'!$B$2:$G$52,2,FALSE)</f>
        <v>32.010028179177439</v>
      </c>
      <c r="D668" s="98">
        <f>SUMIFS(Input!$C$115:$C$3257,Input!$A$115:$A$3257,"="&amp;'Output - County'!A668,Input!$B$115:$B$3257,"="&amp;'Output - County'!B668)*VLOOKUP(A668,'Output - State'!$B$2:$G$52,3,FALSE)</f>
        <v>11.739630965694172</v>
      </c>
      <c r="E668" s="98">
        <f>SUMIFS(Input!$C$115:$C$3257,Input!$A$115:$A$3257,"="&amp;'Output - County'!A668,Input!$B$115:$B$3257,"="&amp;'Output - County'!B668)*VLOOKUP(A668,'Output - State'!$B$2:$G$52,4,FALSE)</f>
        <v>42.97520855982178</v>
      </c>
      <c r="F668" s="98">
        <f>SUMIFS(Input!$C$115:$C$3257,Input!$A$115:$A$3257,"="&amp;'Output - County'!A668,Input!$B$115:$B$3257,"="&amp;'Output - County'!B668)*VLOOKUP(A668,'Output - State'!$B$2:$G$52,5,FALSE)</f>
        <v>140.90348820470518</v>
      </c>
      <c r="G668" s="99">
        <f>SUMIFS(Input!$D$115:$D$3257,Input!$A$115:$A$3257,"="&amp;'Output - County'!A668,Input!$B$115:$B$3257,"="&amp;'Output - County'!B668)*VLOOKUP(A668,'Output - State'!$B$2:$G$52,6,FALSE)</f>
        <v>36.128689931003301</v>
      </c>
    </row>
    <row r="669" spans="1:7" x14ac:dyDescent="0.25">
      <c r="A669" s="88">
        <v>17</v>
      </c>
      <c r="B669" s="88">
        <v>145</v>
      </c>
      <c r="C669" s="97">
        <f>SUMIFS(Input!$C$115:$C$3257,Input!$A$115:$A$3257,"="&amp;'Output - County'!A669,Input!$B$115:$B$3257,"="&amp;'Output - County'!B669)*VLOOKUP(A669,'Output - State'!$B$2:$G$52,2,FALSE)</f>
        <v>3.2322257760658895</v>
      </c>
      <c r="D669" s="98">
        <f>SUMIFS(Input!$C$115:$C$3257,Input!$A$115:$A$3257,"="&amp;'Output - County'!A669,Input!$B$115:$B$3257,"="&amp;'Output - County'!B669)*VLOOKUP(A669,'Output - State'!$B$2:$G$52,3,FALSE)</f>
        <v>1.1854140707536567</v>
      </c>
      <c r="E669" s="98">
        <f>SUMIFS(Input!$C$115:$C$3257,Input!$A$115:$A$3257,"="&amp;'Output - County'!A669,Input!$B$115:$B$3257,"="&amp;'Output - County'!B669)*VLOOKUP(A669,'Output - State'!$B$2:$G$52,4,FALSE)</f>
        <v>4.3394393801009414</v>
      </c>
      <c r="F669" s="98">
        <f>SUMIFS(Input!$C$115:$C$3257,Input!$A$115:$A$3257,"="&amp;'Output - County'!A669,Input!$B$115:$B$3257,"="&amp;'Output - County'!B669)*VLOOKUP(A669,'Output - State'!$B$2:$G$52,5,FALSE)</f>
        <v>14.227787740877501</v>
      </c>
      <c r="G669" s="99">
        <f>SUMIFS(Input!$D$115:$D$3257,Input!$A$115:$A$3257,"="&amp;'Output - County'!A669,Input!$B$115:$B$3257,"="&amp;'Output - County'!B669)*VLOOKUP(A669,'Output - State'!$B$2:$G$52,6,FALSE)</f>
        <v>4.2116870582550803</v>
      </c>
    </row>
    <row r="670" spans="1:7" x14ac:dyDescent="0.25">
      <c r="A670" s="88">
        <v>17</v>
      </c>
      <c r="B670" s="88">
        <v>147</v>
      </c>
      <c r="C670" s="97">
        <f>SUMIFS(Input!$C$115:$C$3257,Input!$A$115:$A$3257,"="&amp;'Output - County'!A670,Input!$B$115:$B$3257,"="&amp;'Output - County'!B670)*VLOOKUP(A670,'Output - State'!$B$2:$G$52,2,FALSE)</f>
        <v>5.0411320510138822</v>
      </c>
      <c r="D670" s="98">
        <f>SUMIFS(Input!$C$115:$C$3257,Input!$A$115:$A$3257,"="&amp;'Output - County'!A670,Input!$B$115:$B$3257,"="&amp;'Output - County'!B670)*VLOOKUP(A670,'Output - State'!$B$2:$G$52,3,FALSE)</f>
        <v>1.8488277984938879</v>
      </c>
      <c r="E670" s="98">
        <f>SUMIFS(Input!$C$115:$C$3257,Input!$A$115:$A$3257,"="&amp;'Output - County'!A670,Input!$B$115:$B$3257,"="&amp;'Output - County'!B670)*VLOOKUP(A670,'Output - State'!$B$2:$G$52,4,FALSE)</f>
        <v>6.7679947064479844</v>
      </c>
      <c r="F670" s="98">
        <f>SUMIFS(Input!$C$115:$C$3257,Input!$A$115:$A$3257,"="&amp;'Output - County'!A670,Input!$B$115:$B$3257,"="&amp;'Output - County'!B670)*VLOOKUP(A670,'Output - State'!$B$2:$G$52,5,FALSE)</f>
        <v>22.190330058829979</v>
      </c>
      <c r="G670" s="99">
        <f>SUMIFS(Input!$D$115:$D$3257,Input!$A$115:$A$3257,"="&amp;'Output - County'!A670,Input!$B$115:$B$3257,"="&amp;'Output - County'!B670)*VLOOKUP(A670,'Output - State'!$B$2:$G$52,6,FALSE)</f>
        <v>3.2735387561793048</v>
      </c>
    </row>
    <row r="671" spans="1:7" x14ac:dyDescent="0.25">
      <c r="A671" s="88">
        <v>17</v>
      </c>
      <c r="B671" s="88">
        <v>149</v>
      </c>
      <c r="C671" s="97">
        <f>SUMIFS(Input!$C$115:$C$3257,Input!$A$115:$A$3257,"="&amp;'Output - County'!A671,Input!$B$115:$B$3257,"="&amp;'Output - County'!B671)*VLOOKUP(A671,'Output - State'!$B$2:$G$52,2,FALSE)</f>
        <v>5.1849277222215857</v>
      </c>
      <c r="D671" s="98">
        <f>SUMIFS(Input!$C$115:$C$3257,Input!$A$115:$A$3257,"="&amp;'Output - County'!A671,Input!$B$115:$B$3257,"="&amp;'Output - County'!B671)*VLOOKUP(A671,'Output - State'!$B$2:$G$52,3,FALSE)</f>
        <v>1.9015646503639794</v>
      </c>
      <c r="E671" s="98">
        <f>SUMIFS(Input!$C$115:$C$3257,Input!$A$115:$A$3257,"="&amp;'Output - County'!A671,Input!$B$115:$B$3257,"="&amp;'Output - County'!B671)*VLOOKUP(A671,'Output - State'!$B$2:$G$52,4,FALSE)</f>
        <v>6.9610482372215214</v>
      </c>
      <c r="F671" s="98">
        <f>SUMIFS(Input!$C$115:$C$3257,Input!$A$115:$A$3257,"="&amp;'Output - County'!A671,Input!$B$115:$B$3257,"="&amp;'Output - County'!B671)*VLOOKUP(A671,'Output - State'!$B$2:$G$52,5,FALSE)</f>
        <v>22.823297688489308</v>
      </c>
      <c r="G671" s="99">
        <f>SUMIFS(Input!$D$115:$D$3257,Input!$A$115:$A$3257,"="&amp;'Output - County'!A671,Input!$B$115:$B$3257,"="&amp;'Output - County'!B671)*VLOOKUP(A671,'Output - State'!$B$2:$G$52,6,FALSE)</f>
        <v>3.1138539388047044</v>
      </c>
    </row>
    <row r="672" spans="1:7" x14ac:dyDescent="0.25">
      <c r="A672" s="88">
        <v>17</v>
      </c>
      <c r="B672" s="88">
        <v>151</v>
      </c>
      <c r="C672" s="97">
        <f>SUMIFS(Input!$C$115:$C$3257,Input!$A$115:$A$3257,"="&amp;'Output - County'!A672,Input!$B$115:$B$3257,"="&amp;'Output - County'!B672)*VLOOKUP(A672,'Output - State'!$B$2:$G$52,2,FALSE)</f>
        <v>0.61415007967676494</v>
      </c>
      <c r="D672" s="98">
        <f>SUMIFS(Input!$C$115:$C$3257,Input!$A$115:$A$3257,"="&amp;'Output - County'!A672,Input!$B$115:$B$3257,"="&amp;'Output - County'!B672)*VLOOKUP(A672,'Output - State'!$B$2:$G$52,3,FALSE)</f>
        <v>0.2252386424841368</v>
      </c>
      <c r="E672" s="98">
        <f>SUMIFS(Input!$C$115:$C$3257,Input!$A$115:$A$3257,"="&amp;'Output - County'!A672,Input!$B$115:$B$3257,"="&amp;'Output - County'!B672)*VLOOKUP(A672,'Output - State'!$B$2:$G$52,4,FALSE)</f>
        <v>0.82452997583766452</v>
      </c>
      <c r="F672" s="98">
        <f>SUMIFS(Input!$C$115:$C$3257,Input!$A$115:$A$3257,"="&amp;'Output - County'!A672,Input!$B$115:$B$3257,"="&amp;'Output - County'!B672)*VLOOKUP(A672,'Output - State'!$B$2:$G$52,5,FALSE)</f>
        <v>2.7033993229642168</v>
      </c>
      <c r="G672" s="99">
        <f>SUMIFS(Input!$D$115:$D$3257,Input!$A$115:$A$3257,"="&amp;'Output - County'!A672,Input!$B$115:$B$3257,"="&amp;'Output - County'!B672)*VLOOKUP(A672,'Output - State'!$B$2:$G$52,6,FALSE)</f>
        <v>0.83435317078228621</v>
      </c>
    </row>
    <row r="673" spans="1:7" x14ac:dyDescent="0.25">
      <c r="A673" s="88">
        <v>17</v>
      </c>
      <c r="B673" s="88">
        <v>153</v>
      </c>
      <c r="C673" s="97">
        <f>SUMIFS(Input!$C$115:$C$3257,Input!$A$115:$A$3257,"="&amp;'Output - County'!A673,Input!$B$115:$B$3257,"="&amp;'Output - County'!B673)*VLOOKUP(A673,'Output - State'!$B$2:$G$52,2,FALSE)</f>
        <v>2.6761314903699378</v>
      </c>
      <c r="D673" s="98">
        <f>SUMIFS(Input!$C$115:$C$3257,Input!$A$115:$A$3257,"="&amp;'Output - County'!A673,Input!$B$115:$B$3257,"="&amp;'Output - County'!B673)*VLOOKUP(A673,'Output - State'!$B$2:$G$52,3,FALSE)</f>
        <v>0.98146730570680585</v>
      </c>
      <c r="E673" s="98">
        <f>SUMIFS(Input!$C$115:$C$3257,Input!$A$115:$A$3257,"="&amp;'Output - County'!A673,Input!$B$115:$B$3257,"="&amp;'Output - County'!B673)*VLOOKUP(A673,'Output - State'!$B$2:$G$52,4,FALSE)</f>
        <v>3.5928524738683971</v>
      </c>
      <c r="F673" s="98">
        <f>SUMIFS(Input!$C$115:$C$3257,Input!$A$115:$A$3257,"="&amp;'Output - County'!A673,Input!$B$115:$B$3257,"="&amp;'Output - County'!B673)*VLOOKUP(A673,'Output - State'!$B$2:$G$52,5,FALSE)</f>
        <v>11.77994157883526</v>
      </c>
      <c r="G673" s="99">
        <f>SUMIFS(Input!$D$115:$D$3257,Input!$A$115:$A$3257,"="&amp;'Output - County'!A673,Input!$B$115:$B$3257,"="&amp;'Output - County'!B673)*VLOOKUP(A673,'Output - State'!$B$2:$G$52,6,FALSE)</f>
        <v>1.0838606979300991</v>
      </c>
    </row>
    <row r="674" spans="1:7" x14ac:dyDescent="0.25">
      <c r="A674" s="88">
        <v>17</v>
      </c>
      <c r="B674" s="88">
        <v>155</v>
      </c>
      <c r="C674" s="97">
        <f>SUMIFS(Input!$C$115:$C$3257,Input!$A$115:$A$3257,"="&amp;'Output - County'!A674,Input!$B$115:$B$3257,"="&amp;'Output - County'!B674)*VLOOKUP(A674,'Output - State'!$B$2:$G$52,2,FALSE)</f>
        <v>1.0202577412739167</v>
      </c>
      <c r="D674" s="98">
        <f>SUMIFS(Input!$C$115:$C$3257,Input!$A$115:$A$3257,"="&amp;'Output - County'!A674,Input!$B$115:$B$3257,"="&amp;'Output - County'!B674)*VLOOKUP(A674,'Output - State'!$B$2:$G$52,3,FALSE)</f>
        <v>0.37417803275286732</v>
      </c>
      <c r="E674" s="98">
        <f>SUMIFS(Input!$C$115:$C$3257,Input!$A$115:$A$3257,"="&amp;'Output - County'!A674,Input!$B$115:$B$3257,"="&amp;'Output - County'!B674)*VLOOKUP(A674,'Output - State'!$B$2:$G$52,4,FALSE)</f>
        <v>1.3697516594046921</v>
      </c>
      <c r="F674" s="98">
        <f>SUMIFS(Input!$C$115:$C$3257,Input!$A$115:$A$3257,"="&amp;'Output - County'!A674,Input!$B$115:$B$3257,"="&amp;'Output - County'!B674)*VLOOKUP(A674,'Output - State'!$B$2:$G$52,5,FALSE)</f>
        <v>4.4910261811910281</v>
      </c>
      <c r="G674" s="99">
        <f>SUMIFS(Input!$D$115:$D$3257,Input!$A$115:$A$3257,"="&amp;'Output - County'!A674,Input!$B$115:$B$3257,"="&amp;'Output - County'!B674)*VLOOKUP(A674,'Output - State'!$B$2:$G$52,6,FALSE)</f>
        <v>1.1457385646627567</v>
      </c>
    </row>
    <row r="675" spans="1:7" x14ac:dyDescent="0.25">
      <c r="A675" s="88">
        <v>17</v>
      </c>
      <c r="B675" s="88">
        <v>157</v>
      </c>
      <c r="C675" s="97">
        <f>SUMIFS(Input!$C$115:$C$3257,Input!$A$115:$A$3257,"="&amp;'Output - County'!A675,Input!$B$115:$B$3257,"="&amp;'Output - County'!B675)*VLOOKUP(A675,'Output - State'!$B$2:$G$52,2,FALSE)</f>
        <v>4.3331366942287541</v>
      </c>
      <c r="D675" s="98">
        <f>SUMIFS(Input!$C$115:$C$3257,Input!$A$115:$A$3257,"="&amp;'Output - County'!A675,Input!$B$115:$B$3257,"="&amp;'Output - County'!B675)*VLOOKUP(A675,'Output - State'!$B$2:$G$52,3,FALSE)</f>
        <v>1.5891715380383258</v>
      </c>
      <c r="E675" s="98">
        <f>SUMIFS(Input!$C$115:$C$3257,Input!$A$115:$A$3257,"="&amp;'Output - County'!A675,Input!$B$115:$B$3257,"="&amp;'Output - County'!B675)*VLOOKUP(A675,'Output - State'!$B$2:$G$52,4,FALSE)</f>
        <v>5.8174723280572458</v>
      </c>
      <c r="F675" s="98">
        <f>SUMIFS(Input!$C$115:$C$3257,Input!$A$115:$A$3257,"="&amp;'Output - County'!A675,Input!$B$115:$B$3257,"="&amp;'Output - County'!B675)*VLOOKUP(A675,'Output - State'!$B$2:$G$52,5,FALSE)</f>
        <v>19.073837475775875</v>
      </c>
      <c r="G675" s="99">
        <f>SUMIFS(Input!$D$115:$D$3257,Input!$A$115:$A$3257,"="&amp;'Output - County'!A675,Input!$B$115:$B$3257,"="&amp;'Output - County'!B675)*VLOOKUP(A675,'Output - State'!$B$2:$G$52,6,FALSE)</f>
        <v>6.4273138993276593</v>
      </c>
    </row>
    <row r="676" spans="1:7" x14ac:dyDescent="0.25">
      <c r="A676" s="88">
        <v>17</v>
      </c>
      <c r="B676" s="88">
        <v>159</v>
      </c>
      <c r="C676" s="97">
        <f>SUMIFS(Input!$C$115:$C$3257,Input!$A$115:$A$3257,"="&amp;'Output - County'!A676,Input!$B$115:$B$3257,"="&amp;'Output - County'!B676)*VLOOKUP(A676,'Output - State'!$B$2:$G$52,2,FALSE)</f>
        <v>2.3598921158445658</v>
      </c>
      <c r="D676" s="98">
        <f>SUMIFS(Input!$C$115:$C$3257,Input!$A$115:$A$3257,"="&amp;'Output - County'!A676,Input!$B$115:$B$3257,"="&amp;'Output - County'!B676)*VLOOKUP(A676,'Output - State'!$B$2:$G$52,3,FALSE)</f>
        <v>0.86548697813668451</v>
      </c>
      <c r="E676" s="98">
        <f>SUMIFS(Input!$C$115:$C$3257,Input!$A$115:$A$3257,"="&amp;'Output - County'!A676,Input!$B$115:$B$3257,"="&amp;'Output - County'!B676)*VLOOKUP(A676,'Output - State'!$B$2:$G$52,4,FALSE)</f>
        <v>3.1682838668374274</v>
      </c>
      <c r="F676" s="98">
        <f>SUMIFS(Input!$C$115:$C$3257,Input!$A$115:$A$3257,"="&amp;'Output - County'!A676,Input!$B$115:$B$3257,"="&amp;'Output - County'!B676)*VLOOKUP(A676,'Output - State'!$B$2:$G$52,5,FALSE)</f>
        <v>10.387901849008188</v>
      </c>
      <c r="G676" s="99">
        <f>SUMIFS(Input!$D$115:$D$3257,Input!$A$115:$A$3257,"="&amp;'Output - County'!A676,Input!$B$115:$B$3257,"="&amp;'Output - County'!B676)*VLOOKUP(A676,'Output - State'!$B$2:$G$52,6,FALSE)</f>
        <v>3.1338145409765295</v>
      </c>
    </row>
    <row r="677" spans="1:7" x14ac:dyDescent="0.25">
      <c r="A677" s="88">
        <v>17</v>
      </c>
      <c r="B677" s="88">
        <v>161</v>
      </c>
      <c r="C677" s="97">
        <f>SUMIFS(Input!$C$115:$C$3257,Input!$A$115:$A$3257,"="&amp;'Output - County'!A677,Input!$B$115:$B$3257,"="&amp;'Output - County'!B677)*VLOOKUP(A677,'Output - State'!$B$2:$G$52,2,FALSE)</f>
        <v>25.158686478927514</v>
      </c>
      <c r="D677" s="98">
        <f>SUMIFS(Input!$C$115:$C$3257,Input!$A$115:$A$3257,"="&amp;'Output - County'!A677,Input!$B$115:$B$3257,"="&amp;'Output - County'!B677)*VLOOKUP(A677,'Output - State'!$B$2:$G$52,3,FALSE)</f>
        <v>9.2269114288483074</v>
      </c>
      <c r="E677" s="98">
        <f>SUMIFS(Input!$C$115:$C$3257,Input!$A$115:$A$3257,"="&amp;'Output - County'!A677,Input!$B$115:$B$3257,"="&amp;'Output - County'!B677)*VLOOKUP(A677,'Output - State'!$B$2:$G$52,4,FALSE)</f>
        <v>33.776908675962993</v>
      </c>
      <c r="F677" s="98">
        <f>SUMIFS(Input!$C$115:$C$3257,Input!$A$115:$A$3257,"="&amp;'Output - County'!A677,Input!$B$115:$B$3257,"="&amp;'Output - County'!B677)*VLOOKUP(A677,'Output - State'!$B$2:$G$52,5,FALSE)</f>
        <v>110.74487856388176</v>
      </c>
      <c r="G677" s="99">
        <f>SUMIFS(Input!$D$115:$D$3257,Input!$A$115:$A$3257,"="&amp;'Output - County'!A677,Input!$B$115:$B$3257,"="&amp;'Output - County'!B677)*VLOOKUP(A677,'Output - State'!$B$2:$G$52,6,FALSE)</f>
        <v>28.543661105709788</v>
      </c>
    </row>
    <row r="678" spans="1:7" x14ac:dyDescent="0.25">
      <c r="A678" s="88">
        <v>17</v>
      </c>
      <c r="B678" s="88">
        <v>163</v>
      </c>
      <c r="C678" s="97">
        <f>SUMIFS(Input!$C$115:$C$3257,Input!$A$115:$A$3257,"="&amp;'Output - County'!A678,Input!$B$115:$B$3257,"="&amp;'Output - County'!B678)*VLOOKUP(A678,'Output - State'!$B$2:$G$52,2,FALSE)</f>
        <v>59.242159792085843</v>
      </c>
      <c r="D678" s="98">
        <f>SUMIFS(Input!$C$115:$C$3257,Input!$A$115:$A$3257,"="&amp;'Output - County'!A678,Input!$B$115:$B$3257,"="&amp;'Output - County'!B678)*VLOOKUP(A678,'Output - State'!$B$2:$G$52,3,FALSE)</f>
        <v>21.726975361495757</v>
      </c>
      <c r="E678" s="98">
        <f>SUMIFS(Input!$C$115:$C$3257,Input!$A$115:$A$3257,"="&amp;'Output - County'!A678,Input!$B$115:$B$3257,"="&amp;'Output - County'!B678)*VLOOKUP(A678,'Output - State'!$B$2:$G$52,4,FALSE)</f>
        <v>79.535830407525751</v>
      </c>
      <c r="F678" s="98">
        <f>SUMIFS(Input!$C$115:$C$3257,Input!$A$115:$A$3257,"="&amp;'Output - County'!A678,Input!$B$115:$B$3257,"="&amp;'Output - County'!B678)*VLOOKUP(A678,'Output - State'!$B$2:$G$52,5,FALSE)</f>
        <v>260.77537066697863</v>
      </c>
      <c r="G678" s="99">
        <f>SUMIFS(Input!$D$115:$D$3257,Input!$A$115:$A$3257,"="&amp;'Output - County'!A678,Input!$B$115:$B$3257,"="&amp;'Output - County'!B678)*VLOOKUP(A678,'Output - State'!$B$2:$G$52,6,FALSE)</f>
        <v>52.097171668463325</v>
      </c>
    </row>
    <row r="679" spans="1:7" x14ac:dyDescent="0.25">
      <c r="A679" s="88">
        <v>17</v>
      </c>
      <c r="B679" s="88">
        <v>165</v>
      </c>
      <c r="C679" s="97">
        <f>SUMIFS(Input!$C$115:$C$3257,Input!$A$115:$A$3257,"="&amp;'Output - County'!A679,Input!$B$115:$B$3257,"="&amp;'Output - County'!B679)*VLOOKUP(A679,'Output - State'!$B$2:$G$52,2,FALSE)</f>
        <v>3.7608992803249803</v>
      </c>
      <c r="D679" s="98">
        <f>SUMIFS(Input!$C$115:$C$3257,Input!$A$115:$A$3257,"="&amp;'Output - County'!A679,Input!$B$115:$B$3257,"="&amp;'Output - County'!B679)*VLOOKUP(A679,'Output - State'!$B$2:$G$52,3,FALSE)</f>
        <v>1.3793043043579922</v>
      </c>
      <c r="E679" s="98">
        <f>SUMIFS(Input!$C$115:$C$3257,Input!$A$115:$A$3257,"="&amp;'Output - County'!A679,Input!$B$115:$B$3257,"="&amp;'Output - County'!B679)*VLOOKUP(A679,'Output - State'!$B$2:$G$52,4,FALSE)</f>
        <v>5.0492123918087399</v>
      </c>
      <c r="F679" s="98">
        <f>SUMIFS(Input!$C$115:$C$3257,Input!$A$115:$A$3257,"="&amp;'Output - County'!A679,Input!$B$115:$B$3257,"="&amp;'Output - County'!B679)*VLOOKUP(A679,'Output - State'!$B$2:$G$52,5,FALSE)</f>
        <v>16.554931611371437</v>
      </c>
      <c r="G679" s="99">
        <f>SUMIFS(Input!$D$115:$D$3257,Input!$A$115:$A$3257,"="&amp;'Output - County'!A679,Input!$B$115:$B$3257,"="&amp;'Output - County'!B679)*VLOOKUP(A679,'Output - State'!$B$2:$G$52,6,FALSE)</f>
        <v>4.750623316894357</v>
      </c>
    </row>
    <row r="680" spans="1:7" x14ac:dyDescent="0.25">
      <c r="A680" s="88">
        <v>17</v>
      </c>
      <c r="B680" s="88">
        <v>167</v>
      </c>
      <c r="C680" s="97">
        <f>SUMIFS(Input!$C$115:$C$3257,Input!$A$115:$A$3257,"="&amp;'Output - County'!A680,Input!$B$115:$B$3257,"="&amp;'Output - County'!B680)*VLOOKUP(A680,'Output - State'!$B$2:$G$52,2,FALSE)</f>
        <v>43.021352241693236</v>
      </c>
      <c r="D680" s="98">
        <f>SUMIFS(Input!$C$115:$C$3257,Input!$A$115:$A$3257,"="&amp;'Output - County'!A680,Input!$B$115:$B$3257,"="&amp;'Output - County'!B680)*VLOOKUP(A680,'Output - State'!$B$2:$G$52,3,FALSE)</f>
        <v>15.778017942863197</v>
      </c>
      <c r="E680" s="98">
        <f>SUMIFS(Input!$C$115:$C$3257,Input!$A$115:$A$3257,"="&amp;'Output - County'!A680,Input!$B$115:$B$3257,"="&amp;'Output - County'!B680)*VLOOKUP(A680,'Output - State'!$B$2:$G$52,4,FALSE)</f>
        <v>57.758511637768663</v>
      </c>
      <c r="F680" s="98">
        <f>SUMIFS(Input!$C$115:$C$3257,Input!$A$115:$A$3257,"="&amp;'Output - County'!A680,Input!$B$115:$B$3257,"="&amp;'Output - County'!B680)*VLOOKUP(A680,'Output - State'!$B$2:$G$52,5,FALSE)</f>
        <v>189.37373513720101</v>
      </c>
      <c r="G680" s="99">
        <f>SUMIFS(Input!$D$115:$D$3257,Input!$A$115:$A$3257,"="&amp;'Output - County'!A680,Input!$B$115:$B$3257,"="&amp;'Output - County'!B680)*VLOOKUP(A680,'Output - State'!$B$2:$G$52,6,FALSE)</f>
        <v>39.122780256777055</v>
      </c>
    </row>
    <row r="681" spans="1:7" x14ac:dyDescent="0.25">
      <c r="A681" s="88">
        <v>17</v>
      </c>
      <c r="B681" s="88">
        <v>169</v>
      </c>
      <c r="C681" s="97">
        <f>SUMIFS(Input!$C$115:$C$3257,Input!$A$115:$A$3257,"="&amp;'Output - County'!A681,Input!$B$115:$B$3257,"="&amp;'Output - County'!B681)*VLOOKUP(A681,'Output - State'!$B$2:$G$52,2,FALSE)</f>
        <v>1.326009616941334</v>
      </c>
      <c r="D681" s="98">
        <f>SUMIFS(Input!$C$115:$C$3257,Input!$A$115:$A$3257,"="&amp;'Output - County'!A681,Input!$B$115:$B$3257,"="&amp;'Output - County'!B681)*VLOOKUP(A681,'Output - State'!$B$2:$G$52,3,FALSE)</f>
        <v>0.48631208547260862</v>
      </c>
      <c r="E681" s="98">
        <f>SUMIFS(Input!$C$115:$C$3257,Input!$A$115:$A$3257,"="&amp;'Output - County'!A681,Input!$B$115:$B$3257,"="&amp;'Output - County'!B681)*VLOOKUP(A681,'Output - State'!$B$2:$G$52,4,FALSE)</f>
        <v>1.7802402272626667</v>
      </c>
      <c r="F681" s="98">
        <f>SUMIFS(Input!$C$115:$C$3257,Input!$A$115:$A$3257,"="&amp;'Output - County'!A681,Input!$B$115:$B$3257,"="&amp;'Output - County'!B681)*VLOOKUP(A681,'Output - State'!$B$2:$G$52,5,FALSE)</f>
        <v>5.836901466446009</v>
      </c>
      <c r="G681" s="99">
        <f>SUMIFS(Input!$D$115:$D$3257,Input!$A$115:$A$3257,"="&amp;'Output - County'!A681,Input!$B$115:$B$3257,"="&amp;'Output - County'!B681)*VLOOKUP(A681,'Output - State'!$B$2:$G$52,6,FALSE)</f>
        <v>1.3712933692043794</v>
      </c>
    </row>
    <row r="682" spans="1:7" x14ac:dyDescent="0.25">
      <c r="A682" s="88">
        <v>17</v>
      </c>
      <c r="B682" s="88">
        <v>171</v>
      </c>
      <c r="C682" s="97">
        <f>SUMIFS(Input!$C$115:$C$3257,Input!$A$115:$A$3257,"="&amp;'Output - County'!A682,Input!$B$115:$B$3257,"="&amp;'Output - County'!B682)*VLOOKUP(A682,'Output - State'!$B$2:$G$52,2,FALSE)</f>
        <v>1.7311830896202391</v>
      </c>
      <c r="D682" s="98">
        <f>SUMIFS(Input!$C$115:$C$3257,Input!$A$115:$A$3257,"="&amp;'Output - County'!A682,Input!$B$115:$B$3257,"="&amp;'Output - County'!B682)*VLOOKUP(A682,'Output - State'!$B$2:$G$52,3,FALSE)</f>
        <v>0.63490886332340979</v>
      </c>
      <c r="E682" s="98">
        <f>SUMIFS(Input!$C$115:$C$3257,Input!$A$115:$A$3257,"="&amp;'Output - County'!A682,Input!$B$115:$B$3257,"="&amp;'Output - County'!B682)*VLOOKUP(A682,'Output - State'!$B$2:$G$52,4,FALSE)</f>
        <v>2.3242077112591351</v>
      </c>
      <c r="F682" s="98">
        <f>SUMIFS(Input!$C$115:$C$3257,Input!$A$115:$A$3257,"="&amp;'Output - County'!A682,Input!$B$115:$B$3257,"="&amp;'Output - County'!B682)*VLOOKUP(A682,'Output - State'!$B$2:$G$52,5,FALSE)</f>
        <v>7.6204161609319359</v>
      </c>
      <c r="G682" s="99">
        <f>SUMIFS(Input!$D$115:$D$3257,Input!$A$115:$A$3257,"="&amp;'Output - County'!A682,Input!$B$115:$B$3257,"="&amp;'Output - County'!B682)*VLOOKUP(A682,'Output - State'!$B$2:$G$52,6,FALSE)</f>
        <v>0.98405768707097396</v>
      </c>
    </row>
    <row r="683" spans="1:7" x14ac:dyDescent="0.25">
      <c r="A683" s="88">
        <v>17</v>
      </c>
      <c r="B683" s="88">
        <v>173</v>
      </c>
      <c r="C683" s="97">
        <f>SUMIFS(Input!$C$115:$C$3257,Input!$A$115:$A$3257,"="&amp;'Output - County'!A683,Input!$B$115:$B$3257,"="&amp;'Output - County'!B683)*VLOOKUP(A683,'Output - State'!$B$2:$G$52,2,FALSE)</f>
        <v>3.7977372369267632</v>
      </c>
      <c r="D683" s="98">
        <f>SUMIFS(Input!$C$115:$C$3257,Input!$A$115:$A$3257,"="&amp;'Output - County'!A683,Input!$B$115:$B$3257,"="&amp;'Output - County'!B683)*VLOOKUP(A683,'Output - State'!$B$2:$G$52,3,FALSE)</f>
        <v>1.3928145710036337</v>
      </c>
      <c r="E683" s="98">
        <f>SUMIFS(Input!$C$115:$C$3257,Input!$A$115:$A$3257,"="&amp;'Output - County'!A683,Input!$B$115:$B$3257,"="&amp;'Output - County'!B683)*VLOOKUP(A683,'Output - State'!$B$2:$G$52,4,FALSE)</f>
        <v>5.0986693575763953</v>
      </c>
      <c r="F683" s="98">
        <f>SUMIFS(Input!$C$115:$C$3257,Input!$A$115:$A$3257,"="&amp;'Output - County'!A683,Input!$B$115:$B$3257,"="&amp;'Output - County'!B683)*VLOOKUP(A683,'Output - State'!$B$2:$G$52,5,FALSE)</f>
        <v>16.717086938273063</v>
      </c>
      <c r="G683" s="99">
        <f>SUMIFS(Input!$D$115:$D$3257,Input!$A$115:$A$3257,"="&amp;'Output - County'!A683,Input!$B$115:$B$3257,"="&amp;'Output - County'!B683)*VLOOKUP(A683,'Output - State'!$B$2:$G$52,6,FALSE)</f>
        <v>4.3314506712860315</v>
      </c>
    </row>
    <row r="684" spans="1:7" x14ac:dyDescent="0.25">
      <c r="A684" s="88">
        <v>17</v>
      </c>
      <c r="B684" s="88">
        <v>175</v>
      </c>
      <c r="C684" s="97">
        <f>SUMIFS(Input!$C$115:$C$3257,Input!$A$115:$A$3257,"="&amp;'Output - County'!A684,Input!$B$115:$B$3257,"="&amp;'Output - County'!B684)*VLOOKUP(A684,'Output - State'!$B$2:$G$52,2,FALSE)</f>
        <v>0.94729006692899431</v>
      </c>
      <c r="D684" s="98">
        <f>SUMIFS(Input!$C$115:$C$3257,Input!$A$115:$A$3257,"="&amp;'Output - County'!A684,Input!$B$115:$B$3257,"="&amp;'Output - County'!B684)*VLOOKUP(A684,'Output - State'!$B$2:$G$52,3,FALSE)</f>
        <v>0.34741724502598975</v>
      </c>
      <c r="E684" s="98">
        <f>SUMIFS(Input!$C$115:$C$3257,Input!$A$115:$A$3257,"="&amp;'Output - County'!A684,Input!$B$115:$B$3257,"="&amp;'Output - County'!B684)*VLOOKUP(A684,'Output - State'!$B$2:$G$52,4,FALSE)</f>
        <v>1.2717885771622957</v>
      </c>
      <c r="F684" s="98">
        <f>SUMIFS(Input!$C$115:$C$3257,Input!$A$115:$A$3257,"="&amp;'Output - County'!A684,Input!$B$115:$B$3257,"="&amp;'Output - County'!B684)*VLOOKUP(A684,'Output - State'!$B$2:$G$52,5,FALSE)</f>
        <v>4.1698330918305944</v>
      </c>
      <c r="G684" s="99">
        <f>SUMIFS(Input!$D$115:$D$3257,Input!$A$115:$A$3257,"="&amp;'Output - County'!A684,Input!$B$115:$B$3257,"="&amp;'Output - County'!B684)*VLOOKUP(A684,'Output - State'!$B$2:$G$52,6,FALSE)</f>
        <v>1.0818646377129166</v>
      </c>
    </row>
    <row r="685" spans="1:7" x14ac:dyDescent="0.25">
      <c r="A685" s="88">
        <v>17</v>
      </c>
      <c r="B685" s="88">
        <v>177</v>
      </c>
      <c r="C685" s="97">
        <f>SUMIFS(Input!$C$115:$C$3257,Input!$A$115:$A$3257,"="&amp;'Output - County'!A685,Input!$B$115:$B$3257,"="&amp;'Output - County'!B685)*VLOOKUP(A685,'Output - State'!$B$2:$G$52,2,FALSE)</f>
        <v>6.6991257112011899</v>
      </c>
      <c r="D685" s="98">
        <f>SUMIFS(Input!$C$115:$C$3257,Input!$A$115:$A$3257,"="&amp;'Output - County'!A685,Input!$B$115:$B$3257,"="&amp;'Output - County'!B685)*VLOOKUP(A685,'Output - State'!$B$2:$G$52,3,FALSE)</f>
        <v>2.4568945457365863</v>
      </c>
      <c r="E685" s="98">
        <f>SUMIFS(Input!$C$115:$C$3257,Input!$A$115:$A$3257,"="&amp;'Output - County'!A685,Input!$B$115:$B$3257,"="&amp;'Output - County'!B685)*VLOOKUP(A685,'Output - State'!$B$2:$G$52,4,FALSE)</f>
        <v>8.9939416171652251</v>
      </c>
      <c r="F685" s="98">
        <f>SUMIFS(Input!$C$115:$C$3257,Input!$A$115:$A$3257,"="&amp;'Output - County'!A685,Input!$B$115:$B$3257,"="&amp;'Output - County'!B685)*VLOOKUP(A685,'Output - State'!$B$2:$G$52,5,FALSE)</f>
        <v>29.488576996758212</v>
      </c>
      <c r="G685" s="99">
        <f>SUMIFS(Input!$D$115:$D$3257,Input!$A$115:$A$3257,"="&amp;'Output - County'!A685,Input!$B$115:$B$3257,"="&amp;'Output - County'!B685)*VLOOKUP(A685,'Output - State'!$B$2:$G$52,6,FALSE)</f>
        <v>8.9423497729776127</v>
      </c>
    </row>
    <row r="686" spans="1:7" x14ac:dyDescent="0.25">
      <c r="A686" s="88">
        <v>17</v>
      </c>
      <c r="B686" s="88">
        <v>179</v>
      </c>
      <c r="C686" s="97">
        <f>SUMIFS(Input!$C$115:$C$3257,Input!$A$115:$A$3257,"="&amp;'Output - County'!A686,Input!$B$115:$B$3257,"="&amp;'Output - County'!B686)*VLOOKUP(A686,'Output - State'!$B$2:$G$52,2,FALSE)</f>
        <v>24.926466597867204</v>
      </c>
      <c r="D686" s="98">
        <f>SUMIFS(Input!$C$115:$C$3257,Input!$A$115:$A$3257,"="&amp;'Output - County'!A686,Input!$B$115:$B$3257,"="&amp;'Output - County'!B686)*VLOOKUP(A686,'Output - State'!$B$2:$G$52,3,FALSE)</f>
        <v>9.1417451274853239</v>
      </c>
      <c r="E686" s="98">
        <f>SUMIFS(Input!$C$115:$C$3257,Input!$A$115:$A$3257,"="&amp;'Output - County'!A686,Input!$B$115:$B$3257,"="&amp;'Output - County'!B686)*VLOOKUP(A686,'Output - State'!$B$2:$G$52,4,FALSE)</f>
        <v>33.4651408210757</v>
      </c>
      <c r="F686" s="98">
        <f>SUMIFS(Input!$C$115:$C$3257,Input!$A$115:$A$3257,"="&amp;'Output - County'!A686,Input!$B$115:$B$3257,"="&amp;'Output - County'!B686)*VLOOKUP(A686,'Output - State'!$B$2:$G$52,5,FALSE)</f>
        <v>109.72268042370129</v>
      </c>
      <c r="G686" s="99">
        <f>SUMIFS(Input!$D$115:$D$3257,Input!$A$115:$A$3257,"="&amp;'Output - County'!A686,Input!$B$115:$B$3257,"="&amp;'Output - County'!B686)*VLOOKUP(A686,'Output - State'!$B$2:$G$52,6,FALSE)</f>
        <v>26.347994866809039</v>
      </c>
    </row>
    <row r="687" spans="1:7" x14ac:dyDescent="0.25">
      <c r="A687" s="88">
        <v>17</v>
      </c>
      <c r="B687" s="88">
        <v>181</v>
      </c>
      <c r="C687" s="97">
        <f>SUMIFS(Input!$C$115:$C$3257,Input!$A$115:$A$3257,"="&amp;'Output - County'!A687,Input!$B$115:$B$3257,"="&amp;'Output - County'!B687)*VLOOKUP(A687,'Output - State'!$B$2:$G$52,2,FALSE)</f>
        <v>4.7128986739117655</v>
      </c>
      <c r="D687" s="98">
        <f>SUMIFS(Input!$C$115:$C$3257,Input!$A$115:$A$3257,"="&amp;'Output - County'!A687,Input!$B$115:$B$3257,"="&amp;'Output - County'!B687)*VLOOKUP(A687,'Output - State'!$B$2:$G$52,3,FALSE)</f>
        <v>1.72844868804034</v>
      </c>
      <c r="E687" s="98">
        <f>SUMIFS(Input!$C$115:$C$3257,Input!$A$115:$A$3257,"="&amp;'Output - County'!A687,Input!$B$115:$B$3257,"="&amp;'Output - County'!B687)*VLOOKUP(A687,'Output - State'!$B$2:$G$52,4,FALSE)</f>
        <v>6.3273234968414274</v>
      </c>
      <c r="F687" s="98">
        <f>SUMIFS(Input!$C$115:$C$3257,Input!$A$115:$A$3257,"="&amp;'Output - County'!A687,Input!$B$115:$B$3257,"="&amp;'Output - County'!B687)*VLOOKUP(A687,'Output - State'!$B$2:$G$52,5,FALSE)</f>
        <v>20.745494474180795</v>
      </c>
      <c r="G687" s="99">
        <f>SUMIFS(Input!$D$115:$D$3257,Input!$A$115:$A$3257,"="&amp;'Output - County'!A687,Input!$B$115:$B$3257,"="&amp;'Output - County'!B687)*VLOOKUP(A687,'Output - State'!$B$2:$G$52,6,FALSE)</f>
        <v>3.353381164866605</v>
      </c>
    </row>
    <row r="688" spans="1:7" x14ac:dyDescent="0.25">
      <c r="A688" s="88">
        <v>17</v>
      </c>
      <c r="B688" s="88">
        <v>183</v>
      </c>
      <c r="C688" s="97">
        <f>SUMIFS(Input!$C$115:$C$3257,Input!$A$115:$A$3257,"="&amp;'Output - County'!A688,Input!$B$115:$B$3257,"="&amp;'Output - County'!B688)*VLOOKUP(A688,'Output - State'!$B$2:$G$52,2,FALSE)</f>
        <v>13.513431504012006</v>
      </c>
      <c r="D688" s="98">
        <f>SUMIFS(Input!$C$115:$C$3257,Input!$A$115:$A$3257,"="&amp;'Output - County'!A688,Input!$B$115:$B$3257,"="&amp;'Output - County'!B688)*VLOOKUP(A688,'Output - State'!$B$2:$G$52,3,FALSE)</f>
        <v>4.956031217757058</v>
      </c>
      <c r="E688" s="98">
        <f>SUMIFS(Input!$C$115:$C$3257,Input!$A$115:$A$3257,"="&amp;'Output - County'!A688,Input!$B$115:$B$3257,"="&amp;'Output - County'!B688)*VLOOKUP(A688,'Output - State'!$B$2:$G$52,4,FALSE)</f>
        <v>18.142518775461618</v>
      </c>
      <c r="F688" s="98">
        <f>SUMIFS(Input!$C$115:$C$3257,Input!$A$115:$A$3257,"="&amp;'Output - County'!A688,Input!$B$115:$B$3257,"="&amp;'Output - County'!B688)*VLOOKUP(A688,'Output - State'!$B$2:$G$52,5,FALSE)</f>
        <v>59.484159959885936</v>
      </c>
      <c r="G688" s="99">
        <f>SUMIFS(Input!$D$115:$D$3257,Input!$A$115:$A$3257,"="&amp;'Output - County'!A688,Input!$B$115:$B$3257,"="&amp;'Output - County'!B688)*VLOOKUP(A688,'Output - State'!$B$2:$G$52,6,FALSE)</f>
        <v>15.309781865789796</v>
      </c>
    </row>
    <row r="689" spans="1:7" x14ac:dyDescent="0.25">
      <c r="A689" s="88">
        <v>17</v>
      </c>
      <c r="B689" s="88">
        <v>185</v>
      </c>
      <c r="C689" s="97">
        <f>SUMIFS(Input!$C$115:$C$3257,Input!$A$115:$A$3257,"="&amp;'Output - County'!A689,Input!$B$115:$B$3257,"="&amp;'Output - County'!B689)*VLOOKUP(A689,'Output - State'!$B$2:$G$52,2,FALSE)</f>
        <v>1.5364043533985094</v>
      </c>
      <c r="D689" s="98">
        <f>SUMIFS(Input!$C$115:$C$3257,Input!$A$115:$A$3257,"="&amp;'Output - County'!A689,Input!$B$115:$B$3257,"="&amp;'Output - County'!B689)*VLOOKUP(A689,'Output - State'!$B$2:$G$52,3,FALSE)</f>
        <v>0.56347404700872605</v>
      </c>
      <c r="E689" s="98">
        <f>SUMIFS(Input!$C$115:$C$3257,Input!$A$115:$A$3257,"="&amp;'Output - County'!A689,Input!$B$115:$B$3257,"="&amp;'Output - County'!B689)*VLOOKUP(A689,'Output - State'!$B$2:$G$52,4,FALSE)</f>
        <v>2.0627066352434489</v>
      </c>
      <c r="F689" s="98">
        <f>SUMIFS(Input!$C$115:$C$3257,Input!$A$115:$A$3257,"="&amp;'Output - County'!A689,Input!$B$115:$B$3257,"="&amp;'Output - County'!B689)*VLOOKUP(A689,'Output - State'!$B$2:$G$52,5,FALSE)</f>
        <v>6.7630284945381005</v>
      </c>
      <c r="G689" s="99">
        <f>SUMIFS(Input!$D$115:$D$3257,Input!$A$115:$A$3257,"="&amp;'Output - County'!A689,Input!$B$115:$B$3257,"="&amp;'Output - County'!B689)*VLOOKUP(A689,'Output - State'!$B$2:$G$52,6,FALSE)</f>
        <v>2.2954692497598783</v>
      </c>
    </row>
    <row r="690" spans="1:7" x14ac:dyDescent="0.25">
      <c r="A690" s="88">
        <v>17</v>
      </c>
      <c r="B690" s="88">
        <v>187</v>
      </c>
      <c r="C690" s="97">
        <f>SUMIFS(Input!$C$115:$C$3257,Input!$A$115:$A$3257,"="&amp;'Output - County'!A690,Input!$B$115:$B$3257,"="&amp;'Output - County'!B690)*VLOOKUP(A690,'Output - State'!$B$2:$G$52,2,FALSE)</f>
        <v>3.4381141644735411</v>
      </c>
      <c r="D690" s="98">
        <f>SUMIFS(Input!$C$115:$C$3257,Input!$A$115:$A$3257,"="&amp;'Output - County'!A690,Input!$B$115:$B$3257,"="&amp;'Output - County'!B690)*VLOOKUP(A690,'Output - State'!$B$2:$G$52,3,FALSE)</f>
        <v>1.260923335740797</v>
      </c>
      <c r="E690" s="98">
        <f>SUMIFS(Input!$C$115:$C$3257,Input!$A$115:$A$3257,"="&amp;'Output - County'!A690,Input!$B$115:$B$3257,"="&amp;'Output - County'!B690)*VLOOKUP(A690,'Output - State'!$B$2:$G$52,4,FALSE)</f>
        <v>4.6158557700627636</v>
      </c>
      <c r="F690" s="98">
        <f>SUMIFS(Input!$C$115:$C$3257,Input!$A$115:$A$3257,"="&amp;'Output - County'!A690,Input!$B$115:$B$3257,"="&amp;'Output - County'!B690)*VLOOKUP(A690,'Output - State'!$B$2:$G$52,5,FALSE)</f>
        <v>15.134078480301298</v>
      </c>
      <c r="G690" s="99">
        <f>SUMIFS(Input!$D$115:$D$3257,Input!$A$115:$A$3257,"="&amp;'Output - County'!A690,Input!$B$115:$B$3257,"="&amp;'Output - County'!B690)*VLOOKUP(A690,'Output - State'!$B$2:$G$52,6,FALSE)</f>
        <v>3.3933023692102546</v>
      </c>
    </row>
    <row r="691" spans="1:7" x14ac:dyDescent="0.25">
      <c r="A691" s="88">
        <v>17</v>
      </c>
      <c r="B691" s="88">
        <v>189</v>
      </c>
      <c r="C691" s="97">
        <f>SUMIFS(Input!$C$115:$C$3257,Input!$A$115:$A$3257,"="&amp;'Output - County'!A691,Input!$B$115:$B$3257,"="&amp;'Output - County'!B691)*VLOOKUP(A691,'Output - State'!$B$2:$G$52,2,FALSE)</f>
        <v>8.2450640651407188</v>
      </c>
      <c r="D691" s="98">
        <f>SUMIFS(Input!$C$115:$C$3257,Input!$A$115:$A$3257,"="&amp;'Output - County'!A691,Input!$B$115:$B$3257,"="&amp;'Output - County'!B691)*VLOOKUP(A691,'Output - State'!$B$2:$G$52,3,FALSE)</f>
        <v>3.0238651734840665</v>
      </c>
      <c r="E691" s="98">
        <f>SUMIFS(Input!$C$115:$C$3257,Input!$A$115:$A$3257,"="&amp;'Output - County'!A691,Input!$B$115:$B$3257,"="&amp;'Output - County'!B691)*VLOOKUP(A691,'Output - State'!$B$2:$G$52,4,FALSE)</f>
        <v>11.069448168090293</v>
      </c>
      <c r="F691" s="98">
        <f>SUMIFS(Input!$C$115:$C$3257,Input!$A$115:$A$3257,"="&amp;'Output - County'!A691,Input!$B$115:$B$3257,"="&amp;'Output - County'!B691)*VLOOKUP(A691,'Output - State'!$B$2:$G$52,5,FALSE)</f>
        <v>36.293572774963032</v>
      </c>
      <c r="G691" s="99">
        <f>SUMIFS(Input!$D$115:$D$3257,Input!$A$115:$A$3257,"="&amp;'Output - County'!A691,Input!$B$115:$B$3257,"="&amp;'Output - County'!B691)*VLOOKUP(A691,'Output - State'!$B$2:$G$52,6,FALSE)</f>
        <v>2.7944843040555041</v>
      </c>
    </row>
    <row r="692" spans="1:7" x14ac:dyDescent="0.25">
      <c r="A692" s="88">
        <v>17</v>
      </c>
      <c r="B692" s="88">
        <v>191</v>
      </c>
      <c r="C692" s="97">
        <f>SUMIFS(Input!$C$115:$C$3257,Input!$A$115:$A$3257,"="&amp;'Output - County'!A692,Input!$B$115:$B$3257,"="&amp;'Output - County'!B692)*VLOOKUP(A692,'Output - State'!$B$2:$G$52,2,FALSE)</f>
        <v>4.5986256834589527</v>
      </c>
      <c r="D692" s="98">
        <f>SUMIFS(Input!$C$115:$C$3257,Input!$A$115:$A$3257,"="&amp;'Output - County'!A692,Input!$B$115:$B$3257,"="&amp;'Output - County'!B692)*VLOOKUP(A692,'Output - State'!$B$2:$G$52,3,FALSE)</f>
        <v>1.6865392361100546</v>
      </c>
      <c r="E692" s="98">
        <f>SUMIFS(Input!$C$115:$C$3257,Input!$A$115:$A$3257,"="&amp;'Output - County'!A692,Input!$B$115:$B$3257,"="&amp;'Output - County'!B692)*VLOOKUP(A692,'Output - State'!$B$2:$G$52,4,FALSE)</f>
        <v>6.1739057750582669</v>
      </c>
      <c r="F692" s="98">
        <f>SUMIFS(Input!$C$115:$C$3257,Input!$A$115:$A$3257,"="&amp;'Output - County'!A692,Input!$B$115:$B$3257,"="&amp;'Output - County'!B692)*VLOOKUP(A692,'Output - State'!$B$2:$G$52,5,FALSE)</f>
        <v>20.242481391147699</v>
      </c>
      <c r="G692" s="99">
        <f>SUMIFS(Input!$D$115:$D$3257,Input!$A$115:$A$3257,"="&amp;'Output - County'!A692,Input!$B$115:$B$3257,"="&amp;'Output - County'!B692)*VLOOKUP(A692,'Output - State'!$B$2:$G$52,6,FALSE)</f>
        <v>3.2535781540074793</v>
      </c>
    </row>
    <row r="693" spans="1:7" x14ac:dyDescent="0.25">
      <c r="A693" s="88">
        <v>17</v>
      </c>
      <c r="B693" s="88">
        <v>193</v>
      </c>
      <c r="C693" s="97">
        <f>SUMIFS(Input!$C$115:$C$3257,Input!$A$115:$A$3257,"="&amp;'Output - County'!A693,Input!$B$115:$B$3257,"="&amp;'Output - County'!B693)*VLOOKUP(A693,'Output - State'!$B$2:$G$52,2,FALSE)</f>
        <v>3.5726771760554761</v>
      </c>
      <c r="D693" s="98">
        <f>SUMIFS(Input!$C$115:$C$3257,Input!$A$115:$A$3257,"="&amp;'Output - County'!A693,Input!$B$115:$B$3257,"="&amp;'Output - County'!B693)*VLOOKUP(A693,'Output - State'!$B$2:$G$52,3,FALSE)</f>
        <v>1.3102741232115793</v>
      </c>
      <c r="E693" s="98">
        <f>SUMIFS(Input!$C$115:$C$3257,Input!$A$115:$A$3257,"="&amp;'Output - County'!A693,Input!$B$115:$B$3257,"="&amp;'Output - County'!B693)*VLOOKUP(A693,'Output - State'!$B$2:$G$52,4,FALSE)</f>
        <v>4.7965139517676176</v>
      </c>
      <c r="F693" s="98">
        <f>SUMIFS(Input!$C$115:$C$3257,Input!$A$115:$A$3257,"="&amp;'Output - County'!A693,Input!$B$115:$B$3257,"="&amp;'Output - County'!B693)*VLOOKUP(A693,'Output - State'!$B$2:$G$52,5,FALSE)</f>
        <v>15.726405285172982</v>
      </c>
      <c r="G693" s="99">
        <f>SUMIFS(Input!$D$115:$D$3257,Input!$A$115:$A$3257,"="&amp;'Output - County'!A693,Input!$B$115:$B$3257,"="&amp;'Output - County'!B693)*VLOOKUP(A693,'Output - State'!$B$2:$G$52,6,FALSE)</f>
        <v>2.7146418953682039</v>
      </c>
    </row>
    <row r="694" spans="1:7" x14ac:dyDescent="0.25">
      <c r="A694" s="88">
        <v>17</v>
      </c>
      <c r="B694" s="88">
        <v>195</v>
      </c>
      <c r="C694" s="97">
        <f>SUMIFS(Input!$C$115:$C$3257,Input!$A$115:$A$3257,"="&amp;'Output - County'!A694,Input!$B$115:$B$3257,"="&amp;'Output - County'!B694)*VLOOKUP(A694,'Output - State'!$B$2:$G$52,2,FALSE)</f>
        <v>10.328365706897458</v>
      </c>
      <c r="D694" s="98">
        <f>SUMIFS(Input!$C$115:$C$3257,Input!$A$115:$A$3257,"="&amp;'Output - County'!A694,Input!$B$115:$B$3257,"="&amp;'Output - County'!B694)*VLOOKUP(A694,'Output - State'!$B$2:$G$52,3,FALSE)</f>
        <v>3.7879130002322587</v>
      </c>
      <c r="E694" s="98">
        <f>SUMIFS(Input!$C$115:$C$3257,Input!$A$115:$A$3257,"="&amp;'Output - County'!A694,Input!$B$115:$B$3257,"="&amp;'Output - County'!B694)*VLOOKUP(A694,'Output - State'!$B$2:$G$52,4,FALSE)</f>
        <v>13.866394239064219</v>
      </c>
      <c r="F694" s="98">
        <f>SUMIFS(Input!$C$115:$C$3257,Input!$A$115:$A$3257,"="&amp;'Output - County'!A694,Input!$B$115:$B$3257,"="&amp;'Output - County'!B694)*VLOOKUP(A694,'Output - State'!$B$2:$G$52,5,FALSE)</f>
        <v>45.463963586960652</v>
      </c>
      <c r="G694" s="99">
        <f>SUMIFS(Input!$D$115:$D$3257,Input!$A$115:$A$3257,"="&amp;'Output - County'!A694,Input!$B$115:$B$3257,"="&amp;'Output - County'!B694)*VLOOKUP(A694,'Output - State'!$B$2:$G$52,6,FALSE)</f>
        <v>11.098094807534716</v>
      </c>
    </row>
    <row r="695" spans="1:7" x14ac:dyDescent="0.25">
      <c r="A695" s="88">
        <v>17</v>
      </c>
      <c r="B695" s="88">
        <v>197</v>
      </c>
      <c r="C695" s="97">
        <f>SUMIFS(Input!$C$115:$C$3257,Input!$A$115:$A$3257,"="&amp;'Output - County'!A695,Input!$B$115:$B$3257,"="&amp;'Output - County'!B695)*VLOOKUP(A695,'Output - State'!$B$2:$G$52,2,FALSE)</f>
        <v>120.53310333258334</v>
      </c>
      <c r="D695" s="98">
        <f>SUMIFS(Input!$C$115:$C$3257,Input!$A$115:$A$3257,"="&amp;'Output - County'!A695,Input!$B$115:$B$3257,"="&amp;'Output - County'!B695)*VLOOKUP(A695,'Output - State'!$B$2:$G$52,3,FALSE)</f>
        <v>44.205339162896429</v>
      </c>
      <c r="E695" s="98">
        <f>SUMIFS(Input!$C$115:$C$3257,Input!$A$115:$A$3257,"="&amp;'Output - County'!A695,Input!$B$115:$B$3257,"="&amp;'Output - County'!B695)*VLOOKUP(A695,'Output - State'!$B$2:$G$52,4,FALSE)</f>
        <v>161.82226473170905</v>
      </c>
      <c r="F695" s="98">
        <f>SUMIFS(Input!$C$115:$C$3257,Input!$A$115:$A$3257,"="&amp;'Output - County'!A695,Input!$B$115:$B$3257,"="&amp;'Output - County'!B695)*VLOOKUP(A695,'Output - State'!$B$2:$G$52,5,FALSE)</f>
        <v>530.56918940005733</v>
      </c>
      <c r="G695" s="99">
        <f>SUMIFS(Input!$D$115:$D$3257,Input!$A$115:$A$3257,"="&amp;'Output - County'!A695,Input!$B$115:$B$3257,"="&amp;'Output - County'!B695)*VLOOKUP(A695,'Output - State'!$B$2:$G$52,6,FALSE)</f>
        <v>137.92776100731095</v>
      </c>
    </row>
    <row r="696" spans="1:7" x14ac:dyDescent="0.25">
      <c r="A696" s="88">
        <v>17</v>
      </c>
      <c r="B696" s="88">
        <v>199</v>
      </c>
      <c r="C696" s="97">
        <f>SUMIFS(Input!$C$115:$C$3257,Input!$A$115:$A$3257,"="&amp;'Output - County'!A696,Input!$B$115:$B$3257,"="&amp;'Output - County'!B696)*VLOOKUP(A696,'Output - State'!$B$2:$G$52,2,FALSE)</f>
        <v>16.129499884196765</v>
      </c>
      <c r="D696" s="98">
        <f>SUMIFS(Input!$C$115:$C$3257,Input!$A$115:$A$3257,"="&amp;'Output - County'!A696,Input!$B$115:$B$3257,"="&amp;'Output - County'!B696)*VLOOKUP(A696,'Output - State'!$B$2:$G$52,3,FALSE)</f>
        <v>5.9154704657477355</v>
      </c>
      <c r="E696" s="98">
        <f>SUMIFS(Input!$C$115:$C$3257,Input!$A$115:$A$3257,"="&amp;'Output - County'!A696,Input!$B$115:$B$3257,"="&amp;'Output - County'!B696)*VLOOKUP(A696,'Output - State'!$B$2:$G$52,4,FALSE)</f>
        <v>21.654733248247631</v>
      </c>
      <c r="F696" s="98">
        <f>SUMIFS(Input!$C$115:$C$3257,Input!$A$115:$A$3257,"="&amp;'Output - County'!A696,Input!$B$115:$B$3257,"="&amp;'Output - County'!B696)*VLOOKUP(A696,'Output - State'!$B$2:$G$52,5,FALSE)</f>
        <v>70.999712463830576</v>
      </c>
      <c r="G696" s="99">
        <f>SUMIFS(Input!$D$115:$D$3257,Input!$A$115:$A$3257,"="&amp;'Output - County'!A696,Input!$B$115:$B$3257,"="&amp;'Output - County'!B696)*VLOOKUP(A696,'Output - State'!$B$2:$G$52,6,FALSE)</f>
        <v>13.373603455122769</v>
      </c>
    </row>
    <row r="697" spans="1:7" x14ac:dyDescent="0.25">
      <c r="A697" s="88">
        <v>17</v>
      </c>
      <c r="B697" s="88">
        <v>201</v>
      </c>
      <c r="C697" s="97">
        <f>SUMIFS(Input!$C$115:$C$3257,Input!$A$115:$A$3257,"="&amp;'Output - County'!A697,Input!$B$115:$B$3257,"="&amp;'Output - County'!B697)*VLOOKUP(A697,'Output - State'!$B$2:$G$52,2,FALSE)</f>
        <v>50.276483757012393</v>
      </c>
      <c r="D697" s="98">
        <f>SUMIFS(Input!$C$115:$C$3257,Input!$A$115:$A$3257,"="&amp;'Output - County'!A697,Input!$B$115:$B$3257,"="&amp;'Output - County'!B697)*VLOOKUP(A697,'Output - State'!$B$2:$G$52,3,FALSE)</f>
        <v>18.438826803157465</v>
      </c>
      <c r="E697" s="98">
        <f>SUMIFS(Input!$C$115:$C$3257,Input!$A$115:$A$3257,"="&amp;'Output - County'!A697,Input!$B$115:$B$3257,"="&amp;'Output - County'!B697)*VLOOKUP(A697,'Output - State'!$B$2:$G$52,4,FALSE)</f>
        <v>67.498921369822483</v>
      </c>
      <c r="F697" s="98">
        <f>SUMIFS(Input!$C$115:$C$3257,Input!$A$115:$A$3257,"="&amp;'Output - County'!A697,Input!$B$115:$B$3257,"="&amp;'Output - County'!B697)*VLOOKUP(A697,'Output - State'!$B$2:$G$52,5,FALSE)</f>
        <v>221.30976881296479</v>
      </c>
      <c r="G697" s="99">
        <f>SUMIFS(Input!$D$115:$D$3257,Input!$A$115:$A$3257,"="&amp;'Output - County'!A697,Input!$B$115:$B$3257,"="&amp;'Output - County'!B697)*VLOOKUP(A697,'Output - State'!$B$2:$G$52,6,FALSE)</f>
        <v>56.688110167983083</v>
      </c>
    </row>
    <row r="698" spans="1:7" x14ac:dyDescent="0.25">
      <c r="A698" s="88">
        <v>17</v>
      </c>
      <c r="B698" s="88">
        <v>203</v>
      </c>
      <c r="C698" s="97">
        <f>SUMIFS(Input!$C$115:$C$3257,Input!$A$115:$A$3257,"="&amp;'Output - County'!A698,Input!$B$115:$B$3257,"="&amp;'Output - County'!B698)*VLOOKUP(A698,'Output - State'!$B$2:$G$52,2,FALSE)</f>
        <v>8.7494486492246608</v>
      </c>
      <c r="D698" s="98">
        <f>SUMIFS(Input!$C$115:$C$3257,Input!$A$115:$A$3257,"="&amp;'Output - County'!A698,Input!$B$115:$B$3257,"="&amp;'Output - County'!B698)*VLOOKUP(A698,'Output - State'!$B$2:$G$52,3,FALSE)</f>
        <v>3.2088474811779539</v>
      </c>
      <c r="E698" s="98">
        <f>SUMIFS(Input!$C$115:$C$3257,Input!$A$115:$A$3257,"="&amp;'Output - County'!A698,Input!$B$115:$B$3257,"="&amp;'Output - County'!B698)*VLOOKUP(A698,'Output - State'!$B$2:$G$52,4,FALSE)</f>
        <v>11.746611979819352</v>
      </c>
      <c r="F698" s="98">
        <f>SUMIFS(Input!$C$115:$C$3257,Input!$A$115:$A$3257,"="&amp;'Output - County'!A698,Input!$B$115:$B$3257,"="&amp;'Output - County'!B698)*VLOOKUP(A698,'Output - State'!$B$2:$G$52,5,FALSE)</f>
        <v>38.513800351655313</v>
      </c>
      <c r="G698" s="99">
        <f>SUMIFS(Input!$D$115:$D$3257,Input!$A$115:$A$3257,"="&amp;'Output - County'!A698,Input!$B$115:$B$3257,"="&amp;'Output - County'!B698)*VLOOKUP(A698,'Output - State'!$B$2:$G$52,6,FALSE)</f>
        <v>7.684831836152636</v>
      </c>
    </row>
    <row r="699" spans="1:7" x14ac:dyDescent="0.25">
      <c r="A699" s="88">
        <v>18</v>
      </c>
      <c r="B699" s="88">
        <v>1</v>
      </c>
      <c r="C699" s="97">
        <f>SUMIFS(Input!$C$115:$C$3257,Input!$A$115:$A$3257,"="&amp;'Output - County'!A699,Input!$B$115:$B$3257,"="&amp;'Output - County'!B699)*VLOOKUP(A699,'Output - State'!$B$2:$G$52,2,FALSE)</f>
        <v>9.3290710163363784</v>
      </c>
      <c r="D699" s="98">
        <f>SUMIFS(Input!$C$115:$C$3257,Input!$A$115:$A$3257,"="&amp;'Output - County'!A699,Input!$B$115:$B$3257,"="&amp;'Output - County'!B699)*VLOOKUP(A699,'Output - State'!$B$2:$G$52,3,FALSE)</f>
        <v>2.4705582572774127</v>
      </c>
      <c r="E699" s="98">
        <f>SUMIFS(Input!$C$115:$C$3257,Input!$A$115:$A$3257,"="&amp;'Output - County'!A699,Input!$B$115:$B$3257,"="&amp;'Output - County'!B699)*VLOOKUP(A699,'Output - State'!$B$2:$G$52,4,FALSE)</f>
        <v>11.243842532519148</v>
      </c>
      <c r="F699" s="98">
        <f>SUMIFS(Input!$C$115:$C$3257,Input!$A$115:$A$3257,"="&amp;'Output - County'!A699,Input!$B$115:$B$3257,"="&amp;'Output - County'!B699)*VLOOKUP(A699,'Output - State'!$B$2:$G$52,5,FALSE)</f>
        <v>36.865362304199699</v>
      </c>
      <c r="G699" s="99">
        <f>SUMIFS(Input!$D$115:$D$3257,Input!$A$115:$A$3257,"="&amp;'Output - County'!A699,Input!$B$115:$B$3257,"="&amp;'Output - County'!B699)*VLOOKUP(A699,'Output - State'!$B$2:$G$52,6,FALSE)</f>
        <v>8.031381433255758</v>
      </c>
    </row>
    <row r="700" spans="1:7" x14ac:dyDescent="0.25">
      <c r="A700" s="88">
        <v>18</v>
      </c>
      <c r="B700" s="88">
        <v>3</v>
      </c>
      <c r="C700" s="97">
        <f>SUMIFS(Input!$C$115:$C$3257,Input!$A$115:$A$3257,"="&amp;'Output - County'!A700,Input!$B$115:$B$3257,"="&amp;'Output - County'!B700)*VLOOKUP(A700,'Output - State'!$B$2:$G$52,2,FALSE)</f>
        <v>126.3934339649212</v>
      </c>
      <c r="D700" s="98">
        <f>SUMIFS(Input!$C$115:$C$3257,Input!$A$115:$A$3257,"="&amp;'Output - County'!A700,Input!$B$115:$B$3257,"="&amp;'Output - County'!B700)*VLOOKUP(A700,'Output - State'!$B$2:$G$52,3,FALSE)</f>
        <v>33.471965365133656</v>
      </c>
      <c r="E700" s="98">
        <f>SUMIFS(Input!$C$115:$C$3257,Input!$A$115:$A$3257,"="&amp;'Output - County'!A700,Input!$B$115:$B$3257,"="&amp;'Output - County'!B700)*VLOOKUP(A700,'Output - State'!$B$2:$G$52,4,FALSE)</f>
        <v>152.33541112049875</v>
      </c>
      <c r="F700" s="98">
        <f>SUMIFS(Input!$C$115:$C$3257,Input!$A$115:$A$3257,"="&amp;'Output - County'!A700,Input!$B$115:$B$3257,"="&amp;'Output - County'!B700)*VLOOKUP(A700,'Output - State'!$B$2:$G$52,5,FALSE)</f>
        <v>499.46449414194825</v>
      </c>
      <c r="G700" s="99">
        <f>SUMIFS(Input!$D$115:$D$3257,Input!$A$115:$A$3257,"="&amp;'Output - County'!A700,Input!$B$115:$B$3257,"="&amp;'Output - County'!B700)*VLOOKUP(A700,'Output - State'!$B$2:$G$52,6,FALSE)</f>
        <v>84.600225771654763</v>
      </c>
    </row>
    <row r="701" spans="1:7" x14ac:dyDescent="0.25">
      <c r="A701" s="88">
        <v>18</v>
      </c>
      <c r="B701" s="88">
        <v>5</v>
      </c>
      <c r="C701" s="97">
        <f>SUMIFS(Input!$C$115:$C$3257,Input!$A$115:$A$3257,"="&amp;'Output - County'!A701,Input!$B$115:$B$3257,"="&amp;'Output - County'!B701)*VLOOKUP(A701,'Output - State'!$B$2:$G$52,2,FALSE)</f>
        <v>32.896627673088766</v>
      </c>
      <c r="D701" s="98">
        <f>SUMIFS(Input!$C$115:$C$3257,Input!$A$115:$A$3257,"="&amp;'Output - County'!A701,Input!$B$115:$B$3257,"="&amp;'Output - County'!B701)*VLOOKUP(A701,'Output - State'!$B$2:$G$52,3,FALSE)</f>
        <v>8.7118036717708307</v>
      </c>
      <c r="E701" s="98">
        <f>SUMIFS(Input!$C$115:$C$3257,Input!$A$115:$A$3257,"="&amp;'Output - County'!A701,Input!$B$115:$B$3257,"="&amp;'Output - County'!B701)*VLOOKUP(A701,'Output - State'!$B$2:$G$52,4,FALSE)</f>
        <v>39.648588885153465</v>
      </c>
      <c r="F701" s="98">
        <f>SUMIFS(Input!$C$115:$C$3257,Input!$A$115:$A$3257,"="&amp;'Output - County'!A701,Input!$B$115:$B$3257,"="&amp;'Output - County'!B701)*VLOOKUP(A701,'Output - State'!$B$2:$G$52,5,FALSE)</f>
        <v>129.99644826704699</v>
      </c>
      <c r="G701" s="99">
        <f>SUMIFS(Input!$D$115:$D$3257,Input!$A$115:$A$3257,"="&amp;'Output - County'!A701,Input!$B$115:$B$3257,"="&amp;'Output - County'!B701)*VLOOKUP(A701,'Output - State'!$B$2:$G$52,6,FALSE)</f>
        <v>18.657169790175598</v>
      </c>
    </row>
    <row r="702" spans="1:7" x14ac:dyDescent="0.25">
      <c r="A702" s="88">
        <v>18</v>
      </c>
      <c r="B702" s="88">
        <v>7</v>
      </c>
      <c r="C702" s="97">
        <f>SUMIFS(Input!$C$115:$C$3257,Input!$A$115:$A$3257,"="&amp;'Output - County'!A702,Input!$B$115:$B$3257,"="&amp;'Output - County'!B702)*VLOOKUP(A702,'Output - State'!$B$2:$G$52,2,FALSE)</f>
        <v>3.2797328456811226</v>
      </c>
      <c r="D702" s="98">
        <f>SUMIFS(Input!$C$115:$C$3257,Input!$A$115:$A$3257,"="&amp;'Output - County'!A702,Input!$B$115:$B$3257,"="&amp;'Output - County'!B702)*VLOOKUP(A702,'Output - State'!$B$2:$G$52,3,FALSE)</f>
        <v>0.86855068949228398</v>
      </c>
      <c r="E702" s="98">
        <f>SUMIFS(Input!$C$115:$C$3257,Input!$A$115:$A$3257,"="&amp;'Output - County'!A702,Input!$B$115:$B$3257,"="&amp;'Output - County'!B702)*VLOOKUP(A702,'Output - State'!$B$2:$G$52,4,FALSE)</f>
        <v>3.9528908720915026</v>
      </c>
      <c r="F702" s="98">
        <f>SUMIFS(Input!$C$115:$C$3257,Input!$A$115:$A$3257,"="&amp;'Output - County'!A702,Input!$B$115:$B$3257,"="&amp;'Output - County'!B702)*VLOOKUP(A702,'Output - State'!$B$2:$G$52,5,FALSE)</f>
        <v>12.96040510414085</v>
      </c>
      <c r="G702" s="99">
        <f>SUMIFS(Input!$D$115:$D$3257,Input!$A$115:$A$3257,"="&amp;'Output - County'!A702,Input!$B$115:$B$3257,"="&amp;'Output - County'!B702)*VLOOKUP(A702,'Output - State'!$B$2:$G$52,6,FALSE)</f>
        <v>1.9514452077995033</v>
      </c>
    </row>
    <row r="703" spans="1:7" x14ac:dyDescent="0.25">
      <c r="A703" s="88">
        <v>18</v>
      </c>
      <c r="B703" s="88">
        <v>9</v>
      </c>
      <c r="C703" s="97">
        <f>SUMIFS(Input!$C$115:$C$3257,Input!$A$115:$A$3257,"="&amp;'Output - County'!A703,Input!$B$115:$B$3257,"="&amp;'Output - County'!B703)*VLOOKUP(A703,'Output - State'!$B$2:$G$52,2,FALSE)</f>
        <v>3.1926192585051862</v>
      </c>
      <c r="D703" s="98">
        <f>SUMIFS(Input!$C$115:$C$3257,Input!$A$115:$A$3257,"="&amp;'Output - County'!A703,Input!$B$115:$B$3257,"="&amp;'Output - County'!B703)*VLOOKUP(A703,'Output - State'!$B$2:$G$52,3,FALSE)</f>
        <v>0.84548095492367703</v>
      </c>
      <c r="E703" s="98">
        <f>SUMIFS(Input!$C$115:$C$3257,Input!$A$115:$A$3257,"="&amp;'Output - County'!A703,Input!$B$115:$B$3257,"="&amp;'Output - County'!B703)*VLOOKUP(A703,'Output - State'!$B$2:$G$52,4,FALSE)</f>
        <v>3.8478974107989585</v>
      </c>
      <c r="F703" s="98">
        <f>SUMIFS(Input!$C$115:$C$3257,Input!$A$115:$A$3257,"="&amp;'Output - County'!A703,Input!$B$115:$B$3257,"="&amp;'Output - County'!B703)*VLOOKUP(A703,'Output - State'!$B$2:$G$52,5,FALSE)</f>
        <v>12.616161401071629</v>
      </c>
      <c r="G703" s="99">
        <f>SUMIFS(Input!$D$115:$D$3257,Input!$A$115:$A$3257,"="&amp;'Output - County'!A703,Input!$B$115:$B$3257,"="&amp;'Output - County'!B703)*VLOOKUP(A703,'Output - State'!$B$2:$G$52,6,FALSE)</f>
        <v>2.6846471644871777</v>
      </c>
    </row>
    <row r="704" spans="1:7" x14ac:dyDescent="0.25">
      <c r="A704" s="88">
        <v>18</v>
      </c>
      <c r="B704" s="88">
        <v>11</v>
      </c>
      <c r="C704" s="97">
        <f>SUMIFS(Input!$C$115:$C$3257,Input!$A$115:$A$3257,"="&amp;'Output - County'!A704,Input!$B$115:$B$3257,"="&amp;'Output - County'!B704)*VLOOKUP(A704,'Output - State'!$B$2:$G$52,2,FALSE)</f>
        <v>42.36645877974523</v>
      </c>
      <c r="D704" s="98">
        <f>SUMIFS(Input!$C$115:$C$3257,Input!$A$115:$A$3257,"="&amp;'Output - County'!A704,Input!$B$115:$B$3257,"="&amp;'Output - County'!B704)*VLOOKUP(A704,'Output - State'!$B$2:$G$52,3,FALSE)</f>
        <v>11.219638524201869</v>
      </c>
      <c r="E704" s="98">
        <f>SUMIFS(Input!$C$115:$C$3257,Input!$A$115:$A$3257,"="&amp;'Output - County'!A704,Input!$B$115:$B$3257,"="&amp;'Output - County'!B704)*VLOOKUP(A704,'Output - State'!$B$2:$G$52,4,FALSE)</f>
        <v>51.062082210088143</v>
      </c>
      <c r="F704" s="98">
        <f>SUMIFS(Input!$C$115:$C$3257,Input!$A$115:$A$3257,"="&amp;'Output - County'!A704,Input!$B$115:$B$3257,"="&amp;'Output - County'!B704)*VLOOKUP(A704,'Output - State'!$B$2:$G$52,5,FALSE)</f>
        <v>167.41804727675944</v>
      </c>
      <c r="G704" s="99">
        <f>SUMIFS(Input!$D$115:$D$3257,Input!$A$115:$A$3257,"="&amp;'Output - County'!A704,Input!$B$115:$B$3257,"="&amp;'Output - County'!B704)*VLOOKUP(A704,'Output - State'!$B$2:$G$52,6,FALSE)</f>
        <v>15.092680277663209</v>
      </c>
    </row>
    <row r="705" spans="1:7" x14ac:dyDescent="0.25">
      <c r="A705" s="88">
        <v>18</v>
      </c>
      <c r="B705" s="88">
        <v>13</v>
      </c>
      <c r="C705" s="97">
        <f>SUMIFS(Input!$C$115:$C$3257,Input!$A$115:$A$3257,"="&amp;'Output - County'!A705,Input!$B$115:$B$3257,"="&amp;'Output - County'!B705)*VLOOKUP(A705,'Output - State'!$B$2:$G$52,2,FALSE)</f>
        <v>4.2908634035007607</v>
      </c>
      <c r="D705" s="98">
        <f>SUMIFS(Input!$C$115:$C$3257,Input!$A$115:$A$3257,"="&amp;'Output - County'!A705,Input!$B$115:$B$3257,"="&amp;'Output - County'!B705)*VLOOKUP(A705,'Output - State'!$B$2:$G$52,3,FALSE)</f>
        <v>1.13632193321338</v>
      </c>
      <c r="E705" s="98">
        <f>SUMIFS(Input!$C$115:$C$3257,Input!$A$115:$A$3257,"="&amp;'Output - County'!A705,Input!$B$115:$B$3257,"="&amp;'Output - County'!B705)*VLOOKUP(A705,'Output - State'!$B$2:$G$52,4,FALSE)</f>
        <v>5.1715537756146635</v>
      </c>
      <c r="F705" s="98">
        <f>SUMIFS(Input!$C$115:$C$3257,Input!$A$115:$A$3257,"="&amp;'Output - County'!A705,Input!$B$115:$B$3257,"="&amp;'Output - County'!B705)*VLOOKUP(A705,'Output - State'!$B$2:$G$52,5,FALSE)</f>
        <v>16.956054219212874</v>
      </c>
      <c r="G705" s="99">
        <f>SUMIFS(Input!$D$115:$D$3257,Input!$A$115:$A$3257,"="&amp;'Output - County'!A705,Input!$B$115:$B$3257,"="&amp;'Output - County'!B705)*VLOOKUP(A705,'Output - State'!$B$2:$G$52,6,FALSE)</f>
        <v>3.4291291512777402</v>
      </c>
    </row>
    <row r="706" spans="1:7" x14ac:dyDescent="0.25">
      <c r="A706" s="88">
        <v>18</v>
      </c>
      <c r="B706" s="88">
        <v>15</v>
      </c>
      <c r="C706" s="97">
        <f>SUMIFS(Input!$C$115:$C$3257,Input!$A$115:$A$3257,"="&amp;'Output - County'!A706,Input!$B$115:$B$3257,"="&amp;'Output - County'!B706)*VLOOKUP(A706,'Output - State'!$B$2:$G$52,2,FALSE)</f>
        <v>7.6920673779596438</v>
      </c>
      <c r="D706" s="98">
        <f>SUMIFS(Input!$C$115:$C$3257,Input!$A$115:$A$3257,"="&amp;'Output - County'!A706,Input!$B$115:$B$3257,"="&amp;'Output - County'!B706)*VLOOKUP(A706,'Output - State'!$B$2:$G$52,3,FALSE)</f>
        <v>2.0370410454454189</v>
      </c>
      <c r="E706" s="98">
        <f>SUMIFS(Input!$C$115:$C$3257,Input!$A$115:$A$3257,"="&amp;'Output - County'!A706,Input!$B$115:$B$3257,"="&amp;'Output - County'!B706)*VLOOKUP(A706,'Output - State'!$B$2:$G$52,4,FALSE)</f>
        <v>9.270847461215979</v>
      </c>
      <c r="F706" s="98">
        <f>SUMIFS(Input!$C$115:$C$3257,Input!$A$115:$A$3257,"="&amp;'Output - County'!A706,Input!$B$115:$B$3257,"="&amp;'Output - County'!B706)*VLOOKUP(A706,'Output - State'!$B$2:$G$52,5,FALSE)</f>
        <v>30.396472516955804</v>
      </c>
      <c r="G706" s="99">
        <f>SUMIFS(Input!$D$115:$D$3257,Input!$A$115:$A$3257,"="&amp;'Output - County'!A706,Input!$B$115:$B$3257,"="&amp;'Output - County'!B706)*VLOOKUP(A706,'Output - State'!$B$2:$G$52,6,FALSE)</f>
        <v>4.5571321615664697</v>
      </c>
    </row>
    <row r="707" spans="1:7" x14ac:dyDescent="0.25">
      <c r="A707" s="88">
        <v>18</v>
      </c>
      <c r="B707" s="88">
        <v>17</v>
      </c>
      <c r="C707" s="97">
        <f>SUMIFS(Input!$C$115:$C$3257,Input!$A$115:$A$3257,"="&amp;'Output - County'!A707,Input!$B$115:$B$3257,"="&amp;'Output - County'!B707)*VLOOKUP(A707,'Output - State'!$B$2:$G$52,2,FALSE)</f>
        <v>10.884482980043726</v>
      </c>
      <c r="D707" s="98">
        <f>SUMIFS(Input!$C$115:$C$3257,Input!$A$115:$A$3257,"="&amp;'Output - County'!A707,Input!$B$115:$B$3257,"="&amp;'Output - County'!B707)*VLOOKUP(A707,'Output - State'!$B$2:$G$52,3,FALSE)</f>
        <v>2.8824680673406173</v>
      </c>
      <c r="E707" s="98">
        <f>SUMIFS(Input!$C$115:$C$3257,Input!$A$115:$A$3257,"="&amp;'Output - County'!A707,Input!$B$115:$B$3257,"="&amp;'Output - County'!B707)*VLOOKUP(A707,'Output - State'!$B$2:$G$52,4,FALSE)</f>
        <v>13.118499415556775</v>
      </c>
      <c r="F707" s="98">
        <f>SUMIFS(Input!$C$115:$C$3257,Input!$A$115:$A$3257,"="&amp;'Output - County'!A707,Input!$B$115:$B$3257,"="&amp;'Output - County'!B707)*VLOOKUP(A707,'Output - State'!$B$2:$G$52,5,FALSE)</f>
        <v>43.011829136100445</v>
      </c>
      <c r="G707" s="99">
        <f>SUMIFS(Input!$D$115:$D$3257,Input!$A$115:$A$3257,"="&amp;'Output - County'!A707,Input!$B$115:$B$3257,"="&amp;'Output - County'!B707)*VLOOKUP(A707,'Output - State'!$B$2:$G$52,6,FALSE)</f>
        <v>8.5502628179885747</v>
      </c>
    </row>
    <row r="708" spans="1:7" x14ac:dyDescent="0.25">
      <c r="A708" s="88">
        <v>18</v>
      </c>
      <c r="B708" s="88">
        <v>19</v>
      </c>
      <c r="C708" s="97">
        <f>SUMIFS(Input!$C$115:$C$3257,Input!$A$115:$A$3257,"="&amp;'Output - County'!A708,Input!$B$115:$B$3257,"="&amp;'Output - County'!B708)*VLOOKUP(A708,'Output - State'!$B$2:$G$52,2,FALSE)</f>
        <v>44.612596667164134</v>
      </c>
      <c r="D708" s="98">
        <f>SUMIFS(Input!$C$115:$C$3257,Input!$A$115:$A$3257,"="&amp;'Output - County'!A708,Input!$B$115:$B$3257,"="&amp;'Output - County'!B708)*VLOOKUP(A708,'Output - State'!$B$2:$G$52,3,FALSE)</f>
        <v>11.81446886636874</v>
      </c>
      <c r="E708" s="98">
        <f>SUMIFS(Input!$C$115:$C$3257,Input!$A$115:$A$3257,"="&amp;'Output - County'!A708,Input!$B$115:$B$3257,"="&amp;'Output - County'!B708)*VLOOKUP(A708,'Output - State'!$B$2:$G$52,4,FALSE)</f>
        <v>53.769235008929343</v>
      </c>
      <c r="F708" s="98">
        <f>SUMIFS(Input!$C$115:$C$3257,Input!$A$115:$A$3257,"="&amp;'Output - County'!A708,Input!$B$115:$B$3257,"="&amp;'Output - County'!B708)*VLOOKUP(A708,'Output - State'!$B$2:$G$52,5,FALSE)</f>
        <v>176.29403148353484</v>
      </c>
      <c r="G708" s="99">
        <f>SUMIFS(Input!$D$115:$D$3257,Input!$A$115:$A$3257,"="&amp;'Output - County'!A708,Input!$B$115:$B$3257,"="&amp;'Output - County'!B708)*VLOOKUP(A708,'Output - State'!$B$2:$G$52,6,FALSE)</f>
        <v>26.395270440756288</v>
      </c>
    </row>
    <row r="709" spans="1:7" x14ac:dyDescent="0.25">
      <c r="A709" s="88">
        <v>18</v>
      </c>
      <c r="B709" s="88">
        <v>21</v>
      </c>
      <c r="C709" s="97">
        <f>SUMIFS(Input!$C$115:$C$3257,Input!$A$115:$A$3257,"="&amp;'Output - County'!A709,Input!$B$115:$B$3257,"="&amp;'Output - County'!B709)*VLOOKUP(A709,'Output - State'!$B$2:$G$52,2,FALSE)</f>
        <v>12.343173771635021</v>
      </c>
      <c r="D709" s="98">
        <f>SUMIFS(Input!$C$115:$C$3257,Input!$A$115:$A$3257,"="&amp;'Output - County'!A709,Input!$B$115:$B$3257,"="&amp;'Output - County'!B709)*VLOOKUP(A709,'Output - State'!$B$2:$G$52,3,FALSE)</f>
        <v>3.2687638275154218</v>
      </c>
      <c r="E709" s="98">
        <f>SUMIFS(Input!$C$115:$C$3257,Input!$A$115:$A$3257,"="&amp;'Output - County'!A709,Input!$B$115:$B$3257,"="&amp;'Output - County'!B709)*VLOOKUP(A709,'Output - State'!$B$2:$G$52,4,FALSE)</f>
        <v>14.87658331646904</v>
      </c>
      <c r="F709" s="98">
        <f>SUMIFS(Input!$C$115:$C$3257,Input!$A$115:$A$3257,"="&amp;'Output - County'!A709,Input!$B$115:$B$3257,"="&amp;'Output - County'!B709)*VLOOKUP(A709,'Output - State'!$B$2:$G$52,5,FALSE)</f>
        <v>48.776086308936392</v>
      </c>
      <c r="G709" s="99">
        <f>SUMIFS(Input!$D$115:$D$3257,Input!$A$115:$A$3257,"="&amp;'Output - County'!A709,Input!$B$115:$B$3257,"="&amp;'Output - County'!B709)*VLOOKUP(A709,'Output - State'!$B$2:$G$52,6,FALSE)</f>
        <v>5.910735773912946</v>
      </c>
    </row>
    <row r="710" spans="1:7" x14ac:dyDescent="0.25">
      <c r="A710" s="88">
        <v>18</v>
      </c>
      <c r="B710" s="88">
        <v>23</v>
      </c>
      <c r="C710" s="97">
        <f>SUMIFS(Input!$C$115:$C$3257,Input!$A$115:$A$3257,"="&amp;'Output - County'!A710,Input!$B$115:$B$3257,"="&amp;'Output - County'!B710)*VLOOKUP(A710,'Output - State'!$B$2:$G$52,2,FALSE)</f>
        <v>14.962134101338204</v>
      </c>
      <c r="D710" s="98">
        <f>SUMIFS(Input!$C$115:$C$3257,Input!$A$115:$A$3257,"="&amp;'Output - County'!A710,Input!$B$115:$B$3257,"="&amp;'Output - County'!B710)*VLOOKUP(A710,'Output - State'!$B$2:$G$52,3,FALSE)</f>
        <v>3.9623263544486904</v>
      </c>
      <c r="E710" s="98">
        <f>SUMIFS(Input!$C$115:$C$3257,Input!$A$115:$A$3257,"="&amp;'Output - County'!A710,Input!$B$115:$B$3257,"="&amp;'Output - County'!B710)*VLOOKUP(A710,'Output - State'!$B$2:$G$52,4,FALSE)</f>
        <v>18.033079552217629</v>
      </c>
      <c r="F710" s="98">
        <f>SUMIFS(Input!$C$115:$C$3257,Input!$A$115:$A$3257,"="&amp;'Output - County'!A710,Input!$B$115:$B$3257,"="&amp;'Output - County'!B710)*VLOOKUP(A710,'Output - State'!$B$2:$G$52,5,FALSE)</f>
        <v>59.125339867598861</v>
      </c>
      <c r="G710" s="99">
        <f>SUMIFS(Input!$D$115:$D$3257,Input!$A$115:$A$3257,"="&amp;'Output - County'!A710,Input!$B$115:$B$3257,"="&amp;'Output - County'!B710)*VLOOKUP(A710,'Output - State'!$B$2:$G$52,6,FALSE)</f>
        <v>7.2643393862594223</v>
      </c>
    </row>
    <row r="711" spans="1:7" x14ac:dyDescent="0.25">
      <c r="A711" s="88">
        <v>18</v>
      </c>
      <c r="B711" s="88">
        <v>25</v>
      </c>
      <c r="C711" s="97">
        <f>SUMIFS(Input!$C$115:$C$3257,Input!$A$115:$A$3257,"="&amp;'Output - County'!A711,Input!$B$115:$B$3257,"="&amp;'Output - County'!B711)*VLOOKUP(A711,'Output - State'!$B$2:$G$52,2,FALSE)</f>
        <v>6.0278864905287097</v>
      </c>
      <c r="D711" s="98">
        <f>SUMIFS(Input!$C$115:$C$3257,Input!$A$115:$A$3257,"="&amp;'Output - County'!A711,Input!$B$115:$B$3257,"="&amp;'Output - County'!B711)*VLOOKUP(A711,'Output - State'!$B$2:$G$52,3,FALSE)</f>
        <v>1.5963266564300425</v>
      </c>
      <c r="E711" s="98">
        <f>SUMIFS(Input!$C$115:$C$3257,Input!$A$115:$A$3257,"="&amp;'Output - County'!A711,Input!$B$115:$B$3257,"="&amp;'Output - County'!B711)*VLOOKUP(A711,'Output - State'!$B$2:$G$52,4,FALSE)</f>
        <v>7.265097069656659</v>
      </c>
      <c r="F711" s="98">
        <f>SUMIFS(Input!$C$115:$C$3257,Input!$A$115:$A$3257,"="&amp;'Output - County'!A711,Input!$B$115:$B$3257,"="&amp;'Output - County'!B711)*VLOOKUP(A711,'Output - State'!$B$2:$G$52,5,FALSE)</f>
        <v>23.820187349072178</v>
      </c>
      <c r="G711" s="99">
        <f>SUMIFS(Input!$D$115:$D$3257,Input!$A$115:$A$3257,"="&amp;'Output - County'!A711,Input!$B$115:$B$3257,"="&amp;'Output - County'!B711)*VLOOKUP(A711,'Output - State'!$B$2:$G$52,6,FALSE)</f>
        <v>2.3913663818121078</v>
      </c>
    </row>
    <row r="712" spans="1:7" x14ac:dyDescent="0.25">
      <c r="A712" s="88">
        <v>18</v>
      </c>
      <c r="B712" s="88">
        <v>27</v>
      </c>
      <c r="C712" s="97">
        <f>SUMIFS(Input!$C$115:$C$3257,Input!$A$115:$A$3257,"="&amp;'Output - County'!A712,Input!$B$115:$B$3257,"="&amp;'Output - County'!B712)*VLOOKUP(A712,'Output - State'!$B$2:$G$52,2,FALSE)</f>
        <v>10.734843496532642</v>
      </c>
      <c r="D712" s="98">
        <f>SUMIFS(Input!$C$115:$C$3257,Input!$A$115:$A$3257,"="&amp;'Output - County'!A712,Input!$B$115:$B$3257,"="&amp;'Output - County'!B712)*VLOOKUP(A712,'Output - State'!$B$2:$G$52,3,FALSE)</f>
        <v>2.8428399992344082</v>
      </c>
      <c r="E712" s="98">
        <f>SUMIFS(Input!$C$115:$C$3257,Input!$A$115:$A$3257,"="&amp;'Output - County'!A712,Input!$B$115:$B$3257,"="&amp;'Output - County'!B712)*VLOOKUP(A712,'Output - State'!$B$2:$G$52,4,FALSE)</f>
        <v>12.93814675382874</v>
      </c>
      <c r="F712" s="98">
        <f>SUMIFS(Input!$C$115:$C$3257,Input!$A$115:$A$3257,"="&amp;'Output - County'!A712,Input!$B$115:$B$3257,"="&amp;'Output - County'!B712)*VLOOKUP(A712,'Output - State'!$B$2:$G$52,5,FALSE)</f>
        <v>42.420504044353436</v>
      </c>
      <c r="G712" s="99">
        <f>SUMIFS(Input!$D$115:$D$3257,Input!$A$115:$A$3257,"="&amp;'Output - County'!A712,Input!$B$115:$B$3257,"="&amp;'Output - County'!B712)*VLOOKUP(A712,'Output - State'!$B$2:$G$52,6,FALSE)</f>
        <v>7.5125000485229432</v>
      </c>
    </row>
    <row r="713" spans="1:7" x14ac:dyDescent="0.25">
      <c r="A713" s="88">
        <v>18</v>
      </c>
      <c r="B713" s="88">
        <v>29</v>
      </c>
      <c r="C713" s="97">
        <f>SUMIFS(Input!$C$115:$C$3257,Input!$A$115:$A$3257,"="&amp;'Output - County'!A713,Input!$B$115:$B$3257,"="&amp;'Output - County'!B713)*VLOOKUP(A713,'Output - State'!$B$2:$G$52,2,FALSE)</f>
        <v>19.390606707223036</v>
      </c>
      <c r="D713" s="98">
        <f>SUMIFS(Input!$C$115:$C$3257,Input!$A$115:$A$3257,"="&amp;'Output - County'!A713,Input!$B$115:$B$3257,"="&amp;'Output - County'!B713)*VLOOKUP(A713,'Output - State'!$B$2:$G$52,3,FALSE)</f>
        <v>5.1350904533002124</v>
      </c>
      <c r="E713" s="98">
        <f>SUMIFS(Input!$C$115:$C$3257,Input!$A$115:$A$3257,"="&amp;'Output - County'!A713,Input!$B$115:$B$3257,"="&amp;'Output - County'!B713)*VLOOKUP(A713,'Output - State'!$B$2:$G$52,4,FALSE)</f>
        <v>23.370486519422599</v>
      </c>
      <c r="F713" s="98">
        <f>SUMIFS(Input!$C$115:$C$3257,Input!$A$115:$A$3257,"="&amp;'Output - County'!A713,Input!$B$115:$B$3257,"="&amp;'Output - County'!B713)*VLOOKUP(A713,'Output - State'!$B$2:$G$52,5,FALSE)</f>
        <v>76.625179539124957</v>
      </c>
      <c r="G713" s="99">
        <f>SUMIFS(Input!$D$115:$D$3257,Input!$A$115:$A$3257,"="&amp;'Output - County'!A713,Input!$B$115:$B$3257,"="&amp;'Output - County'!B713)*VLOOKUP(A713,'Output - State'!$B$2:$G$52,6,FALSE)</f>
        <v>11.167229801858429</v>
      </c>
    </row>
    <row r="714" spans="1:7" x14ac:dyDescent="0.25">
      <c r="A714" s="88">
        <v>18</v>
      </c>
      <c r="B714" s="88">
        <v>31</v>
      </c>
      <c r="C714" s="97">
        <f>SUMIFS(Input!$C$115:$C$3257,Input!$A$115:$A$3257,"="&amp;'Output - County'!A714,Input!$B$115:$B$3257,"="&amp;'Output - County'!B714)*VLOOKUP(A714,'Output - State'!$B$2:$G$52,2,FALSE)</f>
        <v>12.98330908636933</v>
      </c>
      <c r="D714" s="98">
        <f>SUMIFS(Input!$C$115:$C$3257,Input!$A$115:$A$3257,"="&amp;'Output - County'!A714,Input!$B$115:$B$3257,"="&amp;'Output - County'!B714)*VLOOKUP(A714,'Output - State'!$B$2:$G$52,3,FALSE)</f>
        <v>3.4382867719567631</v>
      </c>
      <c r="E714" s="98">
        <f>SUMIFS(Input!$C$115:$C$3257,Input!$A$115:$A$3257,"="&amp;'Output - County'!A714,Input!$B$115:$B$3257,"="&amp;'Output - County'!B714)*VLOOKUP(A714,'Output - State'!$B$2:$G$52,4,FALSE)</f>
        <v>15.648105010941435</v>
      </c>
      <c r="F714" s="98">
        <f>SUMIFS(Input!$C$115:$C$3257,Input!$A$115:$A$3257,"="&amp;'Output - County'!A714,Input!$B$115:$B$3257,"="&amp;'Output - County'!B714)*VLOOKUP(A714,'Output - State'!$B$2:$G$52,5,FALSE)</f>
        <v>51.305686551025737</v>
      </c>
      <c r="G714" s="99">
        <f>SUMIFS(Input!$D$115:$D$3257,Input!$A$115:$A$3257,"="&amp;'Output - County'!A714,Input!$B$115:$B$3257,"="&amp;'Output - County'!B714)*VLOOKUP(A714,'Output - State'!$B$2:$G$52,6,FALSE)</f>
        <v>6.023536074941819</v>
      </c>
    </row>
    <row r="715" spans="1:7" x14ac:dyDescent="0.25">
      <c r="A715" s="88">
        <v>18</v>
      </c>
      <c r="B715" s="88">
        <v>33</v>
      </c>
      <c r="C715" s="97">
        <f>SUMIFS(Input!$C$115:$C$3257,Input!$A$115:$A$3257,"="&amp;'Output - County'!A715,Input!$B$115:$B$3257,"="&amp;'Output - County'!B715)*VLOOKUP(A715,'Output - State'!$B$2:$G$52,2,FALSE)</f>
        <v>20.651215505384744</v>
      </c>
      <c r="D715" s="98">
        <f>SUMIFS(Input!$C$115:$C$3257,Input!$A$115:$A$3257,"="&amp;'Output - County'!A715,Input!$B$115:$B$3257,"="&amp;'Output - County'!B715)*VLOOKUP(A715,'Output - State'!$B$2:$G$52,3,FALSE)</f>
        <v>5.4689294250521963</v>
      </c>
      <c r="E715" s="98">
        <f>SUMIFS(Input!$C$115:$C$3257,Input!$A$115:$A$3257,"="&amp;'Output - County'!A715,Input!$B$115:$B$3257,"="&amp;'Output - County'!B715)*VLOOKUP(A715,'Output - State'!$B$2:$G$52,4,FALSE)</f>
        <v>24.889832528989668</v>
      </c>
      <c r="F715" s="98">
        <f>SUMIFS(Input!$C$115:$C$3257,Input!$A$115:$A$3257,"="&amp;'Output - County'!A715,Input!$B$115:$B$3257,"="&amp;'Output - County'!B715)*VLOOKUP(A715,'Output - State'!$B$2:$G$52,5,FALSE)</f>
        <v>81.606683055039184</v>
      </c>
      <c r="G715" s="99">
        <f>SUMIFS(Input!$D$115:$D$3257,Input!$A$115:$A$3257,"="&amp;'Output - County'!A715,Input!$B$115:$B$3257,"="&amp;'Output - County'!B715)*VLOOKUP(A715,'Output - State'!$B$2:$G$52,6,FALSE)</f>
        <v>9.7459460088946273</v>
      </c>
    </row>
    <row r="716" spans="1:7" x14ac:dyDescent="0.25">
      <c r="A716" s="88">
        <v>18</v>
      </c>
      <c r="B716" s="88">
        <v>35</v>
      </c>
      <c r="C716" s="97">
        <f>SUMIFS(Input!$C$115:$C$3257,Input!$A$115:$A$3257,"="&amp;'Output - County'!A716,Input!$B$115:$B$3257,"="&amp;'Output - County'!B716)*VLOOKUP(A716,'Output - State'!$B$2:$G$52,2,FALSE)</f>
        <v>39.331454432659655</v>
      </c>
      <c r="D716" s="98">
        <f>SUMIFS(Input!$C$115:$C$3257,Input!$A$115:$A$3257,"="&amp;'Output - County'!A716,Input!$B$115:$B$3257,"="&amp;'Output - County'!B716)*VLOOKUP(A716,'Output - State'!$B$2:$G$52,3,FALSE)</f>
        <v>10.415897718988264</v>
      </c>
      <c r="E716" s="98">
        <f>SUMIFS(Input!$C$115:$C$3257,Input!$A$115:$A$3257,"="&amp;'Output - County'!A716,Input!$B$115:$B$3257,"="&amp;'Output - County'!B716)*VLOOKUP(A716,'Output - State'!$B$2:$G$52,4,FALSE)</f>
        <v>47.404149828141009</v>
      </c>
      <c r="F716" s="98">
        <f>SUMIFS(Input!$C$115:$C$3257,Input!$A$115:$A$3257,"="&amp;'Output - County'!A716,Input!$B$115:$B$3257,"="&amp;'Output - County'!B716)*VLOOKUP(A716,'Output - State'!$B$2:$G$52,5,FALSE)</f>
        <v>155.42472718580899</v>
      </c>
      <c r="G716" s="99">
        <f>SUMIFS(Input!$D$115:$D$3257,Input!$A$115:$A$3257,"="&amp;'Output - County'!A716,Input!$B$115:$B$3257,"="&amp;'Output - County'!B716)*VLOOKUP(A716,'Output - State'!$B$2:$G$52,6,FALSE)</f>
        <v>25.718468634583047</v>
      </c>
    </row>
    <row r="717" spans="1:7" x14ac:dyDescent="0.25">
      <c r="A717" s="88">
        <v>18</v>
      </c>
      <c r="B717" s="88">
        <v>37</v>
      </c>
      <c r="C717" s="97">
        <f>SUMIFS(Input!$C$115:$C$3257,Input!$A$115:$A$3257,"="&amp;'Output - County'!A717,Input!$B$115:$B$3257,"="&amp;'Output - County'!B717)*VLOOKUP(A717,'Output - State'!$B$2:$G$52,2,FALSE)</f>
        <v>14.557584509890004</v>
      </c>
      <c r="D717" s="98">
        <f>SUMIFS(Input!$C$115:$C$3257,Input!$A$115:$A$3257,"="&amp;'Output - County'!A717,Input!$B$115:$B$3257,"="&amp;'Output - County'!B717)*VLOOKUP(A717,'Output - State'!$B$2:$G$52,3,FALSE)</f>
        <v>3.8551920715302339</v>
      </c>
      <c r="E717" s="98">
        <f>SUMIFS(Input!$C$115:$C$3257,Input!$A$115:$A$3257,"="&amp;'Output - County'!A717,Input!$B$115:$B$3257,"="&amp;'Output - County'!B717)*VLOOKUP(A717,'Output - State'!$B$2:$G$52,4,FALSE)</f>
        <v>17.545497037852243</v>
      </c>
      <c r="F717" s="98">
        <f>SUMIFS(Input!$C$115:$C$3257,Input!$A$115:$A$3257,"="&amp;'Output - County'!A717,Input!$B$115:$B$3257,"="&amp;'Output - County'!B717)*VLOOKUP(A717,'Output - State'!$B$2:$G$52,5,FALSE)</f>
        <v>57.526695454598055</v>
      </c>
      <c r="G717" s="99">
        <f>SUMIFS(Input!$D$115:$D$3257,Input!$A$115:$A$3257,"="&amp;'Output - County'!A717,Input!$B$115:$B$3257,"="&amp;'Output - County'!B717)*VLOOKUP(A717,'Output - State'!$B$2:$G$52,6,FALSE)</f>
        <v>9.6331457078657561</v>
      </c>
    </row>
    <row r="718" spans="1:7" x14ac:dyDescent="0.25">
      <c r="A718" s="88">
        <v>18</v>
      </c>
      <c r="B718" s="88">
        <v>39</v>
      </c>
      <c r="C718" s="97">
        <f>SUMIFS(Input!$C$115:$C$3257,Input!$A$115:$A$3257,"="&amp;'Output - County'!A718,Input!$B$115:$B$3257,"="&amp;'Output - County'!B718)*VLOOKUP(A718,'Output - State'!$B$2:$G$52,2,FALSE)</f>
        <v>70.31426988958367</v>
      </c>
      <c r="D718" s="98">
        <f>SUMIFS(Input!$C$115:$C$3257,Input!$A$115:$A$3257,"="&amp;'Output - County'!A718,Input!$B$115:$B$3257,"="&amp;'Output - County'!B718)*VLOOKUP(A718,'Output - State'!$B$2:$G$52,3,FALSE)</f>
        <v>18.6208787322924</v>
      </c>
      <c r="E718" s="98">
        <f>SUMIFS(Input!$C$115:$C$3257,Input!$A$115:$A$3257,"="&amp;'Output - County'!A718,Input!$B$115:$B$3257,"="&amp;'Output - County'!B718)*VLOOKUP(A718,'Output - State'!$B$2:$G$52,4,FALSE)</f>
        <v>84.74612070624039</v>
      </c>
      <c r="F718" s="98">
        <f>SUMIFS(Input!$C$115:$C$3257,Input!$A$115:$A$3257,"="&amp;'Output - County'!A718,Input!$B$115:$B$3257,"="&amp;'Output - County'!B718)*VLOOKUP(A718,'Output - State'!$B$2:$G$52,5,FALSE)</f>
        <v>277.85843093010885</v>
      </c>
      <c r="G718" s="99">
        <f>SUMIFS(Input!$D$115:$D$3257,Input!$A$115:$A$3257,"="&amp;'Output - County'!A718,Input!$B$115:$B$3257,"="&amp;'Output - County'!B718)*VLOOKUP(A718,'Output - State'!$B$2:$G$52,6,FALSE)</f>
        <v>46.473724023895684</v>
      </c>
    </row>
    <row r="719" spans="1:7" x14ac:dyDescent="0.25">
      <c r="A719" s="88">
        <v>18</v>
      </c>
      <c r="B719" s="88">
        <v>41</v>
      </c>
      <c r="C719" s="97">
        <f>SUMIFS(Input!$C$115:$C$3257,Input!$A$115:$A$3257,"="&amp;'Output - County'!A719,Input!$B$115:$B$3257,"="&amp;'Output - County'!B719)*VLOOKUP(A719,'Output - State'!$B$2:$G$52,2,FALSE)</f>
        <v>5.3406059014252163</v>
      </c>
      <c r="D719" s="98">
        <f>SUMIFS(Input!$C$115:$C$3257,Input!$A$115:$A$3257,"="&amp;'Output - County'!A719,Input!$B$115:$B$3257,"="&amp;'Output - County'!B719)*VLOOKUP(A719,'Output - State'!$B$2:$G$52,3,FALSE)</f>
        <v>1.4143185302722754</v>
      </c>
      <c r="E719" s="98">
        <f>SUMIFS(Input!$C$115:$C$3257,Input!$A$115:$A$3257,"="&amp;'Output - County'!A719,Input!$B$115:$B$3257,"="&amp;'Output - County'!B719)*VLOOKUP(A719,'Output - State'!$B$2:$G$52,4,FALSE)</f>
        <v>6.436753635888758</v>
      </c>
      <c r="F719" s="98">
        <f>SUMIFS(Input!$C$115:$C$3257,Input!$A$115:$A$3257,"="&amp;'Output - County'!A719,Input!$B$115:$B$3257,"="&amp;'Output - County'!B719)*VLOOKUP(A719,'Output - State'!$B$2:$G$52,5,FALSE)</f>
        <v>21.104284781970257</v>
      </c>
      <c r="G719" s="99">
        <f>SUMIFS(Input!$D$115:$D$3257,Input!$A$115:$A$3257,"="&amp;'Output - County'!A719,Input!$B$115:$B$3257,"="&amp;'Output - County'!B719)*VLOOKUP(A719,'Output - State'!$B$2:$G$52,6,FALSE)</f>
        <v>5.2113739075339334</v>
      </c>
    </row>
    <row r="720" spans="1:7" x14ac:dyDescent="0.25">
      <c r="A720" s="88">
        <v>18</v>
      </c>
      <c r="B720" s="88">
        <v>43</v>
      </c>
      <c r="C720" s="97">
        <f>SUMIFS(Input!$C$115:$C$3257,Input!$A$115:$A$3257,"="&amp;'Output - County'!A720,Input!$B$115:$B$3257,"="&amp;'Output - County'!B720)*VLOOKUP(A720,'Output - State'!$B$2:$G$52,2,FALSE)</f>
        <v>26.60537708292556</v>
      </c>
      <c r="D720" s="98">
        <f>SUMIFS(Input!$C$115:$C$3257,Input!$A$115:$A$3257,"="&amp;'Output - County'!A720,Input!$B$115:$B$3257,"="&amp;'Output - County'!B720)*VLOOKUP(A720,'Output - State'!$B$2:$G$52,3,FALSE)</f>
        <v>7.0457319839348678</v>
      </c>
      <c r="E720" s="98">
        <f>SUMIFS(Input!$C$115:$C$3257,Input!$A$115:$A$3257,"="&amp;'Output - County'!A720,Input!$B$115:$B$3257,"="&amp;'Output - County'!B720)*VLOOKUP(A720,'Output - State'!$B$2:$G$52,4,FALSE)</f>
        <v>32.066072807771015</v>
      </c>
      <c r="F720" s="98">
        <f>SUMIFS(Input!$C$115:$C$3257,Input!$A$115:$A$3257,"="&amp;'Output - County'!A720,Input!$B$115:$B$3257,"="&amp;'Output - County'!B720)*VLOOKUP(A720,'Output - State'!$B$2:$G$52,5,FALSE)</f>
        <v>105.13553425462929</v>
      </c>
      <c r="G720" s="99">
        <f>SUMIFS(Input!$D$115:$D$3257,Input!$A$115:$A$3257,"="&amp;'Output - County'!A720,Input!$B$115:$B$3257,"="&amp;'Output - County'!B720)*VLOOKUP(A720,'Output - State'!$B$2:$G$52,6,FALSE)</f>
        <v>17.551726840092641</v>
      </c>
    </row>
    <row r="721" spans="1:7" x14ac:dyDescent="0.25">
      <c r="A721" s="88">
        <v>18</v>
      </c>
      <c r="B721" s="88">
        <v>45</v>
      </c>
      <c r="C721" s="97">
        <f>SUMIFS(Input!$C$115:$C$3257,Input!$A$115:$A$3257,"="&amp;'Output - County'!A721,Input!$B$115:$B$3257,"="&amp;'Output - County'!B721)*VLOOKUP(A721,'Output - State'!$B$2:$G$52,2,FALSE)</f>
        <v>7.4428557353755993</v>
      </c>
      <c r="D721" s="98">
        <f>SUMIFS(Input!$C$115:$C$3257,Input!$A$115:$A$3257,"="&amp;'Output - County'!A721,Input!$B$115:$B$3257,"="&amp;'Output - County'!B721)*VLOOKUP(A721,'Output - State'!$B$2:$G$52,3,FALSE)</f>
        <v>1.9710439187950246</v>
      </c>
      <c r="E721" s="98">
        <f>SUMIFS(Input!$C$115:$C$3257,Input!$A$115:$A$3257,"="&amp;'Output - County'!A721,Input!$B$115:$B$3257,"="&amp;'Output - County'!B721)*VLOOKUP(A721,'Output - State'!$B$2:$G$52,4,FALSE)</f>
        <v>8.9704856715395351</v>
      </c>
      <c r="F721" s="98">
        <f>SUMIFS(Input!$C$115:$C$3257,Input!$A$115:$A$3257,"="&amp;'Output - County'!A721,Input!$B$115:$B$3257,"="&amp;'Output - County'!B721)*VLOOKUP(A721,'Output - State'!$B$2:$G$52,5,FALSE)</f>
        <v>29.411671621111253</v>
      </c>
      <c r="G721" s="99">
        <f>SUMIFS(Input!$D$115:$D$3257,Input!$A$115:$A$3257,"="&amp;'Output - County'!A721,Input!$B$115:$B$3257,"="&amp;'Output - County'!B721)*VLOOKUP(A721,'Output - State'!$B$2:$G$52,6,FALSE)</f>
        <v>3.6998498737470351</v>
      </c>
    </row>
    <row r="722" spans="1:7" x14ac:dyDescent="0.25">
      <c r="A722" s="88">
        <v>18</v>
      </c>
      <c r="B722" s="88">
        <v>47</v>
      </c>
      <c r="C722" s="97">
        <f>SUMIFS(Input!$C$115:$C$3257,Input!$A$115:$A$3257,"="&amp;'Output - County'!A722,Input!$B$115:$B$3257,"="&amp;'Output - County'!B722)*VLOOKUP(A722,'Output - State'!$B$2:$G$52,2,FALSE)</f>
        <v>6.5599413596504661</v>
      </c>
      <c r="D722" s="98">
        <f>SUMIFS(Input!$C$115:$C$3257,Input!$A$115:$A$3257,"="&amp;'Output - County'!A722,Input!$B$115:$B$3257,"="&amp;'Output - County'!B722)*VLOOKUP(A722,'Output - State'!$B$2:$G$52,3,FALSE)</f>
        <v>1.7372273471774493</v>
      </c>
      <c r="E722" s="98">
        <f>SUMIFS(Input!$C$115:$C$3257,Input!$A$115:$A$3257,"="&amp;'Output - County'!A722,Input!$B$115:$B$3257,"="&amp;'Output - County'!B722)*VLOOKUP(A722,'Output - State'!$B$2:$G$52,4,FALSE)</f>
        <v>7.9063550423518256</v>
      </c>
      <c r="F722" s="98">
        <f>SUMIFS(Input!$C$115:$C$3257,Input!$A$115:$A$3257,"="&amp;'Output - County'!A722,Input!$B$115:$B$3257,"="&amp;'Output - County'!B722)*VLOOKUP(A722,'Output - State'!$B$2:$G$52,5,FALSE)</f>
        <v>25.922689889951094</v>
      </c>
      <c r="G722" s="99">
        <f>SUMIFS(Input!$D$115:$D$3257,Input!$A$115:$A$3257,"="&amp;'Output - County'!A722,Input!$B$115:$B$3257,"="&amp;'Output - County'!B722)*VLOOKUP(A722,'Output - State'!$B$2:$G$52,6,FALSE)</f>
        <v>5.1211336667108345</v>
      </c>
    </row>
    <row r="723" spans="1:7" x14ac:dyDescent="0.25">
      <c r="A723" s="88">
        <v>18</v>
      </c>
      <c r="B723" s="88">
        <v>49</v>
      </c>
      <c r="C723" s="97">
        <f>SUMIFS(Input!$C$115:$C$3257,Input!$A$115:$A$3257,"="&amp;'Output - County'!A723,Input!$B$115:$B$3257,"="&amp;'Output - County'!B723)*VLOOKUP(A723,'Output - State'!$B$2:$G$52,2,FALSE)</f>
        <v>7.199165215819697</v>
      </c>
      <c r="D723" s="98">
        <f>SUMIFS(Input!$C$115:$C$3257,Input!$A$115:$A$3257,"="&amp;'Output - County'!A723,Input!$B$115:$B$3257,"="&amp;'Output - County'!B723)*VLOOKUP(A723,'Output - State'!$B$2:$G$52,3,FALSE)</f>
        <v>1.9065089158719264</v>
      </c>
      <c r="E723" s="98">
        <f>SUMIFS(Input!$C$115:$C$3257,Input!$A$115:$A$3257,"="&amp;'Output - County'!A723,Input!$B$115:$B$3257,"="&amp;'Output - County'!B723)*VLOOKUP(A723,'Output - State'!$B$2:$G$52,4,FALSE)</f>
        <v>8.6767782033729581</v>
      </c>
      <c r="F723" s="98">
        <f>SUMIFS(Input!$C$115:$C$3257,Input!$A$115:$A$3257,"="&amp;'Output - County'!A723,Input!$B$115:$B$3257,"="&amp;'Output - County'!B723)*VLOOKUP(A723,'Output - State'!$B$2:$G$52,5,FALSE)</f>
        <v>28.448688353238669</v>
      </c>
      <c r="G723" s="99">
        <f>SUMIFS(Input!$D$115:$D$3257,Input!$A$115:$A$3257,"="&amp;'Output - County'!A723,Input!$B$115:$B$3257,"="&amp;'Output - County'!B723)*VLOOKUP(A723,'Output - State'!$B$2:$G$52,6,FALSE)</f>
        <v>4.5345721013606948</v>
      </c>
    </row>
    <row r="724" spans="1:7" x14ac:dyDescent="0.25">
      <c r="A724" s="88">
        <v>18</v>
      </c>
      <c r="B724" s="88">
        <v>51</v>
      </c>
      <c r="C724" s="97">
        <f>SUMIFS(Input!$C$115:$C$3257,Input!$A$115:$A$3257,"="&amp;'Output - County'!A724,Input!$B$115:$B$3257,"="&amp;'Output - County'!B724)*VLOOKUP(A724,'Output - State'!$B$2:$G$52,2,FALSE)</f>
        <v>16.420956659324002</v>
      </c>
      <c r="D724" s="98">
        <f>SUMIFS(Input!$C$115:$C$3257,Input!$A$115:$A$3257,"="&amp;'Output - County'!A724,Input!$B$115:$B$3257,"="&amp;'Output - County'!B724)*VLOOKUP(A724,'Output - State'!$B$2:$G$52,3,FALSE)</f>
        <v>4.3486570094756622</v>
      </c>
      <c r="E724" s="98">
        <f>SUMIFS(Input!$C$115:$C$3257,Input!$A$115:$A$3257,"="&amp;'Output - County'!A724,Input!$B$115:$B$3257,"="&amp;'Output - County'!B724)*VLOOKUP(A724,'Output - State'!$B$2:$G$52,4,FALSE)</f>
        <v>19.791322264290006</v>
      </c>
      <c r="F724" s="98">
        <f>SUMIFS(Input!$C$115:$C$3257,Input!$A$115:$A$3257,"="&amp;'Output - County'!A724,Input!$B$115:$B$3257,"="&amp;'Output - County'!B724)*VLOOKUP(A724,'Output - State'!$B$2:$G$52,5,FALSE)</f>
        <v>64.890117737068408</v>
      </c>
      <c r="G724" s="99">
        <f>SUMIFS(Input!$D$115:$D$3257,Input!$A$115:$A$3257,"="&amp;'Output - County'!A724,Input!$B$115:$B$3257,"="&amp;'Output - County'!B724)*VLOOKUP(A724,'Output - State'!$B$2:$G$52,6,FALSE)</f>
        <v>7.5801802291402671</v>
      </c>
    </row>
    <row r="725" spans="1:7" x14ac:dyDescent="0.25">
      <c r="A725" s="88">
        <v>18</v>
      </c>
      <c r="B725" s="88">
        <v>53</v>
      </c>
      <c r="C725" s="97">
        <f>SUMIFS(Input!$C$115:$C$3257,Input!$A$115:$A$3257,"="&amp;'Output - County'!A725,Input!$B$115:$B$3257,"="&amp;'Output - County'!B725)*VLOOKUP(A725,'Output - State'!$B$2:$G$52,2,FALSE)</f>
        <v>25.983556374517914</v>
      </c>
      <c r="D725" s="98">
        <f>SUMIFS(Input!$C$115:$C$3257,Input!$A$115:$A$3257,"="&amp;'Output - County'!A725,Input!$B$115:$B$3257,"="&amp;'Output - County'!B725)*VLOOKUP(A725,'Output - State'!$B$2:$G$52,3,FALSE)</f>
        <v>6.8810591796425173</v>
      </c>
      <c r="E725" s="98">
        <f>SUMIFS(Input!$C$115:$C$3257,Input!$A$115:$A$3257,"="&amp;'Output - County'!A725,Input!$B$115:$B$3257,"="&amp;'Output - County'!B725)*VLOOKUP(A725,'Output - State'!$B$2:$G$52,4,FALSE)</f>
        <v>31.316624752701884</v>
      </c>
      <c r="F725" s="98">
        <f>SUMIFS(Input!$C$115:$C$3257,Input!$A$115:$A$3257,"="&amp;'Output - County'!A725,Input!$B$115:$B$3257,"="&amp;'Output - County'!B725)*VLOOKUP(A725,'Output - State'!$B$2:$G$52,5,FALSE)</f>
        <v>102.67830719916365</v>
      </c>
      <c r="G725" s="99">
        <f>SUMIFS(Input!$D$115:$D$3257,Input!$A$115:$A$3257,"="&amp;'Output - County'!A725,Input!$B$115:$B$3257,"="&amp;'Output - County'!B725)*VLOOKUP(A725,'Output - State'!$B$2:$G$52,6,FALSE)</f>
        <v>14.889639735811237</v>
      </c>
    </row>
    <row r="726" spans="1:7" x14ac:dyDescent="0.25">
      <c r="A726" s="88">
        <v>18</v>
      </c>
      <c r="B726" s="88">
        <v>55</v>
      </c>
      <c r="C726" s="97">
        <f>SUMIFS(Input!$C$115:$C$3257,Input!$A$115:$A$3257,"="&amp;'Output - County'!A726,Input!$B$115:$B$3257,"="&amp;'Output - County'!B726)*VLOOKUP(A726,'Output - State'!$B$2:$G$52,2,FALSE)</f>
        <v>9.8774126530757052</v>
      </c>
      <c r="D726" s="98">
        <f>SUMIFS(Input!$C$115:$C$3257,Input!$A$115:$A$3257,"="&amp;'Output - County'!A726,Input!$B$115:$B$3257,"="&amp;'Output - County'!B726)*VLOOKUP(A726,'Output - State'!$B$2:$G$52,3,FALSE)</f>
        <v>2.6157720686079395</v>
      </c>
      <c r="E726" s="98">
        <f>SUMIFS(Input!$C$115:$C$3257,Input!$A$115:$A$3257,"="&amp;'Output - County'!A726,Input!$B$115:$B$3257,"="&amp;'Output - County'!B726)*VLOOKUP(A726,'Output - State'!$B$2:$G$52,4,FALSE)</f>
        <v>11.904730096428169</v>
      </c>
      <c r="F726" s="98">
        <f>SUMIFS(Input!$C$115:$C$3257,Input!$A$115:$A$3257,"="&amp;'Output - County'!A726,Input!$B$115:$B$3257,"="&amp;'Output - County'!B726)*VLOOKUP(A726,'Output - State'!$B$2:$G$52,5,FALSE)</f>
        <v>39.032224692692026</v>
      </c>
      <c r="G726" s="99">
        <f>SUMIFS(Input!$D$115:$D$3257,Input!$A$115:$A$3257,"="&amp;'Output - County'!A726,Input!$B$115:$B$3257,"="&amp;'Output - County'!B726)*VLOOKUP(A726,'Output - State'!$B$2:$G$52,6,FALSE)</f>
        <v>7.2417793260536483</v>
      </c>
    </row>
    <row r="727" spans="1:7" x14ac:dyDescent="0.25">
      <c r="A727" s="88">
        <v>18</v>
      </c>
      <c r="B727" s="88">
        <v>57</v>
      </c>
      <c r="C727" s="97">
        <f>SUMIFS(Input!$C$115:$C$3257,Input!$A$115:$A$3257,"="&amp;'Output - County'!A727,Input!$B$115:$B$3257,"="&amp;'Output - County'!B727)*VLOOKUP(A727,'Output - State'!$B$2:$G$52,2,FALSE)</f>
        <v>129.56181816405675</v>
      </c>
      <c r="D727" s="98">
        <f>SUMIFS(Input!$C$115:$C$3257,Input!$A$115:$A$3257,"="&amp;'Output - County'!A727,Input!$B$115:$B$3257,"="&amp;'Output - County'!B727)*VLOOKUP(A727,'Output - State'!$B$2:$G$52,3,FALSE)</f>
        <v>34.311028304165241</v>
      </c>
      <c r="E727" s="98">
        <f>SUMIFS(Input!$C$115:$C$3257,Input!$A$115:$A$3257,"="&amp;'Output - County'!A727,Input!$B$115:$B$3257,"="&amp;'Output - County'!B727)*VLOOKUP(A727,'Output - State'!$B$2:$G$52,4,FALSE)</f>
        <v>156.15409927875356</v>
      </c>
      <c r="F727" s="98">
        <f>SUMIFS(Input!$C$115:$C$3257,Input!$A$115:$A$3257,"="&amp;'Output - County'!A727,Input!$B$115:$B$3257,"="&amp;'Output - County'!B727)*VLOOKUP(A727,'Output - State'!$B$2:$G$52,5,FALSE)</f>
        <v>511.98488671002883</v>
      </c>
      <c r="G727" s="99">
        <f>SUMIFS(Input!$D$115:$D$3257,Input!$A$115:$A$3257,"="&amp;'Output - County'!A727,Input!$B$115:$B$3257,"="&amp;'Output - County'!B727)*VLOOKUP(A727,'Output - State'!$B$2:$G$52,6,FALSE)</f>
        <v>74.44819867905619</v>
      </c>
    </row>
    <row r="728" spans="1:7" x14ac:dyDescent="0.25">
      <c r="A728" s="88">
        <v>18</v>
      </c>
      <c r="B728" s="88">
        <v>59</v>
      </c>
      <c r="C728" s="97">
        <f>SUMIFS(Input!$C$115:$C$3257,Input!$A$115:$A$3257,"="&amp;'Output - County'!A728,Input!$B$115:$B$3257,"="&amp;'Output - County'!B728)*VLOOKUP(A728,'Output - State'!$B$2:$G$52,2,FALSE)</f>
        <v>31.783234089090172</v>
      </c>
      <c r="D728" s="98">
        <f>SUMIFS(Input!$C$115:$C$3257,Input!$A$115:$A$3257,"="&amp;'Output - County'!A728,Input!$B$115:$B$3257,"="&amp;'Output - County'!B728)*VLOOKUP(A728,'Output - State'!$B$2:$G$52,3,FALSE)</f>
        <v>8.4169507643665895</v>
      </c>
      <c r="E728" s="98">
        <f>SUMIFS(Input!$C$115:$C$3257,Input!$A$115:$A$3257,"="&amp;'Output - County'!A728,Input!$B$115:$B$3257,"="&amp;'Output - County'!B728)*VLOOKUP(A728,'Output - State'!$B$2:$G$52,4,FALSE)</f>
        <v>38.306673691960569</v>
      </c>
      <c r="F728" s="98">
        <f>SUMIFS(Input!$C$115:$C$3257,Input!$A$115:$A$3257,"="&amp;'Output - County'!A728,Input!$B$115:$B$3257,"="&amp;'Output - County'!B728)*VLOOKUP(A728,'Output - State'!$B$2:$G$52,5,FALSE)</f>
        <v>125.59668994283619</v>
      </c>
      <c r="G728" s="99">
        <f>SUMIFS(Input!$D$115:$D$3257,Input!$A$115:$A$3257,"="&amp;'Output - County'!A728,Input!$B$115:$B$3257,"="&amp;'Output - County'!B728)*VLOOKUP(A728,'Output - State'!$B$2:$G$52,6,FALSE)</f>
        <v>17.258446057417572</v>
      </c>
    </row>
    <row r="729" spans="1:7" x14ac:dyDescent="0.25">
      <c r="A729" s="88">
        <v>18</v>
      </c>
      <c r="B729" s="88">
        <v>61</v>
      </c>
      <c r="C729" s="97">
        <f>SUMIFS(Input!$C$115:$C$3257,Input!$A$115:$A$3257,"="&amp;'Output - County'!A729,Input!$B$115:$B$3257,"="&amp;'Output - County'!B729)*VLOOKUP(A729,'Output - State'!$B$2:$G$52,2,FALSE)</f>
        <v>14.250885057960854</v>
      </c>
      <c r="D729" s="98">
        <f>SUMIFS(Input!$C$115:$C$3257,Input!$A$115:$A$3257,"="&amp;'Output - County'!A729,Input!$B$115:$B$3257,"="&amp;'Output - County'!B729)*VLOOKUP(A729,'Output - State'!$B$2:$G$52,3,FALSE)</f>
        <v>3.7739708157225382</v>
      </c>
      <c r="E729" s="98">
        <f>SUMIFS(Input!$C$115:$C$3257,Input!$A$115:$A$3257,"="&amp;'Output - County'!A729,Input!$B$115:$B$3257,"="&amp;'Output - County'!B729)*VLOOKUP(A729,'Output - State'!$B$2:$G$52,4,FALSE)</f>
        <v>17.175848191116856</v>
      </c>
      <c r="F729" s="98">
        <f>SUMIFS(Input!$C$115:$C$3257,Input!$A$115:$A$3257,"="&amp;'Output - County'!A729,Input!$B$115:$B$3257,"="&amp;'Output - County'!B729)*VLOOKUP(A729,'Output - State'!$B$2:$G$52,5,FALSE)</f>
        <v>56.314722001499852</v>
      </c>
      <c r="G729" s="99">
        <f>SUMIFS(Input!$D$115:$D$3257,Input!$A$115:$A$3257,"="&amp;'Output - County'!A729,Input!$B$115:$B$3257,"="&amp;'Output - County'!B729)*VLOOKUP(A729,'Output - State'!$B$2:$G$52,6,FALSE)</f>
        <v>9.0691442027213895</v>
      </c>
    </row>
    <row r="730" spans="1:7" x14ac:dyDescent="0.25">
      <c r="A730" s="88">
        <v>18</v>
      </c>
      <c r="B730" s="88">
        <v>63</v>
      </c>
      <c r="C730" s="97">
        <f>SUMIFS(Input!$C$115:$C$3257,Input!$A$115:$A$3257,"="&amp;'Output - County'!A730,Input!$B$115:$B$3257,"="&amp;'Output - County'!B730)*VLOOKUP(A730,'Output - State'!$B$2:$G$52,2,FALSE)</f>
        <v>66.220680919924064</v>
      </c>
      <c r="D730" s="98">
        <f>SUMIFS(Input!$C$115:$C$3257,Input!$A$115:$A$3257,"="&amp;'Output - County'!A730,Input!$B$115:$B$3257,"="&amp;'Output - County'!B730)*VLOOKUP(A730,'Output - State'!$B$2:$G$52,3,FALSE)</f>
        <v>17.536799726656966</v>
      </c>
      <c r="E730" s="98">
        <f>SUMIFS(Input!$C$115:$C$3257,Input!$A$115:$A$3257,"="&amp;'Output - County'!A730,Input!$B$115:$B$3257,"="&amp;'Output - County'!B730)*VLOOKUP(A730,'Output - State'!$B$2:$G$52,4,FALSE)</f>
        <v>79.812331512535067</v>
      </c>
      <c r="F730" s="98">
        <f>SUMIFS(Input!$C$115:$C$3257,Input!$A$115:$A$3257,"="&amp;'Output - County'!A730,Input!$B$115:$B$3257,"="&amp;'Output - County'!B730)*VLOOKUP(A730,'Output - State'!$B$2:$G$52,5,FALSE)</f>
        <v>261.68193916295309</v>
      </c>
      <c r="G730" s="99">
        <f>SUMIFS(Input!$D$115:$D$3257,Input!$A$115:$A$3257,"="&amp;'Output - County'!A730,Input!$B$115:$B$3257,"="&amp;'Output - County'!B730)*VLOOKUP(A730,'Output - State'!$B$2:$G$52,6,FALSE)</f>
        <v>37.675300543643587</v>
      </c>
    </row>
    <row r="731" spans="1:7" x14ac:dyDescent="0.25">
      <c r="A731" s="88">
        <v>18</v>
      </c>
      <c r="B731" s="88">
        <v>65</v>
      </c>
      <c r="C731" s="97">
        <f>SUMIFS(Input!$C$115:$C$3257,Input!$A$115:$A$3257,"="&amp;'Output - County'!A731,Input!$B$115:$B$3257,"="&amp;'Output - County'!B731)*VLOOKUP(A731,'Output - State'!$B$2:$G$52,2,FALSE)</f>
        <v>20.335319435343745</v>
      </c>
      <c r="D731" s="98">
        <f>SUMIFS(Input!$C$115:$C$3257,Input!$A$115:$A$3257,"="&amp;'Output - County'!A731,Input!$B$115:$B$3257,"="&amp;'Output - County'!B731)*VLOOKUP(A731,'Output - State'!$B$2:$G$52,3,FALSE)</f>
        <v>5.3852726876434414</v>
      </c>
      <c r="E731" s="98">
        <f>SUMIFS(Input!$C$115:$C$3257,Input!$A$115:$A$3257,"="&amp;'Output - County'!A731,Input!$B$115:$B$3257,"="&amp;'Output - County'!B731)*VLOOKUP(A731,'Output - State'!$B$2:$G$52,4,FALSE)</f>
        <v>24.509099478296534</v>
      </c>
      <c r="F731" s="98">
        <f>SUMIFS(Input!$C$115:$C$3257,Input!$A$115:$A$3257,"="&amp;'Output - County'!A731,Input!$B$115:$B$3257,"="&amp;'Output - County'!B731)*VLOOKUP(A731,'Output - State'!$B$2:$G$52,5,FALSE)</f>
        <v>80.358367649127771</v>
      </c>
      <c r="G731" s="99">
        <f>SUMIFS(Input!$D$115:$D$3257,Input!$A$115:$A$3257,"="&amp;'Output - County'!A731,Input!$B$115:$B$3257,"="&amp;'Output - County'!B731)*VLOOKUP(A731,'Output - State'!$B$2:$G$52,6,FALSE)</f>
        <v>10.851388958977584</v>
      </c>
    </row>
    <row r="732" spans="1:7" x14ac:dyDescent="0.25">
      <c r="A732" s="88">
        <v>18</v>
      </c>
      <c r="B732" s="88">
        <v>67</v>
      </c>
      <c r="C732" s="97">
        <f>SUMIFS(Input!$C$115:$C$3257,Input!$A$115:$A$3257,"="&amp;'Output - County'!A732,Input!$B$115:$B$3257,"="&amp;'Output - County'!B732)*VLOOKUP(A732,'Output - State'!$B$2:$G$52,2,FALSE)</f>
        <v>23.828102124685824</v>
      </c>
      <c r="D732" s="98">
        <f>SUMIFS(Input!$C$115:$C$3257,Input!$A$115:$A$3257,"="&amp;'Output - County'!A732,Input!$B$115:$B$3257,"="&amp;'Output - County'!B732)*VLOOKUP(A732,'Output - State'!$B$2:$G$52,3,FALSE)</f>
        <v>6.3102440056791815</v>
      </c>
      <c r="E732" s="98">
        <f>SUMIFS(Input!$C$115:$C$3257,Input!$A$115:$A$3257,"="&amp;'Output - County'!A732,Input!$B$115:$B$3257,"="&amp;'Output - County'!B732)*VLOOKUP(A732,'Output - State'!$B$2:$G$52,4,FALSE)</f>
        <v>28.718768210638732</v>
      </c>
      <c r="F732" s="98">
        <f>SUMIFS(Input!$C$115:$C$3257,Input!$A$115:$A$3257,"="&amp;'Output - County'!A732,Input!$B$115:$B$3257,"="&amp;'Output - County'!B732)*VLOOKUP(A732,'Output - State'!$B$2:$G$52,5,FALSE)</f>
        <v>94.16067433828826</v>
      </c>
      <c r="G732" s="99">
        <f>SUMIFS(Input!$D$115:$D$3257,Input!$A$115:$A$3257,"="&amp;'Output - County'!A732,Input!$B$115:$B$3257,"="&amp;'Output - County'!B732)*VLOOKUP(A732,'Output - State'!$B$2:$G$52,6,FALSE)</f>
        <v>18.566929549352498</v>
      </c>
    </row>
    <row r="733" spans="1:7" x14ac:dyDescent="0.25">
      <c r="A733" s="88">
        <v>18</v>
      </c>
      <c r="B733" s="88">
        <v>69</v>
      </c>
      <c r="C733" s="97">
        <f>SUMIFS(Input!$C$115:$C$3257,Input!$A$115:$A$3257,"="&amp;'Output - County'!A733,Input!$B$115:$B$3257,"="&amp;'Output - County'!B733)*VLOOKUP(A733,'Output - State'!$B$2:$G$52,2,FALSE)</f>
        <v>18.155297324281502</v>
      </c>
      <c r="D733" s="98">
        <f>SUMIFS(Input!$C$115:$C$3257,Input!$A$115:$A$3257,"="&amp;'Output - County'!A733,Input!$B$115:$B$3257,"="&amp;'Output - County'!B733)*VLOOKUP(A733,'Output - State'!$B$2:$G$52,3,FALSE)</f>
        <v>4.8079513639981588</v>
      </c>
      <c r="E733" s="98">
        <f>SUMIFS(Input!$C$115:$C$3257,Input!$A$115:$A$3257,"="&amp;'Output - County'!A733,Input!$B$115:$B$3257,"="&amp;'Output - County'!B733)*VLOOKUP(A733,'Output - State'!$B$2:$G$52,4,FALSE)</f>
        <v>21.881632574971377</v>
      </c>
      <c r="F733" s="98">
        <f>SUMIFS(Input!$C$115:$C$3257,Input!$A$115:$A$3257,"="&amp;'Output - County'!A733,Input!$B$115:$B$3257,"="&amp;'Output - County'!B733)*VLOOKUP(A733,'Output - State'!$B$2:$G$52,5,FALSE)</f>
        <v>71.743650833836895</v>
      </c>
      <c r="G733" s="99">
        <f>SUMIFS(Input!$D$115:$D$3257,Input!$A$115:$A$3257,"="&amp;'Output - County'!A733,Input!$B$115:$B$3257,"="&amp;'Output - County'!B733)*VLOOKUP(A733,'Output - State'!$B$2:$G$52,6,FALSE)</f>
        <v>8.1667417944904059</v>
      </c>
    </row>
    <row r="734" spans="1:7" x14ac:dyDescent="0.25">
      <c r="A734" s="88">
        <v>18</v>
      </c>
      <c r="B734" s="88">
        <v>71</v>
      </c>
      <c r="C734" s="97">
        <f>SUMIFS(Input!$C$115:$C$3257,Input!$A$115:$A$3257,"="&amp;'Output - County'!A734,Input!$B$115:$B$3257,"="&amp;'Output - County'!B734)*VLOOKUP(A734,'Output - State'!$B$2:$G$52,2,FALSE)</f>
        <v>20.592386740783414</v>
      </c>
      <c r="D734" s="98">
        <f>SUMIFS(Input!$C$115:$C$3257,Input!$A$115:$A$3257,"="&amp;'Output - County'!A734,Input!$B$115:$B$3257,"="&amp;'Output - County'!B734)*VLOOKUP(A734,'Output - State'!$B$2:$G$52,3,FALSE)</f>
        <v>5.4533501792841301</v>
      </c>
      <c r="E734" s="98">
        <f>SUMIFS(Input!$C$115:$C$3257,Input!$A$115:$A$3257,"="&amp;'Output - County'!A734,Input!$B$115:$B$3257,"="&amp;'Output - County'!B734)*VLOOKUP(A734,'Output - State'!$B$2:$G$52,4,FALSE)</f>
        <v>24.818929288527496</v>
      </c>
      <c r="F734" s="98">
        <f>SUMIFS(Input!$C$115:$C$3257,Input!$A$115:$A$3257,"="&amp;'Output - County'!A734,Input!$B$115:$B$3257,"="&amp;'Output - County'!B734)*VLOOKUP(A734,'Output - State'!$B$2:$G$52,5,FALSE)</f>
        <v>81.374211491993009</v>
      </c>
      <c r="G734" s="99">
        <f>SUMIFS(Input!$D$115:$D$3257,Input!$A$115:$A$3257,"="&amp;'Output - County'!A734,Input!$B$115:$B$3257,"="&amp;'Output - County'!B734)*VLOOKUP(A734,'Output - State'!$B$2:$G$52,6,FALSE)</f>
        <v>9.9489865507466</v>
      </c>
    </row>
    <row r="735" spans="1:7" x14ac:dyDescent="0.25">
      <c r="A735" s="88">
        <v>18</v>
      </c>
      <c r="B735" s="88">
        <v>73</v>
      </c>
      <c r="C735" s="97">
        <f>SUMIFS(Input!$C$115:$C$3257,Input!$A$115:$A$3257,"="&amp;'Output - County'!A735,Input!$B$115:$B$3257,"="&amp;'Output - County'!B735)*VLOOKUP(A735,'Output - State'!$B$2:$G$52,2,FALSE)</f>
        <v>23.1766100295503</v>
      </c>
      <c r="D735" s="98">
        <f>SUMIFS(Input!$C$115:$C$3257,Input!$A$115:$A$3257,"="&amp;'Output - County'!A735,Input!$B$115:$B$3257,"="&amp;'Output - County'!B735)*VLOOKUP(A735,'Output - State'!$B$2:$G$52,3,FALSE)</f>
        <v>6.1377135176627968</v>
      </c>
      <c r="E735" s="98">
        <f>SUMIFS(Input!$C$115:$C$3257,Input!$A$115:$A$3257,"="&amp;'Output - County'!A735,Input!$B$115:$B$3257,"="&amp;'Output - County'!B735)*VLOOKUP(A735,'Output - State'!$B$2:$G$52,4,FALSE)</f>
        <v>27.933558781312133</v>
      </c>
      <c r="F735" s="98">
        <f>SUMIFS(Input!$C$115:$C$3257,Input!$A$115:$A$3257,"="&amp;'Output - County'!A735,Input!$B$115:$B$3257,"="&amp;'Output - County'!B735)*VLOOKUP(A735,'Output - State'!$B$2:$G$52,5,FALSE)</f>
        <v>91.586195905930353</v>
      </c>
      <c r="G735" s="99">
        <f>SUMIFS(Input!$D$115:$D$3257,Input!$A$115:$A$3257,"="&amp;'Output - County'!A735,Input!$B$115:$B$3257,"="&amp;'Output - County'!B735)*VLOOKUP(A735,'Output - State'!$B$2:$G$52,6,FALSE)</f>
        <v>7.5350601087287172</v>
      </c>
    </row>
    <row r="736" spans="1:7" x14ac:dyDescent="0.25">
      <c r="A736" s="88">
        <v>18</v>
      </c>
      <c r="B736" s="88">
        <v>75</v>
      </c>
      <c r="C736" s="97">
        <f>SUMIFS(Input!$C$115:$C$3257,Input!$A$115:$A$3257,"="&amp;'Output - County'!A736,Input!$B$115:$B$3257,"="&amp;'Output - County'!B736)*VLOOKUP(A736,'Output - State'!$B$2:$G$52,2,FALSE)</f>
        <v>6.1916218170500494</v>
      </c>
      <c r="D736" s="98">
        <f>SUMIFS(Input!$C$115:$C$3257,Input!$A$115:$A$3257,"="&amp;'Output - County'!A736,Input!$B$115:$B$3257,"="&amp;'Output - County'!B736)*VLOOKUP(A736,'Output - State'!$B$2:$G$52,3,FALSE)</f>
        <v>1.6396876365573185</v>
      </c>
      <c r="E736" s="98">
        <f>SUMIFS(Input!$C$115:$C$3257,Input!$A$115:$A$3257,"="&amp;'Output - County'!A736,Input!$B$115:$B$3257,"="&amp;'Output - County'!B736)*VLOOKUP(A736,'Output - State'!$B$2:$G$52,4,FALSE)</f>
        <v>7.462438715485348</v>
      </c>
      <c r="F736" s="98">
        <f>SUMIFS(Input!$C$115:$C$3257,Input!$A$115:$A$3257,"="&amp;'Output - County'!A736,Input!$B$115:$B$3257,"="&amp;'Output - County'!B736)*VLOOKUP(A736,'Output - State'!$B$2:$G$52,5,FALSE)</f>
        <v>24.467214488605745</v>
      </c>
      <c r="G736" s="99">
        <f>SUMIFS(Input!$D$115:$D$3257,Input!$A$115:$A$3257,"="&amp;'Output - County'!A736,Input!$B$115:$B$3257,"="&amp;'Output - County'!B736)*VLOOKUP(A736,'Output - State'!$B$2:$G$52,6,FALSE)</f>
        <v>4.6699324625953436</v>
      </c>
    </row>
    <row r="737" spans="1:7" x14ac:dyDescent="0.25">
      <c r="A737" s="88">
        <v>18</v>
      </c>
      <c r="B737" s="88">
        <v>77</v>
      </c>
      <c r="C737" s="97">
        <f>SUMIFS(Input!$C$115:$C$3257,Input!$A$115:$A$3257,"="&amp;'Output - County'!A737,Input!$B$115:$B$3257,"="&amp;'Output - County'!B737)*VLOOKUP(A737,'Output - State'!$B$2:$G$52,2,FALSE)</f>
        <v>9.50454279799205</v>
      </c>
      <c r="D737" s="98">
        <f>SUMIFS(Input!$C$115:$C$3257,Input!$A$115:$A$3257,"="&amp;'Output - County'!A737,Input!$B$115:$B$3257,"="&amp;'Output - County'!B737)*VLOOKUP(A737,'Output - State'!$B$2:$G$52,3,FALSE)</f>
        <v>2.5170273278128885</v>
      </c>
      <c r="E737" s="98">
        <f>SUMIFS(Input!$C$115:$C$3257,Input!$A$115:$A$3257,"="&amp;'Output - County'!A737,Input!$B$115:$B$3257,"="&amp;'Output - County'!B737)*VLOOKUP(A737,'Output - State'!$B$2:$G$52,4,FALSE)</f>
        <v>11.455329515347557</v>
      </c>
      <c r="F737" s="98">
        <f>SUMIFS(Input!$C$115:$C$3257,Input!$A$115:$A$3257,"="&amp;'Output - County'!A737,Input!$B$115:$B$3257,"="&amp;'Output - County'!B737)*VLOOKUP(A737,'Output - State'!$B$2:$G$52,5,FALSE)</f>
        <v>37.558767981310744</v>
      </c>
      <c r="G737" s="99">
        <f>SUMIFS(Input!$D$115:$D$3257,Input!$A$115:$A$3257,"="&amp;'Output - County'!A737,Input!$B$115:$B$3257,"="&amp;'Output - County'!B737)*VLOOKUP(A737,'Output - State'!$B$2:$G$52,6,FALSE)</f>
        <v>7.2643393862594223</v>
      </c>
    </row>
    <row r="738" spans="1:7" x14ac:dyDescent="0.25">
      <c r="A738" s="88">
        <v>18</v>
      </c>
      <c r="B738" s="88">
        <v>79</v>
      </c>
      <c r="C738" s="97">
        <f>SUMIFS(Input!$C$115:$C$3257,Input!$A$115:$A$3257,"="&amp;'Output - County'!A738,Input!$B$115:$B$3257,"="&amp;'Output - County'!B738)*VLOOKUP(A738,'Output - State'!$B$2:$G$52,2,FALSE)</f>
        <v>8.4621323457403523</v>
      </c>
      <c r="D738" s="98">
        <f>SUMIFS(Input!$C$115:$C$3257,Input!$A$115:$A$3257,"="&amp;'Output - County'!A738,Input!$B$115:$B$3257,"="&amp;'Output - County'!B738)*VLOOKUP(A738,'Output - State'!$B$2:$G$52,3,FALSE)</f>
        <v>2.2409724295520674</v>
      </c>
      <c r="E738" s="98">
        <f>SUMIFS(Input!$C$115:$C$3257,Input!$A$115:$A$3257,"="&amp;'Output - County'!A738,Input!$B$115:$B$3257,"="&amp;'Output - County'!B738)*VLOOKUP(A738,'Output - State'!$B$2:$G$52,4,FALSE)</f>
        <v>10.198966587158273</v>
      </c>
      <c r="F738" s="98">
        <f>SUMIFS(Input!$C$115:$C$3257,Input!$A$115:$A$3257,"="&amp;'Output - County'!A738,Input!$B$115:$B$3257,"="&amp;'Output - County'!B738)*VLOOKUP(A738,'Output - State'!$B$2:$G$52,5,FALSE)</f>
        <v>33.439511205941606</v>
      </c>
      <c r="G738" s="99">
        <f>SUMIFS(Input!$D$115:$D$3257,Input!$A$115:$A$3257,"="&amp;'Output - County'!A738,Input!$B$115:$B$3257,"="&amp;'Output - County'!B738)*VLOOKUP(A738,'Output - State'!$B$2:$G$52,6,FALSE)</f>
        <v>6.2491366769995658</v>
      </c>
    </row>
    <row r="739" spans="1:7" x14ac:dyDescent="0.25">
      <c r="A739" s="88">
        <v>18</v>
      </c>
      <c r="B739" s="88">
        <v>81</v>
      </c>
      <c r="C739" s="97">
        <f>SUMIFS(Input!$C$115:$C$3257,Input!$A$115:$A$3257,"="&amp;'Output - County'!A739,Input!$B$115:$B$3257,"="&amp;'Output - County'!B739)*VLOOKUP(A739,'Output - State'!$B$2:$G$52,2,FALSE)</f>
        <v>52.036553853324911</v>
      </c>
      <c r="D739" s="98">
        <f>SUMIFS(Input!$C$115:$C$3257,Input!$A$115:$A$3257,"="&amp;'Output - County'!A739,Input!$B$115:$B$3257,"="&amp;'Output - County'!B739)*VLOOKUP(A739,'Output - State'!$B$2:$G$52,3,FALSE)</f>
        <v>13.780508003151549</v>
      </c>
      <c r="E739" s="98">
        <f>SUMIFS(Input!$C$115:$C$3257,Input!$A$115:$A$3257,"="&amp;'Output - County'!A739,Input!$B$115:$B$3257,"="&amp;'Output - County'!B739)*VLOOKUP(A739,'Output - State'!$B$2:$G$52,4,FALSE)</f>
        <v>62.716943245170931</v>
      </c>
      <c r="F739" s="98">
        <f>SUMIFS(Input!$C$115:$C$3257,Input!$A$115:$A$3257,"="&amp;'Output - County'!A739,Input!$B$115:$B$3257,"="&amp;'Output - County'!B739)*VLOOKUP(A739,'Output - State'!$B$2:$G$52,5,FALSE)</f>
        <v>205.63102237141894</v>
      </c>
      <c r="G739" s="99">
        <f>SUMIFS(Input!$D$115:$D$3257,Input!$A$115:$A$3257,"="&amp;'Output - County'!A739,Input!$B$115:$B$3257,"="&amp;'Output - County'!B739)*VLOOKUP(A739,'Output - State'!$B$2:$G$52,6,FALSE)</f>
        <v>35.193693921008382</v>
      </c>
    </row>
    <row r="740" spans="1:7" x14ac:dyDescent="0.25">
      <c r="A740" s="88">
        <v>18</v>
      </c>
      <c r="B740" s="88">
        <v>83</v>
      </c>
      <c r="C740" s="97">
        <f>SUMIFS(Input!$C$115:$C$3257,Input!$A$115:$A$3257,"="&amp;'Output - County'!A740,Input!$B$115:$B$3257,"="&amp;'Output - County'!B740)*VLOOKUP(A740,'Output - State'!$B$2:$G$52,2,FALSE)</f>
        <v>13.725175018461236</v>
      </c>
      <c r="D740" s="98">
        <f>SUMIFS(Input!$C$115:$C$3257,Input!$A$115:$A$3257,"="&amp;'Output - County'!A740,Input!$B$115:$B$3257,"="&amp;'Output - County'!B740)*VLOOKUP(A740,'Output - State'!$B$2:$G$52,3,FALSE)</f>
        <v>3.6347503856555936</v>
      </c>
      <c r="E740" s="98">
        <f>SUMIFS(Input!$C$115:$C$3257,Input!$A$115:$A$3257,"="&amp;'Output - County'!A740,Input!$B$115:$B$3257,"="&amp;'Output - County'!B740)*VLOOKUP(A740,'Output - State'!$B$2:$G$52,4,FALSE)</f>
        <v>16.542237310510714</v>
      </c>
      <c r="F740" s="98">
        <f>SUMIFS(Input!$C$115:$C$3257,Input!$A$115:$A$3257,"="&amp;'Output - County'!A740,Input!$B$115:$B$3257,"="&amp;'Output - County'!B740)*VLOOKUP(A740,'Output - State'!$B$2:$G$52,5,FALSE)</f>
        <v>54.237292101012351</v>
      </c>
      <c r="G740" s="99">
        <f>SUMIFS(Input!$D$115:$D$3257,Input!$A$115:$A$3257,"="&amp;'Output - County'!A740,Input!$B$115:$B$3257,"="&amp;'Output - County'!B740)*VLOOKUP(A740,'Output - State'!$B$2:$G$52,6,FALSE)</f>
        <v>8.2569820353135057</v>
      </c>
    </row>
    <row r="741" spans="1:7" x14ac:dyDescent="0.25">
      <c r="A741" s="88">
        <v>18</v>
      </c>
      <c r="B741" s="88">
        <v>85</v>
      </c>
      <c r="C741" s="97">
        <f>SUMIFS(Input!$C$115:$C$3257,Input!$A$115:$A$3257,"="&amp;'Output - County'!A741,Input!$B$115:$B$3257,"="&amp;'Output - County'!B741)*VLOOKUP(A741,'Output - State'!$B$2:$G$52,2,FALSE)</f>
        <v>26.253126217322293</v>
      </c>
      <c r="D741" s="98">
        <f>SUMIFS(Input!$C$115:$C$3257,Input!$A$115:$A$3257,"="&amp;'Output - County'!A741,Input!$B$115:$B$3257,"="&amp;'Output - County'!B741)*VLOOKUP(A741,'Output - State'!$B$2:$G$52,3,FALSE)</f>
        <v>6.9524476383526181</v>
      </c>
      <c r="E741" s="98">
        <f>SUMIFS(Input!$C$115:$C$3257,Input!$A$115:$A$3257,"="&amp;'Output - County'!A741,Input!$B$115:$B$3257,"="&amp;'Output - County'!B741)*VLOOKUP(A741,'Output - State'!$B$2:$G$52,4,FALSE)</f>
        <v>31.641523218872923</v>
      </c>
      <c r="F741" s="98">
        <f>SUMIFS(Input!$C$115:$C$3257,Input!$A$115:$A$3257,"="&amp;'Output - County'!A741,Input!$B$115:$B$3257,"="&amp;'Output - County'!B741)*VLOOKUP(A741,'Output - State'!$B$2:$G$52,5,FALSE)</f>
        <v>103.74355687985182</v>
      </c>
      <c r="G741" s="99">
        <f>SUMIFS(Input!$D$115:$D$3257,Input!$A$115:$A$3257,"="&amp;'Output - County'!A741,Input!$B$115:$B$3257,"="&amp;'Output - County'!B741)*VLOOKUP(A741,'Output - State'!$B$2:$G$52,6,FALSE)</f>
        <v>17.912687803385037</v>
      </c>
    </row>
    <row r="742" spans="1:7" x14ac:dyDescent="0.25">
      <c r="A742" s="88">
        <v>18</v>
      </c>
      <c r="B742" s="88">
        <v>87</v>
      </c>
      <c r="C742" s="97">
        <f>SUMIFS(Input!$C$115:$C$3257,Input!$A$115:$A$3257,"="&amp;'Output - County'!A742,Input!$B$115:$B$3257,"="&amp;'Output - County'!B742)*VLOOKUP(A742,'Output - State'!$B$2:$G$52,2,FALSE)</f>
        <v>16.787038127753309</v>
      </c>
      <c r="D742" s="98">
        <f>SUMIFS(Input!$C$115:$C$3257,Input!$A$115:$A$3257,"="&amp;'Output - County'!A742,Input!$B$115:$B$3257,"="&amp;'Output - County'!B742)*VLOOKUP(A742,'Output - State'!$B$2:$G$52,3,FALSE)</f>
        <v>4.4456040252160829</v>
      </c>
      <c r="E742" s="98">
        <f>SUMIFS(Input!$C$115:$C$3257,Input!$A$115:$A$3257,"="&amp;'Output - County'!A742,Input!$B$115:$B$3257,"="&amp;'Output - County'!B742)*VLOOKUP(A742,'Output - State'!$B$2:$G$52,4,FALSE)</f>
        <v>20.232541157134172</v>
      </c>
      <c r="F742" s="98">
        <f>SUMIFS(Input!$C$115:$C$3257,Input!$A$115:$A$3257,"="&amp;'Output - County'!A742,Input!$B$115:$B$3257,"="&amp;'Output - County'!B742)*VLOOKUP(A742,'Output - State'!$B$2:$G$52,5,FALSE)</f>
        <v>66.33674901931154</v>
      </c>
      <c r="G742" s="99">
        <f>SUMIFS(Input!$D$115:$D$3257,Input!$A$115:$A$3257,"="&amp;'Output - County'!A742,Input!$B$115:$B$3257,"="&amp;'Output - County'!B742)*VLOOKUP(A742,'Output - State'!$B$2:$G$52,6,FALSE)</f>
        <v>8.8886637210751935</v>
      </c>
    </row>
    <row r="743" spans="1:7" x14ac:dyDescent="0.25">
      <c r="A743" s="88">
        <v>18</v>
      </c>
      <c r="B743" s="88">
        <v>89</v>
      </c>
      <c r="C743" s="97">
        <f>SUMIFS(Input!$C$115:$C$3257,Input!$A$115:$A$3257,"="&amp;'Output - County'!A743,Input!$B$115:$B$3257,"="&amp;'Output - County'!B743)*VLOOKUP(A743,'Output - State'!$B$2:$G$52,2,FALSE)</f>
        <v>171.24364611702231</v>
      </c>
      <c r="D743" s="98">
        <f>SUMIFS(Input!$C$115:$C$3257,Input!$A$115:$A$3257,"="&amp;'Output - County'!A743,Input!$B$115:$B$3257,"="&amp;'Output - County'!B743)*VLOOKUP(A743,'Output - State'!$B$2:$G$52,3,FALSE)</f>
        <v>45.349360421831534</v>
      </c>
      <c r="E743" s="98">
        <f>SUMIFS(Input!$C$115:$C$3257,Input!$A$115:$A$3257,"="&amp;'Output - County'!A743,Input!$B$115:$B$3257,"="&amp;'Output - County'!B743)*VLOOKUP(A743,'Output - State'!$B$2:$G$52,4,FALSE)</f>
        <v>206.39103167534591</v>
      </c>
      <c r="F743" s="98">
        <f>SUMIFS(Input!$C$115:$C$3257,Input!$A$115:$A$3257,"="&amp;'Output - County'!A743,Input!$B$115:$B$3257,"="&amp;'Output - County'!B743)*VLOOKUP(A743,'Output - State'!$B$2:$G$52,5,FALSE)</f>
        <v>676.69750239240341</v>
      </c>
      <c r="G743" s="99">
        <f>SUMIFS(Input!$D$115:$D$3257,Input!$A$115:$A$3257,"="&amp;'Output - County'!A743,Input!$B$115:$B$3257,"="&amp;'Output - County'!B743)*VLOOKUP(A743,'Output - State'!$B$2:$G$52,6,FALSE)</f>
        <v>109.19069139594907</v>
      </c>
    </row>
    <row r="744" spans="1:7" x14ac:dyDescent="0.25">
      <c r="A744" s="88">
        <v>18</v>
      </c>
      <c r="B744" s="88">
        <v>91</v>
      </c>
      <c r="C744" s="97">
        <f>SUMIFS(Input!$C$115:$C$3257,Input!$A$115:$A$3257,"="&amp;'Output - County'!A744,Input!$B$115:$B$3257,"="&amp;'Output - County'!B744)*VLOOKUP(A744,'Output - State'!$B$2:$G$52,2,FALSE)</f>
        <v>48.740042727975201</v>
      </c>
      <c r="D744" s="98">
        <f>SUMIFS(Input!$C$115:$C$3257,Input!$A$115:$A$3257,"="&amp;'Output - County'!A744,Input!$B$115:$B$3257,"="&amp;'Output - County'!B744)*VLOOKUP(A744,'Output - State'!$B$2:$G$52,3,FALSE)</f>
        <v>12.907514029080817</v>
      </c>
      <c r="E744" s="98">
        <f>SUMIFS(Input!$C$115:$C$3257,Input!$A$115:$A$3257,"="&amp;'Output - County'!A744,Input!$B$115:$B$3257,"="&amp;'Output - County'!B744)*VLOOKUP(A744,'Output - State'!$B$2:$G$52,4,FALSE)</f>
        <v>58.743830388036137</v>
      </c>
      <c r="F744" s="98">
        <f>SUMIFS(Input!$C$115:$C$3257,Input!$A$115:$A$3257,"="&amp;'Output - County'!A744,Input!$B$115:$B$3257,"="&amp;'Output - County'!B744)*VLOOKUP(A744,'Output - State'!$B$2:$G$52,5,FALSE)</f>
        <v>192.60431512875425</v>
      </c>
      <c r="G744" s="99">
        <f>SUMIFS(Input!$D$115:$D$3257,Input!$A$115:$A$3257,"="&amp;'Output - County'!A744,Input!$B$115:$B$3257,"="&amp;'Output - County'!B744)*VLOOKUP(A744,'Output - State'!$B$2:$G$52,6,FALSE)</f>
        <v>24.816066226352063</v>
      </c>
    </row>
    <row r="745" spans="1:7" x14ac:dyDescent="0.25">
      <c r="A745" s="88">
        <v>18</v>
      </c>
      <c r="B745" s="88">
        <v>93</v>
      </c>
      <c r="C745" s="97">
        <f>SUMIFS(Input!$C$115:$C$3257,Input!$A$115:$A$3257,"="&amp;'Output - County'!A745,Input!$B$115:$B$3257,"="&amp;'Output - County'!B745)*VLOOKUP(A745,'Output - State'!$B$2:$G$52,2,FALSE)</f>
        <v>13.40493830105474</v>
      </c>
      <c r="D745" s="98">
        <f>SUMIFS(Input!$C$115:$C$3257,Input!$A$115:$A$3257,"="&amp;'Output - County'!A745,Input!$B$115:$B$3257,"="&amp;'Output - County'!B745)*VLOOKUP(A745,'Output - State'!$B$2:$G$52,3,FALSE)</f>
        <v>3.5499441423451286</v>
      </c>
      <c r="E745" s="98">
        <f>SUMIFS(Input!$C$115:$C$3257,Input!$A$115:$A$3257,"="&amp;'Output - County'!A745,Input!$B$115:$B$3257,"="&amp;'Output - County'!B745)*VLOOKUP(A745,'Output - State'!$B$2:$G$52,4,FALSE)</f>
        <v>16.156272704030151</v>
      </c>
      <c r="F745" s="98">
        <f>SUMIFS(Input!$C$115:$C$3257,Input!$A$115:$A$3257,"="&amp;'Output - County'!A745,Input!$B$115:$B$3257,"="&amp;'Output - County'!B745)*VLOOKUP(A745,'Output - State'!$B$2:$G$52,5,FALSE)</f>
        <v>52.971823911347492</v>
      </c>
      <c r="G745" s="99">
        <f>SUMIFS(Input!$D$115:$D$3257,Input!$A$115:$A$3257,"="&amp;'Output - County'!A745,Input!$B$115:$B$3257,"="&amp;'Output - County'!B745)*VLOOKUP(A745,'Output - State'!$B$2:$G$52,6,FALSE)</f>
        <v>10.287387453833219</v>
      </c>
    </row>
    <row r="746" spans="1:7" x14ac:dyDescent="0.25">
      <c r="A746" s="88">
        <v>18</v>
      </c>
      <c r="B746" s="88">
        <v>95</v>
      </c>
      <c r="C746" s="97">
        <f>SUMIFS(Input!$C$115:$C$3257,Input!$A$115:$A$3257,"="&amp;'Output - County'!A746,Input!$B$115:$B$3257,"="&amp;'Output - County'!B746)*VLOOKUP(A746,'Output - State'!$B$2:$G$52,2,FALSE)</f>
        <v>43.192468540571269</v>
      </c>
      <c r="D746" s="98">
        <f>SUMIFS(Input!$C$115:$C$3257,Input!$A$115:$A$3257,"="&amp;'Output - County'!A746,Input!$B$115:$B$3257,"="&amp;'Output - County'!B746)*VLOOKUP(A746,'Output - State'!$B$2:$G$52,3,FALSE)</f>
        <v>11.438385410320217</v>
      </c>
      <c r="E746" s="98">
        <f>SUMIFS(Input!$C$115:$C$3257,Input!$A$115:$A$3257,"="&amp;'Output - County'!A746,Input!$B$115:$B$3257,"="&amp;'Output - County'!B746)*VLOOKUP(A746,'Output - State'!$B$2:$G$52,4,FALSE)</f>
        <v>52.057628676053319</v>
      </c>
      <c r="F746" s="98">
        <f>SUMIFS(Input!$C$115:$C$3257,Input!$A$115:$A$3257,"="&amp;'Output - County'!A746,Input!$B$115:$B$3257,"="&amp;'Output - County'!B746)*VLOOKUP(A746,'Output - State'!$B$2:$G$52,5,FALSE)</f>
        <v>170.68216103967686</v>
      </c>
      <c r="G746" s="99">
        <f>SUMIFS(Input!$D$115:$D$3257,Input!$A$115:$A$3257,"="&amp;'Output - County'!A746,Input!$B$115:$B$3257,"="&amp;'Output - County'!B746)*VLOOKUP(A746,'Output - State'!$B$2:$G$52,6,FALSE)</f>
        <v>29.328078267506985</v>
      </c>
    </row>
    <row r="747" spans="1:7" x14ac:dyDescent="0.25">
      <c r="A747" s="88">
        <v>18</v>
      </c>
      <c r="B747" s="88">
        <v>97</v>
      </c>
      <c r="C747" s="97">
        <f>SUMIFS(Input!$C$115:$C$3257,Input!$A$115:$A$3257,"="&amp;'Output - County'!A747,Input!$B$115:$B$3257,"="&amp;'Output - County'!B747)*VLOOKUP(A747,'Output - State'!$B$2:$G$52,2,FALSE)</f>
        <v>302.19730744320645</v>
      </c>
      <c r="D747" s="98">
        <f>SUMIFS(Input!$C$115:$C$3257,Input!$A$115:$A$3257,"="&amp;'Output - County'!A747,Input!$B$115:$B$3257,"="&amp;'Output - County'!B747)*VLOOKUP(A747,'Output - State'!$B$2:$G$52,3,FALSE)</f>
        <v>80.028981655668701</v>
      </c>
      <c r="E747" s="98">
        <f>SUMIFS(Input!$C$115:$C$3257,Input!$A$115:$A$3257,"="&amp;'Output - County'!A747,Input!$B$115:$B$3257,"="&amp;'Output - County'!B747)*VLOOKUP(A747,'Output - State'!$B$2:$G$52,4,FALSE)</f>
        <v>364.22264689513145</v>
      </c>
      <c r="F747" s="98">
        <f>SUMIFS(Input!$C$115:$C$3257,Input!$A$115:$A$3257,"="&amp;'Output - County'!A747,Input!$B$115:$B$3257,"="&amp;'Output - County'!B747)*VLOOKUP(A747,'Output - State'!$B$2:$G$52,5,FALSE)</f>
        <v>1194.1824868455619</v>
      </c>
      <c r="G747" s="99">
        <f>SUMIFS(Input!$D$115:$D$3257,Input!$A$115:$A$3257,"="&amp;'Output - County'!A747,Input!$B$115:$B$3257,"="&amp;'Output - County'!B747)*VLOOKUP(A747,'Output - State'!$B$2:$G$52,6,FALSE)</f>
        <v>216.35097737337847</v>
      </c>
    </row>
    <row r="748" spans="1:7" x14ac:dyDescent="0.25">
      <c r="A748" s="88">
        <v>18</v>
      </c>
      <c r="B748" s="88">
        <v>99</v>
      </c>
      <c r="C748" s="97">
        <f>SUMIFS(Input!$C$115:$C$3257,Input!$A$115:$A$3257,"="&amp;'Output - County'!A748,Input!$B$115:$B$3257,"="&amp;'Output - County'!B748)*VLOOKUP(A748,'Output - State'!$B$2:$G$52,2,FALSE)</f>
        <v>19.234878163226195</v>
      </c>
      <c r="D748" s="98">
        <f>SUMIFS(Input!$C$115:$C$3257,Input!$A$115:$A$3257,"="&amp;'Output - County'!A748,Input!$B$115:$B$3257,"="&amp;'Output - County'!B748)*VLOOKUP(A748,'Output - State'!$B$2:$G$52,3,FALSE)</f>
        <v>5.0938498582193672</v>
      </c>
      <c r="E748" s="98">
        <f>SUMIFS(Input!$C$115:$C$3257,Input!$A$115:$A$3257,"="&amp;'Output - County'!A748,Input!$B$115:$B$3257,"="&amp;'Output - County'!B748)*VLOOKUP(A748,'Output - State'!$B$2:$G$52,4,FALSE)</f>
        <v>23.182795030800342</v>
      </c>
      <c r="F748" s="98">
        <f>SUMIFS(Input!$C$115:$C$3257,Input!$A$115:$A$3257,"="&amp;'Output - County'!A748,Input!$B$115:$B$3257,"="&amp;'Output - County'!B748)*VLOOKUP(A748,'Output - State'!$B$2:$G$52,5,FALSE)</f>
        <v>76.009792520900334</v>
      </c>
      <c r="G748" s="99">
        <f>SUMIFS(Input!$D$115:$D$3257,Input!$A$115:$A$3257,"="&amp;'Output - County'!A748,Input!$B$115:$B$3257,"="&amp;'Output - County'!B748)*VLOOKUP(A748,'Output - State'!$B$2:$G$52,6,FALSE)</f>
        <v>10.445307875273642</v>
      </c>
    </row>
    <row r="749" spans="1:7" x14ac:dyDescent="0.25">
      <c r="A749" s="88">
        <v>18</v>
      </c>
      <c r="B749" s="88">
        <v>101</v>
      </c>
      <c r="C749" s="97">
        <f>SUMIFS(Input!$C$115:$C$3257,Input!$A$115:$A$3257,"="&amp;'Output - County'!A749,Input!$B$115:$B$3257,"="&amp;'Output - County'!B749)*VLOOKUP(A749,'Output - State'!$B$2:$G$52,2,FALSE)</f>
        <v>3.694603527218228</v>
      </c>
      <c r="D749" s="98">
        <f>SUMIFS(Input!$C$115:$C$3257,Input!$A$115:$A$3257,"="&amp;'Output - County'!A749,Input!$B$115:$B$3257,"="&amp;'Output - County'!B749)*VLOOKUP(A749,'Output - State'!$B$2:$G$52,3,FALSE)</f>
        <v>0.97841824073923722</v>
      </c>
      <c r="E749" s="98">
        <f>SUMIFS(Input!$C$115:$C$3257,Input!$A$115:$A$3257,"="&amp;'Output - County'!A749,Input!$B$115:$B$3257,"="&amp;'Output - County'!B749)*VLOOKUP(A749,'Output - State'!$B$2:$G$52,4,FALSE)</f>
        <v>4.452912857816937</v>
      </c>
      <c r="F749" s="98">
        <f>SUMIFS(Input!$C$115:$C$3257,Input!$A$115:$A$3257,"="&amp;'Output - County'!A749,Input!$B$115:$B$3257,"="&amp;'Output - County'!B749)*VLOOKUP(A749,'Output - State'!$B$2:$G$52,5,FALSE)</f>
        <v>14.599835006375843</v>
      </c>
      <c r="G749" s="99">
        <f>SUMIFS(Input!$D$115:$D$3257,Input!$A$115:$A$3257,"="&amp;'Output - County'!A749,Input!$B$115:$B$3257,"="&amp;'Output - County'!B749)*VLOOKUP(A749,'Output - State'!$B$2:$G$52,6,FALSE)</f>
        <v>2.3011261409890094</v>
      </c>
    </row>
    <row r="750" spans="1:7" x14ac:dyDescent="0.25">
      <c r="A750" s="88">
        <v>18</v>
      </c>
      <c r="B750" s="88">
        <v>103</v>
      </c>
      <c r="C750" s="97">
        <f>SUMIFS(Input!$C$115:$C$3257,Input!$A$115:$A$3257,"="&amp;'Output - County'!A750,Input!$B$115:$B$3257,"="&amp;'Output - County'!B750)*VLOOKUP(A750,'Output - State'!$B$2:$G$52,2,FALSE)</f>
        <v>13.539422968245582</v>
      </c>
      <c r="D750" s="98">
        <f>SUMIFS(Input!$C$115:$C$3257,Input!$A$115:$A$3257,"="&amp;'Output - County'!A750,Input!$B$115:$B$3257,"="&amp;'Output - County'!B750)*VLOOKUP(A750,'Output - State'!$B$2:$G$52,3,FALSE)</f>
        <v>3.5855588572962445</v>
      </c>
      <c r="E750" s="98">
        <f>SUMIFS(Input!$C$115:$C$3257,Input!$A$115:$A$3257,"="&amp;'Output - County'!A750,Input!$B$115:$B$3257,"="&amp;'Output - County'!B750)*VLOOKUP(A750,'Output - State'!$B$2:$G$52,4,FALSE)</f>
        <v>16.318360056381113</v>
      </c>
      <c r="F750" s="98">
        <f>SUMIFS(Input!$C$115:$C$3257,Input!$A$115:$A$3257,"="&amp;'Output - County'!A750,Input!$B$115:$B$3257,"="&amp;'Output - County'!B750)*VLOOKUP(A750,'Output - State'!$B$2:$G$52,5,FALSE)</f>
        <v>53.503262247669326</v>
      </c>
      <c r="G750" s="99">
        <f>SUMIFS(Input!$D$115:$D$3257,Input!$A$115:$A$3257,"="&amp;'Output - County'!A750,Input!$B$115:$B$3257,"="&amp;'Output - County'!B750)*VLOOKUP(A750,'Output - State'!$B$2:$G$52,6,FALSE)</f>
        <v>8.031381433255758</v>
      </c>
    </row>
    <row r="751" spans="1:7" x14ac:dyDescent="0.25">
      <c r="A751" s="88">
        <v>18</v>
      </c>
      <c r="B751" s="88">
        <v>105</v>
      </c>
      <c r="C751" s="97">
        <f>SUMIFS(Input!$C$115:$C$3257,Input!$A$115:$A$3257,"="&amp;'Output - County'!A751,Input!$B$115:$B$3257,"="&amp;'Output - County'!B751)*VLOOKUP(A751,'Output - State'!$B$2:$G$52,2,FALSE)</f>
        <v>38.5365576019082</v>
      </c>
      <c r="D751" s="98">
        <f>SUMIFS(Input!$C$115:$C$3257,Input!$A$115:$A$3257,"="&amp;'Output - County'!A751,Input!$B$115:$B$3257,"="&amp;'Output - County'!B751)*VLOOKUP(A751,'Output - State'!$B$2:$G$52,3,FALSE)</f>
        <v>10.205390271305882</v>
      </c>
      <c r="E751" s="98">
        <f>SUMIFS(Input!$C$115:$C$3257,Input!$A$115:$A$3257,"="&amp;'Output - County'!A751,Input!$B$115:$B$3257,"="&amp;'Output - County'!B751)*VLOOKUP(A751,'Output - State'!$B$2:$G$52,4,FALSE)</f>
        <v>46.446102153413605</v>
      </c>
      <c r="F751" s="98">
        <f>SUMIFS(Input!$C$115:$C$3257,Input!$A$115:$A$3257,"="&amp;'Output - County'!A751,Input!$B$115:$B$3257,"="&amp;'Output - County'!B751)*VLOOKUP(A751,'Output - State'!$B$2:$G$52,5,FALSE)</f>
        <v>152.28356129600095</v>
      </c>
      <c r="G751" s="99">
        <f>SUMIFS(Input!$D$115:$D$3257,Input!$A$115:$A$3257,"="&amp;'Output - County'!A751,Input!$B$115:$B$3257,"="&amp;'Output - County'!B751)*VLOOKUP(A751,'Output - State'!$B$2:$G$52,6,FALSE)</f>
        <v>33.163288502488669</v>
      </c>
    </row>
    <row r="752" spans="1:7" x14ac:dyDescent="0.25">
      <c r="A752" s="88">
        <v>18</v>
      </c>
      <c r="B752" s="88">
        <v>107</v>
      </c>
      <c r="C752" s="97">
        <f>SUMIFS(Input!$C$115:$C$3257,Input!$A$115:$A$3257,"="&amp;'Output - County'!A752,Input!$B$115:$B$3257,"="&amp;'Output - County'!B752)*VLOOKUP(A752,'Output - State'!$B$2:$G$52,2,FALSE)</f>
        <v>15.249538949389406</v>
      </c>
      <c r="D752" s="98">
        <f>SUMIFS(Input!$C$115:$C$3257,Input!$A$115:$A$3257,"="&amp;'Output - County'!A752,Input!$B$115:$B$3257,"="&amp;'Output - County'!B752)*VLOOKUP(A752,'Output - State'!$B$2:$G$52,3,FALSE)</f>
        <v>4.0384379436188302</v>
      </c>
      <c r="E752" s="98">
        <f>SUMIFS(Input!$C$115:$C$3257,Input!$A$115:$A$3257,"="&amp;'Output - County'!A752,Input!$B$115:$B$3257,"="&amp;'Output - County'!B752)*VLOOKUP(A752,'Output - State'!$B$2:$G$52,4,FALSE)</f>
        <v>18.379473619634574</v>
      </c>
      <c r="F752" s="98">
        <f>SUMIFS(Input!$C$115:$C$3257,Input!$A$115:$A$3257,"="&amp;'Output - County'!A752,Input!$B$115:$B$3257,"="&amp;'Output - County'!B752)*VLOOKUP(A752,'Output - State'!$B$2:$G$52,5,FALSE)</f>
        <v>60.261067512166832</v>
      </c>
      <c r="G752" s="99">
        <f>SUMIFS(Input!$D$115:$D$3257,Input!$A$115:$A$3257,"="&amp;'Output - County'!A752,Input!$B$115:$B$3257,"="&amp;'Output - County'!B752)*VLOOKUP(A752,'Output - State'!$B$2:$G$52,6,FALSE)</f>
        <v>8.6405030588116727</v>
      </c>
    </row>
    <row r="753" spans="1:7" x14ac:dyDescent="0.25">
      <c r="A753" s="88">
        <v>18</v>
      </c>
      <c r="B753" s="88">
        <v>109</v>
      </c>
      <c r="C753" s="97">
        <f>SUMIFS(Input!$C$115:$C$3257,Input!$A$115:$A$3257,"="&amp;'Output - County'!A753,Input!$B$115:$B$3257,"="&amp;'Output - County'!B753)*VLOOKUP(A753,'Output - State'!$B$2:$G$52,2,FALSE)</f>
        <v>24.765748451625026</v>
      </c>
      <c r="D753" s="98">
        <f>SUMIFS(Input!$C$115:$C$3257,Input!$A$115:$A$3257,"="&amp;'Output - County'!A753,Input!$B$115:$B$3257,"="&amp;'Output - County'!B753)*VLOOKUP(A753,'Output - State'!$B$2:$G$52,3,FALSE)</f>
        <v>6.5585548901572803</v>
      </c>
      <c r="E753" s="98">
        <f>SUMIFS(Input!$C$115:$C$3257,Input!$A$115:$A$3257,"="&amp;'Output - County'!A753,Input!$B$115:$B$3257,"="&amp;'Output - County'!B753)*VLOOKUP(A753,'Output - State'!$B$2:$G$52,4,FALSE)</f>
        <v>29.848864404872614</v>
      </c>
      <c r="F753" s="98">
        <f>SUMIFS(Input!$C$115:$C$3257,Input!$A$115:$A$3257,"="&amp;'Output - County'!A753,Input!$B$115:$B$3257,"="&amp;'Output - County'!B753)*VLOOKUP(A753,'Output - State'!$B$2:$G$52,5,FALSE)</f>
        <v>97.865938398909634</v>
      </c>
      <c r="G753" s="99">
        <f>SUMIFS(Input!$D$115:$D$3257,Input!$A$115:$A$3257,"="&amp;'Output - County'!A753,Input!$B$115:$B$3257,"="&amp;'Output - County'!B753)*VLOOKUP(A753,'Output - State'!$B$2:$G$52,6,FALSE)</f>
        <v>15.814602204247997</v>
      </c>
    </row>
    <row r="754" spans="1:7" x14ac:dyDescent="0.25">
      <c r="A754" s="88">
        <v>18</v>
      </c>
      <c r="B754" s="88">
        <v>111</v>
      </c>
      <c r="C754" s="97">
        <f>SUMIFS(Input!$C$115:$C$3257,Input!$A$115:$A$3257,"="&amp;'Output - County'!A754,Input!$B$115:$B$3257,"="&amp;'Output - County'!B754)*VLOOKUP(A754,'Output - State'!$B$2:$G$52,2,FALSE)</f>
        <v>6.7600302544941062</v>
      </c>
      <c r="D754" s="98">
        <f>SUMIFS(Input!$C$115:$C$3257,Input!$A$115:$A$3257,"="&amp;'Output - County'!A754,Input!$B$115:$B$3257,"="&amp;'Output - County'!B754)*VLOOKUP(A754,'Output - State'!$B$2:$G$52,3,FALSE)</f>
        <v>1.7902156104761024</v>
      </c>
      <c r="E754" s="98">
        <f>SUMIFS(Input!$C$115:$C$3257,Input!$A$115:$A$3257,"="&amp;'Output - County'!A754,Input!$B$115:$B$3257,"="&amp;'Output - County'!B754)*VLOOKUP(A754,'Output - State'!$B$2:$G$52,4,FALSE)</f>
        <v>8.147511747257175</v>
      </c>
      <c r="F754" s="98">
        <f>SUMIFS(Input!$C$115:$C$3257,Input!$A$115:$A$3257,"="&amp;'Output - County'!A754,Input!$B$115:$B$3257,"="&amp;'Output - County'!B754)*VLOOKUP(A754,'Output - State'!$B$2:$G$52,5,FALSE)</f>
        <v>26.713374148709637</v>
      </c>
      <c r="G754" s="99">
        <f>SUMIFS(Input!$D$115:$D$3257,Input!$A$115:$A$3257,"="&amp;'Output - County'!A754,Input!$B$115:$B$3257,"="&amp;'Output - County'!B754)*VLOOKUP(A754,'Output - State'!$B$2:$G$52,6,FALSE)</f>
        <v>3.1584084288084444</v>
      </c>
    </row>
    <row r="755" spans="1:7" x14ac:dyDescent="0.25">
      <c r="A755" s="88">
        <v>18</v>
      </c>
      <c r="B755" s="88">
        <v>113</v>
      </c>
      <c r="C755" s="97">
        <f>SUMIFS(Input!$C$115:$C$3257,Input!$A$115:$A$3257,"="&amp;'Output - County'!A755,Input!$B$115:$B$3257,"="&amp;'Output - County'!B755)*VLOOKUP(A755,'Output - State'!$B$2:$G$52,2,FALSE)</f>
        <v>13.318877656604077</v>
      </c>
      <c r="D755" s="98">
        <f>SUMIFS(Input!$C$115:$C$3257,Input!$A$115:$A$3257,"="&amp;'Output - County'!A755,Input!$B$115:$B$3257,"="&amp;'Output - County'!B755)*VLOOKUP(A755,'Output - State'!$B$2:$G$52,3,FALSE)</f>
        <v>3.5271532518693371</v>
      </c>
      <c r="E755" s="98">
        <f>SUMIFS(Input!$C$115:$C$3257,Input!$A$115:$A$3257,"="&amp;'Output - County'!A755,Input!$B$115:$B$3257,"="&amp;'Output - County'!B755)*VLOOKUP(A755,'Output - State'!$B$2:$G$52,4,FALSE)</f>
        <v>16.052548299664927</v>
      </c>
      <c r="F755" s="98">
        <f>SUMIFS(Input!$C$115:$C$3257,Input!$A$115:$A$3257,"="&amp;'Output - County'!A755,Input!$B$115:$B$3257,"="&amp;'Output - County'!B755)*VLOOKUP(A755,'Output - State'!$B$2:$G$52,5,FALSE)</f>
        <v>52.631741085067048</v>
      </c>
      <c r="G755" s="99">
        <f>SUMIFS(Input!$D$115:$D$3257,Input!$A$115:$A$3257,"="&amp;'Output - County'!A755,Input!$B$115:$B$3257,"="&amp;'Output - County'!B755)*VLOOKUP(A755,'Output - State'!$B$2:$G$52,6,FALSE)</f>
        <v>10.716028597742936</v>
      </c>
    </row>
    <row r="756" spans="1:7" x14ac:dyDescent="0.25">
      <c r="A756" s="88">
        <v>18</v>
      </c>
      <c r="B756" s="88">
        <v>115</v>
      </c>
      <c r="C756" s="97">
        <f>SUMIFS(Input!$C$115:$C$3257,Input!$A$115:$A$3257,"="&amp;'Output - County'!A756,Input!$B$115:$B$3257,"="&amp;'Output - County'!B756)*VLOOKUP(A756,'Output - State'!$B$2:$G$52,2,FALSE)</f>
        <v>1.5400416402574144</v>
      </c>
      <c r="D756" s="98">
        <f>SUMIFS(Input!$C$115:$C$3257,Input!$A$115:$A$3257,"="&amp;'Output - County'!A756,Input!$B$115:$B$3257,"="&amp;'Output - County'!B756)*VLOOKUP(A756,'Output - State'!$B$2:$G$52,3,FALSE)</f>
        <v>0.40783938553221294</v>
      </c>
      <c r="E756" s="98">
        <f>SUMIFS(Input!$C$115:$C$3257,Input!$A$115:$A$3257,"="&amp;'Output - County'!A756,Input!$B$115:$B$3257,"="&amp;'Output - County'!B756)*VLOOKUP(A756,'Output - State'!$B$2:$G$52,4,FALSE)</f>
        <v>1.8561318341616648</v>
      </c>
      <c r="F756" s="98">
        <f>SUMIFS(Input!$C$115:$C$3257,Input!$A$115:$A$3257,"="&amp;'Output - County'!A756,Input!$B$115:$B$3257,"="&amp;'Output - County'!B756)*VLOOKUP(A756,'Output - State'!$B$2:$G$52,5,FALSE)</f>
        <v>6.0857284645196508</v>
      </c>
      <c r="G756" s="99">
        <f>SUMIFS(Input!$D$115:$D$3257,Input!$A$115:$A$3257,"="&amp;'Output - County'!A756,Input!$B$115:$B$3257,"="&amp;'Output - County'!B756)*VLOOKUP(A756,'Output - State'!$B$2:$G$52,6,FALSE)</f>
        <v>1.3265315400995468</v>
      </c>
    </row>
    <row r="757" spans="1:7" x14ac:dyDescent="0.25">
      <c r="A757" s="88">
        <v>18</v>
      </c>
      <c r="B757" s="88">
        <v>117</v>
      </c>
      <c r="C757" s="97">
        <f>SUMIFS(Input!$C$115:$C$3257,Input!$A$115:$A$3257,"="&amp;'Output - County'!A757,Input!$B$115:$B$3257,"="&amp;'Output - County'!B757)*VLOOKUP(A757,'Output - State'!$B$2:$G$52,2,FALSE)</f>
        <v>5.5308048979617155</v>
      </c>
      <c r="D757" s="98">
        <f>SUMIFS(Input!$C$115:$C$3257,Input!$A$115:$A$3257,"="&amp;'Output - County'!A757,Input!$B$115:$B$3257,"="&amp;'Output - County'!B757)*VLOOKUP(A757,'Output - State'!$B$2:$G$52,3,FALSE)</f>
        <v>1.4646877150063475</v>
      </c>
      <c r="E757" s="98">
        <f>SUMIFS(Input!$C$115:$C$3257,Input!$A$115:$A$3257,"="&amp;'Output - County'!A757,Input!$B$115:$B$3257,"="&amp;'Output - County'!B757)*VLOOKUP(A757,'Output - State'!$B$2:$G$52,4,FALSE)</f>
        <v>6.6659905623902977</v>
      </c>
      <c r="F757" s="98">
        <f>SUMIFS(Input!$C$115:$C$3257,Input!$A$115:$A$3257,"="&amp;'Output - County'!A757,Input!$B$115:$B$3257,"="&amp;'Output - County'!B757)*VLOOKUP(A757,'Output - State'!$B$2:$G$52,5,FALSE)</f>
        <v>21.855887476915424</v>
      </c>
      <c r="G757" s="99">
        <f>SUMIFS(Input!$D$115:$D$3257,Input!$A$115:$A$3257,"="&amp;'Output - County'!A757,Input!$B$115:$B$3257,"="&amp;'Output - County'!B757)*VLOOKUP(A757,'Output - State'!$B$2:$G$52,6,FALSE)</f>
        <v>4.3992117401260478</v>
      </c>
    </row>
    <row r="758" spans="1:7" x14ac:dyDescent="0.25">
      <c r="A758" s="88">
        <v>18</v>
      </c>
      <c r="B758" s="88">
        <v>119</v>
      </c>
      <c r="C758" s="97">
        <f>SUMIFS(Input!$C$115:$C$3257,Input!$A$115:$A$3257,"="&amp;'Output - County'!A758,Input!$B$115:$B$3257,"="&amp;'Output - County'!B758)*VLOOKUP(A758,'Output - State'!$B$2:$G$52,2,FALSE)</f>
        <v>5.270344626176807</v>
      </c>
      <c r="D758" s="98">
        <f>SUMIFS(Input!$C$115:$C$3257,Input!$A$115:$A$3257,"="&amp;'Output - County'!A758,Input!$B$115:$B$3257,"="&amp;'Output - County'!B758)*VLOOKUP(A758,'Output - State'!$B$2:$G$52,3,FALSE)</f>
        <v>1.3957116857721283</v>
      </c>
      <c r="E758" s="98">
        <f>SUMIFS(Input!$C$115:$C$3257,Input!$A$115:$A$3257,"="&amp;'Output - County'!A758,Input!$B$115:$B$3257,"="&amp;'Output - County'!B758)*VLOOKUP(A758,'Output - State'!$B$2:$G$52,4,FALSE)</f>
        <v>6.3520713868584204</v>
      </c>
      <c r="F758" s="98">
        <f>SUMIFS(Input!$C$115:$C$3257,Input!$A$115:$A$3257,"="&amp;'Output - County'!A758,Input!$B$115:$B$3257,"="&amp;'Output - County'!B758)*VLOOKUP(A758,'Output - State'!$B$2:$G$52,5,FALSE)</f>
        <v>20.826635768102541</v>
      </c>
      <c r="G758" s="99">
        <f>SUMIFS(Input!$D$115:$D$3257,Input!$A$115:$A$3257,"="&amp;'Output - County'!A758,Input!$B$115:$B$3257,"="&amp;'Output - County'!B758)*VLOOKUP(A758,'Output - State'!$B$2:$G$52,6,FALSE)</f>
        <v>4.7150525830068926</v>
      </c>
    </row>
    <row r="759" spans="1:7" x14ac:dyDescent="0.25">
      <c r="A759" s="88">
        <v>18</v>
      </c>
      <c r="B759" s="88">
        <v>121</v>
      </c>
      <c r="C759" s="97">
        <f>SUMIFS(Input!$C$115:$C$3257,Input!$A$115:$A$3257,"="&amp;'Output - County'!A759,Input!$B$115:$B$3257,"="&amp;'Output - County'!B759)*VLOOKUP(A759,'Output - State'!$B$2:$G$52,2,FALSE)</f>
        <v>4.9477411468545736</v>
      </c>
      <c r="D759" s="98">
        <f>SUMIFS(Input!$C$115:$C$3257,Input!$A$115:$A$3257,"="&amp;'Output - County'!A759,Input!$B$115:$B$3257,"="&amp;'Output - County'!B759)*VLOOKUP(A759,'Output - State'!$B$2:$G$52,3,FALSE)</f>
        <v>1.3102786680289575</v>
      </c>
      <c r="E759" s="98">
        <f>SUMIFS(Input!$C$115:$C$3257,Input!$A$115:$A$3257,"="&amp;'Output - County'!A759,Input!$B$115:$B$3257,"="&amp;'Output - County'!B759)*VLOOKUP(A759,'Output - State'!$B$2:$G$52,4,FALSE)</f>
        <v>5.963254245731493</v>
      </c>
      <c r="F759" s="98">
        <f>SUMIFS(Input!$C$115:$C$3257,Input!$A$115:$A$3257,"="&amp;'Output - County'!A759,Input!$B$115:$B$3257,"="&amp;'Output - County'!B759)*VLOOKUP(A759,'Output - State'!$B$2:$G$52,5,FALSE)</f>
        <v>19.551814928494437</v>
      </c>
      <c r="G759" s="99">
        <f>SUMIFS(Input!$D$115:$D$3257,Input!$A$115:$A$3257,"="&amp;'Output - County'!A759,Input!$B$115:$B$3257,"="&amp;'Output - County'!B759)*VLOOKUP(A759,'Output - State'!$B$2:$G$52,6,FALSE)</f>
        <v>3.8352102349816826</v>
      </c>
    </row>
    <row r="760" spans="1:7" x14ac:dyDescent="0.25">
      <c r="A760" s="88">
        <v>18</v>
      </c>
      <c r="B760" s="88">
        <v>123</v>
      </c>
      <c r="C760" s="97">
        <f>SUMIFS(Input!$C$115:$C$3257,Input!$A$115:$A$3257,"="&amp;'Output - County'!A760,Input!$B$115:$B$3257,"="&amp;'Output - County'!B760)*VLOOKUP(A760,'Output - State'!$B$2:$G$52,2,FALSE)</f>
        <v>7.2761231112219455</v>
      </c>
      <c r="D760" s="98">
        <f>SUMIFS(Input!$C$115:$C$3257,Input!$A$115:$A$3257,"="&amp;'Output - County'!A760,Input!$B$115:$B$3257,"="&amp;'Output - County'!B760)*VLOOKUP(A760,'Output - State'!$B$2:$G$52,3,FALSE)</f>
        <v>1.9268891834908324</v>
      </c>
      <c r="E760" s="98">
        <f>SUMIFS(Input!$C$115:$C$3257,Input!$A$115:$A$3257,"="&amp;'Output - County'!A760,Input!$B$115:$B$3257,"="&amp;'Output - County'!B760)*VLOOKUP(A760,'Output - State'!$B$2:$G$52,4,FALSE)</f>
        <v>8.7695315392647863</v>
      </c>
      <c r="F760" s="98">
        <f>SUMIFS(Input!$C$115:$C$3257,Input!$A$115:$A$3257,"="&amp;'Output - County'!A760,Input!$B$115:$B$3257,"="&amp;'Output - County'!B760)*VLOOKUP(A760,'Output - State'!$B$2:$G$52,5,FALSE)</f>
        <v>28.75280016578726</v>
      </c>
      <c r="G760" s="99">
        <f>SUMIFS(Input!$D$115:$D$3257,Input!$A$115:$A$3257,"="&amp;'Output - County'!A760,Input!$B$115:$B$3257,"="&amp;'Output - County'!B760)*VLOOKUP(A760,'Output - State'!$B$2:$G$52,6,FALSE)</f>
        <v>4.3089714993029489</v>
      </c>
    </row>
    <row r="761" spans="1:7" x14ac:dyDescent="0.25">
      <c r="A761" s="88">
        <v>18</v>
      </c>
      <c r="B761" s="88">
        <v>125</v>
      </c>
      <c r="C761" s="97">
        <f>SUMIFS(Input!$C$115:$C$3257,Input!$A$115:$A$3257,"="&amp;'Output - County'!A761,Input!$B$115:$B$3257,"="&amp;'Output - County'!B761)*VLOOKUP(A761,'Output - State'!$B$2:$G$52,2,FALSE)</f>
        <v>5.5602855241938043</v>
      </c>
      <c r="D761" s="98">
        <f>SUMIFS(Input!$C$115:$C$3257,Input!$A$115:$A$3257,"="&amp;'Output - County'!A761,Input!$B$115:$B$3257,"="&amp;'Output - County'!B761)*VLOOKUP(A761,'Output - State'!$B$2:$G$52,3,FALSE)</f>
        <v>1.4724948808473894</v>
      </c>
      <c r="E761" s="98">
        <f>SUMIFS(Input!$C$115:$C$3257,Input!$A$115:$A$3257,"="&amp;'Output - County'!A761,Input!$B$115:$B$3257,"="&amp;'Output - County'!B761)*VLOOKUP(A761,'Output - State'!$B$2:$G$52,4,FALSE)</f>
        <v>6.7015220229755164</v>
      </c>
      <c r="F761" s="98">
        <f>SUMIFS(Input!$C$115:$C$3257,Input!$A$115:$A$3257,"="&amp;'Output - County'!A761,Input!$B$115:$B$3257,"="&amp;'Output - County'!B761)*VLOOKUP(A761,'Output - State'!$B$2:$G$52,5,FALSE)</f>
        <v>21.972385032255875</v>
      </c>
      <c r="G761" s="99">
        <f>SUMIFS(Input!$D$115:$D$3257,Input!$A$115:$A$3257,"="&amp;'Output - County'!A761,Input!$B$115:$B$3257,"="&amp;'Output - County'!B761)*VLOOKUP(A761,'Output - State'!$B$2:$G$52,6,FALSE)</f>
        <v>2.7974474655160506</v>
      </c>
    </row>
    <row r="762" spans="1:7" x14ac:dyDescent="0.25">
      <c r="A762" s="88">
        <v>18</v>
      </c>
      <c r="B762" s="88">
        <v>127</v>
      </c>
      <c r="C762" s="97">
        <f>SUMIFS(Input!$C$115:$C$3257,Input!$A$115:$A$3257,"="&amp;'Output - County'!A762,Input!$B$115:$B$3257,"="&amp;'Output - County'!B762)*VLOOKUP(A762,'Output - State'!$B$2:$G$52,2,FALSE)</f>
        <v>65.543082323222848</v>
      </c>
      <c r="D762" s="98">
        <f>SUMIFS(Input!$C$115:$C$3257,Input!$A$115:$A$3257,"="&amp;'Output - County'!A762,Input!$B$115:$B$3257,"="&amp;'Output - County'!B762)*VLOOKUP(A762,'Output - State'!$B$2:$G$52,3,FALSE)</f>
        <v>17.357355620671672</v>
      </c>
      <c r="E762" s="98">
        <f>SUMIFS(Input!$C$115:$C$3257,Input!$A$115:$A$3257,"="&amp;'Output - County'!A762,Input!$B$115:$B$3257,"="&amp;'Output - County'!B762)*VLOOKUP(A762,'Output - State'!$B$2:$G$52,4,FALSE)</f>
        <v>78.995657279031747</v>
      </c>
      <c r="F762" s="98">
        <f>SUMIFS(Input!$C$115:$C$3257,Input!$A$115:$A$3257,"="&amp;'Output - County'!A762,Input!$B$115:$B$3257,"="&amp;'Output - County'!B762)*VLOOKUP(A762,'Output - State'!$B$2:$G$52,5,FALSE)</f>
        <v>259.00429658520176</v>
      </c>
      <c r="G762" s="99">
        <f>SUMIFS(Input!$D$115:$D$3257,Input!$A$115:$A$3257,"="&amp;'Output - County'!A762,Input!$B$115:$B$3257,"="&amp;'Output - County'!B762)*VLOOKUP(A762,'Output - State'!$B$2:$G$52,6,FALSE)</f>
        <v>38.126501747759079</v>
      </c>
    </row>
    <row r="763" spans="1:7" x14ac:dyDescent="0.25">
      <c r="A763" s="88">
        <v>18</v>
      </c>
      <c r="B763" s="88">
        <v>129</v>
      </c>
      <c r="C763" s="97">
        <f>SUMIFS(Input!$C$115:$C$3257,Input!$A$115:$A$3257,"="&amp;'Output - County'!A763,Input!$B$115:$B$3257,"="&amp;'Output - County'!B763)*VLOOKUP(A763,'Output - State'!$B$2:$G$52,2,FALSE)</f>
        <v>10.434976066571478</v>
      </c>
      <c r="D763" s="98">
        <f>SUMIFS(Input!$C$115:$C$3257,Input!$A$115:$A$3257,"="&amp;'Output - County'!A763,Input!$B$115:$B$3257,"="&amp;'Output - County'!B763)*VLOOKUP(A763,'Output - State'!$B$2:$G$52,3,FALSE)</f>
        <v>2.7634280241425899</v>
      </c>
      <c r="E763" s="98">
        <f>SUMIFS(Input!$C$115:$C$3257,Input!$A$115:$A$3257,"="&amp;'Output - County'!A763,Input!$B$115:$B$3257,"="&amp;'Output - County'!B763)*VLOOKUP(A763,'Output - State'!$B$2:$G$52,4,FALSE)</f>
        <v>12.576732186696562</v>
      </c>
      <c r="F763" s="98">
        <f>SUMIFS(Input!$C$115:$C$3257,Input!$A$115:$A$3257,"="&amp;'Output - County'!A763,Input!$B$115:$B$3257,"="&amp;'Output - County'!B763)*VLOOKUP(A763,'Output - State'!$B$2:$G$52,5,FALSE)</f>
        <v>41.235528452529842</v>
      </c>
      <c r="G763" s="99">
        <f>SUMIFS(Input!$D$115:$D$3257,Input!$A$115:$A$3257,"="&amp;'Output - County'!A763,Input!$B$115:$B$3257,"="&amp;'Output - County'!B763)*VLOOKUP(A763,'Output - State'!$B$2:$G$52,6,FALSE)</f>
        <v>5.775375412678299</v>
      </c>
    </row>
    <row r="764" spans="1:7" x14ac:dyDescent="0.25">
      <c r="A764" s="88">
        <v>18</v>
      </c>
      <c r="B764" s="88">
        <v>131</v>
      </c>
      <c r="C764" s="97">
        <f>SUMIFS(Input!$C$115:$C$3257,Input!$A$115:$A$3257,"="&amp;'Output - County'!A764,Input!$B$115:$B$3257,"="&amp;'Output - County'!B764)*VLOOKUP(A764,'Output - State'!$B$2:$G$52,2,FALSE)</f>
        <v>4.164539851218434</v>
      </c>
      <c r="D764" s="98">
        <f>SUMIFS(Input!$C$115:$C$3257,Input!$A$115:$A$3257,"="&amp;'Output - County'!A764,Input!$B$115:$B$3257,"="&amp;'Output - County'!B764)*VLOOKUP(A764,'Output - State'!$B$2:$G$52,3,FALSE)</f>
        <v>1.10286847416765</v>
      </c>
      <c r="E764" s="98">
        <f>SUMIFS(Input!$C$115:$C$3257,Input!$A$115:$A$3257,"="&amp;'Output - County'!A764,Input!$B$115:$B$3257,"="&amp;'Output - County'!B764)*VLOOKUP(A764,'Output - State'!$B$2:$G$52,4,FALSE)</f>
        <v>5.0193025892399756</v>
      </c>
      <c r="F764" s="98">
        <f>SUMIFS(Input!$C$115:$C$3257,Input!$A$115:$A$3257,"="&amp;'Output - County'!A764,Input!$B$115:$B$3257,"="&amp;'Output - County'!B764)*VLOOKUP(A764,'Output - State'!$B$2:$G$52,5,FALSE)</f>
        <v>16.456865874061833</v>
      </c>
      <c r="G764" s="99">
        <f>SUMIFS(Input!$D$115:$D$3257,Input!$A$115:$A$3257,"="&amp;'Output - County'!A764,Input!$B$115:$B$3257,"="&amp;'Output - County'!B764)*VLOOKUP(A764,'Output - State'!$B$2:$G$52,6,FALSE)</f>
        <v>2.8200075257218251</v>
      </c>
    </row>
    <row r="765" spans="1:7" x14ac:dyDescent="0.25">
      <c r="A765" s="88">
        <v>18</v>
      </c>
      <c r="B765" s="88">
        <v>133</v>
      </c>
      <c r="C765" s="97">
        <f>SUMIFS(Input!$C$115:$C$3257,Input!$A$115:$A$3257,"="&amp;'Output - County'!A765,Input!$B$115:$B$3257,"="&amp;'Output - County'!B765)*VLOOKUP(A765,'Output - State'!$B$2:$G$52,2,FALSE)</f>
        <v>17.920429426847107</v>
      </c>
      <c r="D765" s="98">
        <f>SUMIFS(Input!$C$115:$C$3257,Input!$A$115:$A$3257,"="&amp;'Output - County'!A765,Input!$B$115:$B$3257,"="&amp;'Output - County'!B765)*VLOOKUP(A765,'Output - State'!$B$2:$G$52,3,FALSE)</f>
        <v>4.7457527997081215</v>
      </c>
      <c r="E765" s="98">
        <f>SUMIFS(Input!$C$115:$C$3257,Input!$A$115:$A$3257,"="&amp;'Output - County'!A765,Input!$B$115:$B$3257,"="&amp;'Output - County'!B765)*VLOOKUP(A765,'Output - State'!$B$2:$G$52,4,FALSE)</f>
        <v>21.598558552909399</v>
      </c>
      <c r="F765" s="98">
        <f>SUMIFS(Input!$C$115:$C$3257,Input!$A$115:$A$3257,"="&amp;'Output - County'!A765,Input!$B$115:$B$3257,"="&amp;'Output - County'!B765)*VLOOKUP(A765,'Output - State'!$B$2:$G$52,5,FALSE)</f>
        <v>70.815531611956985</v>
      </c>
      <c r="G765" s="99">
        <f>SUMIFS(Input!$D$115:$D$3257,Input!$A$115:$A$3257,"="&amp;'Output - County'!A765,Input!$B$115:$B$3257,"="&amp;'Output - County'!B765)*VLOOKUP(A765,'Output - State'!$B$2:$G$52,6,FALSE)</f>
        <v>8.4600225771654767</v>
      </c>
    </row>
    <row r="766" spans="1:7" x14ac:dyDescent="0.25">
      <c r="A766" s="88">
        <v>18</v>
      </c>
      <c r="B766" s="88">
        <v>135</v>
      </c>
      <c r="C766" s="97">
        <f>SUMIFS(Input!$C$115:$C$3257,Input!$A$115:$A$3257,"="&amp;'Output - County'!A766,Input!$B$115:$B$3257,"="&amp;'Output - County'!B766)*VLOOKUP(A766,'Output - State'!$B$2:$G$52,2,FALSE)</f>
        <v>7.2636584283004249</v>
      </c>
      <c r="D766" s="98">
        <f>SUMIFS(Input!$C$115:$C$3257,Input!$A$115:$A$3257,"="&amp;'Output - County'!A766,Input!$B$115:$B$3257,"="&amp;'Output - County'!B766)*VLOOKUP(A766,'Output - State'!$B$2:$G$52,3,FALSE)</f>
        <v>1.9235882411716902</v>
      </c>
      <c r="E766" s="98">
        <f>SUMIFS(Input!$C$115:$C$3257,Input!$A$115:$A$3257,"="&amp;'Output - County'!A766,Input!$B$115:$B$3257,"="&amp;'Output - County'!B766)*VLOOKUP(A766,'Output - State'!$B$2:$G$52,4,FALSE)</f>
        <v>8.75450850730995</v>
      </c>
      <c r="F766" s="98">
        <f>SUMIFS(Input!$C$115:$C$3257,Input!$A$115:$A$3257,"="&amp;'Output - County'!A766,Input!$B$115:$B$3257,"="&amp;'Output - County'!B766)*VLOOKUP(A766,'Output - State'!$B$2:$G$52,5,FALSE)</f>
        <v>28.703543916038047</v>
      </c>
      <c r="G766" s="99">
        <f>SUMIFS(Input!$D$115:$D$3257,Input!$A$115:$A$3257,"="&amp;'Output - County'!A766,Input!$B$115:$B$3257,"="&amp;'Output - County'!B766)*VLOOKUP(A766,'Output - State'!$B$2:$G$52,6,FALSE)</f>
        <v>5.5948949310321012</v>
      </c>
    </row>
    <row r="767" spans="1:7" x14ac:dyDescent="0.25">
      <c r="A767" s="88">
        <v>18</v>
      </c>
      <c r="B767" s="88">
        <v>137</v>
      </c>
      <c r="C767" s="97">
        <f>SUMIFS(Input!$C$115:$C$3257,Input!$A$115:$A$3257,"="&amp;'Output - County'!A767,Input!$B$115:$B$3257,"="&amp;'Output - County'!B767)*VLOOKUP(A767,'Output - State'!$B$2:$G$52,2,FALSE)</f>
        <v>10.647078410006204</v>
      </c>
      <c r="D767" s="98">
        <f>SUMIFS(Input!$C$115:$C$3257,Input!$A$115:$A$3257,"="&amp;'Output - County'!A767,Input!$B$115:$B$3257,"="&amp;'Output - County'!B767)*VLOOKUP(A767,'Output - State'!$B$2:$G$52,3,FALSE)</f>
        <v>2.8195977322563928</v>
      </c>
      <c r="E767" s="98">
        <f>SUMIFS(Input!$C$115:$C$3257,Input!$A$115:$A$3257,"="&amp;'Output - County'!A767,Input!$B$115:$B$3257,"="&amp;'Output - County'!B767)*VLOOKUP(A767,'Output - State'!$B$2:$G$52,4,FALSE)</f>
        <v>12.832368074362353</v>
      </c>
      <c r="F767" s="98">
        <f>SUMIFS(Input!$C$115:$C$3257,Input!$A$115:$A$3257,"="&amp;'Output - County'!A767,Input!$B$115:$B$3257,"="&amp;'Output - County'!B767)*VLOOKUP(A767,'Output - State'!$B$2:$G$52,5,FALSE)</f>
        <v>42.073685834181084</v>
      </c>
      <c r="G767" s="99">
        <f>SUMIFS(Input!$D$115:$D$3257,Input!$A$115:$A$3257,"="&amp;'Output - County'!A767,Input!$B$115:$B$3257,"="&amp;'Output - County'!B767)*VLOOKUP(A767,'Output - State'!$B$2:$G$52,6,FALSE)</f>
        <v>6.4296171586457618</v>
      </c>
    </row>
    <row r="768" spans="1:7" x14ac:dyDescent="0.25">
      <c r="A768" s="88">
        <v>18</v>
      </c>
      <c r="B768" s="88">
        <v>139</v>
      </c>
      <c r="C768" s="97">
        <f>SUMIFS(Input!$C$115:$C$3257,Input!$A$115:$A$3257,"="&amp;'Output - County'!A768,Input!$B$115:$B$3257,"="&amp;'Output - County'!B768)*VLOOKUP(A768,'Output - State'!$B$2:$G$52,2,FALSE)</f>
        <v>5.9606882355024107</v>
      </c>
      <c r="D768" s="98">
        <f>SUMIFS(Input!$C$115:$C$3257,Input!$A$115:$A$3257,"="&amp;'Output - County'!A768,Input!$B$115:$B$3257,"="&amp;'Output - County'!B768)*VLOOKUP(A768,'Output - State'!$B$2:$G$52,3,FALSE)</f>
        <v>1.5785309720002487</v>
      </c>
      <c r="E768" s="98">
        <f>SUMIFS(Input!$C$115:$C$3257,Input!$A$115:$A$3257,"="&amp;'Output - County'!A768,Input!$B$115:$B$3257,"="&amp;'Output - County'!B768)*VLOOKUP(A768,'Output - State'!$B$2:$G$52,4,FALSE)</f>
        <v>7.1841065190806495</v>
      </c>
      <c r="F768" s="98">
        <f>SUMIFS(Input!$C$115:$C$3257,Input!$A$115:$A$3257,"="&amp;'Output - County'!A768,Input!$B$115:$B$3257,"="&amp;'Output - County'!B768)*VLOOKUP(A768,'Output - State'!$B$2:$G$52,5,FALSE)</f>
        <v>23.554642364644845</v>
      </c>
      <c r="G768" s="99">
        <f>SUMIFS(Input!$D$115:$D$3257,Input!$A$115:$A$3257,"="&amp;'Output - County'!A768,Input!$B$115:$B$3257,"="&amp;'Output - County'!B768)*VLOOKUP(A768,'Output - State'!$B$2:$G$52,6,FALSE)</f>
        <v>3.7449699941585841</v>
      </c>
    </row>
    <row r="769" spans="1:7" x14ac:dyDescent="0.25">
      <c r="A769" s="88">
        <v>18</v>
      </c>
      <c r="B769" s="88">
        <v>141</v>
      </c>
      <c r="C769" s="97">
        <f>SUMIFS(Input!$C$115:$C$3257,Input!$A$115:$A$3257,"="&amp;'Output - County'!A769,Input!$B$115:$B$3257,"="&amp;'Output - County'!B769)*VLOOKUP(A769,'Output - State'!$B$2:$G$52,2,FALSE)</f>
        <v>83.809523788244363</v>
      </c>
      <c r="D769" s="98">
        <f>SUMIFS(Input!$C$115:$C$3257,Input!$A$115:$A$3257,"="&amp;'Output - County'!A769,Input!$B$115:$B$3257,"="&amp;'Output - County'!B769)*VLOOKUP(A769,'Output - State'!$B$2:$G$52,3,FALSE)</f>
        <v>22.194740577164989</v>
      </c>
      <c r="E769" s="98">
        <f>SUMIFS(Input!$C$115:$C$3257,Input!$A$115:$A$3257,"="&amp;'Output - County'!A769,Input!$B$115:$B$3257,"="&amp;'Output - County'!B769)*VLOOKUP(A769,'Output - State'!$B$2:$G$52,4,FALSE)</f>
        <v>101.01124608766288</v>
      </c>
      <c r="F769" s="98">
        <f>SUMIFS(Input!$C$115:$C$3257,Input!$A$115:$A$3257,"="&amp;'Output - County'!A769,Input!$B$115:$B$3257,"="&amp;'Output - County'!B769)*VLOOKUP(A769,'Output - State'!$B$2:$G$52,5,FALSE)</f>
        <v>331.18715181668927</v>
      </c>
      <c r="G769" s="99">
        <f>SUMIFS(Input!$D$115:$D$3257,Input!$A$115:$A$3257,"="&amp;'Output - County'!A769,Input!$B$115:$B$3257,"="&amp;'Output - County'!B769)*VLOOKUP(A769,'Output - State'!$B$2:$G$52,6,FALSE)</f>
        <v>61.137763157649182</v>
      </c>
    </row>
    <row r="770" spans="1:7" x14ac:dyDescent="0.25">
      <c r="A770" s="88">
        <v>18</v>
      </c>
      <c r="B770" s="88">
        <v>143</v>
      </c>
      <c r="C770" s="97">
        <f>SUMIFS(Input!$C$115:$C$3257,Input!$A$115:$A$3257,"="&amp;'Output - County'!A770,Input!$B$115:$B$3257,"="&amp;'Output - County'!B770)*VLOOKUP(A770,'Output - State'!$B$2:$G$52,2,FALSE)</f>
        <v>10.538366400878846</v>
      </c>
      <c r="D770" s="98">
        <f>SUMIFS(Input!$C$115:$C$3257,Input!$A$115:$A$3257,"="&amp;'Output - County'!A770,Input!$B$115:$B$3257,"="&amp;'Output - County'!B770)*VLOOKUP(A770,'Output - State'!$B$2:$G$52,3,FALSE)</f>
        <v>2.7908082256330111</v>
      </c>
      <c r="E770" s="98">
        <f>SUMIFS(Input!$C$115:$C$3257,Input!$A$115:$A$3257,"="&amp;'Output - County'!A770,Input!$B$115:$B$3257,"="&amp;'Output - County'!B770)*VLOOKUP(A770,'Output - State'!$B$2:$G$52,4,FALSE)</f>
        <v>12.701343162033856</v>
      </c>
      <c r="F770" s="98">
        <f>SUMIFS(Input!$C$115:$C$3257,Input!$A$115:$A$3257,"="&amp;'Output - County'!A770,Input!$B$115:$B$3257,"="&amp;'Output - County'!B770)*VLOOKUP(A770,'Output - State'!$B$2:$G$52,5,FALSE)</f>
        <v>41.644092405609307</v>
      </c>
      <c r="G770" s="99">
        <f>SUMIFS(Input!$D$115:$D$3257,Input!$A$115:$A$3257,"="&amp;'Output - County'!A770,Input!$B$115:$B$3257,"="&amp;'Output - County'!B770)*VLOOKUP(A770,'Output - State'!$B$2:$G$52,6,FALSE)</f>
        <v>5.3692943289743553</v>
      </c>
    </row>
    <row r="771" spans="1:7" x14ac:dyDescent="0.25">
      <c r="A771" s="88">
        <v>18</v>
      </c>
      <c r="B771" s="88">
        <v>145</v>
      </c>
      <c r="C771" s="97">
        <f>SUMIFS(Input!$C$115:$C$3257,Input!$A$115:$A$3257,"="&amp;'Output - County'!A771,Input!$B$115:$B$3257,"="&amp;'Output - County'!B771)*VLOOKUP(A771,'Output - State'!$B$2:$G$52,2,FALSE)</f>
        <v>21.24099515475374</v>
      </c>
      <c r="D771" s="98">
        <f>SUMIFS(Input!$C$115:$C$3257,Input!$A$115:$A$3257,"="&amp;'Output - County'!A771,Input!$B$115:$B$3257,"="&amp;'Output - County'!B771)*VLOOKUP(A771,'Output - State'!$B$2:$G$52,3,FALSE)</f>
        <v>5.6251170004464885</v>
      </c>
      <c r="E771" s="98">
        <f>SUMIFS(Input!$C$115:$C$3257,Input!$A$115:$A$3257,"="&amp;'Output - County'!A771,Input!$B$115:$B$3257,"="&amp;'Output - County'!B771)*VLOOKUP(A771,'Output - State'!$B$2:$G$52,4,FALSE)</f>
        <v>25.600663167407678</v>
      </c>
      <c r="F771" s="98">
        <f>SUMIFS(Input!$C$115:$C$3257,Input!$A$115:$A$3257,"="&amp;'Output - County'!A771,Input!$B$115:$B$3257,"="&amp;'Output - County'!B771)*VLOOKUP(A771,'Output - State'!$B$2:$G$52,5,FALSE)</f>
        <v>83.937294582763442</v>
      </c>
      <c r="G771" s="99">
        <f>SUMIFS(Input!$D$115:$D$3257,Input!$A$115:$A$3257,"="&amp;'Output - County'!A771,Input!$B$115:$B$3257,"="&amp;'Output - County'!B771)*VLOOKUP(A771,'Output - State'!$B$2:$G$52,6,FALSE)</f>
        <v>10.039226791569698</v>
      </c>
    </row>
    <row r="772" spans="1:7" x14ac:dyDescent="0.25">
      <c r="A772" s="88">
        <v>18</v>
      </c>
      <c r="B772" s="88">
        <v>147</v>
      </c>
      <c r="C772" s="97">
        <f>SUMIFS(Input!$C$115:$C$3257,Input!$A$115:$A$3257,"="&amp;'Output - County'!A772,Input!$B$115:$B$3257,"="&amp;'Output - County'!B772)*VLOOKUP(A772,'Output - State'!$B$2:$G$52,2,FALSE)</f>
        <v>11.123399422219636</v>
      </c>
      <c r="D772" s="98">
        <f>SUMIFS(Input!$C$115:$C$3257,Input!$A$115:$A$3257,"="&amp;'Output - County'!A772,Input!$B$115:$B$3257,"="&amp;'Output - County'!B772)*VLOOKUP(A772,'Output - State'!$B$2:$G$52,3,FALSE)</f>
        <v>2.9457387818612184</v>
      </c>
      <c r="E772" s="98">
        <f>SUMIFS(Input!$C$115:$C$3257,Input!$A$115:$A$3257,"="&amp;'Output - County'!A772,Input!$B$115:$B$3257,"="&amp;'Output - County'!B772)*VLOOKUP(A772,'Output - State'!$B$2:$G$52,4,FALSE)</f>
        <v>13.406452937354551</v>
      </c>
      <c r="F772" s="98">
        <f>SUMIFS(Input!$C$115:$C$3257,Input!$A$115:$A$3257,"="&amp;'Output - County'!A772,Input!$B$115:$B$3257,"="&amp;'Output - County'!B772)*VLOOKUP(A772,'Output - State'!$B$2:$G$52,5,FALSE)</f>
        <v>43.955946850053074</v>
      </c>
      <c r="G772" s="99">
        <f>SUMIFS(Input!$D$115:$D$3257,Input!$A$115:$A$3257,"="&amp;'Output - County'!A772,Input!$B$115:$B$3257,"="&amp;'Output - County'!B772)*VLOOKUP(A772,'Output - State'!$B$2:$G$52,6,FALSE)</f>
        <v>4.6022522819780187</v>
      </c>
    </row>
    <row r="773" spans="1:7" x14ac:dyDescent="0.25">
      <c r="A773" s="88">
        <v>18</v>
      </c>
      <c r="B773" s="88">
        <v>149</v>
      </c>
      <c r="C773" s="97">
        <f>SUMIFS(Input!$C$115:$C$3257,Input!$A$115:$A$3257,"="&amp;'Output - County'!A773,Input!$B$115:$B$3257,"="&amp;'Output - County'!B773)*VLOOKUP(A773,'Output - State'!$B$2:$G$52,2,FALSE)</f>
        <v>7.3307865340998353</v>
      </c>
      <c r="D773" s="98">
        <f>SUMIFS(Input!$C$115:$C$3257,Input!$A$115:$A$3257,"="&amp;'Output - County'!A773,Input!$B$115:$B$3257,"="&amp;'Output - County'!B773)*VLOOKUP(A773,'Output - State'!$B$2:$G$52,3,FALSE)</f>
        <v>1.9413653484300348</v>
      </c>
      <c r="E773" s="98">
        <f>SUMIFS(Input!$C$115:$C$3257,Input!$A$115:$A$3257,"="&amp;'Output - County'!A773,Input!$B$115:$B$3257,"="&amp;'Output - County'!B773)*VLOOKUP(A773,'Output - State'!$B$2:$G$52,4,FALSE)</f>
        <v>8.8354145106829698</v>
      </c>
      <c r="F773" s="98">
        <f>SUMIFS(Input!$C$115:$C$3257,Input!$A$115:$A$3257,"="&amp;'Output - County'!A773,Input!$B$115:$B$3257,"="&amp;'Output - County'!B773)*VLOOKUP(A773,'Output - State'!$B$2:$G$52,5,FALSE)</f>
        <v>28.968811694229078</v>
      </c>
      <c r="G773" s="99">
        <f>SUMIFS(Input!$D$115:$D$3257,Input!$A$115:$A$3257,"="&amp;'Output - County'!A773,Input!$B$115:$B$3257,"="&amp;'Output - County'!B773)*VLOOKUP(A773,'Output - State'!$B$2:$G$52,6,FALSE)</f>
        <v>5.1888138473281593</v>
      </c>
    </row>
    <row r="774" spans="1:7" x14ac:dyDescent="0.25">
      <c r="A774" s="88">
        <v>18</v>
      </c>
      <c r="B774" s="88">
        <v>151</v>
      </c>
      <c r="C774" s="97">
        <f>SUMIFS(Input!$C$115:$C$3257,Input!$A$115:$A$3257,"="&amp;'Output - County'!A774,Input!$B$115:$B$3257,"="&amp;'Output - County'!B774)*VLOOKUP(A774,'Output - State'!$B$2:$G$52,2,FALSE)</f>
        <v>18.903610415486263</v>
      </c>
      <c r="D774" s="98">
        <f>SUMIFS(Input!$C$115:$C$3257,Input!$A$115:$A$3257,"="&amp;'Output - County'!A774,Input!$B$115:$B$3257,"="&amp;'Output - County'!B774)*VLOOKUP(A774,'Output - State'!$B$2:$G$52,3,FALSE)</f>
        <v>5.0061223376425135</v>
      </c>
      <c r="E774" s="98">
        <f>SUMIFS(Input!$C$115:$C$3257,Input!$A$115:$A$3257,"="&amp;'Output - County'!A774,Input!$B$115:$B$3257,"="&amp;'Output - County'!B774)*VLOOKUP(A774,'Output - State'!$B$2:$G$52,4,FALSE)</f>
        <v>22.783535299025587</v>
      </c>
      <c r="F774" s="98">
        <f>SUMIFS(Input!$C$115:$C$3257,Input!$A$115:$A$3257,"="&amp;'Output - County'!A774,Input!$B$115:$B$3257,"="&amp;'Output - County'!B774)*VLOOKUP(A774,'Output - State'!$B$2:$G$52,5,FALSE)</f>
        <v>74.700733396069623</v>
      </c>
      <c r="G774" s="99">
        <f>SUMIFS(Input!$D$115:$D$3257,Input!$A$115:$A$3257,"="&amp;'Output - County'!A774,Input!$B$115:$B$3257,"="&amp;'Output - County'!B774)*VLOOKUP(A774,'Output - State'!$B$2:$G$52,6,FALSE)</f>
        <v>7.7832207709922381</v>
      </c>
    </row>
    <row r="775" spans="1:7" x14ac:dyDescent="0.25">
      <c r="A775" s="88">
        <v>18</v>
      </c>
      <c r="B775" s="88">
        <v>153</v>
      </c>
      <c r="C775" s="97">
        <f>SUMIFS(Input!$C$115:$C$3257,Input!$A$115:$A$3257,"="&amp;'Output - County'!A775,Input!$B$115:$B$3257,"="&amp;'Output - County'!B775)*VLOOKUP(A775,'Output - State'!$B$2:$G$52,2,FALSE)</f>
        <v>7.4503621539073368</v>
      </c>
      <c r="D775" s="98">
        <f>SUMIFS(Input!$C$115:$C$3257,Input!$A$115:$A$3257,"="&amp;'Output - County'!A775,Input!$B$115:$B$3257,"="&amp;'Output - County'!B775)*VLOOKUP(A775,'Output - State'!$B$2:$G$52,3,FALSE)</f>
        <v>1.9730317956429646</v>
      </c>
      <c r="E775" s="98">
        <f>SUMIFS(Input!$C$115:$C$3257,Input!$A$115:$A$3257,"="&amp;'Output - County'!A775,Input!$B$115:$B$3257,"="&amp;'Output - County'!B775)*VLOOKUP(A775,'Output - State'!$B$2:$G$52,4,FALSE)</f>
        <v>8.9795327661330084</v>
      </c>
      <c r="F775" s="98">
        <f>SUMIFS(Input!$C$115:$C$3257,Input!$A$115:$A$3257,"="&amp;'Output - County'!A775,Input!$B$115:$B$3257,"="&amp;'Output - County'!B775)*VLOOKUP(A775,'Output - State'!$B$2:$G$52,5,FALSE)</f>
        <v>29.44133447160246</v>
      </c>
      <c r="G775" s="99">
        <f>SUMIFS(Input!$D$115:$D$3257,Input!$A$115:$A$3257,"="&amp;'Output - County'!A775,Input!$B$115:$B$3257,"="&amp;'Output - County'!B775)*VLOOKUP(A775,'Output - State'!$B$2:$G$52,6,FALSE)</f>
        <v>4.6699324625953436</v>
      </c>
    </row>
    <row r="776" spans="1:7" x14ac:dyDescent="0.25">
      <c r="A776" s="88">
        <v>18</v>
      </c>
      <c r="B776" s="88">
        <v>155</v>
      </c>
      <c r="C776" s="97">
        <f>SUMIFS(Input!$C$115:$C$3257,Input!$A$115:$A$3257,"="&amp;'Output - County'!A776,Input!$B$115:$B$3257,"="&amp;'Output - County'!B776)*VLOOKUP(A776,'Output - State'!$B$2:$G$52,2,FALSE)</f>
        <v>2.799273072088035</v>
      </c>
      <c r="D776" s="98">
        <f>SUMIFS(Input!$C$115:$C$3257,Input!$A$115:$A$3257,"="&amp;'Output - County'!A776,Input!$B$115:$B$3257,"="&amp;'Output - County'!B776)*VLOOKUP(A776,'Output - State'!$B$2:$G$52,3,FALSE)</f>
        <v>0.74131359816117004</v>
      </c>
      <c r="E776" s="98">
        <f>SUMIFS(Input!$C$115:$C$3257,Input!$A$115:$A$3257,"="&amp;'Output - County'!A776,Input!$B$115:$B$3257,"="&amp;'Output - County'!B776)*VLOOKUP(A776,'Output - State'!$B$2:$G$52,4,FALSE)</f>
        <v>3.3738177759567938</v>
      </c>
      <c r="F776" s="98">
        <f>SUMIFS(Input!$C$115:$C$3257,Input!$A$115:$A$3257,"="&amp;'Output - County'!A776,Input!$B$115:$B$3257,"="&amp;'Output - County'!B776)*VLOOKUP(A776,'Output - State'!$B$2:$G$52,5,FALSE)</f>
        <v>11.061789090275544</v>
      </c>
      <c r="G776" s="99">
        <f>SUMIFS(Input!$D$115:$D$3257,Input!$A$115:$A$3257,"="&amp;'Output - County'!A776,Input!$B$115:$B$3257,"="&amp;'Output - County'!B776)*VLOOKUP(A776,'Output - State'!$B$2:$G$52,6,FALSE)</f>
        <v>2.4139264420178823</v>
      </c>
    </row>
    <row r="777" spans="1:7" x14ac:dyDescent="0.25">
      <c r="A777" s="88">
        <v>18</v>
      </c>
      <c r="B777" s="88">
        <v>157</v>
      </c>
      <c r="C777" s="97">
        <f>SUMIFS(Input!$C$115:$C$3257,Input!$A$115:$A$3257,"="&amp;'Output - County'!A777,Input!$B$115:$B$3257,"="&amp;'Output - County'!B777)*VLOOKUP(A777,'Output - State'!$B$2:$G$52,2,FALSE)</f>
        <v>59.165034359771127</v>
      </c>
      <c r="D777" s="98">
        <f>SUMIFS(Input!$C$115:$C$3257,Input!$A$115:$A$3257,"="&amp;'Output - County'!A777,Input!$B$115:$B$3257,"="&amp;'Output - County'!B777)*VLOOKUP(A777,'Output - State'!$B$2:$G$52,3,FALSE)</f>
        <v>15.668297939170058</v>
      </c>
      <c r="E777" s="98">
        <f>SUMIFS(Input!$C$115:$C$3257,Input!$A$115:$A$3257,"="&amp;'Output - County'!A777,Input!$B$115:$B$3257,"="&amp;'Output - County'!B777)*VLOOKUP(A777,'Output - State'!$B$2:$G$52,4,FALSE)</f>
        <v>71.308528856456149</v>
      </c>
      <c r="F777" s="98">
        <f>SUMIFS(Input!$C$115:$C$3257,Input!$A$115:$A$3257,"="&amp;'Output - County'!A777,Input!$B$115:$B$3257,"="&amp;'Output - County'!B777)*VLOOKUP(A777,'Output - State'!$B$2:$G$52,5,FALSE)</f>
        <v>233.80038844102859</v>
      </c>
      <c r="G777" s="99">
        <f>SUMIFS(Input!$D$115:$D$3257,Input!$A$115:$A$3257,"="&amp;'Output - County'!A777,Input!$B$115:$B$3257,"="&amp;'Output - County'!B777)*VLOOKUP(A777,'Output - State'!$B$2:$G$52,6,FALSE)</f>
        <v>43.766516799202734</v>
      </c>
    </row>
    <row r="778" spans="1:7" x14ac:dyDescent="0.25">
      <c r="A778" s="88">
        <v>18</v>
      </c>
      <c r="B778" s="88">
        <v>159</v>
      </c>
      <c r="C778" s="97">
        <f>SUMIFS(Input!$C$115:$C$3257,Input!$A$115:$A$3257,"="&amp;'Output - County'!A778,Input!$B$115:$B$3257,"="&amp;'Output - County'!B778)*VLOOKUP(A778,'Output - State'!$B$2:$G$52,2,FALSE)</f>
        <v>8.0424141837230163</v>
      </c>
      <c r="D778" s="98">
        <f>SUMIFS(Input!$C$115:$C$3257,Input!$A$115:$A$3257,"="&amp;'Output - County'!A778,Input!$B$115:$B$3257,"="&amp;'Output - County'!B778)*VLOOKUP(A778,'Output - State'!$B$2:$G$52,3,FALSE)</f>
        <v>2.129821151028684</v>
      </c>
      <c r="E778" s="98">
        <f>SUMIFS(Input!$C$115:$C$3257,Input!$A$115:$A$3257,"="&amp;'Output - County'!A778,Input!$B$115:$B$3257,"="&amp;'Output - County'!B778)*VLOOKUP(A778,'Output - State'!$B$2:$G$52,4,FALSE)</f>
        <v>9.693102186137283</v>
      </c>
      <c r="F778" s="98">
        <f>SUMIFS(Input!$C$115:$C$3257,Input!$A$115:$A$3257,"="&amp;'Output - County'!A778,Input!$B$115:$B$3257,"="&amp;'Output - County'!B778)*VLOOKUP(A778,'Output - State'!$B$2:$G$52,5,FALSE)</f>
        <v>31.780925685333326</v>
      </c>
      <c r="G778" s="99">
        <f>SUMIFS(Input!$D$115:$D$3257,Input!$A$115:$A$3257,"="&amp;'Output - County'!A778,Input!$B$115:$B$3257,"="&amp;'Output - County'!B778)*VLOOKUP(A778,'Output - State'!$B$2:$G$52,6,FALSE)</f>
        <v>3.4065690910719653</v>
      </c>
    </row>
    <row r="779" spans="1:7" x14ac:dyDescent="0.25">
      <c r="A779" s="88">
        <v>18</v>
      </c>
      <c r="B779" s="88">
        <v>161</v>
      </c>
      <c r="C779" s="97">
        <f>SUMIFS(Input!$C$115:$C$3257,Input!$A$115:$A$3257,"="&amp;'Output - County'!A779,Input!$B$115:$B$3257,"="&amp;'Output - County'!B779)*VLOOKUP(A779,'Output - State'!$B$2:$G$52,2,FALSE)</f>
        <v>2.2047020405173159</v>
      </c>
      <c r="D779" s="98">
        <f>SUMIFS(Input!$C$115:$C$3257,Input!$A$115:$A$3257,"="&amp;'Output - County'!A779,Input!$B$115:$B$3257,"="&amp;'Output - County'!B779)*VLOOKUP(A779,'Output - State'!$B$2:$G$52,3,FALSE)</f>
        <v>0.58385715163903285</v>
      </c>
      <c r="E779" s="98">
        <f>SUMIFS(Input!$C$115:$C$3257,Input!$A$115:$A$3257,"="&amp;'Output - County'!A779,Input!$B$115:$B$3257,"="&amp;'Output - County'!B779)*VLOOKUP(A779,'Output - State'!$B$2:$G$52,4,FALSE)</f>
        <v>2.6572123345712688</v>
      </c>
      <c r="F779" s="98">
        <f>SUMIFS(Input!$C$115:$C$3257,Input!$A$115:$A$3257,"="&amp;'Output - County'!A779,Input!$B$115:$B$3257,"="&amp;'Output - County'!B779)*VLOOKUP(A779,'Output - State'!$B$2:$G$52,5,FALSE)</f>
        <v>8.7122436257750326</v>
      </c>
      <c r="G779" s="99">
        <f>SUMIFS(Input!$D$115:$D$3257,Input!$A$115:$A$3257,"="&amp;'Output - County'!A779,Input!$B$115:$B$3257,"="&amp;'Output - County'!B779)*VLOOKUP(A779,'Output - State'!$B$2:$G$52,6,FALSE)</f>
        <v>1.5859722324659544</v>
      </c>
    </row>
    <row r="780" spans="1:7" x14ac:dyDescent="0.25">
      <c r="A780" s="88">
        <v>18</v>
      </c>
      <c r="B780" s="88">
        <v>163</v>
      </c>
      <c r="C780" s="97">
        <f>SUMIFS(Input!$C$115:$C$3257,Input!$A$115:$A$3257,"="&amp;'Output - County'!A780,Input!$B$115:$B$3257,"="&amp;'Output - County'!B780)*VLOOKUP(A780,'Output - State'!$B$2:$G$52,2,FALSE)</f>
        <v>57.887963835312419</v>
      </c>
      <c r="D780" s="98">
        <f>SUMIFS(Input!$C$115:$C$3257,Input!$A$115:$A$3257,"="&amp;'Output - County'!A780,Input!$B$115:$B$3257,"="&amp;'Output - County'!B780)*VLOOKUP(A780,'Output - State'!$B$2:$G$52,3,FALSE)</f>
        <v>15.330099513646003</v>
      </c>
      <c r="E780" s="98">
        <f>SUMIFS(Input!$C$115:$C$3257,Input!$A$115:$A$3257,"="&amp;'Output - County'!A780,Input!$B$115:$B$3257,"="&amp;'Output - County'!B780)*VLOOKUP(A780,'Output - State'!$B$2:$G$52,4,FALSE)</f>
        <v>69.769342387107741</v>
      </c>
      <c r="F780" s="98">
        <f>SUMIFS(Input!$C$115:$C$3257,Input!$A$115:$A$3257,"="&amp;'Output - County'!A780,Input!$B$115:$B$3257,"="&amp;'Output - County'!B780)*VLOOKUP(A780,'Output - State'!$B$2:$G$52,5,FALSE)</f>
        <v>228.75383369943188</v>
      </c>
      <c r="G780" s="99">
        <f>SUMIFS(Input!$D$115:$D$3257,Input!$A$115:$A$3257,"="&amp;'Output - County'!A780,Input!$B$115:$B$3257,"="&amp;'Output - County'!B780)*VLOOKUP(A780,'Output - State'!$B$2:$G$52,6,FALSE)</f>
        <v>40.83370897245203</v>
      </c>
    </row>
    <row r="781" spans="1:7" x14ac:dyDescent="0.25">
      <c r="A781" s="88">
        <v>18</v>
      </c>
      <c r="B781" s="88">
        <v>165</v>
      </c>
      <c r="C781" s="97">
        <f>SUMIFS(Input!$C$115:$C$3257,Input!$A$115:$A$3257,"="&amp;'Output - County'!A781,Input!$B$115:$B$3257,"="&amp;'Output - County'!B781)*VLOOKUP(A781,'Output - State'!$B$2:$G$52,2,FALSE)</f>
        <v>7.1158400589492512</v>
      </c>
      <c r="D781" s="98">
        <f>SUMIFS(Input!$C$115:$C$3257,Input!$A$115:$A$3257,"="&amp;'Output - County'!A781,Input!$B$115:$B$3257,"="&amp;'Output - County'!B781)*VLOOKUP(A781,'Output - State'!$B$2:$G$52,3,FALSE)</f>
        <v>1.8844424470901227</v>
      </c>
      <c r="E781" s="98">
        <f>SUMIFS(Input!$C$115:$C$3257,Input!$A$115:$A$3257,"="&amp;'Output - County'!A781,Input!$B$115:$B$3257,"="&amp;'Output - County'!B781)*VLOOKUP(A781,'Output - State'!$B$2:$G$52,4,FALSE)</f>
        <v>8.5763507394584781</v>
      </c>
      <c r="F781" s="98">
        <f>SUMIFS(Input!$C$115:$C$3257,Input!$A$115:$A$3257,"="&amp;'Output - County'!A781,Input!$B$115:$B$3257,"="&amp;'Output - County'!B781)*VLOOKUP(A781,'Output - State'!$B$2:$G$52,5,FALSE)</f>
        <v>28.119415257160384</v>
      </c>
      <c r="G781" s="99">
        <f>SUMIFS(Input!$D$115:$D$3257,Input!$A$115:$A$3257,"="&amp;'Output - County'!A781,Input!$B$115:$B$3257,"="&amp;'Output - County'!B781)*VLOOKUP(A781,'Output - State'!$B$2:$G$52,6,FALSE)</f>
        <v>3.4968093318950633</v>
      </c>
    </row>
    <row r="782" spans="1:7" x14ac:dyDescent="0.25">
      <c r="A782" s="88">
        <v>18</v>
      </c>
      <c r="B782" s="88">
        <v>167</v>
      </c>
      <c r="C782" s="97">
        <f>SUMIFS(Input!$C$115:$C$3257,Input!$A$115:$A$3257,"="&amp;'Output - County'!A782,Input!$B$115:$B$3257,"="&amp;'Output - County'!B782)*VLOOKUP(A782,'Output - State'!$B$2:$G$52,2,FALSE)</f>
        <v>34.441708116715702</v>
      </c>
      <c r="D782" s="98">
        <f>SUMIFS(Input!$C$115:$C$3257,Input!$A$115:$A$3257,"="&amp;'Output - County'!A782,Input!$B$115:$B$3257,"="&amp;'Output - County'!B782)*VLOOKUP(A782,'Output - State'!$B$2:$G$52,3,FALSE)</f>
        <v>9.1209774513975432</v>
      </c>
      <c r="E782" s="98">
        <f>SUMIFS(Input!$C$115:$C$3257,Input!$A$115:$A$3257,"="&amp;'Output - County'!A782,Input!$B$115:$B$3257,"="&amp;'Output - County'!B782)*VLOOKUP(A782,'Output - State'!$B$2:$G$52,4,FALSE)</f>
        <v>41.510793726106485</v>
      </c>
      <c r="F782" s="98">
        <f>SUMIFS(Input!$C$115:$C$3257,Input!$A$115:$A$3257,"="&amp;'Output - County'!A782,Input!$B$115:$B$3257,"="&amp;'Output - County'!B782)*VLOOKUP(A782,'Output - State'!$B$2:$G$52,5,FALSE)</f>
        <v>136.10208839388238</v>
      </c>
      <c r="G782" s="99">
        <f>SUMIFS(Input!$D$115:$D$3257,Input!$A$115:$A$3257,"="&amp;'Output - County'!A782,Input!$B$115:$B$3257,"="&amp;'Output - County'!B782)*VLOOKUP(A782,'Output - State'!$B$2:$G$52,6,FALSE)</f>
        <v>24.139264420178829</v>
      </c>
    </row>
    <row r="783" spans="1:7" x14ac:dyDescent="0.25">
      <c r="A783" s="88">
        <v>18</v>
      </c>
      <c r="B783" s="88">
        <v>169</v>
      </c>
      <c r="C783" s="97">
        <f>SUMIFS(Input!$C$115:$C$3257,Input!$A$115:$A$3257,"="&amp;'Output - County'!A783,Input!$B$115:$B$3257,"="&amp;'Output - County'!B783)*VLOOKUP(A783,'Output - State'!$B$2:$G$52,2,FALSE)</f>
        <v>9.6288615124419508</v>
      </c>
      <c r="D783" s="98">
        <f>SUMIFS(Input!$C$115:$C$3257,Input!$A$115:$A$3257,"="&amp;'Output - County'!A783,Input!$B$115:$B$3257,"="&amp;'Output - County'!B783)*VLOOKUP(A783,'Output - State'!$B$2:$G$52,3,FALSE)</f>
        <v>2.5499498584679214</v>
      </c>
      <c r="E783" s="98">
        <f>SUMIFS(Input!$C$115:$C$3257,Input!$A$115:$A$3257,"="&amp;'Output - County'!A783,Input!$B$115:$B$3257,"="&amp;'Output - County'!B783)*VLOOKUP(A783,'Output - State'!$B$2:$G$52,4,FALSE)</f>
        <v>11.605164375289361</v>
      </c>
      <c r="F783" s="98">
        <f>SUMIFS(Input!$C$115:$C$3257,Input!$A$115:$A$3257,"="&amp;'Output - County'!A783,Input!$B$115:$B$3257,"="&amp;'Output - County'!B783)*VLOOKUP(A783,'Output - State'!$B$2:$G$52,5,FALSE)</f>
        <v>38.050033879208016</v>
      </c>
      <c r="G783" s="99">
        <f>SUMIFS(Input!$D$115:$D$3257,Input!$A$115:$A$3257,"="&amp;'Output - County'!A783,Input!$B$115:$B$3257,"="&amp;'Output - County'!B783)*VLOOKUP(A783,'Output - State'!$B$2:$G$52,6,FALSE)</f>
        <v>7.0387387842016764</v>
      </c>
    </row>
    <row r="784" spans="1:7" x14ac:dyDescent="0.25">
      <c r="A784" s="88">
        <v>18</v>
      </c>
      <c r="B784" s="88">
        <v>171</v>
      </c>
      <c r="C784" s="97">
        <f>SUMIFS(Input!$C$115:$C$3257,Input!$A$115:$A$3257,"="&amp;'Output - County'!A784,Input!$B$115:$B$3257,"="&amp;'Output - County'!B784)*VLOOKUP(A784,'Output - State'!$B$2:$G$52,2,FALSE)</f>
        <v>3.5880755471183798</v>
      </c>
      <c r="D784" s="98">
        <f>SUMIFS(Input!$C$115:$C$3257,Input!$A$115:$A$3257,"="&amp;'Output - County'!A784,Input!$B$115:$B$3257,"="&amp;'Output - County'!B784)*VLOOKUP(A784,'Output - State'!$B$2:$G$52,3,FALSE)</f>
        <v>0.95020711656557666</v>
      </c>
      <c r="E784" s="98">
        <f>SUMIFS(Input!$C$115:$C$3257,Input!$A$115:$A$3257,"="&amp;'Output - County'!A784,Input!$B$115:$B$3257,"="&amp;'Output - County'!B784)*VLOOKUP(A784,'Output - State'!$B$2:$G$52,4,FALSE)</f>
        <v>4.3245202417190898</v>
      </c>
      <c r="F784" s="98">
        <f>SUMIFS(Input!$C$115:$C$3257,Input!$A$115:$A$3257,"="&amp;'Output - County'!A784,Input!$B$115:$B$3257,"="&amp;'Output - County'!B784)*VLOOKUP(A784,'Output - State'!$B$2:$G$52,5,FALSE)</f>
        <v>14.178872128610363</v>
      </c>
      <c r="G784" s="99">
        <f>SUMIFS(Input!$D$115:$D$3257,Input!$A$115:$A$3257,"="&amp;'Output - County'!A784,Input!$B$115:$B$3257,"="&amp;'Output - County'!B784)*VLOOKUP(A784,'Output - State'!$B$2:$G$52,6,FALSE)</f>
        <v>1.8679729850381372</v>
      </c>
    </row>
    <row r="785" spans="1:7" x14ac:dyDescent="0.25">
      <c r="A785" s="88">
        <v>18</v>
      </c>
      <c r="B785" s="88">
        <v>173</v>
      </c>
      <c r="C785" s="97">
        <f>SUMIFS(Input!$C$115:$C$3257,Input!$A$115:$A$3257,"="&amp;'Output - County'!A785,Input!$B$115:$B$3257,"="&amp;'Output - County'!B785)*VLOOKUP(A785,'Output - State'!$B$2:$G$52,2,FALSE)</f>
        <v>20.834682725863427</v>
      </c>
      <c r="D785" s="98">
        <f>SUMIFS(Input!$C$115:$C$3257,Input!$A$115:$A$3257,"="&amp;'Output - County'!A785,Input!$B$115:$B$3257,"="&amp;'Output - County'!B785)*VLOOKUP(A785,'Output - State'!$B$2:$G$52,3,FALSE)</f>
        <v>5.5175158765541328</v>
      </c>
      <c r="E785" s="98">
        <f>SUMIFS(Input!$C$115:$C$3257,Input!$A$115:$A$3257,"="&amp;'Output - County'!A785,Input!$B$115:$B$3257,"="&amp;'Output - County'!B785)*VLOOKUP(A785,'Output - State'!$B$2:$G$52,4,FALSE)</f>
        <v>25.11095599705299</v>
      </c>
      <c r="F785" s="98">
        <f>SUMIFS(Input!$C$115:$C$3257,Input!$A$115:$A$3257,"="&amp;'Output - County'!A785,Input!$B$115:$B$3257,"="&amp;'Output - County'!B785)*VLOOKUP(A785,'Output - State'!$B$2:$G$52,5,FALSE)</f>
        <v>82.331684026952388</v>
      </c>
      <c r="G785" s="99">
        <f>SUMIFS(Input!$D$115:$D$3257,Input!$A$115:$A$3257,"="&amp;'Output - County'!A785,Input!$B$115:$B$3257,"="&amp;'Output - County'!B785)*VLOOKUP(A785,'Output - State'!$B$2:$G$52,6,FALSE)</f>
        <v>14.100037628609128</v>
      </c>
    </row>
    <row r="786" spans="1:7" x14ac:dyDescent="0.25">
      <c r="A786" s="88">
        <v>18</v>
      </c>
      <c r="B786" s="88">
        <v>175</v>
      </c>
      <c r="C786" s="97">
        <f>SUMIFS(Input!$C$115:$C$3257,Input!$A$115:$A$3257,"="&amp;'Output - County'!A786,Input!$B$115:$B$3257,"="&amp;'Output - County'!B786)*VLOOKUP(A786,'Output - State'!$B$2:$G$52,2,FALSE)</f>
        <v>8.2304803797633745</v>
      </c>
      <c r="D786" s="98">
        <f>SUMIFS(Input!$C$115:$C$3257,Input!$A$115:$A$3257,"="&amp;'Output - County'!A786,Input!$B$115:$B$3257,"="&amp;'Output - County'!B786)*VLOOKUP(A786,'Output - State'!$B$2:$G$52,3,FALSE)</f>
        <v>2.1796255198376082</v>
      </c>
      <c r="E786" s="98">
        <f>SUMIFS(Input!$C$115:$C$3257,Input!$A$115:$A$3257,"="&amp;'Output - County'!A786,Input!$B$115:$B$3257,"="&amp;'Output - County'!B786)*VLOOKUP(A786,'Output - State'!$B$2:$G$52,4,FALSE)</f>
        <v>9.9197685594840781</v>
      </c>
      <c r="F786" s="98">
        <f>SUMIFS(Input!$C$115:$C$3257,Input!$A$115:$A$3257,"="&amp;'Output - County'!A786,Input!$B$115:$B$3257,"="&amp;'Output - County'!B786)*VLOOKUP(A786,'Output - State'!$B$2:$G$52,5,FALSE)</f>
        <v>32.524100267460497</v>
      </c>
      <c r="G786" s="99">
        <f>SUMIFS(Input!$D$115:$D$3257,Input!$A$115:$A$3257,"="&amp;'Output - County'!A786,Input!$B$115:$B$3257,"="&amp;'Output - County'!B786)*VLOOKUP(A786,'Output - State'!$B$2:$G$52,6,FALSE)</f>
        <v>6.2942567974111139</v>
      </c>
    </row>
    <row r="787" spans="1:7" x14ac:dyDescent="0.25">
      <c r="A787" s="88">
        <v>18</v>
      </c>
      <c r="B787" s="88">
        <v>177</v>
      </c>
      <c r="C787" s="97">
        <f>SUMIFS(Input!$C$115:$C$3257,Input!$A$115:$A$3257,"="&amp;'Output - County'!A787,Input!$B$115:$B$3257,"="&amp;'Output - County'!B787)*VLOOKUP(A787,'Output - State'!$B$2:$G$52,2,FALSE)</f>
        <v>25.241896266013967</v>
      </c>
      <c r="D787" s="98">
        <f>SUMIFS(Input!$C$115:$C$3257,Input!$A$115:$A$3257,"="&amp;'Output - County'!A787,Input!$B$115:$B$3257,"="&amp;'Output - County'!B787)*VLOOKUP(A787,'Output - State'!$B$2:$G$52,3,FALSE)</f>
        <v>6.6846500728891138</v>
      </c>
      <c r="E787" s="98">
        <f>SUMIFS(Input!$C$115:$C$3257,Input!$A$115:$A$3257,"="&amp;'Output - County'!A787,Input!$B$115:$B$3257,"="&amp;'Output - County'!B787)*VLOOKUP(A787,'Output - State'!$B$2:$G$52,4,FALSE)</f>
        <v>30.422740521563906</v>
      </c>
      <c r="F787" s="98">
        <f>SUMIFS(Input!$C$115:$C$3257,Input!$A$115:$A$3257,"="&amp;'Output - County'!A787,Input!$B$115:$B$3257,"="&amp;'Output - County'!B787)*VLOOKUP(A787,'Output - State'!$B$2:$G$52,5,FALSE)</f>
        <v>99.747514995021191</v>
      </c>
      <c r="G787" s="99">
        <f>SUMIFS(Input!$D$115:$D$3257,Input!$A$115:$A$3257,"="&amp;'Output - County'!A787,Input!$B$115:$B$3257,"="&amp;'Output - County'!B787)*VLOOKUP(A787,'Output - State'!$B$2:$G$52,6,FALSE)</f>
        <v>14.889639735811237</v>
      </c>
    </row>
    <row r="788" spans="1:7" x14ac:dyDescent="0.25">
      <c r="A788" s="88">
        <v>18</v>
      </c>
      <c r="B788" s="88">
        <v>179</v>
      </c>
      <c r="C788" s="97">
        <f>SUMIFS(Input!$C$115:$C$3257,Input!$A$115:$A$3257,"="&amp;'Output - County'!A788,Input!$B$115:$B$3257,"="&amp;'Output - County'!B788)*VLOOKUP(A788,'Output - State'!$B$2:$G$52,2,FALSE)</f>
        <v>9.2013483825722844</v>
      </c>
      <c r="D788" s="98">
        <f>SUMIFS(Input!$C$115:$C$3257,Input!$A$115:$A$3257,"="&amp;'Output - County'!A788,Input!$B$115:$B$3257,"="&amp;'Output - County'!B788)*VLOOKUP(A788,'Output - State'!$B$2:$G$52,3,FALSE)</f>
        <v>2.4367342884240788</v>
      </c>
      <c r="E788" s="98">
        <f>SUMIFS(Input!$C$115:$C$3257,Input!$A$115:$A$3257,"="&amp;'Output - County'!A788,Input!$B$115:$B$3257,"="&amp;'Output - County'!B788)*VLOOKUP(A788,'Output - State'!$B$2:$G$52,4,FALSE)</f>
        <v>11.08990510623444</v>
      </c>
      <c r="F788" s="98">
        <f>SUMIFS(Input!$C$115:$C$3257,Input!$A$115:$A$3257,"="&amp;'Output - County'!A788,Input!$B$115:$B$3257,"="&amp;'Output - County'!B788)*VLOOKUP(A788,'Output - State'!$B$2:$G$52,5,FALSE)</f>
        <v>36.36064525789201</v>
      </c>
      <c r="G788" s="99">
        <f>SUMIFS(Input!$D$115:$D$3257,Input!$A$115:$A$3257,"="&amp;'Output - County'!A788,Input!$B$115:$B$3257,"="&amp;'Output - County'!B788)*VLOOKUP(A788,'Output - State'!$B$2:$G$52,6,FALSE)</f>
        <v>6.3393769178226638</v>
      </c>
    </row>
    <row r="789" spans="1:7" x14ac:dyDescent="0.25">
      <c r="A789" s="88">
        <v>18</v>
      </c>
      <c r="B789" s="88">
        <v>181</v>
      </c>
      <c r="C789" s="97">
        <f>SUMIFS(Input!$C$115:$C$3257,Input!$A$115:$A$3257,"="&amp;'Output - County'!A789,Input!$B$115:$B$3257,"="&amp;'Output - County'!B789)*VLOOKUP(A789,'Output - State'!$B$2:$G$52,2,FALSE)</f>
        <v>15.016169662357557</v>
      </c>
      <c r="D789" s="98">
        <f>SUMIFS(Input!$C$115:$C$3257,Input!$A$115:$A$3257,"="&amp;'Output - County'!A789,Input!$B$115:$B$3257,"="&amp;'Output - County'!B789)*VLOOKUP(A789,'Output - State'!$B$2:$G$52,3,FALSE)</f>
        <v>3.9766362467444192</v>
      </c>
      <c r="E789" s="98">
        <f>SUMIFS(Input!$C$115:$C$3257,Input!$A$115:$A$3257,"="&amp;'Output - County'!A789,Input!$B$115:$B$3257,"="&amp;'Output - County'!B789)*VLOOKUP(A789,'Output - State'!$B$2:$G$52,4,FALSE)</f>
        <v>18.098205794497702</v>
      </c>
      <c r="F789" s="98">
        <f>SUMIFS(Input!$C$115:$C$3257,Input!$A$115:$A$3257,"="&amp;'Output - County'!A789,Input!$B$115:$B$3257,"="&amp;'Output - County'!B789)*VLOOKUP(A789,'Output - State'!$B$2:$G$52,5,FALSE)</f>
        <v>59.338870296384407</v>
      </c>
      <c r="G789" s="99">
        <f>SUMIFS(Input!$D$115:$D$3257,Input!$A$115:$A$3257,"="&amp;'Output - County'!A789,Input!$B$115:$B$3257,"="&amp;'Output - County'!B789)*VLOOKUP(A789,'Output - State'!$B$2:$G$52,6,FALSE)</f>
        <v>5.4369745095916793</v>
      </c>
    </row>
    <row r="790" spans="1:7" x14ac:dyDescent="0.25">
      <c r="A790" s="88">
        <v>18</v>
      </c>
      <c r="B790" s="88">
        <v>183</v>
      </c>
      <c r="C790" s="97">
        <f>SUMIFS(Input!$C$115:$C$3257,Input!$A$115:$A$3257,"="&amp;'Output - County'!A790,Input!$B$115:$B$3257,"="&amp;'Output - County'!B790)*VLOOKUP(A790,'Output - State'!$B$2:$G$52,2,FALSE)</f>
        <v>13.845613591388334</v>
      </c>
      <c r="D790" s="98">
        <f>SUMIFS(Input!$C$115:$C$3257,Input!$A$115:$A$3257,"="&amp;'Output - County'!A790,Input!$B$115:$B$3257,"="&amp;'Output - County'!B790)*VLOOKUP(A790,'Output - State'!$B$2:$G$52,3,FALSE)</f>
        <v>3.6666453632282479</v>
      </c>
      <c r="E790" s="98">
        <f>SUMIFS(Input!$C$115:$C$3257,Input!$A$115:$A$3257,"="&amp;'Output - County'!A790,Input!$B$115:$B$3257,"="&amp;'Output - County'!B790)*VLOOKUP(A790,'Output - State'!$B$2:$G$52,4,FALSE)</f>
        <v>16.687395638329448</v>
      </c>
      <c r="F790" s="98">
        <f>SUMIFS(Input!$C$115:$C$3257,Input!$A$115:$A$3257,"="&amp;'Output - County'!A790,Input!$B$115:$B$3257,"="&amp;'Output - County'!B790)*VLOOKUP(A790,'Output - State'!$B$2:$G$52,5,FALSE)</f>
        <v>54.713224979922074</v>
      </c>
      <c r="G790" s="99">
        <f>SUMIFS(Input!$D$115:$D$3257,Input!$A$115:$A$3257,"="&amp;'Output - County'!A790,Input!$B$115:$B$3257,"="&amp;'Output - County'!B790)*VLOOKUP(A790,'Output - State'!$B$2:$G$52,6,FALSE)</f>
        <v>7.6704204699633651</v>
      </c>
    </row>
    <row r="791" spans="1:7" x14ac:dyDescent="0.25">
      <c r="A791" s="88">
        <v>19</v>
      </c>
      <c r="B791" s="88">
        <v>1</v>
      </c>
      <c r="C791" s="97">
        <f>SUMIFS(Input!$C$115:$C$3257,Input!$A$115:$A$3257,"="&amp;'Output - County'!A791,Input!$B$115:$B$3257,"="&amp;'Output - County'!B791)*VLOOKUP(A791,'Output - State'!$B$2:$G$52,2,FALSE)</f>
        <v>6.9698078455813324</v>
      </c>
      <c r="D791" s="98">
        <f>SUMIFS(Input!$C$115:$C$3257,Input!$A$115:$A$3257,"="&amp;'Output - County'!A791,Input!$B$115:$B$3257,"="&amp;'Output - County'!B791)*VLOOKUP(A791,'Output - State'!$B$2:$G$52,3,FALSE)</f>
        <v>1.7884935333990355</v>
      </c>
      <c r="E791" s="98">
        <f>SUMIFS(Input!$C$115:$C$3257,Input!$A$115:$A$3257,"="&amp;'Output - County'!A791,Input!$B$115:$B$3257,"="&amp;'Output - County'!B791)*VLOOKUP(A791,'Output - State'!$B$2:$G$52,4,FALSE)</f>
        <v>23.932897784548899</v>
      </c>
      <c r="F791" s="98">
        <f>SUMIFS(Input!$C$115:$C$3257,Input!$A$115:$A$3257,"="&amp;'Output - County'!A791,Input!$B$115:$B$3257,"="&amp;'Output - County'!B791)*VLOOKUP(A791,'Output - State'!$B$2:$G$52,5,FALSE)</f>
        <v>28.430492610383677</v>
      </c>
      <c r="G791" s="99">
        <f>SUMIFS(Input!$D$115:$D$3257,Input!$A$115:$A$3257,"="&amp;'Output - County'!A791,Input!$B$115:$B$3257,"="&amp;'Output - County'!B791)*VLOOKUP(A791,'Output - State'!$B$2:$G$52,6,FALSE)</f>
        <v>2.3099349327146208</v>
      </c>
    </row>
    <row r="792" spans="1:7" x14ac:dyDescent="0.25">
      <c r="A792" s="88">
        <v>19</v>
      </c>
      <c r="B792" s="88">
        <v>3</v>
      </c>
      <c r="C792" s="97">
        <f>SUMIFS(Input!$C$115:$C$3257,Input!$A$115:$A$3257,"="&amp;'Output - County'!A792,Input!$B$115:$B$3257,"="&amp;'Output - County'!B792)*VLOOKUP(A792,'Output - State'!$B$2:$G$52,2,FALSE)</f>
        <v>0.53447716065966067</v>
      </c>
      <c r="D792" s="98">
        <f>SUMIFS(Input!$C$115:$C$3257,Input!$A$115:$A$3257,"="&amp;'Output - County'!A792,Input!$B$115:$B$3257,"="&amp;'Output - County'!B792)*VLOOKUP(A792,'Output - State'!$B$2:$G$52,3,FALSE)</f>
        <v>0.1371499712427941</v>
      </c>
      <c r="E792" s="98">
        <f>SUMIFS(Input!$C$115:$C$3257,Input!$A$115:$A$3257,"="&amp;'Output - County'!A792,Input!$B$115:$B$3257,"="&amp;'Output - County'!B792)*VLOOKUP(A792,'Output - State'!$B$2:$G$52,4,FALSE)</f>
        <v>1.8352854967663268</v>
      </c>
      <c r="F792" s="98">
        <f>SUMIFS(Input!$C$115:$C$3257,Input!$A$115:$A$3257,"="&amp;'Output - County'!A792,Input!$B$115:$B$3257,"="&amp;'Output - County'!B792)*VLOOKUP(A792,'Output - State'!$B$2:$G$52,5,FALSE)</f>
        <v>2.1801819079111096</v>
      </c>
      <c r="G792" s="99">
        <f>SUMIFS(Input!$D$115:$D$3257,Input!$A$115:$A$3257,"="&amp;'Output - County'!A792,Input!$B$115:$B$3257,"="&amp;'Output - County'!B792)*VLOOKUP(A792,'Output - State'!$B$2:$G$52,6,FALSE)</f>
        <v>1.1892734307045572</v>
      </c>
    </row>
    <row r="793" spans="1:7" x14ac:dyDescent="0.25">
      <c r="A793" s="88">
        <v>19</v>
      </c>
      <c r="B793" s="88">
        <v>5</v>
      </c>
      <c r="C793" s="97">
        <f>SUMIFS(Input!$C$115:$C$3257,Input!$A$115:$A$3257,"="&amp;'Output - County'!A793,Input!$B$115:$B$3257,"="&amp;'Output - County'!B793)*VLOOKUP(A793,'Output - State'!$B$2:$G$52,2,FALSE)</f>
        <v>1.3655526067270671</v>
      </c>
      <c r="D793" s="98">
        <f>SUMIFS(Input!$C$115:$C$3257,Input!$A$115:$A$3257,"="&amp;'Output - County'!A793,Input!$B$115:$B$3257,"="&amp;'Output - County'!B793)*VLOOKUP(A793,'Output - State'!$B$2:$G$52,3,FALSE)</f>
        <v>0.35040880046584005</v>
      </c>
      <c r="E793" s="98">
        <f>SUMIFS(Input!$C$115:$C$3257,Input!$A$115:$A$3257,"="&amp;'Output - County'!A793,Input!$B$115:$B$3257,"="&amp;'Output - County'!B793)*VLOOKUP(A793,'Output - State'!$B$2:$G$52,4,FALSE)</f>
        <v>4.6890289775983511</v>
      </c>
      <c r="F793" s="98">
        <f>SUMIFS(Input!$C$115:$C$3257,Input!$A$115:$A$3257,"="&amp;'Output - County'!A793,Input!$B$115:$B$3257,"="&amp;'Output - County'!B793)*VLOOKUP(A793,'Output - State'!$B$2:$G$52,5,FALSE)</f>
        <v>5.5702157297287584</v>
      </c>
      <c r="G793" s="99">
        <f>SUMIFS(Input!$D$115:$D$3257,Input!$A$115:$A$3257,"="&amp;'Output - County'!A793,Input!$B$115:$B$3257,"="&amp;'Output - County'!B793)*VLOOKUP(A793,'Output - State'!$B$2:$G$52,6,FALSE)</f>
        <v>4.541456232635535</v>
      </c>
    </row>
    <row r="794" spans="1:7" x14ac:dyDescent="0.25">
      <c r="A794" s="88">
        <v>19</v>
      </c>
      <c r="B794" s="88">
        <v>7</v>
      </c>
      <c r="C794" s="97">
        <f>SUMIFS(Input!$C$115:$C$3257,Input!$A$115:$A$3257,"="&amp;'Output - County'!A794,Input!$B$115:$B$3257,"="&amp;'Output - County'!B794)*VLOOKUP(A794,'Output - State'!$B$2:$G$52,2,FALSE)</f>
        <v>1.7275652267448658</v>
      </c>
      <c r="D794" s="98">
        <f>SUMIFS(Input!$C$115:$C$3257,Input!$A$115:$A$3257,"="&amp;'Output - County'!A794,Input!$B$115:$B$3257,"="&amp;'Output - County'!B794)*VLOOKUP(A794,'Output - State'!$B$2:$G$52,3,FALSE)</f>
        <v>0.44330336000827353</v>
      </c>
      <c r="E794" s="98">
        <f>SUMIFS(Input!$C$115:$C$3257,Input!$A$115:$A$3257,"="&amp;'Output - County'!A794,Input!$B$115:$B$3257,"="&amp;'Output - County'!B794)*VLOOKUP(A794,'Output - State'!$B$2:$G$52,4,FALSE)</f>
        <v>5.932106437344312</v>
      </c>
      <c r="F794" s="98">
        <f>SUMIFS(Input!$C$115:$C$3257,Input!$A$115:$A$3257,"="&amp;'Output - County'!A794,Input!$B$115:$B$3257,"="&amp;'Output - County'!B794)*VLOOKUP(A794,'Output - State'!$B$2:$G$52,5,FALSE)</f>
        <v>7.0468987813004933</v>
      </c>
      <c r="G794" s="99">
        <f>SUMIFS(Input!$D$115:$D$3257,Input!$A$115:$A$3257,"="&amp;'Output - County'!A794,Input!$B$115:$B$3257,"="&amp;'Output - County'!B794)*VLOOKUP(A794,'Output - State'!$B$2:$G$52,6,FALSE)</f>
        <v>4.0513710276748656</v>
      </c>
    </row>
    <row r="795" spans="1:7" x14ac:dyDescent="0.25">
      <c r="A795" s="88">
        <v>19</v>
      </c>
      <c r="B795" s="88">
        <v>9</v>
      </c>
      <c r="C795" s="97">
        <f>SUMIFS(Input!$C$115:$C$3257,Input!$A$115:$A$3257,"="&amp;'Output - County'!A795,Input!$B$115:$B$3257,"="&amp;'Output - County'!B795)*VLOOKUP(A795,'Output - State'!$B$2:$G$52,2,FALSE)</f>
        <v>0.62845653337496787</v>
      </c>
      <c r="D795" s="98">
        <f>SUMIFS(Input!$C$115:$C$3257,Input!$A$115:$A$3257,"="&amp;'Output - County'!A795,Input!$B$115:$B$3257,"="&amp;'Output - County'!B795)*VLOOKUP(A795,'Output - State'!$B$2:$G$52,3,FALSE)</f>
        <v>0.1612656289622223</v>
      </c>
      <c r="E795" s="98">
        <f>SUMIFS(Input!$C$115:$C$3257,Input!$A$115:$A$3257,"="&amp;'Output - County'!A795,Input!$B$115:$B$3257,"="&amp;'Output - County'!B795)*VLOOKUP(A795,'Output - State'!$B$2:$G$52,4,FALSE)</f>
        <v>2.1579914839159442</v>
      </c>
      <c r="F795" s="98">
        <f>SUMIFS(Input!$C$115:$C$3257,Input!$A$115:$A$3257,"="&amp;'Output - County'!A795,Input!$B$115:$B$3257,"="&amp;'Output - County'!B795)*VLOOKUP(A795,'Output - State'!$B$2:$G$52,5,FALSE)</f>
        <v>2.5635324852451657</v>
      </c>
      <c r="G795" s="99">
        <f>SUMIFS(Input!$D$115:$D$3257,Input!$A$115:$A$3257,"="&amp;'Output - County'!A795,Input!$B$115:$B$3257,"="&amp;'Output - County'!B795)*VLOOKUP(A795,'Output - State'!$B$2:$G$52,6,FALSE)</f>
        <v>1.7871773807565738</v>
      </c>
    </row>
    <row r="796" spans="1:7" x14ac:dyDescent="0.25">
      <c r="A796" s="88">
        <v>19</v>
      </c>
      <c r="B796" s="88">
        <v>11</v>
      </c>
      <c r="C796" s="97">
        <f>SUMIFS(Input!$C$115:$C$3257,Input!$A$115:$A$3257,"="&amp;'Output - County'!A796,Input!$B$115:$B$3257,"="&amp;'Output - County'!B796)*VLOOKUP(A796,'Output - State'!$B$2:$G$52,2,FALSE)</f>
        <v>4.7167012675571565</v>
      </c>
      <c r="D796" s="98">
        <f>SUMIFS(Input!$C$115:$C$3257,Input!$A$115:$A$3257,"="&amp;'Output - County'!A796,Input!$B$115:$B$3257,"="&amp;'Output - County'!B796)*VLOOKUP(A796,'Output - State'!$B$2:$G$52,3,FALSE)</f>
        <v>1.2103331831951532</v>
      </c>
      <c r="E796" s="98">
        <f>SUMIFS(Input!$C$115:$C$3257,Input!$A$115:$A$3257,"="&amp;'Output - County'!A796,Input!$B$115:$B$3257,"="&amp;'Output - County'!B796)*VLOOKUP(A796,'Output - State'!$B$2:$G$52,4,FALSE)</f>
        <v>16.196189596283233</v>
      </c>
      <c r="F796" s="98">
        <f>SUMIFS(Input!$C$115:$C$3257,Input!$A$115:$A$3257,"="&amp;'Output - County'!A796,Input!$B$115:$B$3257,"="&amp;'Output - County'!B796)*VLOOKUP(A796,'Output - State'!$B$2:$G$52,5,FALSE)</f>
        <v>19.239861916377738</v>
      </c>
      <c r="G796" s="99">
        <f>SUMIFS(Input!$D$115:$D$3257,Input!$A$115:$A$3257,"="&amp;'Output - County'!A796,Input!$B$115:$B$3257,"="&amp;'Output - County'!B796)*VLOOKUP(A796,'Output - State'!$B$2:$G$52,6,FALSE)</f>
        <v>8.3641208313287532</v>
      </c>
    </row>
    <row r="797" spans="1:7" x14ac:dyDescent="0.25">
      <c r="A797" s="88">
        <v>19</v>
      </c>
      <c r="B797" s="88">
        <v>13</v>
      </c>
      <c r="C797" s="97">
        <f>SUMIFS(Input!$C$115:$C$3257,Input!$A$115:$A$3257,"="&amp;'Output - County'!A797,Input!$B$115:$B$3257,"="&amp;'Output - County'!B797)*VLOOKUP(A797,'Output - State'!$B$2:$G$52,2,FALSE)</f>
        <v>28.156045882111268</v>
      </c>
      <c r="D797" s="98">
        <f>SUMIFS(Input!$C$115:$C$3257,Input!$A$115:$A$3257,"="&amp;'Output - County'!A797,Input!$B$115:$B$3257,"="&amp;'Output - County'!B797)*VLOOKUP(A797,'Output - State'!$B$2:$G$52,3,FALSE)</f>
        <v>7.2250063562609466</v>
      </c>
      <c r="E797" s="98">
        <f>SUMIFS(Input!$C$115:$C$3257,Input!$A$115:$A$3257,"="&amp;'Output - County'!A797,Input!$B$115:$B$3257,"="&amp;'Output - County'!B797)*VLOOKUP(A797,'Output - State'!$B$2:$G$52,4,FALSE)</f>
        <v>96.682115639793992</v>
      </c>
      <c r="F797" s="98">
        <f>SUMIFS(Input!$C$115:$C$3257,Input!$A$115:$A$3257,"="&amp;'Output - County'!A797,Input!$B$115:$B$3257,"="&amp;'Output - County'!B797)*VLOOKUP(A797,'Output - State'!$B$2:$G$52,5,FALSE)</f>
        <v>114.85112245906133</v>
      </c>
      <c r="G797" s="99">
        <f>SUMIFS(Input!$D$115:$D$3257,Input!$A$115:$A$3257,"="&amp;'Output - County'!A797,Input!$B$115:$B$3257,"="&amp;'Output - County'!B797)*VLOOKUP(A797,'Output - State'!$B$2:$G$52,6,FALSE)</f>
        <v>43.127498036538888</v>
      </c>
    </row>
    <row r="798" spans="1:7" x14ac:dyDescent="0.25">
      <c r="A798" s="88">
        <v>19</v>
      </c>
      <c r="B798" s="88">
        <v>15</v>
      </c>
      <c r="C798" s="97">
        <f>SUMIFS(Input!$C$115:$C$3257,Input!$A$115:$A$3257,"="&amp;'Output - County'!A798,Input!$B$115:$B$3257,"="&amp;'Output - County'!B798)*VLOOKUP(A798,'Output - State'!$B$2:$G$52,2,FALSE)</f>
        <v>4.3507876329337085</v>
      </c>
      <c r="D798" s="98">
        <f>SUMIFS(Input!$C$115:$C$3257,Input!$A$115:$A$3257,"="&amp;'Output - County'!A798,Input!$B$115:$B$3257,"="&amp;'Output - County'!B798)*VLOOKUP(A798,'Output - State'!$B$2:$G$52,3,FALSE)</f>
        <v>1.1164376004465604</v>
      </c>
      <c r="E798" s="98">
        <f>SUMIFS(Input!$C$115:$C$3257,Input!$A$115:$A$3257,"="&amp;'Output - County'!A798,Input!$B$115:$B$3257,"="&amp;'Output - County'!B798)*VLOOKUP(A798,'Output - State'!$B$2:$G$52,4,FALSE)</f>
        <v>14.93971684847747</v>
      </c>
      <c r="F798" s="98">
        <f>SUMIFS(Input!$C$115:$C$3257,Input!$A$115:$A$3257,"="&amp;'Output - County'!A798,Input!$B$115:$B$3257,"="&amp;'Output - County'!B798)*VLOOKUP(A798,'Output - State'!$B$2:$G$52,5,FALSE)</f>
        <v>17.747266264433637</v>
      </c>
      <c r="G798" s="99">
        <f>SUMIFS(Input!$D$115:$D$3257,Input!$A$115:$A$3257,"="&amp;'Output - County'!A798,Input!$B$115:$B$3257,"="&amp;'Output - County'!B798)*VLOOKUP(A798,'Output - State'!$B$2:$G$52,6,FALSE)</f>
        <v>8.5928272603104006</v>
      </c>
    </row>
    <row r="799" spans="1:7" x14ac:dyDescent="0.25">
      <c r="A799" s="88">
        <v>19</v>
      </c>
      <c r="B799" s="88">
        <v>17</v>
      </c>
      <c r="C799" s="97">
        <f>SUMIFS(Input!$C$115:$C$3257,Input!$A$115:$A$3257,"="&amp;'Output - County'!A799,Input!$B$115:$B$3257,"="&amp;'Output - County'!B799)*VLOOKUP(A799,'Output - State'!$B$2:$G$52,2,FALSE)</f>
        <v>3.5337780385386157</v>
      </c>
      <c r="D799" s="98">
        <f>SUMIFS(Input!$C$115:$C$3257,Input!$A$115:$A$3257,"="&amp;'Output - County'!A799,Input!$B$115:$B$3257,"="&amp;'Output - County'!B799)*VLOOKUP(A799,'Output - State'!$B$2:$G$52,3,FALSE)</f>
        <v>0.90678815118276701</v>
      </c>
      <c r="E799" s="98">
        <f>SUMIFS(Input!$C$115:$C$3257,Input!$A$115:$A$3257,"="&amp;'Output - County'!A799,Input!$B$115:$B$3257,"="&amp;'Output - County'!B799)*VLOOKUP(A799,'Output - State'!$B$2:$G$52,4,FALSE)</f>
        <v>12.134272631812324</v>
      </c>
      <c r="F799" s="98">
        <f>SUMIFS(Input!$C$115:$C$3257,Input!$A$115:$A$3257,"="&amp;'Output - County'!A799,Input!$B$115:$B$3257,"="&amp;'Output - County'!B799)*VLOOKUP(A799,'Output - State'!$B$2:$G$52,5,FALSE)</f>
        <v>14.414608356111509</v>
      </c>
      <c r="G799" s="99">
        <f>SUMIFS(Input!$D$115:$D$3257,Input!$A$115:$A$3257,"="&amp;'Output - County'!A799,Input!$B$115:$B$3257,"="&amp;'Output - County'!B799)*VLOOKUP(A799,'Output - State'!$B$2:$G$52,6,FALSE)</f>
        <v>8.1354144023471093</v>
      </c>
    </row>
    <row r="800" spans="1:7" x14ac:dyDescent="0.25">
      <c r="A800" s="88">
        <v>19</v>
      </c>
      <c r="B800" s="88">
        <v>19</v>
      </c>
      <c r="C800" s="97">
        <f>SUMIFS(Input!$C$115:$C$3257,Input!$A$115:$A$3257,"="&amp;'Output - County'!A800,Input!$B$115:$B$3257,"="&amp;'Output - County'!B800)*VLOOKUP(A800,'Output - State'!$B$2:$G$52,2,FALSE)</f>
        <v>4.5051480689894632</v>
      </c>
      <c r="D800" s="98">
        <f>SUMIFS(Input!$C$115:$C$3257,Input!$A$115:$A$3257,"="&amp;'Output - County'!A800,Input!$B$115:$B$3257,"="&amp;'Output - County'!B800)*VLOOKUP(A800,'Output - State'!$B$2:$G$52,3,FALSE)</f>
        <v>1.1560473928274788</v>
      </c>
      <c r="E800" s="98">
        <f>SUMIFS(Input!$C$115:$C$3257,Input!$A$115:$A$3257,"="&amp;'Output - County'!A800,Input!$B$115:$B$3257,"="&amp;'Output - County'!B800)*VLOOKUP(A800,'Output - State'!$B$2:$G$52,4,FALSE)</f>
        <v>15.46975908492777</v>
      </c>
      <c r="F800" s="98">
        <f>SUMIFS(Input!$C$115:$C$3257,Input!$A$115:$A$3257,"="&amp;'Output - County'!A800,Input!$B$115:$B$3257,"="&amp;'Output - County'!B800)*VLOOKUP(A800,'Output - State'!$B$2:$G$52,5,FALSE)</f>
        <v>18.37691679911817</v>
      </c>
      <c r="G800" s="99">
        <f>SUMIFS(Input!$D$115:$D$3257,Input!$A$115:$A$3257,"="&amp;'Output - County'!A800,Input!$B$115:$B$3257,"="&amp;'Output - County'!B800)*VLOOKUP(A800,'Output - State'!$B$2:$G$52,6,FALSE)</f>
        <v>6.9265375634441249</v>
      </c>
    </row>
    <row r="801" spans="1:7" x14ac:dyDescent="0.25">
      <c r="A801" s="88">
        <v>19</v>
      </c>
      <c r="B801" s="88">
        <v>21</v>
      </c>
      <c r="C801" s="97">
        <f>SUMIFS(Input!$C$115:$C$3257,Input!$A$115:$A$3257,"="&amp;'Output - County'!A801,Input!$B$115:$B$3257,"="&amp;'Output - County'!B801)*VLOOKUP(A801,'Output - State'!$B$2:$G$52,2,FALSE)</f>
        <v>2.7933246531666023</v>
      </c>
      <c r="D801" s="98">
        <f>SUMIFS(Input!$C$115:$C$3257,Input!$A$115:$A$3257,"="&amp;'Output - County'!A801,Input!$B$115:$B$3257,"="&amp;'Output - County'!B801)*VLOOKUP(A801,'Output - State'!$B$2:$G$52,3,FALSE)</f>
        <v>0.71678347374236429</v>
      </c>
      <c r="E801" s="98">
        <f>SUMIFS(Input!$C$115:$C$3257,Input!$A$115:$A$3257,"="&amp;'Output - County'!A801,Input!$B$115:$B$3257,"="&amp;'Output - County'!B801)*VLOOKUP(A801,'Output - State'!$B$2:$G$52,4,FALSE)</f>
        <v>9.5917068137939214</v>
      </c>
      <c r="F801" s="98">
        <f>SUMIFS(Input!$C$115:$C$3257,Input!$A$115:$A$3257,"="&amp;'Output - County'!A801,Input!$B$115:$B$3257,"="&amp;'Output - County'!B801)*VLOOKUP(A801,'Output - State'!$B$2:$G$52,5,FALSE)</f>
        <v>11.39423032452795</v>
      </c>
      <c r="G801" s="99">
        <f>SUMIFS(Input!$D$115:$D$3257,Input!$A$115:$A$3257,"="&amp;'Output - County'!A801,Input!$B$115:$B$3257,"="&amp;'Output - County'!B801)*VLOOKUP(A801,'Output - State'!$B$2:$G$52,6,FALSE)</f>
        <v>6.4691247054808336</v>
      </c>
    </row>
    <row r="802" spans="1:7" x14ac:dyDescent="0.25">
      <c r="A802" s="88">
        <v>19</v>
      </c>
      <c r="B802" s="88">
        <v>23</v>
      </c>
      <c r="C802" s="97">
        <f>SUMIFS(Input!$C$115:$C$3257,Input!$A$115:$A$3257,"="&amp;'Output - County'!A802,Input!$B$115:$B$3257,"="&amp;'Output - County'!B802)*VLOOKUP(A802,'Output - State'!$B$2:$G$52,2,FALSE)</f>
        <v>1.1780064553085745</v>
      </c>
      <c r="D802" s="98">
        <f>SUMIFS(Input!$C$115:$C$3257,Input!$A$115:$A$3257,"="&amp;'Output - County'!A802,Input!$B$115:$B$3257,"="&amp;'Output - County'!B802)*VLOOKUP(A802,'Output - State'!$B$2:$G$52,3,FALSE)</f>
        <v>0.3022833590681262</v>
      </c>
      <c r="E802" s="98">
        <f>SUMIFS(Input!$C$115:$C$3257,Input!$A$115:$A$3257,"="&amp;'Output - County'!A802,Input!$B$115:$B$3257,"="&amp;'Output - County'!B802)*VLOOKUP(A802,'Output - State'!$B$2:$G$52,4,FALSE)</f>
        <v>4.0450337669369958</v>
      </c>
      <c r="F802" s="98">
        <f>SUMIFS(Input!$C$115:$C$3257,Input!$A$115:$A$3257,"="&amp;'Output - County'!A802,Input!$B$115:$B$3257,"="&amp;'Output - County'!B802)*VLOOKUP(A802,'Output - State'!$B$2:$G$52,5,FALSE)</f>
        <v>4.8051975843017338</v>
      </c>
      <c r="G802" s="99">
        <f>SUMIFS(Input!$D$115:$D$3257,Input!$A$115:$A$3257,"="&amp;'Output - County'!A802,Input!$B$115:$B$3257,"="&amp;'Output - County'!B802)*VLOOKUP(A802,'Output - State'!$B$2:$G$52,6,FALSE)</f>
        <v>4.7374903146198024</v>
      </c>
    </row>
    <row r="803" spans="1:7" x14ac:dyDescent="0.25">
      <c r="A803" s="88">
        <v>19</v>
      </c>
      <c r="B803" s="88">
        <v>25</v>
      </c>
      <c r="C803" s="97">
        <f>SUMIFS(Input!$C$115:$C$3257,Input!$A$115:$A$3257,"="&amp;'Output - County'!A803,Input!$B$115:$B$3257,"="&amp;'Output - County'!B803)*VLOOKUP(A803,'Output - State'!$B$2:$G$52,2,FALSE)</f>
        <v>1.5783560988209224</v>
      </c>
      <c r="D803" s="98">
        <f>SUMIFS(Input!$C$115:$C$3257,Input!$A$115:$A$3257,"="&amp;'Output - County'!A803,Input!$B$115:$B$3257,"="&amp;'Output - County'!B803)*VLOOKUP(A803,'Output - State'!$B$2:$G$52,3,FALSE)</f>
        <v>0.40501542347853636</v>
      </c>
      <c r="E803" s="98">
        <f>SUMIFS(Input!$C$115:$C$3257,Input!$A$115:$A$3257,"="&amp;'Output - County'!A803,Input!$B$115:$B$3257,"="&amp;'Output - County'!B803)*VLOOKUP(A803,'Output - State'!$B$2:$G$52,4,FALSE)</f>
        <v>5.4197527417701457</v>
      </c>
      <c r="F803" s="98">
        <f>SUMIFS(Input!$C$115:$C$3257,Input!$A$115:$A$3257,"="&amp;'Output - County'!A803,Input!$B$115:$B$3257,"="&amp;'Output - County'!B803)*VLOOKUP(A803,'Output - State'!$B$2:$G$52,5,FALSE)</f>
        <v>6.4382609102388351</v>
      </c>
      <c r="G803" s="99">
        <f>SUMIFS(Input!$D$115:$D$3257,Input!$A$115:$A$3257,"="&amp;'Output - County'!A803,Input!$B$115:$B$3257,"="&amp;'Output - County'!B803)*VLOOKUP(A803,'Output - State'!$B$2:$G$52,6,FALSE)</f>
        <v>3.1724848934453989</v>
      </c>
    </row>
    <row r="804" spans="1:7" x14ac:dyDescent="0.25">
      <c r="A804" s="88">
        <v>19</v>
      </c>
      <c r="B804" s="88">
        <v>27</v>
      </c>
      <c r="C804" s="97">
        <f>SUMIFS(Input!$C$115:$C$3257,Input!$A$115:$A$3257,"="&amp;'Output - County'!A804,Input!$B$115:$B$3257,"="&amp;'Output - County'!B804)*VLOOKUP(A804,'Output - State'!$B$2:$G$52,2,FALSE)</f>
        <v>2.7841705929502032</v>
      </c>
      <c r="D804" s="98">
        <f>SUMIFS(Input!$C$115:$C$3257,Input!$A$115:$A$3257,"="&amp;'Output - County'!A804,Input!$B$115:$B$3257,"="&amp;'Output - County'!B804)*VLOOKUP(A804,'Output - State'!$B$2:$G$52,3,FALSE)</f>
        <v>0.7144344882517879</v>
      </c>
      <c r="E804" s="98">
        <f>SUMIFS(Input!$C$115:$C$3257,Input!$A$115:$A$3257,"="&amp;'Output - County'!A804,Input!$B$115:$B$3257,"="&amp;'Output - County'!B804)*VLOOKUP(A804,'Output - State'!$B$2:$G$52,4,FALSE)</f>
        <v>9.5602736391172929</v>
      </c>
      <c r="F804" s="98">
        <f>SUMIFS(Input!$C$115:$C$3257,Input!$A$115:$A$3257,"="&amp;'Output - County'!A804,Input!$B$115:$B$3257,"="&amp;'Output - County'!B804)*VLOOKUP(A804,'Output - State'!$B$2:$G$52,5,FALSE)</f>
        <v>11.356890063920572</v>
      </c>
      <c r="G804" s="99">
        <f>SUMIFS(Input!$D$115:$D$3257,Input!$A$115:$A$3257,"="&amp;'Output - County'!A804,Input!$B$115:$B$3257,"="&amp;'Output - County'!B804)*VLOOKUP(A804,'Output - State'!$B$2:$G$52,6,FALSE)</f>
        <v>6.5998140934703455</v>
      </c>
    </row>
    <row r="805" spans="1:7" x14ac:dyDescent="0.25">
      <c r="A805" s="88">
        <v>19</v>
      </c>
      <c r="B805" s="88">
        <v>29</v>
      </c>
      <c r="C805" s="97">
        <f>SUMIFS(Input!$C$115:$C$3257,Input!$A$115:$A$3257,"="&amp;'Output - County'!A805,Input!$B$115:$B$3257,"="&amp;'Output - County'!B805)*VLOOKUP(A805,'Output - State'!$B$2:$G$52,2,FALSE)</f>
        <v>7.961933505385784</v>
      </c>
      <c r="D805" s="98">
        <f>SUMIFS(Input!$C$115:$C$3257,Input!$A$115:$A$3257,"="&amp;'Output - County'!A805,Input!$B$115:$B$3257,"="&amp;'Output - County'!B805)*VLOOKUP(A805,'Output - State'!$B$2:$G$52,3,FALSE)</f>
        <v>2.0430787911553794</v>
      </c>
      <c r="E805" s="98">
        <f>SUMIFS(Input!$C$115:$C$3257,Input!$A$115:$A$3257,"="&amp;'Output - County'!A805,Input!$B$115:$B$3257,"="&amp;'Output - County'!B805)*VLOOKUP(A805,'Output - State'!$B$2:$G$52,4,FALSE)</f>
        <v>27.339654833178493</v>
      </c>
      <c r="F805" s="98">
        <f>SUMIFS(Input!$C$115:$C$3257,Input!$A$115:$A$3257,"="&amp;'Output - County'!A805,Input!$B$115:$B$3257,"="&amp;'Output - County'!B805)*VLOOKUP(A805,'Output - State'!$B$2:$G$52,5,FALSE)</f>
        <v>32.477465190484963</v>
      </c>
      <c r="G805" s="99">
        <f>SUMIFS(Input!$D$115:$D$3257,Input!$A$115:$A$3257,"="&amp;'Output - County'!A805,Input!$B$115:$B$3257,"="&amp;'Output - County'!B805)*VLOOKUP(A805,'Output - State'!$B$2:$G$52,6,FALSE)</f>
        <v>4.2147327626617548</v>
      </c>
    </row>
    <row r="806" spans="1:7" x14ac:dyDescent="0.25">
      <c r="A806" s="88">
        <v>19</v>
      </c>
      <c r="B806" s="88">
        <v>31</v>
      </c>
      <c r="C806" s="97">
        <f>SUMIFS(Input!$C$115:$C$3257,Input!$A$115:$A$3257,"="&amp;'Output - County'!A806,Input!$B$115:$B$3257,"="&amp;'Output - County'!B806)*VLOOKUP(A806,'Output - State'!$B$2:$G$52,2,FALSE)</f>
        <v>11.396306155799891</v>
      </c>
      <c r="D806" s="98">
        <f>SUMIFS(Input!$C$115:$C$3257,Input!$A$115:$A$3257,"="&amp;'Output - County'!A806,Input!$B$115:$B$3257,"="&amp;'Output - County'!B806)*VLOOKUP(A806,'Output - State'!$B$2:$G$52,3,FALSE)</f>
        <v>2.9243589372704868</v>
      </c>
      <c r="E806" s="98">
        <f>SUMIFS(Input!$C$115:$C$3257,Input!$A$115:$A$3257,"="&amp;'Output - County'!A806,Input!$B$115:$B$3257,"="&amp;'Output - County'!B806)*VLOOKUP(A806,'Output - State'!$B$2:$G$52,4,FALSE)</f>
        <v>39.132589648235154</v>
      </c>
      <c r="F806" s="98">
        <f>SUMIFS(Input!$C$115:$C$3257,Input!$A$115:$A$3257,"="&amp;'Output - County'!A806,Input!$B$115:$B$3257,"="&amp;'Output - County'!B806)*VLOOKUP(A806,'Output - State'!$B$2:$G$52,5,FALSE)</f>
        <v>46.486589749177604</v>
      </c>
      <c r="G806" s="99">
        <f>SUMIFS(Input!$D$115:$D$3257,Input!$A$115:$A$3257,"="&amp;'Output - County'!A806,Input!$B$115:$B$3257,"="&amp;'Output - County'!B806)*VLOOKUP(A806,'Output - State'!$B$2:$G$52,6,FALSE)</f>
        <v>6.0770565415122988</v>
      </c>
    </row>
    <row r="807" spans="1:7" x14ac:dyDescent="0.25">
      <c r="A807" s="88">
        <v>19</v>
      </c>
      <c r="B807" s="88">
        <v>33</v>
      </c>
      <c r="C807" s="97">
        <f>SUMIFS(Input!$C$115:$C$3257,Input!$A$115:$A$3257,"="&amp;'Output - County'!A807,Input!$B$115:$B$3257,"="&amp;'Output - County'!B807)*VLOOKUP(A807,'Output - State'!$B$2:$G$52,2,FALSE)</f>
        <v>13.03377103058374</v>
      </c>
      <c r="D807" s="98">
        <f>SUMIFS(Input!$C$115:$C$3257,Input!$A$115:$A$3257,"="&amp;'Output - County'!A807,Input!$B$115:$B$3257,"="&amp;'Output - County'!B807)*VLOOKUP(A807,'Output - State'!$B$2:$G$52,3,FALSE)</f>
        <v>3.3445420190143573</v>
      </c>
      <c r="E807" s="98">
        <f>SUMIFS(Input!$C$115:$C$3257,Input!$A$115:$A$3257,"="&amp;'Output - County'!A807,Input!$B$115:$B$3257,"="&amp;'Output - County'!B807)*VLOOKUP(A807,'Output - State'!$B$2:$G$52,4,FALSE)</f>
        <v>44.755309864092453</v>
      </c>
      <c r="F807" s="98">
        <f>SUMIFS(Input!$C$115:$C$3257,Input!$A$115:$A$3257,"="&amp;'Output - County'!A807,Input!$B$115:$B$3257,"="&amp;'Output - County'!B807)*VLOOKUP(A807,'Output - State'!$B$2:$G$52,5,FALSE)</f>
        <v>53.165960838556906</v>
      </c>
      <c r="G807" s="99">
        <f>SUMIFS(Input!$D$115:$D$3257,Input!$A$115:$A$3257,"="&amp;'Output - County'!A807,Input!$B$115:$B$3257,"="&amp;'Output - County'!B807)*VLOOKUP(A807,'Output - State'!$B$2:$G$52,6,FALSE)</f>
        <v>13.918419820883006</v>
      </c>
    </row>
    <row r="808" spans="1:7" x14ac:dyDescent="0.25">
      <c r="A808" s="88">
        <v>19</v>
      </c>
      <c r="B808" s="88">
        <v>35</v>
      </c>
      <c r="C808" s="97">
        <f>SUMIFS(Input!$C$115:$C$3257,Input!$A$115:$A$3257,"="&amp;'Output - County'!A808,Input!$B$115:$B$3257,"="&amp;'Output - County'!B808)*VLOOKUP(A808,'Output - State'!$B$2:$G$52,2,FALSE)</f>
        <v>1.2998975514052959</v>
      </c>
      <c r="D808" s="98">
        <f>SUMIFS(Input!$C$115:$C$3257,Input!$A$115:$A$3257,"="&amp;'Output - County'!A808,Input!$B$115:$B$3257,"="&amp;'Output - County'!B808)*VLOOKUP(A808,'Output - State'!$B$2:$G$52,3,FALSE)</f>
        <v>0.33356132855850662</v>
      </c>
      <c r="E808" s="98">
        <f>SUMIFS(Input!$C$115:$C$3257,Input!$A$115:$A$3257,"="&amp;'Output - County'!A808,Input!$B$115:$B$3257,"="&amp;'Output - County'!B808)*VLOOKUP(A808,'Output - State'!$B$2:$G$52,4,FALSE)</f>
        <v>4.4635829161189049</v>
      </c>
      <c r="F808" s="98">
        <f>SUMIFS(Input!$C$115:$C$3257,Input!$A$115:$A$3257,"="&amp;'Output - County'!A808,Input!$B$115:$B$3257,"="&amp;'Output - County'!B808)*VLOOKUP(A808,'Output - State'!$B$2:$G$52,5,FALSE)</f>
        <v>5.3024026699550486</v>
      </c>
      <c r="G808" s="99">
        <f>SUMIFS(Input!$D$115:$D$3257,Input!$A$115:$A$3257,"="&amp;'Output - County'!A808,Input!$B$115:$B$3257,"="&amp;'Output - County'!B808)*VLOOKUP(A808,'Output - State'!$B$2:$G$52,6,FALSE)</f>
        <v>3.691975210703708</v>
      </c>
    </row>
    <row r="809" spans="1:7" x14ac:dyDescent="0.25">
      <c r="A809" s="88">
        <v>19</v>
      </c>
      <c r="B809" s="88">
        <v>37</v>
      </c>
      <c r="C809" s="97">
        <f>SUMIFS(Input!$C$115:$C$3257,Input!$A$115:$A$3257,"="&amp;'Output - County'!A809,Input!$B$115:$B$3257,"="&amp;'Output - County'!B809)*VLOOKUP(A809,'Output - State'!$B$2:$G$52,2,FALSE)</f>
        <v>1.6666647087811213</v>
      </c>
      <c r="D809" s="98">
        <f>SUMIFS(Input!$C$115:$C$3257,Input!$A$115:$A$3257,"="&amp;'Output - County'!A809,Input!$B$115:$B$3257,"="&amp;'Output - County'!B809)*VLOOKUP(A809,'Output - State'!$B$2:$G$52,3,FALSE)</f>
        <v>0.42767593024665368</v>
      </c>
      <c r="E809" s="98">
        <f>SUMIFS(Input!$C$115:$C$3257,Input!$A$115:$A$3257,"="&amp;'Output - County'!A809,Input!$B$115:$B$3257,"="&amp;'Output - County'!B809)*VLOOKUP(A809,'Output - State'!$B$2:$G$52,4,FALSE)</f>
        <v>5.722986486874456</v>
      </c>
      <c r="F809" s="98">
        <f>SUMIFS(Input!$C$115:$C$3257,Input!$A$115:$A$3257,"="&amp;'Output - County'!A809,Input!$B$115:$B$3257,"="&amp;'Output - County'!B809)*VLOOKUP(A809,'Output - State'!$B$2:$G$52,5,FALSE)</f>
        <v>6.7984799203652573</v>
      </c>
      <c r="G809" s="99">
        <f>SUMIFS(Input!$D$115:$D$3257,Input!$A$115:$A$3257,"="&amp;'Output - County'!A809,Input!$B$115:$B$3257,"="&amp;'Output - County'!B809)*VLOOKUP(A809,'Output - State'!$B$2:$G$52,6,FALSE)</f>
        <v>3.9206816396853537</v>
      </c>
    </row>
    <row r="810" spans="1:7" x14ac:dyDescent="0.25">
      <c r="A810" s="88">
        <v>19</v>
      </c>
      <c r="B810" s="88">
        <v>39</v>
      </c>
      <c r="C810" s="97">
        <f>SUMIFS(Input!$C$115:$C$3257,Input!$A$115:$A$3257,"="&amp;'Output - County'!A810,Input!$B$115:$B$3257,"="&amp;'Output - County'!B810)*VLOOKUP(A810,'Output - State'!$B$2:$G$52,2,FALSE)</f>
        <v>4.8554699577427742</v>
      </c>
      <c r="D810" s="98">
        <f>SUMIFS(Input!$C$115:$C$3257,Input!$A$115:$A$3257,"="&amp;'Output - County'!A810,Input!$B$115:$B$3257,"="&amp;'Output - County'!B810)*VLOOKUP(A810,'Output - State'!$B$2:$G$52,3,FALSE)</f>
        <v>1.2459420422245417</v>
      </c>
      <c r="E810" s="98">
        <f>SUMIFS(Input!$C$115:$C$3257,Input!$A$115:$A$3257,"="&amp;'Output - County'!A810,Input!$B$115:$B$3257,"="&amp;'Output - County'!B810)*VLOOKUP(A810,'Output - State'!$B$2:$G$52,4,FALSE)</f>
        <v>16.672692959286799</v>
      </c>
      <c r="F810" s="98">
        <f>SUMIFS(Input!$C$115:$C$3257,Input!$A$115:$A$3257,"="&amp;'Output - County'!A810,Input!$B$115:$B$3257,"="&amp;'Output - County'!B810)*VLOOKUP(A810,'Output - State'!$B$2:$G$52,5,FALSE)</f>
        <v>19.805912273616212</v>
      </c>
      <c r="G810" s="99">
        <f>SUMIFS(Input!$D$115:$D$3257,Input!$A$115:$A$3257,"="&amp;'Output - County'!A810,Input!$B$115:$B$3257,"="&amp;'Output - County'!B810)*VLOOKUP(A810,'Output - State'!$B$2:$G$52,6,FALSE)</f>
        <v>3.1038729647509049</v>
      </c>
    </row>
    <row r="811" spans="1:7" x14ac:dyDescent="0.25">
      <c r="A811" s="88">
        <v>19</v>
      </c>
      <c r="B811" s="88">
        <v>41</v>
      </c>
      <c r="C811" s="97">
        <f>SUMIFS(Input!$C$115:$C$3257,Input!$A$115:$A$3257,"="&amp;'Output - County'!A811,Input!$B$115:$B$3257,"="&amp;'Output - County'!B811)*VLOOKUP(A811,'Output - State'!$B$2:$G$52,2,FALSE)</f>
        <v>2.9329123498359571</v>
      </c>
      <c r="D811" s="98">
        <f>SUMIFS(Input!$C$115:$C$3257,Input!$A$115:$A$3257,"="&amp;'Output - County'!A811,Input!$B$115:$B$3257,"="&amp;'Output - County'!B811)*VLOOKUP(A811,'Output - State'!$B$2:$G$52,3,FALSE)</f>
        <v>0.75260249463452256</v>
      </c>
      <c r="E811" s="98">
        <f>SUMIFS(Input!$C$115:$C$3257,Input!$A$115:$A$3257,"="&amp;'Output - County'!A811,Input!$B$115:$B$3257,"="&amp;'Output - County'!B811)*VLOOKUP(A811,'Output - State'!$B$2:$G$52,4,FALSE)</f>
        <v>10.071022477924636</v>
      </c>
      <c r="F811" s="98">
        <f>SUMIFS(Input!$C$115:$C$3257,Input!$A$115:$A$3257,"="&amp;'Output - County'!A811,Input!$B$115:$B$3257,"="&amp;'Output - County'!B811)*VLOOKUP(A811,'Output - State'!$B$2:$G$52,5,FALSE)</f>
        <v>11.963621485171569</v>
      </c>
      <c r="G811" s="99">
        <f>SUMIFS(Input!$D$115:$D$3257,Input!$A$115:$A$3257,"="&amp;'Output - County'!A811,Input!$B$115:$B$3257,"="&amp;'Output - County'!B811)*VLOOKUP(A811,'Output - State'!$B$2:$G$52,6,FALSE)</f>
        <v>5.2602478665778492</v>
      </c>
    </row>
    <row r="812" spans="1:7" x14ac:dyDescent="0.25">
      <c r="A812" s="88">
        <v>19</v>
      </c>
      <c r="B812" s="88">
        <v>43</v>
      </c>
      <c r="C812" s="97">
        <f>SUMIFS(Input!$C$115:$C$3257,Input!$A$115:$A$3257,"="&amp;'Output - County'!A812,Input!$B$115:$B$3257,"="&amp;'Output - County'!B812)*VLOOKUP(A812,'Output - State'!$B$2:$G$52,2,FALSE)</f>
        <v>2.3061671673543436</v>
      </c>
      <c r="D812" s="98">
        <f>SUMIFS(Input!$C$115:$C$3257,Input!$A$115:$A$3257,"="&amp;'Output - County'!A812,Input!$B$115:$B$3257,"="&amp;'Output - County'!B812)*VLOOKUP(A812,'Output - State'!$B$2:$G$52,3,FALSE)</f>
        <v>0.59177600833935129</v>
      </c>
      <c r="E812" s="98">
        <f>SUMIFS(Input!$C$115:$C$3257,Input!$A$115:$A$3257,"="&amp;'Output - County'!A812,Input!$B$115:$B$3257,"="&amp;'Output - County'!B812)*VLOOKUP(A812,'Output - State'!$B$2:$G$52,4,FALSE)</f>
        <v>7.9189074237340984</v>
      </c>
      <c r="F812" s="98">
        <f>SUMIFS(Input!$C$115:$C$3257,Input!$A$115:$A$3257,"="&amp;'Output - County'!A812,Input!$B$115:$B$3257,"="&amp;'Output - County'!B812)*VLOOKUP(A812,'Output - State'!$B$2:$G$52,5,FALSE)</f>
        <v>9.4070697589380217</v>
      </c>
      <c r="G812" s="99">
        <f>SUMIFS(Input!$D$115:$D$3257,Input!$A$115:$A$3257,"="&amp;'Output - County'!A812,Input!$B$115:$B$3257,"="&amp;'Output - County'!B812)*VLOOKUP(A812,'Output - State'!$B$2:$G$52,6,FALSE)</f>
        <v>5.7176607245411404</v>
      </c>
    </row>
    <row r="813" spans="1:7" x14ac:dyDescent="0.25">
      <c r="A813" s="88">
        <v>19</v>
      </c>
      <c r="B813" s="88">
        <v>45</v>
      </c>
      <c r="C813" s="97">
        <f>SUMIFS(Input!$C$115:$C$3257,Input!$A$115:$A$3257,"="&amp;'Output - County'!A813,Input!$B$115:$B$3257,"="&amp;'Output - County'!B813)*VLOOKUP(A813,'Output - State'!$B$2:$G$52,2,FALSE)</f>
        <v>7.1919337291327752</v>
      </c>
      <c r="D813" s="98">
        <f>SUMIFS(Input!$C$115:$C$3257,Input!$A$115:$A$3257,"="&amp;'Output - County'!A813,Input!$B$115:$B$3257,"="&amp;'Output - County'!B813)*VLOOKUP(A813,'Output - State'!$B$2:$G$52,3,FALSE)</f>
        <v>1.845492336685149</v>
      </c>
      <c r="E813" s="98">
        <f>SUMIFS(Input!$C$115:$C$3257,Input!$A$115:$A$3257,"="&amp;'Output - County'!A813,Input!$B$115:$B$3257,"="&amp;'Output - County'!B813)*VLOOKUP(A813,'Output - State'!$B$2:$G$52,4,FALSE)</f>
        <v>24.695632738527515</v>
      </c>
      <c r="F813" s="98">
        <f>SUMIFS(Input!$C$115:$C$3257,Input!$A$115:$A$3257,"="&amp;'Output - County'!A813,Input!$B$115:$B$3257,"="&amp;'Output - County'!B813)*VLOOKUP(A813,'Output - State'!$B$2:$G$52,5,FALSE)</f>
        <v>29.336564690245655</v>
      </c>
      <c r="G813" s="99">
        <f>SUMIFS(Input!$D$115:$D$3257,Input!$A$115:$A$3257,"="&amp;'Output - County'!A813,Input!$B$115:$B$3257,"="&amp;'Output - County'!B813)*VLOOKUP(A813,'Output - State'!$B$2:$G$52,6,FALSE)</f>
        <v>15.159969006783369</v>
      </c>
    </row>
    <row r="814" spans="1:7" x14ac:dyDescent="0.25">
      <c r="A814" s="88">
        <v>19</v>
      </c>
      <c r="B814" s="88">
        <v>47</v>
      </c>
      <c r="C814" s="97">
        <f>SUMIFS(Input!$C$115:$C$3257,Input!$A$115:$A$3257,"="&amp;'Output - County'!A814,Input!$B$115:$B$3257,"="&amp;'Output - County'!B814)*VLOOKUP(A814,'Output - State'!$B$2:$G$52,2,FALSE)</f>
        <v>2.3760336784079521</v>
      </c>
      <c r="D814" s="98">
        <f>SUMIFS(Input!$C$115:$C$3257,Input!$A$115:$A$3257,"="&amp;'Output - County'!A814,Input!$B$115:$B$3257,"="&amp;'Output - County'!B814)*VLOOKUP(A814,'Output - State'!$B$2:$G$52,3,FALSE)</f>
        <v>0.60970416446488196</v>
      </c>
      <c r="E814" s="98">
        <f>SUMIFS(Input!$C$115:$C$3257,Input!$A$115:$A$3257,"="&amp;'Output - County'!A814,Input!$B$115:$B$3257,"="&amp;'Output - County'!B814)*VLOOKUP(A814,'Output - State'!$B$2:$G$52,4,FALSE)</f>
        <v>8.158814764747687</v>
      </c>
      <c r="F814" s="98">
        <f>SUMIFS(Input!$C$115:$C$3257,Input!$A$115:$A$3257,"="&amp;'Output - County'!A814,Input!$B$115:$B$3257,"="&amp;'Output - County'!B814)*VLOOKUP(A814,'Output - State'!$B$2:$G$52,5,FALSE)</f>
        <v>9.6920617372293876</v>
      </c>
      <c r="G814" s="99">
        <f>SUMIFS(Input!$D$115:$D$3257,Input!$A$115:$A$3257,"="&amp;'Output - County'!A814,Input!$B$115:$B$3257,"="&amp;'Output - County'!B814)*VLOOKUP(A814,'Output - State'!$B$2:$G$52,6,FALSE)</f>
        <v>5.5869713365516294</v>
      </c>
    </row>
    <row r="815" spans="1:7" x14ac:dyDescent="0.25">
      <c r="A815" s="88">
        <v>19</v>
      </c>
      <c r="B815" s="88">
        <v>49</v>
      </c>
      <c r="C815" s="97">
        <f>SUMIFS(Input!$C$115:$C$3257,Input!$A$115:$A$3257,"="&amp;'Output - County'!A815,Input!$B$115:$B$3257,"="&amp;'Output - County'!B815)*VLOOKUP(A815,'Output - State'!$B$2:$G$52,2,FALSE)</f>
        <v>18.897401019252509</v>
      </c>
      <c r="D815" s="98">
        <f>SUMIFS(Input!$C$115:$C$3257,Input!$A$115:$A$3257,"="&amp;'Output - County'!A815,Input!$B$115:$B$3257,"="&amp;'Output - County'!B815)*VLOOKUP(A815,'Output - State'!$B$2:$G$52,3,FALSE)</f>
        <v>4.8491838325798868</v>
      </c>
      <c r="E815" s="98">
        <f>SUMIFS(Input!$C$115:$C$3257,Input!$A$115:$A$3257,"="&amp;'Output - County'!A815,Input!$B$115:$B$3257,"="&amp;'Output - County'!B815)*VLOOKUP(A815,'Output - State'!$B$2:$G$52,4,FALSE)</f>
        <v>64.889818630240569</v>
      </c>
      <c r="F815" s="98">
        <f>SUMIFS(Input!$C$115:$C$3257,Input!$A$115:$A$3257,"="&amp;'Output - County'!A815,Input!$B$115:$B$3257,"="&amp;'Output - County'!B815)*VLOOKUP(A815,'Output - State'!$B$2:$G$52,5,FALSE)</f>
        <v>77.084251379171818</v>
      </c>
      <c r="G815" s="99">
        <f>SUMIFS(Input!$D$115:$D$3257,Input!$A$115:$A$3257,"="&amp;'Output - County'!A815,Input!$B$115:$B$3257,"="&amp;'Output - County'!B815)*VLOOKUP(A815,'Output - State'!$B$2:$G$52,6,FALSE)</f>
        <v>29.405112297640152</v>
      </c>
    </row>
    <row r="816" spans="1:7" x14ac:dyDescent="0.25">
      <c r="A816" s="88">
        <v>19</v>
      </c>
      <c r="B816" s="88">
        <v>51</v>
      </c>
      <c r="C816" s="97">
        <f>SUMIFS(Input!$C$115:$C$3257,Input!$A$115:$A$3257,"="&amp;'Output - County'!A816,Input!$B$115:$B$3257,"="&amp;'Output - County'!B816)*VLOOKUP(A816,'Output - State'!$B$2:$G$52,2,FALSE)</f>
        <v>0.99398128007403896</v>
      </c>
      <c r="D816" s="98">
        <f>SUMIFS(Input!$C$115:$C$3257,Input!$A$115:$A$3257,"="&amp;'Output - County'!A816,Input!$B$115:$B$3257,"="&amp;'Output - County'!B816)*VLOOKUP(A816,'Output - State'!$B$2:$G$52,3,FALSE)</f>
        <v>0.25506142079069594</v>
      </c>
      <c r="E816" s="98">
        <f>SUMIFS(Input!$C$115:$C$3257,Input!$A$115:$A$3257,"="&amp;'Output - County'!A816,Input!$B$115:$B$3257,"="&amp;'Output - County'!B816)*VLOOKUP(A816,'Output - State'!$B$2:$G$52,4,FALSE)</f>
        <v>3.4131288699513469</v>
      </c>
      <c r="F816" s="98">
        <f>SUMIFS(Input!$C$115:$C$3257,Input!$A$115:$A$3257,"="&amp;'Output - County'!A816,Input!$B$115:$B$3257,"="&amp;'Output - County'!B816)*VLOOKUP(A816,'Output - State'!$B$2:$G$52,5,FALSE)</f>
        <v>4.0545418272786877</v>
      </c>
      <c r="G816" s="99">
        <f>SUMIFS(Input!$D$115:$D$3257,Input!$A$115:$A$3257,"="&amp;'Output - County'!A816,Input!$B$115:$B$3257,"="&amp;'Output - County'!B816)*VLOOKUP(A816,'Output - State'!$B$2:$G$52,6,FALSE)</f>
        <v>2.9307095256648017</v>
      </c>
    </row>
    <row r="817" spans="1:7" x14ac:dyDescent="0.25">
      <c r="A817" s="88">
        <v>19</v>
      </c>
      <c r="B817" s="88">
        <v>53</v>
      </c>
      <c r="C817" s="97">
        <f>SUMIFS(Input!$C$115:$C$3257,Input!$A$115:$A$3257,"="&amp;'Output - County'!A817,Input!$B$115:$B$3257,"="&amp;'Output - County'!B817)*VLOOKUP(A817,'Output - State'!$B$2:$G$52,2,FALSE)</f>
        <v>4.2480189832634405</v>
      </c>
      <c r="D817" s="98">
        <f>SUMIFS(Input!$C$115:$C$3257,Input!$A$115:$A$3257,"="&amp;'Output - County'!A817,Input!$B$115:$B$3257,"="&amp;'Output - County'!B817)*VLOOKUP(A817,'Output - State'!$B$2:$G$52,3,FALSE)</f>
        <v>1.0900665627589217</v>
      </c>
      <c r="E817" s="98">
        <f>SUMIFS(Input!$C$115:$C$3257,Input!$A$115:$A$3257,"="&amp;'Output - County'!A817,Input!$B$115:$B$3257,"="&amp;'Output - County'!B817)*VLOOKUP(A817,'Output - State'!$B$2:$G$52,4,FALSE)</f>
        <v>14.586830277928193</v>
      </c>
      <c r="F817" s="98">
        <f>SUMIFS(Input!$C$115:$C$3257,Input!$A$115:$A$3257,"="&amp;'Output - County'!A817,Input!$B$115:$B$3257,"="&amp;'Output - County'!B817)*VLOOKUP(A817,'Output - State'!$B$2:$G$52,5,FALSE)</f>
        <v>17.328063411247093</v>
      </c>
      <c r="G817" s="99">
        <f>SUMIFS(Input!$D$115:$D$3257,Input!$A$115:$A$3257,"="&amp;'Output - County'!A817,Input!$B$115:$B$3257,"="&amp;'Output - County'!B817)*VLOOKUP(A817,'Output - State'!$B$2:$G$52,6,FALSE)</f>
        <v>2.5778481780931202</v>
      </c>
    </row>
    <row r="818" spans="1:7" x14ac:dyDescent="0.25">
      <c r="A818" s="88">
        <v>19</v>
      </c>
      <c r="B818" s="88">
        <v>55</v>
      </c>
      <c r="C818" s="97">
        <f>SUMIFS(Input!$C$115:$C$3257,Input!$A$115:$A$3257,"="&amp;'Output - County'!A818,Input!$B$115:$B$3257,"="&amp;'Output - County'!B818)*VLOOKUP(A818,'Output - State'!$B$2:$G$52,2,FALSE)</f>
        <v>2.9494212743342847</v>
      </c>
      <c r="D818" s="98">
        <f>SUMIFS(Input!$C$115:$C$3257,Input!$A$115:$A$3257,"="&amp;'Output - County'!A818,Input!$B$115:$B$3257,"="&amp;'Output - County'!B818)*VLOOKUP(A818,'Output - State'!$B$2:$G$52,3,FALSE)</f>
        <v>0.75683878139633787</v>
      </c>
      <c r="E818" s="98">
        <f>SUMIFS(Input!$C$115:$C$3257,Input!$A$115:$A$3257,"="&amp;'Output - County'!A818,Input!$B$115:$B$3257,"="&amp;'Output - County'!B818)*VLOOKUP(A818,'Output - State'!$B$2:$G$52,4,FALSE)</f>
        <v>10.127710755608188</v>
      </c>
      <c r="F818" s="98">
        <f>SUMIFS(Input!$C$115:$C$3257,Input!$A$115:$A$3257,"="&amp;'Output - County'!A818,Input!$B$115:$B$3257,"="&amp;'Output - County'!B818)*VLOOKUP(A818,'Output - State'!$B$2:$G$52,5,FALSE)</f>
        <v>12.030962919304885</v>
      </c>
      <c r="G818" s="99">
        <f>SUMIFS(Input!$D$115:$D$3257,Input!$A$115:$A$3257,"="&amp;'Output - County'!A818,Input!$B$115:$B$3257,"="&amp;'Output - County'!B818)*VLOOKUP(A818,'Output - State'!$B$2:$G$52,6,FALSE)</f>
        <v>5.5869713365516294</v>
      </c>
    </row>
    <row r="819" spans="1:7" x14ac:dyDescent="0.25">
      <c r="A819" s="88">
        <v>19</v>
      </c>
      <c r="B819" s="88">
        <v>57</v>
      </c>
      <c r="C819" s="97">
        <f>SUMIFS(Input!$C$115:$C$3257,Input!$A$115:$A$3257,"="&amp;'Output - County'!A819,Input!$B$115:$B$3257,"="&amp;'Output - County'!B819)*VLOOKUP(A819,'Output - State'!$B$2:$G$52,2,FALSE)</f>
        <v>7.044108467551581</v>
      </c>
      <c r="D819" s="98">
        <f>SUMIFS(Input!$C$115:$C$3257,Input!$A$115:$A$3257,"="&amp;'Output - County'!A819,Input!$B$115:$B$3257,"="&amp;'Output - County'!B819)*VLOOKUP(A819,'Output - State'!$B$2:$G$52,3,FALSE)</f>
        <v>1.8075595083678522</v>
      </c>
      <c r="E819" s="98">
        <f>SUMIFS(Input!$C$115:$C$3257,Input!$A$115:$A$3257,"="&amp;'Output - County'!A819,Input!$B$115:$B$3257,"="&amp;'Output - County'!B819)*VLOOKUP(A819,'Output - State'!$B$2:$G$52,4,FALSE)</f>
        <v>24.18803095756309</v>
      </c>
      <c r="F819" s="98">
        <f>SUMIFS(Input!$C$115:$C$3257,Input!$A$115:$A$3257,"="&amp;'Output - County'!A819,Input!$B$115:$B$3257,"="&amp;'Output - County'!B819)*VLOOKUP(A819,'Output - State'!$B$2:$G$52,5,FALSE)</f>
        <v>28.733571738341453</v>
      </c>
      <c r="G819" s="99">
        <f>SUMIFS(Input!$D$115:$D$3257,Input!$A$115:$A$3257,"="&amp;'Output - County'!A819,Input!$B$115:$B$3257,"="&amp;'Output - County'!B819)*VLOOKUP(A819,'Output - State'!$B$2:$G$52,6,FALSE)</f>
        <v>12.774887675974776</v>
      </c>
    </row>
    <row r="820" spans="1:7" x14ac:dyDescent="0.25">
      <c r="A820" s="88">
        <v>19</v>
      </c>
      <c r="B820" s="88">
        <v>59</v>
      </c>
      <c r="C820" s="97">
        <f>SUMIFS(Input!$C$115:$C$3257,Input!$A$115:$A$3257,"="&amp;'Output - County'!A820,Input!$B$115:$B$3257,"="&amp;'Output - County'!B820)*VLOOKUP(A820,'Output - State'!$B$2:$G$52,2,FALSE)</f>
        <v>3.9741246211912369</v>
      </c>
      <c r="D820" s="98">
        <f>SUMIFS(Input!$C$115:$C$3257,Input!$A$115:$A$3257,"="&amp;'Output - County'!A820,Input!$B$115:$B$3257,"="&amp;'Output - County'!B820)*VLOOKUP(A820,'Output - State'!$B$2:$G$52,3,FALSE)</f>
        <v>1.0197836645422733</v>
      </c>
      <c r="E820" s="98">
        <f>SUMIFS(Input!$C$115:$C$3257,Input!$A$115:$A$3257,"="&amp;'Output - County'!A820,Input!$B$115:$B$3257,"="&amp;'Output - County'!B820)*VLOOKUP(A820,'Output - State'!$B$2:$G$52,4,FALSE)</f>
        <v>13.646332933314307</v>
      </c>
      <c r="F820" s="98">
        <f>SUMIFS(Input!$C$115:$C$3257,Input!$A$115:$A$3257,"="&amp;'Output - County'!A820,Input!$B$115:$B$3257,"="&amp;'Output - County'!B820)*VLOOKUP(A820,'Output - State'!$B$2:$G$52,5,FALSE)</f>
        <v>16.210822906280196</v>
      </c>
      <c r="G820" s="99">
        <f>SUMIFS(Input!$D$115:$D$3257,Input!$A$115:$A$3257,"="&amp;'Output - County'!A820,Input!$B$115:$B$3257,"="&amp;'Output - County'!B820)*VLOOKUP(A820,'Output - State'!$B$2:$G$52,6,FALSE)</f>
        <v>5.5869713365516294</v>
      </c>
    </row>
    <row r="821" spans="1:7" x14ac:dyDescent="0.25">
      <c r="A821" s="88">
        <v>19</v>
      </c>
      <c r="B821" s="88">
        <v>61</v>
      </c>
      <c r="C821" s="97">
        <f>SUMIFS(Input!$C$115:$C$3257,Input!$A$115:$A$3257,"="&amp;'Output - County'!A821,Input!$B$115:$B$3257,"="&amp;'Output - County'!B821)*VLOOKUP(A821,'Output - State'!$B$2:$G$52,2,FALSE)</f>
        <v>16.199473194396379</v>
      </c>
      <c r="D821" s="98">
        <f>SUMIFS(Input!$C$115:$C$3257,Input!$A$115:$A$3257,"="&amp;'Output - County'!A821,Input!$B$115:$B$3257,"="&amp;'Output - County'!B821)*VLOOKUP(A821,'Output - State'!$B$2:$G$52,3,FALSE)</f>
        <v>4.1568797439683802</v>
      </c>
      <c r="E821" s="98">
        <f>SUMIFS(Input!$C$115:$C$3257,Input!$A$115:$A$3257,"="&amp;'Output - County'!A821,Input!$B$115:$B$3257,"="&amp;'Output - County'!B821)*VLOOKUP(A821,'Output - State'!$B$2:$G$52,4,FALSE)</f>
        <v>55.625685056844105</v>
      </c>
      <c r="F821" s="98">
        <f>SUMIFS(Input!$C$115:$C$3257,Input!$A$115:$A$3257,"="&amp;'Output - County'!A821,Input!$B$115:$B$3257,"="&amp;'Output - County'!B821)*VLOOKUP(A821,'Output - State'!$B$2:$G$52,5,FALSE)</f>
        <v>66.079153564811179</v>
      </c>
      <c r="G821" s="99">
        <f>SUMIFS(Input!$D$115:$D$3257,Input!$A$115:$A$3257,"="&amp;'Output - County'!A821,Input!$B$115:$B$3257,"="&amp;'Output - County'!B821)*VLOOKUP(A821,'Output - State'!$B$2:$G$52,6,FALSE)</f>
        <v>31.659504240459231</v>
      </c>
    </row>
    <row r="822" spans="1:7" x14ac:dyDescent="0.25">
      <c r="A822" s="88">
        <v>19</v>
      </c>
      <c r="B822" s="88">
        <v>63</v>
      </c>
      <c r="C822" s="97">
        <f>SUMIFS(Input!$C$115:$C$3257,Input!$A$115:$A$3257,"="&amp;'Output - County'!A822,Input!$B$115:$B$3257,"="&amp;'Output - County'!B822)*VLOOKUP(A822,'Output - State'!$B$2:$G$52,2,FALSE)</f>
        <v>1.2339244318419027</v>
      </c>
      <c r="D822" s="98">
        <f>SUMIFS(Input!$C$115:$C$3257,Input!$A$115:$A$3257,"="&amp;'Output - County'!A822,Input!$B$115:$B$3257,"="&amp;'Output - County'!B822)*VLOOKUP(A822,'Output - State'!$B$2:$G$52,3,FALSE)</f>
        <v>0.31663223950304659</v>
      </c>
      <c r="E822" s="98">
        <f>SUMIFS(Input!$C$115:$C$3257,Input!$A$115:$A$3257,"="&amp;'Output - County'!A822,Input!$B$115:$B$3257,"="&amp;'Output - County'!B822)*VLOOKUP(A822,'Output - State'!$B$2:$G$52,4,FALSE)</f>
        <v>4.237044686942399</v>
      </c>
      <c r="F822" s="98">
        <f>SUMIFS(Input!$C$115:$C$3257,Input!$A$115:$A$3257,"="&amp;'Output - County'!A822,Input!$B$115:$B$3257,"="&amp;'Output - County'!B822)*VLOOKUP(A822,'Output - State'!$B$2:$G$52,5,FALSE)</f>
        <v>5.0332921966411934</v>
      </c>
      <c r="G822" s="99">
        <f>SUMIFS(Input!$D$115:$D$3257,Input!$A$115:$A$3257,"="&amp;'Output - County'!A822,Input!$B$115:$B$3257,"="&amp;'Output - County'!B822)*VLOOKUP(A822,'Output - State'!$B$2:$G$52,6,FALSE)</f>
        <v>3.0319938013566734</v>
      </c>
    </row>
    <row r="823" spans="1:7" x14ac:dyDescent="0.25">
      <c r="A823" s="88">
        <v>19</v>
      </c>
      <c r="B823" s="88">
        <v>65</v>
      </c>
      <c r="C823" s="97">
        <f>SUMIFS(Input!$C$115:$C$3257,Input!$A$115:$A$3257,"="&amp;'Output - County'!A823,Input!$B$115:$B$3257,"="&amp;'Output - County'!B823)*VLOOKUP(A823,'Output - State'!$B$2:$G$52,2,FALSE)</f>
        <v>2.242218542185697</v>
      </c>
      <c r="D823" s="98">
        <f>SUMIFS(Input!$C$115:$C$3257,Input!$A$115:$A$3257,"="&amp;'Output - County'!A823,Input!$B$115:$B$3257,"="&amp;'Output - County'!B823)*VLOOKUP(A823,'Output - State'!$B$2:$G$52,3,FALSE)</f>
        <v>0.57536641640829222</v>
      </c>
      <c r="E823" s="98">
        <f>SUMIFS(Input!$C$115:$C$3257,Input!$A$115:$A$3257,"="&amp;'Output - County'!A823,Input!$B$115:$B$3257,"="&amp;'Output - County'!B823)*VLOOKUP(A823,'Output - State'!$B$2:$G$52,4,FALSE)</f>
        <v>7.6993208951623053</v>
      </c>
      <c r="F823" s="98">
        <f>SUMIFS(Input!$C$115:$C$3257,Input!$A$115:$A$3257,"="&amp;'Output - County'!A823,Input!$B$115:$B$3257,"="&amp;'Output - County'!B823)*VLOOKUP(A823,'Output - State'!$B$2:$G$52,5,FALSE)</f>
        <v>9.1462173860201617</v>
      </c>
      <c r="G823" s="99">
        <f>SUMIFS(Input!$D$115:$D$3257,Input!$A$115:$A$3257,"="&amp;'Output - County'!A823,Input!$B$115:$B$3257,"="&amp;'Output - County'!B823)*VLOOKUP(A823,'Output - State'!$B$2:$G$52,6,FALSE)</f>
        <v>6.4364523584834554</v>
      </c>
    </row>
    <row r="824" spans="1:7" x14ac:dyDescent="0.25">
      <c r="A824" s="88">
        <v>19</v>
      </c>
      <c r="B824" s="88">
        <v>67</v>
      </c>
      <c r="C824" s="97">
        <f>SUMIFS(Input!$C$115:$C$3257,Input!$A$115:$A$3257,"="&amp;'Output - County'!A824,Input!$B$115:$B$3257,"="&amp;'Output - County'!B824)*VLOOKUP(A824,'Output - State'!$B$2:$G$52,2,FALSE)</f>
        <v>2.8146280211765182</v>
      </c>
      <c r="D824" s="98">
        <f>SUMIFS(Input!$C$115:$C$3257,Input!$A$115:$A$3257,"="&amp;'Output - County'!A824,Input!$B$115:$B$3257,"="&amp;'Output - County'!B824)*VLOOKUP(A824,'Output - State'!$B$2:$G$52,3,FALSE)</f>
        <v>0.72225004280273075</v>
      </c>
      <c r="E824" s="98">
        <f>SUMIFS(Input!$C$115:$C$3257,Input!$A$115:$A$3257,"="&amp;'Output - County'!A824,Input!$B$115:$B$3257,"="&amp;'Output - County'!B824)*VLOOKUP(A824,'Output - State'!$B$2:$G$52,4,FALSE)</f>
        <v>9.6648582320745824</v>
      </c>
      <c r="F824" s="98">
        <f>SUMIFS(Input!$C$115:$C$3257,Input!$A$115:$A$3257,"="&amp;'Output - County'!A824,Input!$B$115:$B$3257,"="&amp;'Output - County'!B824)*VLOOKUP(A824,'Output - State'!$B$2:$G$52,5,FALSE)</f>
        <v>11.481128738401177</v>
      </c>
      <c r="G824" s="99">
        <f>SUMIFS(Input!$D$115:$D$3257,Input!$A$115:$A$3257,"="&amp;'Output - County'!A824,Input!$B$115:$B$3257,"="&amp;'Output - County'!B824)*VLOOKUP(A824,'Output - State'!$B$2:$G$52,6,FALSE)</f>
        <v>5.1622308255857154</v>
      </c>
    </row>
    <row r="825" spans="1:7" x14ac:dyDescent="0.25">
      <c r="A825" s="88">
        <v>19</v>
      </c>
      <c r="B825" s="88">
        <v>69</v>
      </c>
      <c r="C825" s="97">
        <f>SUMIFS(Input!$C$115:$C$3257,Input!$A$115:$A$3257,"="&amp;'Output - County'!A825,Input!$B$115:$B$3257,"="&amp;'Output - County'!B825)*VLOOKUP(A825,'Output - State'!$B$2:$G$52,2,FALSE)</f>
        <v>5.734508616006079</v>
      </c>
      <c r="D825" s="98">
        <f>SUMIFS(Input!$C$115:$C$3257,Input!$A$115:$A$3257,"="&amp;'Output - County'!A825,Input!$B$115:$B$3257,"="&amp;'Output - County'!B825)*VLOOKUP(A825,'Output - State'!$B$2:$G$52,3,FALSE)</f>
        <v>1.4715085127418586</v>
      </c>
      <c r="E825" s="98">
        <f>SUMIFS(Input!$C$115:$C$3257,Input!$A$115:$A$3257,"="&amp;'Output - County'!A825,Input!$B$115:$B$3257,"="&amp;'Output - County'!B825)*VLOOKUP(A825,'Output - State'!$B$2:$G$52,4,FALSE)</f>
        <v>19.691132322750764</v>
      </c>
      <c r="F825" s="98">
        <f>SUMIFS(Input!$C$115:$C$3257,Input!$A$115:$A$3257,"="&amp;'Output - County'!A825,Input!$B$115:$B$3257,"="&amp;'Output - County'!B825)*VLOOKUP(A825,'Output - State'!$B$2:$G$52,5,FALSE)</f>
        <v>23.391592486283823</v>
      </c>
      <c r="G825" s="99">
        <f>SUMIFS(Input!$D$115:$D$3257,Input!$A$115:$A$3257,"="&amp;'Output - County'!A825,Input!$B$115:$B$3257,"="&amp;'Output - County'!B825)*VLOOKUP(A825,'Output - State'!$B$2:$G$52,6,FALSE)</f>
        <v>3.2999070467351728</v>
      </c>
    </row>
    <row r="826" spans="1:7" x14ac:dyDescent="0.25">
      <c r="A826" s="88">
        <v>19</v>
      </c>
      <c r="B826" s="88">
        <v>71</v>
      </c>
      <c r="C826" s="97">
        <f>SUMIFS(Input!$C$115:$C$3257,Input!$A$115:$A$3257,"="&amp;'Output - County'!A826,Input!$B$115:$B$3257,"="&amp;'Output - County'!B826)*VLOOKUP(A826,'Output - State'!$B$2:$G$52,2,FALSE)</f>
        <v>4.8078339456786665</v>
      </c>
      <c r="D826" s="98">
        <f>SUMIFS(Input!$C$115:$C$3257,Input!$A$115:$A$3257,"="&amp;'Output - County'!A826,Input!$B$115:$B$3257,"="&amp;'Output - County'!B826)*VLOOKUP(A826,'Output - State'!$B$2:$G$52,3,FALSE)</f>
        <v>1.2337183624013472</v>
      </c>
      <c r="E826" s="98">
        <f>SUMIFS(Input!$C$115:$C$3257,Input!$A$115:$A$3257,"="&amp;'Output - County'!A826,Input!$B$115:$B$3257,"="&amp;'Output - County'!B826)*VLOOKUP(A826,'Output - State'!$B$2:$G$52,4,FALSE)</f>
        <v>16.509120615134357</v>
      </c>
      <c r="F826" s="98">
        <f>SUMIFS(Input!$C$115:$C$3257,Input!$A$115:$A$3257,"="&amp;'Output - County'!A826,Input!$B$115:$B$3257,"="&amp;'Output - County'!B826)*VLOOKUP(A826,'Output - State'!$B$2:$G$52,5,FALSE)</f>
        <v>19.611600562449688</v>
      </c>
      <c r="G826" s="99">
        <f>SUMIFS(Input!$D$115:$D$3257,Input!$A$115:$A$3257,"="&amp;'Output - County'!A826,Input!$B$115:$B$3257,"="&amp;'Output - County'!B826)*VLOOKUP(A826,'Output - State'!$B$2:$G$52,6,FALSE)</f>
        <v>2.2805298204169806</v>
      </c>
    </row>
    <row r="827" spans="1:7" x14ac:dyDescent="0.25">
      <c r="A827" s="88">
        <v>19</v>
      </c>
      <c r="B827" s="88">
        <v>73</v>
      </c>
      <c r="C827" s="97">
        <f>SUMIFS(Input!$C$115:$C$3257,Input!$A$115:$A$3257,"="&amp;'Output - County'!A827,Input!$B$115:$B$3257,"="&amp;'Output - County'!B827)*VLOOKUP(A827,'Output - State'!$B$2:$G$52,2,FALSE)</f>
        <v>1.1071422088671969</v>
      </c>
      <c r="D827" s="98">
        <f>SUMIFS(Input!$C$115:$C$3257,Input!$A$115:$A$3257,"="&amp;'Output - County'!A827,Input!$B$115:$B$3257,"="&amp;'Output - County'!B827)*VLOOKUP(A827,'Output - State'!$B$2:$G$52,3,FALSE)</f>
        <v>0.28409917819577274</v>
      </c>
      <c r="E827" s="98">
        <f>SUMIFS(Input!$C$115:$C$3257,Input!$A$115:$A$3257,"="&amp;'Output - County'!A827,Input!$B$115:$B$3257,"="&amp;'Output - County'!B827)*VLOOKUP(A827,'Output - State'!$B$2:$G$52,4,FALSE)</f>
        <v>3.8017004062137465</v>
      </c>
      <c r="F827" s="98">
        <f>SUMIFS(Input!$C$115:$C$3257,Input!$A$115:$A$3257,"="&amp;'Output - County'!A827,Input!$B$115:$B$3257,"="&amp;'Output - County'!B827)*VLOOKUP(A827,'Output - State'!$B$2:$G$52,5,FALSE)</f>
        <v>4.5161357508296307</v>
      </c>
      <c r="G827" s="99">
        <f>SUMIFS(Input!$D$115:$D$3257,Input!$A$115:$A$3257,"="&amp;'Output - County'!A827,Input!$B$115:$B$3257,"="&amp;'Output - County'!B827)*VLOOKUP(A827,'Output - State'!$B$2:$G$52,6,FALSE)</f>
        <v>2.9307095256648017</v>
      </c>
    </row>
    <row r="828" spans="1:7" x14ac:dyDescent="0.25">
      <c r="A828" s="88">
        <v>19</v>
      </c>
      <c r="B828" s="88">
        <v>75</v>
      </c>
      <c r="C828" s="97">
        <f>SUMIFS(Input!$C$115:$C$3257,Input!$A$115:$A$3257,"="&amp;'Output - County'!A828,Input!$B$115:$B$3257,"="&amp;'Output - County'!B828)*VLOOKUP(A828,'Output - State'!$B$2:$G$52,2,FALSE)</f>
        <v>2.3650845961885447</v>
      </c>
      <c r="D828" s="98">
        <f>SUMIFS(Input!$C$115:$C$3257,Input!$A$115:$A$3257,"="&amp;'Output - County'!A828,Input!$B$115:$B$3257,"="&amp;'Output - County'!B828)*VLOOKUP(A828,'Output - State'!$B$2:$G$52,3,FALSE)</f>
        <v>0.60689456581023915</v>
      </c>
      <c r="E828" s="98">
        <f>SUMIFS(Input!$C$115:$C$3257,Input!$A$115:$A$3257,"="&amp;'Output - County'!A828,Input!$B$115:$B$3257,"="&amp;'Output - County'!B828)*VLOOKUP(A828,'Output - State'!$B$2:$G$52,4,FALSE)</f>
        <v>8.1212178508302078</v>
      </c>
      <c r="F828" s="98">
        <f>SUMIFS(Input!$C$115:$C$3257,Input!$A$115:$A$3257,"="&amp;'Output - County'!A828,Input!$B$115:$B$3257,"="&amp;'Output - County'!B828)*VLOOKUP(A828,'Output - State'!$B$2:$G$52,5,FALSE)</f>
        <v>9.6473994153941174</v>
      </c>
      <c r="G828" s="99">
        <f>SUMIFS(Input!$D$115:$D$3257,Input!$A$115:$A$3257,"="&amp;'Output - County'!A828,Input!$B$115:$B$3257,"="&amp;'Output - County'!B828)*VLOOKUP(A828,'Output - State'!$B$2:$G$52,6,FALSE)</f>
        <v>4.0186986806774874</v>
      </c>
    </row>
    <row r="829" spans="1:7" x14ac:dyDescent="0.25">
      <c r="A829" s="88">
        <v>19</v>
      </c>
      <c r="B829" s="88">
        <v>77</v>
      </c>
      <c r="C829" s="97">
        <f>SUMIFS(Input!$C$115:$C$3257,Input!$A$115:$A$3257,"="&amp;'Output - County'!A829,Input!$B$115:$B$3257,"="&amp;'Output - County'!B829)*VLOOKUP(A829,'Output - State'!$B$2:$G$52,2,FALSE)</f>
        <v>1.1065977812553418</v>
      </c>
      <c r="D829" s="98">
        <f>SUMIFS(Input!$C$115:$C$3257,Input!$A$115:$A$3257,"="&amp;'Output - County'!A829,Input!$B$115:$B$3257,"="&amp;'Output - County'!B829)*VLOOKUP(A829,'Output - State'!$B$2:$G$52,3,FALSE)</f>
        <v>0.28395947488044765</v>
      </c>
      <c r="E829" s="98">
        <f>SUMIFS(Input!$C$115:$C$3257,Input!$A$115:$A$3257,"="&amp;'Output - County'!A829,Input!$B$115:$B$3257,"="&amp;'Output - County'!B829)*VLOOKUP(A829,'Output - State'!$B$2:$G$52,4,FALSE)</f>
        <v>3.7998309528982048</v>
      </c>
      <c r="F829" s="98">
        <f>SUMIFS(Input!$C$115:$C$3257,Input!$A$115:$A$3257,"="&amp;'Output - County'!A829,Input!$B$115:$B$3257,"="&amp;'Output - County'!B829)*VLOOKUP(A829,'Output - State'!$B$2:$G$52,5,FALSE)</f>
        <v>4.5139149801084484</v>
      </c>
      <c r="G829" s="99">
        <f>SUMIFS(Input!$D$115:$D$3257,Input!$A$115:$A$3257,"="&amp;'Output - County'!A829,Input!$B$115:$B$3257,"="&amp;'Output - County'!B829)*VLOOKUP(A829,'Output - State'!$B$2:$G$52,6,FALSE)</f>
        <v>3.4959411287194406</v>
      </c>
    </row>
    <row r="830" spans="1:7" x14ac:dyDescent="0.25">
      <c r="A830" s="88">
        <v>19</v>
      </c>
      <c r="B830" s="88">
        <v>79</v>
      </c>
      <c r="C830" s="97">
        <f>SUMIFS(Input!$C$115:$C$3257,Input!$A$115:$A$3257,"="&amp;'Output - County'!A830,Input!$B$115:$B$3257,"="&amp;'Output - County'!B830)*VLOOKUP(A830,'Output - State'!$B$2:$G$52,2,FALSE)</f>
        <v>8.9141529143091045</v>
      </c>
      <c r="D830" s="98">
        <f>SUMIFS(Input!$C$115:$C$3257,Input!$A$115:$A$3257,"="&amp;'Output - County'!A830,Input!$B$115:$B$3257,"="&amp;'Output - County'!B830)*VLOOKUP(A830,'Output - State'!$B$2:$G$52,3,FALSE)</f>
        <v>2.2874238711013195</v>
      </c>
      <c r="E830" s="98">
        <f>SUMIFS(Input!$C$115:$C$3257,Input!$A$115:$A$3257,"="&amp;'Output - County'!A830,Input!$B$115:$B$3257,"="&amp;'Output - County'!B830)*VLOOKUP(A830,'Output - State'!$B$2:$G$52,4,FALSE)</f>
        <v>30.609381960114032</v>
      </c>
      <c r="F830" s="98">
        <f>SUMIFS(Input!$C$115:$C$3257,Input!$A$115:$A$3257,"="&amp;'Output - County'!A830,Input!$B$115:$B$3257,"="&amp;'Output - County'!B830)*VLOOKUP(A830,'Output - State'!$B$2:$G$52,5,FALSE)</f>
        <v>36.361656472174509</v>
      </c>
      <c r="G830" s="99">
        <f>SUMIFS(Input!$D$115:$D$3257,Input!$A$115:$A$3257,"="&amp;'Output - County'!A830,Input!$B$115:$B$3257,"="&amp;'Output - County'!B830)*VLOOKUP(A830,'Output - State'!$B$2:$G$52,6,FALSE)</f>
        <v>4.8681797026093143</v>
      </c>
    </row>
    <row r="831" spans="1:7" x14ac:dyDescent="0.25">
      <c r="A831" s="88">
        <v>19</v>
      </c>
      <c r="B831" s="88">
        <v>81</v>
      </c>
      <c r="C831" s="97">
        <f>SUMIFS(Input!$C$115:$C$3257,Input!$A$115:$A$3257,"="&amp;'Output - County'!A831,Input!$B$115:$B$3257,"="&amp;'Output - County'!B831)*VLOOKUP(A831,'Output - State'!$B$2:$G$52,2,FALSE)</f>
        <v>1.3326967491731838</v>
      </c>
      <c r="D831" s="98">
        <f>SUMIFS(Input!$C$115:$C$3257,Input!$A$115:$A$3257,"="&amp;'Output - County'!A831,Input!$B$115:$B$3257,"="&amp;'Output - County'!B831)*VLOOKUP(A831,'Output - State'!$B$2:$G$52,3,FALSE)</f>
        <v>0.34197779489562852</v>
      </c>
      <c r="E831" s="98">
        <f>SUMIFS(Input!$C$115:$C$3257,Input!$A$115:$A$3257,"="&amp;'Output - County'!A831,Input!$B$115:$B$3257,"="&amp;'Output - County'!B831)*VLOOKUP(A831,'Output - State'!$B$2:$G$52,4,FALSE)</f>
        <v>4.5762086677874709</v>
      </c>
      <c r="F831" s="98">
        <f>SUMIFS(Input!$C$115:$C$3257,Input!$A$115:$A$3257,"="&amp;'Output - County'!A831,Input!$B$115:$B$3257,"="&amp;'Output - County'!B831)*VLOOKUP(A831,'Output - State'!$B$2:$G$52,5,FALSE)</f>
        <v>5.436193639580936</v>
      </c>
      <c r="G831" s="99">
        <f>SUMIFS(Input!$D$115:$D$3257,Input!$A$115:$A$3257,"="&amp;'Output - County'!A831,Input!$B$115:$B$3257,"="&amp;'Output - County'!B831)*VLOOKUP(A831,'Output - State'!$B$2:$G$52,6,FALSE)</f>
        <v>3.4959411287194406</v>
      </c>
    </row>
    <row r="832" spans="1:7" x14ac:dyDescent="0.25">
      <c r="A832" s="88">
        <v>19</v>
      </c>
      <c r="B832" s="88">
        <v>83</v>
      </c>
      <c r="C832" s="97">
        <f>SUMIFS(Input!$C$115:$C$3257,Input!$A$115:$A$3257,"="&amp;'Output - County'!A832,Input!$B$115:$B$3257,"="&amp;'Output - County'!B832)*VLOOKUP(A832,'Output - State'!$B$2:$G$52,2,FALSE)</f>
        <v>2.6933794576330294</v>
      </c>
      <c r="D832" s="98">
        <f>SUMIFS(Input!$C$115:$C$3257,Input!$A$115:$A$3257,"="&amp;'Output - County'!A832,Input!$B$115:$B$3257,"="&amp;'Output - County'!B832)*VLOOKUP(A832,'Output - State'!$B$2:$G$52,3,FALSE)</f>
        <v>0.69113695093048777</v>
      </c>
      <c r="E832" s="98">
        <f>SUMIFS(Input!$C$115:$C$3257,Input!$A$115:$A$3257,"="&amp;'Output - County'!A832,Input!$B$115:$B$3257,"="&amp;'Output - County'!B832)*VLOOKUP(A832,'Output - State'!$B$2:$G$52,4,FALSE)</f>
        <v>9.2485154085562282</v>
      </c>
      <c r="F832" s="98">
        <f>SUMIFS(Input!$C$115:$C$3257,Input!$A$115:$A$3257,"="&amp;'Output - County'!A832,Input!$B$115:$B$3257,"="&amp;'Output - County'!B832)*VLOOKUP(A832,'Output - State'!$B$2:$G$52,5,FALSE)</f>
        <v>10.986544602623574</v>
      </c>
      <c r="G832" s="99">
        <f>SUMIFS(Input!$D$115:$D$3257,Input!$A$115:$A$3257,"="&amp;'Output - County'!A832,Input!$B$115:$B$3257,"="&amp;'Output - County'!B832)*VLOOKUP(A832,'Output - State'!$B$2:$G$52,6,FALSE)</f>
        <v>5.521626642556873</v>
      </c>
    </row>
    <row r="833" spans="1:7" x14ac:dyDescent="0.25">
      <c r="A833" s="88">
        <v>19</v>
      </c>
      <c r="B833" s="88">
        <v>85</v>
      </c>
      <c r="C833" s="97">
        <f>SUMIFS(Input!$C$115:$C$3257,Input!$A$115:$A$3257,"="&amp;'Output - County'!A833,Input!$B$115:$B$3257,"="&amp;'Output - County'!B833)*VLOOKUP(A833,'Output - State'!$B$2:$G$52,2,FALSE)</f>
        <v>6.5520742049200935</v>
      </c>
      <c r="D833" s="98">
        <f>SUMIFS(Input!$C$115:$C$3257,Input!$A$115:$A$3257,"="&amp;'Output - County'!A833,Input!$B$115:$B$3257,"="&amp;'Output - County'!B833)*VLOOKUP(A833,'Output - State'!$B$2:$G$52,3,FALSE)</f>
        <v>1.6813006334571077</v>
      </c>
      <c r="E833" s="98">
        <f>SUMIFS(Input!$C$115:$C$3257,Input!$A$115:$A$3257,"="&amp;'Output - County'!A833,Input!$B$115:$B$3257,"="&amp;'Output - County'!B833)*VLOOKUP(A833,'Output - State'!$B$2:$G$52,4,FALSE)</f>
        <v>22.498485711129813</v>
      </c>
      <c r="F833" s="98">
        <f>SUMIFS(Input!$C$115:$C$3257,Input!$A$115:$A$3257,"="&amp;'Output - County'!A833,Input!$B$115:$B$3257,"="&amp;'Output - County'!B833)*VLOOKUP(A833,'Output - State'!$B$2:$G$52,5,FALSE)</f>
        <v>26.726518347813823</v>
      </c>
      <c r="G833" s="99">
        <f>SUMIFS(Input!$D$115:$D$3257,Input!$A$115:$A$3257,"="&amp;'Output - County'!A833,Input!$B$115:$B$3257,"="&amp;'Output - County'!B833)*VLOOKUP(A833,'Output - State'!$B$2:$G$52,6,FALSE)</f>
        <v>4.6068009266302905</v>
      </c>
    </row>
    <row r="834" spans="1:7" x14ac:dyDescent="0.25">
      <c r="A834" s="88">
        <v>19</v>
      </c>
      <c r="B834" s="88">
        <v>87</v>
      </c>
      <c r="C834" s="97">
        <f>SUMIFS(Input!$C$115:$C$3257,Input!$A$115:$A$3257,"="&amp;'Output - County'!A834,Input!$B$115:$B$3257,"="&amp;'Output - County'!B834)*VLOOKUP(A834,'Output - State'!$B$2:$G$52,2,FALSE)</f>
        <v>3.6413590144104133</v>
      </c>
      <c r="D834" s="98">
        <f>SUMIFS(Input!$C$115:$C$3257,Input!$A$115:$A$3257,"="&amp;'Output - County'!A834,Input!$B$115:$B$3257,"="&amp;'Output - County'!B834)*VLOOKUP(A834,'Output - State'!$B$2:$G$52,3,FALSE)</f>
        <v>0.93439405997198133</v>
      </c>
      <c r="E834" s="98">
        <f>SUMIFS(Input!$C$115:$C$3257,Input!$A$115:$A$3257,"="&amp;'Output - County'!A834,Input!$B$115:$B$3257,"="&amp;'Output - County'!B834)*VLOOKUP(A834,'Output - State'!$B$2:$G$52,4,FALSE)</f>
        <v>12.503683748466575</v>
      </c>
      <c r="F834" s="98">
        <f>SUMIFS(Input!$C$115:$C$3257,Input!$A$115:$A$3257,"="&amp;'Output - County'!A834,Input!$B$115:$B$3257,"="&amp;'Output - County'!B834)*VLOOKUP(A834,'Output - State'!$B$2:$G$52,5,FALSE)</f>
        <v>14.853441134188751</v>
      </c>
      <c r="G834" s="99">
        <f>SUMIFS(Input!$D$115:$D$3257,Input!$A$115:$A$3257,"="&amp;'Output - County'!A834,Input!$B$115:$B$3257,"="&amp;'Output - County'!B834)*VLOOKUP(A834,'Output - State'!$B$2:$G$52,6,FALSE)</f>
        <v>6.53446939947559</v>
      </c>
    </row>
    <row r="835" spans="1:7" x14ac:dyDescent="0.25">
      <c r="A835" s="88">
        <v>19</v>
      </c>
      <c r="B835" s="88">
        <v>89</v>
      </c>
      <c r="C835" s="97">
        <f>SUMIFS(Input!$C$115:$C$3257,Input!$A$115:$A$3257,"="&amp;'Output - County'!A835,Input!$B$115:$B$3257,"="&amp;'Output - County'!B835)*VLOOKUP(A835,'Output - State'!$B$2:$G$52,2,FALSE)</f>
        <v>1.0921695017714408</v>
      </c>
      <c r="D835" s="98">
        <f>SUMIFS(Input!$C$115:$C$3257,Input!$A$115:$A$3257,"="&amp;'Output - County'!A835,Input!$B$115:$B$3257,"="&amp;'Output - County'!B835)*VLOOKUP(A835,'Output - State'!$B$2:$G$52,3,FALSE)</f>
        <v>0.28025709382106295</v>
      </c>
      <c r="E835" s="98">
        <f>SUMIFS(Input!$C$115:$C$3257,Input!$A$115:$A$3257,"="&amp;'Output - County'!A835,Input!$B$115:$B$3257,"="&amp;'Output - County'!B835)*VLOOKUP(A835,'Output - State'!$B$2:$G$52,4,FALSE)</f>
        <v>3.7502871855884607</v>
      </c>
      <c r="F835" s="98">
        <f>SUMIFS(Input!$C$115:$C$3257,Input!$A$115:$A$3257,"="&amp;'Output - County'!A835,Input!$B$115:$B$3257,"="&amp;'Output - County'!B835)*VLOOKUP(A835,'Output - State'!$B$2:$G$52,5,FALSE)</f>
        <v>4.4550606899564382</v>
      </c>
      <c r="G835" s="99">
        <f>SUMIFS(Input!$D$115:$D$3257,Input!$A$115:$A$3257,"="&amp;'Output - County'!A835,Input!$B$115:$B$3257,"="&amp;'Output - County'!B835)*VLOOKUP(A835,'Output - State'!$B$2:$G$52,6,FALSE)</f>
        <v>2.9960542196595576</v>
      </c>
    </row>
    <row r="836" spans="1:7" x14ac:dyDescent="0.25">
      <c r="A836" s="88">
        <v>19</v>
      </c>
      <c r="B836" s="88">
        <v>91</v>
      </c>
      <c r="C836" s="97">
        <f>SUMIFS(Input!$C$115:$C$3257,Input!$A$115:$A$3257,"="&amp;'Output - County'!A836,Input!$B$115:$B$3257,"="&amp;'Output - County'!B836)*VLOOKUP(A836,'Output - State'!$B$2:$G$52,2,FALSE)</f>
        <v>1.2720581676000968</v>
      </c>
      <c r="D836" s="98">
        <f>SUMIFS(Input!$C$115:$C$3257,Input!$A$115:$A$3257,"="&amp;'Output - County'!A836,Input!$B$115:$B$3257,"="&amp;'Output - County'!B836)*VLOOKUP(A836,'Output - State'!$B$2:$G$52,3,FALSE)</f>
        <v>0.32641757954669154</v>
      </c>
      <c r="E836" s="98">
        <f>SUMIFS(Input!$C$115:$C$3257,Input!$A$115:$A$3257,"="&amp;'Output - County'!A836,Input!$B$115:$B$3257,"="&amp;'Output - County'!B836)*VLOOKUP(A836,'Output - State'!$B$2:$G$52,4,FALSE)</f>
        <v>4.3679881534287022</v>
      </c>
      <c r="F836" s="98">
        <f>SUMIFS(Input!$C$115:$C$3257,Input!$A$115:$A$3257,"="&amp;'Output - County'!A836,Input!$B$115:$B$3257,"="&amp;'Output - County'!B836)*VLOOKUP(A836,'Output - State'!$B$2:$G$52,5,FALSE)</f>
        <v>5.1888432414762367</v>
      </c>
      <c r="G836" s="99">
        <f>SUMIFS(Input!$D$115:$D$3257,Input!$A$115:$A$3257,"="&amp;'Output - County'!A836,Input!$B$115:$B$3257,"="&amp;'Output - County'!B836)*VLOOKUP(A836,'Output - State'!$B$2:$G$52,6,FALSE)</f>
        <v>3.123476372949332</v>
      </c>
    </row>
    <row r="837" spans="1:7" x14ac:dyDescent="0.25">
      <c r="A837" s="88">
        <v>19</v>
      </c>
      <c r="B837" s="88">
        <v>93</v>
      </c>
      <c r="C837" s="97">
        <f>SUMIFS(Input!$C$115:$C$3257,Input!$A$115:$A$3257,"="&amp;'Output - County'!A837,Input!$B$115:$B$3257,"="&amp;'Output - County'!B837)*VLOOKUP(A837,'Output - State'!$B$2:$G$52,2,FALSE)</f>
        <v>0.96604476644224813</v>
      </c>
      <c r="D837" s="98">
        <f>SUMIFS(Input!$C$115:$C$3257,Input!$A$115:$A$3257,"="&amp;'Output - County'!A837,Input!$B$115:$B$3257,"="&amp;'Output - County'!B837)*VLOOKUP(A837,'Output - State'!$B$2:$G$52,3,FALSE)</f>
        <v>0.2478927476962364</v>
      </c>
      <c r="E837" s="98">
        <f>SUMIFS(Input!$C$115:$C$3257,Input!$A$115:$A$3257,"="&amp;'Output - County'!A837,Input!$B$115:$B$3257,"="&amp;'Output - County'!B837)*VLOOKUP(A837,'Output - State'!$B$2:$G$52,4,FALSE)</f>
        <v>3.3172005832583094</v>
      </c>
      <c r="F837" s="98">
        <f>SUMIFS(Input!$C$115:$C$3257,Input!$A$115:$A$3257,"="&amp;'Output - County'!A837,Input!$B$115:$B$3257,"="&amp;'Output - County'!B837)*VLOOKUP(A837,'Output - State'!$B$2:$G$52,5,FALSE)</f>
        <v>3.9405861972289951</v>
      </c>
      <c r="G837" s="99">
        <f>SUMIFS(Input!$D$115:$D$3257,Input!$A$115:$A$3257,"="&amp;'Output - County'!A837,Input!$B$115:$B$3257,"="&amp;'Output - County'!B837)*VLOOKUP(A837,'Output - State'!$B$2:$G$52,6,FALSE)</f>
        <v>2.2380557693203893</v>
      </c>
    </row>
    <row r="838" spans="1:7" x14ac:dyDescent="0.25">
      <c r="A838" s="88">
        <v>19</v>
      </c>
      <c r="B838" s="88">
        <v>95</v>
      </c>
      <c r="C838" s="97">
        <f>SUMIFS(Input!$C$115:$C$3257,Input!$A$115:$A$3257,"="&amp;'Output - County'!A838,Input!$B$115:$B$3257,"="&amp;'Output - County'!B838)*VLOOKUP(A838,'Output - State'!$B$2:$G$52,2,FALSE)</f>
        <v>10.655318843890919</v>
      </c>
      <c r="D838" s="98">
        <f>SUMIFS(Input!$C$115:$C$3257,Input!$A$115:$A$3257,"="&amp;'Output - County'!A838,Input!$B$115:$B$3257,"="&amp;'Output - County'!B838)*VLOOKUP(A838,'Output - State'!$B$2:$G$52,3,FALSE)</f>
        <v>2.734217251152109</v>
      </c>
      <c r="E838" s="98">
        <f>SUMIFS(Input!$C$115:$C$3257,Input!$A$115:$A$3257,"="&amp;'Output - County'!A838,Input!$B$115:$B$3257,"="&amp;'Output - County'!B838)*VLOOKUP(A838,'Output - State'!$B$2:$G$52,4,FALSE)</f>
        <v>36.588190435449398</v>
      </c>
      <c r="F838" s="98">
        <f>SUMIFS(Input!$C$115:$C$3257,Input!$A$115:$A$3257,"="&amp;'Output - County'!A838,Input!$B$115:$B$3257,"="&amp;'Output - County'!B838)*VLOOKUP(A838,'Output - State'!$B$2:$G$52,5,FALSE)</f>
        <v>43.464033781731274</v>
      </c>
      <c r="G838" s="99">
        <f>SUMIFS(Input!$D$115:$D$3257,Input!$A$115:$A$3257,"="&amp;'Output - County'!A838,Input!$B$115:$B$3257,"="&amp;'Output - County'!B838)*VLOOKUP(A838,'Output - State'!$B$2:$G$52,6,FALSE)</f>
        <v>5.2929202135752274</v>
      </c>
    </row>
    <row r="839" spans="1:7" x14ac:dyDescent="0.25">
      <c r="A839" s="88">
        <v>19</v>
      </c>
      <c r="B839" s="88">
        <v>97</v>
      </c>
      <c r="C839" s="97">
        <f>SUMIFS(Input!$C$115:$C$3257,Input!$A$115:$A$3257,"="&amp;'Output - County'!A839,Input!$B$115:$B$3257,"="&amp;'Output - County'!B839)*VLOOKUP(A839,'Output - State'!$B$2:$G$52,2,FALSE)</f>
        <v>2.5286756287377501</v>
      </c>
      <c r="D839" s="98">
        <f>SUMIFS(Input!$C$115:$C$3257,Input!$A$115:$A$3257,"="&amp;'Output - County'!A839,Input!$B$115:$B$3257,"="&amp;'Output - County'!B839)*VLOOKUP(A839,'Output - State'!$B$2:$G$52,3,FALSE)</f>
        <v>0.64887298333889643</v>
      </c>
      <c r="E839" s="98">
        <f>SUMIFS(Input!$C$115:$C$3257,Input!$A$115:$A$3257,"="&amp;'Output - County'!A839,Input!$B$115:$B$3257,"="&amp;'Output - County'!B839)*VLOOKUP(A839,'Output - State'!$B$2:$G$52,4,FALSE)</f>
        <v>8.6829560719134573</v>
      </c>
      <c r="F839" s="98">
        <f>SUMIFS(Input!$C$115:$C$3257,Input!$A$115:$A$3257,"="&amp;'Output - County'!A839,Input!$B$115:$B$3257,"="&amp;'Output - County'!B839)*VLOOKUP(A839,'Output - State'!$B$2:$G$52,5,FALSE)</f>
        <v>10.314702409258404</v>
      </c>
      <c r="G839" s="99">
        <f>SUMIFS(Input!$D$115:$D$3257,Input!$A$115:$A$3257,"="&amp;'Output - County'!A839,Input!$B$115:$B$3257,"="&amp;'Output - County'!B839)*VLOOKUP(A839,'Output - State'!$B$2:$G$52,6,FALSE)</f>
        <v>6.3384353174913217</v>
      </c>
    </row>
    <row r="840" spans="1:7" x14ac:dyDescent="0.25">
      <c r="A840" s="88">
        <v>19</v>
      </c>
      <c r="B840" s="88">
        <v>99</v>
      </c>
      <c r="C840" s="97">
        <f>SUMIFS(Input!$C$115:$C$3257,Input!$A$115:$A$3257,"="&amp;'Output - County'!A840,Input!$B$115:$B$3257,"="&amp;'Output - County'!B840)*VLOOKUP(A840,'Output - State'!$B$2:$G$52,2,FALSE)</f>
        <v>16.084754049876999</v>
      </c>
      <c r="D840" s="98">
        <f>SUMIFS(Input!$C$115:$C$3257,Input!$A$115:$A$3257,"="&amp;'Output - County'!A840,Input!$B$115:$B$3257,"="&amp;'Output - County'!B840)*VLOOKUP(A840,'Output - State'!$B$2:$G$52,3,FALSE)</f>
        <v>4.1274421392774476</v>
      </c>
      <c r="E840" s="98">
        <f>SUMIFS(Input!$C$115:$C$3257,Input!$A$115:$A$3257,"="&amp;'Output - County'!A840,Input!$B$115:$B$3257,"="&amp;'Output - County'!B840)*VLOOKUP(A840,'Output - State'!$B$2:$G$52,4,FALSE)</f>
        <v>55.23176292576931</v>
      </c>
      <c r="F840" s="98">
        <f>SUMIFS(Input!$C$115:$C$3257,Input!$A$115:$A$3257,"="&amp;'Output - County'!A840,Input!$B$115:$B$3257,"="&amp;'Output - County'!B840)*VLOOKUP(A840,'Output - State'!$B$2:$G$52,5,FALSE)</f>
        <v>65.611203534797738</v>
      </c>
      <c r="G840" s="99">
        <f>SUMIFS(Input!$D$115:$D$3257,Input!$A$115:$A$3257,"="&amp;'Output - County'!A840,Input!$B$115:$B$3257,"="&amp;'Output - County'!B840)*VLOOKUP(A840,'Output - State'!$B$2:$G$52,6,FALSE)</f>
        <v>12.154113083024598</v>
      </c>
    </row>
    <row r="841" spans="1:7" x14ac:dyDescent="0.25">
      <c r="A841" s="88">
        <v>19</v>
      </c>
      <c r="B841" s="88">
        <v>101</v>
      </c>
      <c r="C841" s="97">
        <f>SUMIFS(Input!$C$115:$C$3257,Input!$A$115:$A$3257,"="&amp;'Output - County'!A841,Input!$B$115:$B$3257,"="&amp;'Output - County'!B841)*VLOOKUP(A841,'Output - State'!$B$2:$G$52,2,FALSE)</f>
        <v>2.3491341074667842</v>
      </c>
      <c r="D841" s="98">
        <f>SUMIFS(Input!$C$115:$C$3257,Input!$A$115:$A$3257,"="&amp;'Output - County'!A841,Input!$B$115:$B$3257,"="&amp;'Output - County'!B841)*VLOOKUP(A841,'Output - State'!$B$2:$G$52,3,FALSE)</f>
        <v>0.60280157694089631</v>
      </c>
      <c r="E841" s="98">
        <f>SUMIFS(Input!$C$115:$C$3257,Input!$A$115:$A$3257,"="&amp;'Output - County'!A841,Input!$B$115:$B$3257,"="&amp;'Output - County'!B841)*VLOOKUP(A841,'Output - State'!$B$2:$G$52,4,FALSE)</f>
        <v>8.0664471276411156</v>
      </c>
      <c r="F841" s="98">
        <f>SUMIFS(Input!$C$115:$C$3257,Input!$A$115:$A$3257,"="&amp;'Output - County'!A841,Input!$B$115:$B$3257,"="&amp;'Output - County'!B841)*VLOOKUP(A841,'Output - State'!$B$2:$G$52,5,FALSE)</f>
        <v>9.5823358925850179</v>
      </c>
      <c r="G841" s="99">
        <f>SUMIFS(Input!$D$115:$D$3257,Input!$A$115:$A$3257,"="&amp;'Output - County'!A841,Input!$B$115:$B$3257,"="&amp;'Output - County'!B841)*VLOOKUP(A841,'Output - State'!$B$2:$G$52,6,FALSE)</f>
        <v>5.9790395005201642</v>
      </c>
    </row>
    <row r="842" spans="1:7" x14ac:dyDescent="0.25">
      <c r="A842" s="88">
        <v>19</v>
      </c>
      <c r="B842" s="88">
        <v>103</v>
      </c>
      <c r="C842" s="97">
        <f>SUMIFS(Input!$C$115:$C$3257,Input!$A$115:$A$3257,"="&amp;'Output - County'!A842,Input!$B$115:$B$3257,"="&amp;'Output - County'!B842)*VLOOKUP(A842,'Output - State'!$B$2:$G$52,2,FALSE)</f>
        <v>41.274027318120666</v>
      </c>
      <c r="D842" s="98">
        <f>SUMIFS(Input!$C$115:$C$3257,Input!$A$115:$A$3257,"="&amp;'Output - County'!A842,Input!$B$115:$B$3257,"="&amp;'Output - County'!B842)*VLOOKUP(A842,'Output - State'!$B$2:$G$52,3,FALSE)</f>
        <v>10.591157258746055</v>
      </c>
      <c r="E842" s="98">
        <f>SUMIFS(Input!$C$115:$C$3257,Input!$A$115:$A$3257,"="&amp;'Output - County'!A842,Input!$B$115:$B$3257,"="&amp;'Output - County'!B842)*VLOOKUP(A842,'Output - State'!$B$2:$G$52,4,FALSE)</f>
        <v>141.72658685095649</v>
      </c>
      <c r="F842" s="98">
        <f>SUMIFS(Input!$C$115:$C$3257,Input!$A$115:$A$3257,"="&amp;'Output - County'!A842,Input!$B$115:$B$3257,"="&amp;'Output - County'!B842)*VLOOKUP(A842,'Output - State'!$B$2:$G$52,5,FALSE)</f>
        <v>168.36058535136416</v>
      </c>
      <c r="G842" s="99">
        <f>SUMIFS(Input!$D$115:$D$3257,Input!$A$115:$A$3257,"="&amp;'Output - County'!A842,Input!$B$115:$B$3257,"="&amp;'Output - County'!B842)*VLOOKUP(A842,'Output - State'!$B$2:$G$52,6,FALSE)</f>
        <v>49.3352439660407</v>
      </c>
    </row>
    <row r="843" spans="1:7" x14ac:dyDescent="0.25">
      <c r="A843" s="88">
        <v>19</v>
      </c>
      <c r="B843" s="88">
        <v>105</v>
      </c>
      <c r="C843" s="97">
        <f>SUMIFS(Input!$C$115:$C$3257,Input!$A$115:$A$3257,"="&amp;'Output - County'!A843,Input!$B$115:$B$3257,"="&amp;'Output - County'!B843)*VLOOKUP(A843,'Output - State'!$B$2:$G$52,2,FALSE)</f>
        <v>2.7987517277180047</v>
      </c>
      <c r="D843" s="98">
        <f>SUMIFS(Input!$C$115:$C$3257,Input!$A$115:$A$3257,"="&amp;'Output - County'!A843,Input!$B$115:$B$3257,"="&amp;'Output - County'!B843)*VLOOKUP(A843,'Output - State'!$B$2:$G$52,3,FALSE)</f>
        <v>0.71817609287269102</v>
      </c>
      <c r="E843" s="98">
        <f>SUMIFS(Input!$C$115:$C$3257,Input!$A$115:$A$3257,"="&amp;'Output - County'!A843,Input!$B$115:$B$3257,"="&amp;'Output - County'!B843)*VLOOKUP(A843,'Output - State'!$B$2:$G$52,4,FALSE)</f>
        <v>9.6103422802781502</v>
      </c>
      <c r="F843" s="98">
        <f>SUMIFS(Input!$C$115:$C$3257,Input!$A$115:$A$3257,"="&amp;'Output - County'!A843,Input!$B$115:$B$3257,"="&amp;'Output - County'!B843)*VLOOKUP(A843,'Output - State'!$B$2:$G$52,5,FALSE)</f>
        <v>11.416367864952033</v>
      </c>
      <c r="G843" s="99">
        <f>SUMIFS(Input!$D$115:$D$3257,Input!$A$115:$A$3257,"="&amp;'Output - County'!A843,Input!$B$115:$B$3257,"="&amp;'Output - County'!B843)*VLOOKUP(A843,'Output - State'!$B$2:$G$52,6,FALSE)</f>
        <v>6.7631758284572348</v>
      </c>
    </row>
    <row r="844" spans="1:7" x14ac:dyDescent="0.25">
      <c r="A844" s="88">
        <v>19</v>
      </c>
      <c r="B844" s="88">
        <v>107</v>
      </c>
      <c r="C844" s="97">
        <f>SUMIFS(Input!$C$115:$C$3257,Input!$A$115:$A$3257,"="&amp;'Output - County'!A844,Input!$B$115:$B$3257,"="&amp;'Output - County'!B844)*VLOOKUP(A844,'Output - State'!$B$2:$G$52,2,FALSE)</f>
        <v>1.0285078142814648</v>
      </c>
      <c r="D844" s="98">
        <f>SUMIFS(Input!$C$115:$C$3257,Input!$A$115:$A$3257,"="&amp;'Output - County'!A844,Input!$B$115:$B$3257,"="&amp;'Output - County'!B844)*VLOOKUP(A844,'Output - State'!$B$2:$G$52,3,FALSE)</f>
        <v>0.26392113177968823</v>
      </c>
      <c r="E844" s="98">
        <f>SUMIFS(Input!$C$115:$C$3257,Input!$A$115:$A$3257,"="&amp;'Output - County'!A844,Input!$B$115:$B$3257,"="&amp;'Output - County'!B844)*VLOOKUP(A844,'Output - State'!$B$2:$G$52,4,FALSE)</f>
        <v>3.5316859424486782</v>
      </c>
      <c r="F844" s="98">
        <f>SUMIFS(Input!$C$115:$C$3257,Input!$A$115:$A$3257,"="&amp;'Output - County'!A844,Input!$B$115:$B$3257,"="&amp;'Output - County'!B844)*VLOOKUP(A844,'Output - State'!$B$2:$G$52,5,FALSE)</f>
        <v>4.1953787624416412</v>
      </c>
      <c r="G844" s="99">
        <f>SUMIFS(Input!$D$115:$D$3257,Input!$A$115:$A$3257,"="&amp;'Output - County'!A844,Input!$B$115:$B$3257,"="&amp;'Output - County'!B844)*VLOOKUP(A844,'Output - State'!$B$2:$G$52,6,FALSE)</f>
        <v>3.3325793937325505</v>
      </c>
    </row>
    <row r="845" spans="1:7" x14ac:dyDescent="0.25">
      <c r="A845" s="88">
        <v>19</v>
      </c>
      <c r="B845" s="88">
        <v>109</v>
      </c>
      <c r="C845" s="97">
        <f>SUMIFS(Input!$C$115:$C$3257,Input!$A$115:$A$3257,"="&amp;'Output - County'!A845,Input!$B$115:$B$3257,"="&amp;'Output - County'!B845)*VLOOKUP(A845,'Output - State'!$B$2:$G$52,2,FALSE)</f>
        <v>2.2073949774277013</v>
      </c>
      <c r="D845" s="98">
        <f>SUMIFS(Input!$C$115:$C$3257,Input!$A$115:$A$3257,"="&amp;'Output - County'!A845,Input!$B$115:$B$3257,"="&amp;'Output - County'!B845)*VLOOKUP(A845,'Output - State'!$B$2:$G$52,3,FALSE)</f>
        <v>0.56643048563954612</v>
      </c>
      <c r="E845" s="98">
        <f>SUMIFS(Input!$C$115:$C$3257,Input!$A$115:$A$3257,"="&amp;'Output - County'!A845,Input!$B$115:$B$3257,"="&amp;'Output - County'!B845)*VLOOKUP(A845,'Output - State'!$B$2:$G$52,4,FALSE)</f>
        <v>7.5797438803705557</v>
      </c>
      <c r="F845" s="98">
        <f>SUMIFS(Input!$C$115:$C$3257,Input!$A$115:$A$3257,"="&amp;'Output - County'!A845,Input!$B$115:$B$3257,"="&amp;'Output - County'!B845)*VLOOKUP(A845,'Output - State'!$B$2:$G$52,5,FALSE)</f>
        <v>9.0041688356936156</v>
      </c>
      <c r="G845" s="99">
        <f>SUMIFS(Input!$D$115:$D$3257,Input!$A$115:$A$3257,"="&amp;'Output - County'!A845,Input!$B$115:$B$3257,"="&amp;'Output - County'!B845)*VLOOKUP(A845,'Output - State'!$B$2:$G$52,6,FALSE)</f>
        <v>4.8681797026093143</v>
      </c>
    </row>
    <row r="846" spans="1:7" x14ac:dyDescent="0.25">
      <c r="A846" s="88">
        <v>19</v>
      </c>
      <c r="B846" s="88">
        <v>111</v>
      </c>
      <c r="C846" s="97">
        <f>SUMIFS(Input!$C$115:$C$3257,Input!$A$115:$A$3257,"="&amp;'Output - County'!A846,Input!$B$115:$B$3257,"="&amp;'Output - County'!B846)*VLOOKUP(A846,'Output - State'!$B$2:$G$52,2,FALSE)</f>
        <v>5.3972464191551355</v>
      </c>
      <c r="D846" s="98">
        <f>SUMIFS(Input!$C$115:$C$3257,Input!$A$115:$A$3257,"="&amp;'Output - County'!A846,Input!$B$115:$B$3257,"="&amp;'Output - County'!B846)*VLOOKUP(A846,'Output - State'!$B$2:$G$52,3,FALSE)</f>
        <v>1.3849650568113954</v>
      </c>
      <c r="E846" s="98">
        <f>SUMIFS(Input!$C$115:$C$3257,Input!$A$115:$A$3257,"="&amp;'Output - County'!A846,Input!$B$115:$B$3257,"="&amp;'Output - County'!B846)*VLOOKUP(A846,'Output - State'!$B$2:$G$52,4,FALSE)</f>
        <v>18.533042765239756</v>
      </c>
      <c r="F846" s="98">
        <f>SUMIFS(Input!$C$115:$C$3257,Input!$A$115:$A$3257,"="&amp;'Output - County'!A846,Input!$B$115:$B$3257,"="&amp;'Output - County'!B846)*VLOOKUP(A846,'Output - State'!$B$2:$G$52,5,FALSE)</f>
        <v>22.015868706264353</v>
      </c>
      <c r="G846" s="99">
        <f>SUMIFS(Input!$D$115:$D$3257,Input!$A$115:$A$3257,"="&amp;'Output - County'!A846,Input!$B$115:$B$3257,"="&amp;'Output - County'!B846)*VLOOKUP(A846,'Output - State'!$B$2:$G$52,6,FALSE)</f>
        <v>11.075925632111124</v>
      </c>
    </row>
    <row r="847" spans="1:7" x14ac:dyDescent="0.25">
      <c r="A847" s="88">
        <v>19</v>
      </c>
      <c r="B847" s="88">
        <v>113</v>
      </c>
      <c r="C847" s="97">
        <f>SUMIFS(Input!$C$115:$C$3257,Input!$A$115:$A$3257,"="&amp;'Output - County'!A847,Input!$B$115:$B$3257,"="&amp;'Output - County'!B847)*VLOOKUP(A847,'Output - State'!$B$2:$G$52,2,FALSE)</f>
        <v>52.141397773309869</v>
      </c>
      <c r="D847" s="98">
        <f>SUMIFS(Input!$C$115:$C$3257,Input!$A$115:$A$3257,"="&amp;'Output - County'!A847,Input!$B$115:$B$3257,"="&amp;'Output - County'!B847)*VLOOKUP(A847,'Output - State'!$B$2:$G$52,3,FALSE)</f>
        <v>13.379788195893004</v>
      </c>
      <c r="E847" s="98">
        <f>SUMIFS(Input!$C$115:$C$3257,Input!$A$115:$A$3257,"="&amp;'Output - County'!A847,Input!$B$115:$B$3257,"="&amp;'Output - County'!B847)*VLOOKUP(A847,'Output - State'!$B$2:$G$52,4,FALSE)</f>
        <v>179.04291924536511</v>
      </c>
      <c r="F847" s="98">
        <f>SUMIFS(Input!$C$115:$C$3257,Input!$A$115:$A$3257,"="&amp;'Output - County'!A847,Input!$B$115:$B$3257,"="&amp;'Output - County'!B847)*VLOOKUP(A847,'Output - State'!$B$2:$G$52,5,FALSE)</f>
        <v>212.68959732210791</v>
      </c>
      <c r="G847" s="99">
        <f>SUMIFS(Input!$D$115:$D$3257,Input!$A$115:$A$3257,"="&amp;'Output - County'!A847,Input!$B$115:$B$3257,"="&amp;'Output - County'!B847)*VLOOKUP(A847,'Output - State'!$B$2:$G$52,6,FALSE)</f>
        <v>73.839504214074154</v>
      </c>
    </row>
    <row r="848" spans="1:7" x14ac:dyDescent="0.25">
      <c r="A848" s="88">
        <v>19</v>
      </c>
      <c r="B848" s="88">
        <v>115</v>
      </c>
      <c r="C848" s="97">
        <f>SUMIFS(Input!$C$115:$C$3257,Input!$A$115:$A$3257,"="&amp;'Output - County'!A848,Input!$B$115:$B$3257,"="&amp;'Output - County'!B848)*VLOOKUP(A848,'Output - State'!$B$2:$G$52,2,FALSE)</f>
        <v>1.2104043831705917</v>
      </c>
      <c r="D848" s="98">
        <f>SUMIFS(Input!$C$115:$C$3257,Input!$A$115:$A$3257,"="&amp;'Output - County'!A848,Input!$B$115:$B$3257,"="&amp;'Output - County'!B848)*VLOOKUP(A848,'Output - State'!$B$2:$G$52,3,FALSE)</f>
        <v>0.31059685719612423</v>
      </c>
      <c r="E848" s="98">
        <f>SUMIFS(Input!$C$115:$C$3257,Input!$A$115:$A$3257,"="&amp;'Output - County'!A848,Input!$B$115:$B$3257,"="&amp;'Output - County'!B848)*VLOOKUP(A848,'Output - State'!$B$2:$G$52,4,FALSE)</f>
        <v>4.1562816396375917</v>
      </c>
      <c r="F848" s="98">
        <f>SUMIFS(Input!$C$115:$C$3257,Input!$A$115:$A$3257,"="&amp;'Output - County'!A848,Input!$B$115:$B$3257,"="&amp;'Output - County'!B848)*VLOOKUP(A848,'Output - State'!$B$2:$G$52,5,FALSE)</f>
        <v>4.9373517367661774</v>
      </c>
      <c r="G848" s="99">
        <f>SUMIFS(Input!$D$115:$D$3257,Input!$A$115:$A$3257,"="&amp;'Output - County'!A848,Input!$B$115:$B$3257,"="&amp;'Output - County'!B848)*VLOOKUP(A848,'Output - State'!$B$2:$G$52,6,FALSE)</f>
        <v>3.6593028637063298</v>
      </c>
    </row>
    <row r="849" spans="1:7" x14ac:dyDescent="0.25">
      <c r="A849" s="88">
        <v>19</v>
      </c>
      <c r="B849" s="88">
        <v>117</v>
      </c>
      <c r="C849" s="97">
        <f>SUMIFS(Input!$C$115:$C$3257,Input!$A$115:$A$3257,"="&amp;'Output - County'!A849,Input!$B$115:$B$3257,"="&amp;'Output - County'!B849)*VLOOKUP(A849,'Output - State'!$B$2:$G$52,2,FALSE)</f>
        <v>0.99715861045152665</v>
      </c>
      <c r="D849" s="98">
        <f>SUMIFS(Input!$C$115:$C$3257,Input!$A$115:$A$3257,"="&amp;'Output - County'!A849,Input!$B$115:$B$3257,"="&amp;'Output - County'!B849)*VLOOKUP(A849,'Output - State'!$B$2:$G$52,3,FALSE)</f>
        <v>0.25587674238341557</v>
      </c>
      <c r="E849" s="98">
        <f>SUMIFS(Input!$C$115:$C$3257,Input!$A$115:$A$3257,"="&amp;'Output - County'!A849,Input!$B$115:$B$3257,"="&amp;'Output - County'!B849)*VLOOKUP(A849,'Output - State'!$B$2:$G$52,4,FALSE)</f>
        <v>3.4240391740568419</v>
      </c>
      <c r="F849" s="98">
        <f>SUMIFS(Input!$C$115:$C$3257,Input!$A$115:$A$3257,"="&amp;'Output - County'!A849,Input!$B$115:$B$3257,"="&amp;'Output - County'!B849)*VLOOKUP(A849,'Output - State'!$B$2:$G$52,5,FALSE)</f>
        <v>4.0675024525669707</v>
      </c>
      <c r="G849" s="99">
        <f>SUMIFS(Input!$D$115:$D$3257,Input!$A$115:$A$3257,"="&amp;'Output - County'!A849,Input!$B$115:$B$3257,"="&amp;'Output - County'!B849)*VLOOKUP(A849,'Output - State'!$B$2:$G$52,6,FALSE)</f>
        <v>2.8163563111739793</v>
      </c>
    </row>
    <row r="850" spans="1:7" x14ac:dyDescent="0.25">
      <c r="A850" s="88">
        <v>19</v>
      </c>
      <c r="B850" s="88">
        <v>119</v>
      </c>
      <c r="C850" s="97">
        <f>SUMIFS(Input!$C$115:$C$3257,Input!$A$115:$A$3257,"="&amp;'Output - County'!A850,Input!$B$115:$B$3257,"="&amp;'Output - County'!B850)*VLOOKUP(A850,'Output - State'!$B$2:$G$52,2,FALSE)</f>
        <v>1.4319777999875702</v>
      </c>
      <c r="D850" s="98">
        <f>SUMIFS(Input!$C$115:$C$3257,Input!$A$115:$A$3257,"="&amp;'Output - County'!A850,Input!$B$115:$B$3257,"="&amp;'Output - County'!B850)*VLOOKUP(A850,'Output - State'!$B$2:$G$52,3,FALSE)</f>
        <v>0.36745389428094538</v>
      </c>
      <c r="E850" s="98">
        <f>SUMIFS(Input!$C$115:$C$3257,Input!$A$115:$A$3257,"="&amp;'Output - County'!A850,Input!$B$115:$B$3257,"="&amp;'Output - County'!B850)*VLOOKUP(A850,'Output - State'!$B$2:$G$52,4,FALSE)</f>
        <v>4.9171195355942041</v>
      </c>
      <c r="F850" s="98">
        <f>SUMIFS(Input!$C$115:$C$3257,Input!$A$115:$A$3257,"="&amp;'Output - County'!A850,Input!$B$115:$B$3257,"="&amp;'Output - County'!B850)*VLOOKUP(A850,'Output - State'!$B$2:$G$52,5,FALSE)</f>
        <v>5.8411702535802732</v>
      </c>
      <c r="G850" s="99">
        <f>SUMIFS(Input!$D$115:$D$3257,Input!$A$115:$A$3257,"="&amp;'Output - County'!A850,Input!$B$115:$B$3257,"="&amp;'Output - County'!B850)*VLOOKUP(A850,'Output - State'!$B$2:$G$52,6,FALSE)</f>
        <v>3.8553369456905977</v>
      </c>
    </row>
    <row r="851" spans="1:7" x14ac:dyDescent="0.25">
      <c r="A851" s="88">
        <v>19</v>
      </c>
      <c r="B851" s="88">
        <v>121</v>
      </c>
      <c r="C851" s="97">
        <f>SUMIFS(Input!$C$115:$C$3257,Input!$A$115:$A$3257,"="&amp;'Output - County'!A851,Input!$B$115:$B$3257,"="&amp;'Output - County'!B851)*VLOOKUP(A851,'Output - State'!$B$2:$G$52,2,FALSE)</f>
        <v>2.2365577037418918</v>
      </c>
      <c r="D851" s="98">
        <f>SUMIFS(Input!$C$115:$C$3257,Input!$A$115:$A$3257,"="&amp;'Output - County'!A851,Input!$B$115:$B$3257,"="&amp;'Output - County'!B851)*VLOOKUP(A851,'Output - State'!$B$2:$G$52,3,FALSE)</f>
        <v>0.57391381209341419</v>
      </c>
      <c r="E851" s="98">
        <f>SUMIFS(Input!$C$115:$C$3257,Input!$A$115:$A$3257,"="&amp;'Output - County'!A851,Input!$B$115:$B$3257,"="&amp;'Output - County'!B851)*VLOOKUP(A851,'Output - State'!$B$2:$G$52,4,FALSE)</f>
        <v>7.6798827311767193</v>
      </c>
      <c r="F851" s="98">
        <f>SUMIFS(Input!$C$115:$C$3257,Input!$A$115:$A$3257,"="&amp;'Output - County'!A851,Input!$B$115:$B$3257,"="&amp;'Output - County'!B851)*VLOOKUP(A851,'Output - State'!$B$2:$G$52,5,FALSE)</f>
        <v>9.1231263009987558</v>
      </c>
      <c r="G851" s="99">
        <f>SUMIFS(Input!$D$115:$D$3257,Input!$A$115:$A$3257,"="&amp;'Output - County'!A851,Input!$B$115:$B$3257,"="&amp;'Output - County'!B851)*VLOOKUP(A851,'Output - State'!$B$2:$G$52,6,FALSE)</f>
        <v>5.2929202135752274</v>
      </c>
    </row>
    <row r="852" spans="1:7" x14ac:dyDescent="0.25">
      <c r="A852" s="88">
        <v>19</v>
      </c>
      <c r="B852" s="88">
        <v>123</v>
      </c>
      <c r="C852" s="97">
        <f>SUMIFS(Input!$C$115:$C$3257,Input!$A$115:$A$3257,"="&amp;'Output - County'!A852,Input!$B$115:$B$3257,"="&amp;'Output - County'!B852)*VLOOKUP(A852,'Output - State'!$B$2:$G$52,2,FALSE)</f>
        <v>3.9181737016173521</v>
      </c>
      <c r="D852" s="98">
        <f>SUMIFS(Input!$C$115:$C$3257,Input!$A$115:$A$3257,"="&amp;'Output - County'!A852,Input!$B$115:$B$3257,"="&amp;'Output - County'!B852)*VLOOKUP(A852,'Output - State'!$B$2:$G$52,3,FALSE)</f>
        <v>1.0054263307301134</v>
      </c>
      <c r="E852" s="98">
        <f>SUMIFS(Input!$C$115:$C$3257,Input!$A$115:$A$3257,"="&amp;'Output - County'!A852,Input!$B$115:$B$3257,"="&amp;'Output - County'!B852)*VLOOKUP(A852,'Output - State'!$B$2:$G$52,4,FALSE)</f>
        <v>13.454208893630454</v>
      </c>
      <c r="F852" s="98">
        <f>SUMIFS(Input!$C$115:$C$3257,Input!$A$115:$A$3257,"="&amp;'Output - County'!A852,Input!$B$115:$B$3257,"="&amp;'Output - County'!B852)*VLOOKUP(A852,'Output - State'!$B$2:$G$52,5,FALSE)</f>
        <v>15.982593916223033</v>
      </c>
      <c r="G852" s="99">
        <f>SUMIFS(Input!$D$115:$D$3257,Input!$A$115:$A$3257,"="&amp;'Output - County'!A852,Input!$B$115:$B$3257,"="&amp;'Output - County'!B852)*VLOOKUP(A852,'Output - State'!$B$2:$G$52,6,FALSE)</f>
        <v>7.1879163394231478</v>
      </c>
    </row>
    <row r="853" spans="1:7" x14ac:dyDescent="0.25">
      <c r="A853" s="88">
        <v>19</v>
      </c>
      <c r="B853" s="88">
        <v>125</v>
      </c>
      <c r="C853" s="97">
        <f>SUMIFS(Input!$C$115:$C$3257,Input!$A$115:$A$3257,"="&amp;'Output - County'!A853,Input!$B$115:$B$3257,"="&amp;'Output - County'!B853)*VLOOKUP(A853,'Output - State'!$B$2:$G$52,2,FALSE)</f>
        <v>5.0897201104891439</v>
      </c>
      <c r="D853" s="98">
        <f>SUMIFS(Input!$C$115:$C$3257,Input!$A$115:$A$3257,"="&amp;'Output - County'!A853,Input!$B$115:$B$3257,"="&amp;'Output - County'!B853)*VLOOKUP(A853,'Output - State'!$B$2:$G$52,3,FALSE)</f>
        <v>1.3060520040293315</v>
      </c>
      <c r="E853" s="98">
        <f>SUMIFS(Input!$C$115:$C$3257,Input!$A$115:$A$3257,"="&amp;'Output - County'!A853,Input!$B$115:$B$3257,"="&amp;'Output - County'!B853)*VLOOKUP(A853,'Output - State'!$B$2:$G$52,4,FALSE)</f>
        <v>17.477060179431621</v>
      </c>
      <c r="F853" s="98">
        <f>SUMIFS(Input!$C$115:$C$3257,Input!$A$115:$A$3257,"="&amp;'Output - County'!A853,Input!$B$115:$B$3257,"="&amp;'Output - County'!B853)*VLOOKUP(A853,'Output - State'!$B$2:$G$52,5,FALSE)</f>
        <v>20.761440371978217</v>
      </c>
      <c r="G853" s="99">
        <f>SUMIFS(Input!$D$115:$D$3257,Input!$A$115:$A$3257,"="&amp;'Output - County'!A853,Input!$B$115:$B$3257,"="&amp;'Output - County'!B853)*VLOOKUP(A853,'Output - State'!$B$2:$G$52,6,FALSE)</f>
        <v>10.879891550126855</v>
      </c>
    </row>
    <row r="854" spans="1:7" x14ac:dyDescent="0.25">
      <c r="A854" s="88">
        <v>19</v>
      </c>
      <c r="B854" s="88">
        <v>127</v>
      </c>
      <c r="C854" s="97">
        <f>SUMIFS(Input!$C$115:$C$3257,Input!$A$115:$A$3257,"="&amp;'Output - County'!A854,Input!$B$115:$B$3257,"="&amp;'Output - County'!B854)*VLOOKUP(A854,'Output - State'!$B$2:$G$52,2,FALSE)</f>
        <v>5.9411208484725195</v>
      </c>
      <c r="D854" s="98">
        <f>SUMIFS(Input!$C$115:$C$3257,Input!$A$115:$A$3257,"="&amp;'Output - County'!A854,Input!$B$115:$B$3257,"="&amp;'Output - County'!B854)*VLOOKUP(A854,'Output - State'!$B$2:$G$52,3,FALSE)</f>
        <v>1.5245264222559116</v>
      </c>
      <c r="E854" s="98">
        <f>SUMIFS(Input!$C$115:$C$3257,Input!$A$115:$A$3257,"="&amp;'Output - County'!A854,Input!$B$115:$B$3257,"="&amp;'Output - County'!B854)*VLOOKUP(A854,'Output - State'!$B$2:$G$52,4,FALSE)</f>
        <v>20.400596564837681</v>
      </c>
      <c r="F854" s="98">
        <f>SUMIFS(Input!$C$115:$C$3257,Input!$A$115:$A$3257,"="&amp;'Output - County'!A854,Input!$B$115:$B$3257,"="&amp;'Output - County'!B854)*VLOOKUP(A854,'Output - State'!$B$2:$G$52,5,FALSE)</f>
        <v>24.234382944571141</v>
      </c>
      <c r="G854" s="99">
        <f>SUMIFS(Input!$D$115:$D$3257,Input!$A$115:$A$3257,"="&amp;'Output - County'!A854,Input!$B$115:$B$3257,"="&amp;'Output - County'!B854)*VLOOKUP(A854,'Output - State'!$B$2:$G$52,6,FALSE)</f>
        <v>13.0362664519538</v>
      </c>
    </row>
    <row r="855" spans="1:7" x14ac:dyDescent="0.25">
      <c r="A855" s="88">
        <v>19</v>
      </c>
      <c r="B855" s="88">
        <v>129</v>
      </c>
      <c r="C855" s="97">
        <f>SUMIFS(Input!$C$115:$C$3257,Input!$A$115:$A$3257,"="&amp;'Output - County'!A855,Input!$B$115:$B$3257,"="&amp;'Output - County'!B855)*VLOOKUP(A855,'Output - State'!$B$2:$G$52,2,FALSE)</f>
        <v>5.6472421053754509</v>
      </c>
      <c r="D855" s="98">
        <f>SUMIFS(Input!$C$115:$C$3257,Input!$A$115:$A$3257,"="&amp;'Output - County'!A855,Input!$B$115:$B$3257,"="&amp;'Output - County'!B855)*VLOOKUP(A855,'Output - State'!$B$2:$G$52,3,FALSE)</f>
        <v>1.449115414767985</v>
      </c>
      <c r="E855" s="98">
        <f>SUMIFS(Input!$C$115:$C$3257,Input!$A$115:$A$3257,"="&amp;'Output - County'!A855,Input!$B$115:$B$3257,"="&amp;'Output - County'!B855)*VLOOKUP(A855,'Output - State'!$B$2:$G$52,4,FALSE)</f>
        <v>19.391476934078732</v>
      </c>
      <c r="F855" s="98">
        <f>SUMIFS(Input!$C$115:$C$3257,Input!$A$115:$A$3257,"="&amp;'Output - County'!A855,Input!$B$115:$B$3257,"="&amp;'Output - County'!B855)*VLOOKUP(A855,'Output - State'!$B$2:$G$52,5,FALSE)</f>
        <v>23.035624295971239</v>
      </c>
      <c r="G855" s="99">
        <f>SUMIFS(Input!$D$115:$D$3257,Input!$A$115:$A$3257,"="&amp;'Output - County'!A855,Input!$B$115:$B$3257,"="&amp;'Output - County'!B855)*VLOOKUP(A855,'Output - State'!$B$2:$G$52,6,FALSE)</f>
        <v>4.9335243966040698</v>
      </c>
    </row>
    <row r="856" spans="1:7" x14ac:dyDescent="0.25">
      <c r="A856" s="88">
        <v>19</v>
      </c>
      <c r="B856" s="88">
        <v>131</v>
      </c>
      <c r="C856" s="97">
        <f>SUMIFS(Input!$C$115:$C$3257,Input!$A$115:$A$3257,"="&amp;'Output - County'!A856,Input!$B$115:$B$3257,"="&amp;'Output - County'!B856)*VLOOKUP(A856,'Output - State'!$B$2:$G$52,2,FALSE)</f>
        <v>1.0346195129212485</v>
      </c>
      <c r="D856" s="98">
        <f>SUMIFS(Input!$C$115:$C$3257,Input!$A$115:$A$3257,"="&amp;'Output - County'!A856,Input!$B$115:$B$3257,"="&amp;'Output - County'!B856)*VLOOKUP(A856,'Output - State'!$B$2:$G$52,3,FALSE)</f>
        <v>0.2654894294627107</v>
      </c>
      <c r="E856" s="98">
        <f>SUMIFS(Input!$C$115:$C$3257,Input!$A$115:$A$3257,"="&amp;'Output - County'!A856,Input!$B$115:$B$3257,"="&amp;'Output - County'!B856)*VLOOKUP(A856,'Output - State'!$B$2:$G$52,4,FALSE)</f>
        <v>3.5526722683383718</v>
      </c>
      <c r="F856" s="98">
        <f>SUMIFS(Input!$C$115:$C$3257,Input!$A$115:$A$3257,"="&amp;'Output - County'!A856,Input!$B$115:$B$3257,"="&amp;'Output - County'!B856)*VLOOKUP(A856,'Output - State'!$B$2:$G$52,5,FALSE)</f>
        <v>4.2203089480170473</v>
      </c>
      <c r="G856" s="99">
        <f>SUMIFS(Input!$D$115:$D$3257,Input!$A$115:$A$3257,"="&amp;'Output - County'!A856,Input!$B$115:$B$3257,"="&amp;'Output - County'!B856)*VLOOKUP(A856,'Output - State'!$B$2:$G$52,6,FALSE)</f>
        <v>3.4632687817220624</v>
      </c>
    </row>
    <row r="857" spans="1:7" x14ac:dyDescent="0.25">
      <c r="A857" s="88">
        <v>19</v>
      </c>
      <c r="B857" s="88">
        <v>133</v>
      </c>
      <c r="C857" s="97">
        <f>SUMIFS(Input!$C$115:$C$3257,Input!$A$115:$A$3257,"="&amp;'Output - County'!A857,Input!$B$115:$B$3257,"="&amp;'Output - County'!B857)*VLOOKUP(A857,'Output - State'!$B$2:$G$52,2,FALSE)</f>
        <v>5.5424560686455919</v>
      </c>
      <c r="D857" s="98">
        <f>SUMIFS(Input!$C$115:$C$3257,Input!$A$115:$A$3257,"="&amp;'Output - County'!A857,Input!$B$115:$B$3257,"="&amp;'Output - County'!B857)*VLOOKUP(A857,'Output - State'!$B$2:$G$52,3,FALSE)</f>
        <v>1.4222267037397922</v>
      </c>
      <c r="E857" s="98">
        <f>SUMIFS(Input!$C$115:$C$3257,Input!$A$115:$A$3257,"="&amp;'Output - County'!A857,Input!$B$115:$B$3257,"="&amp;'Output - County'!B857)*VLOOKUP(A857,'Output - State'!$B$2:$G$52,4,FALSE)</f>
        <v>19.031663068063242</v>
      </c>
      <c r="F857" s="98">
        <f>SUMIFS(Input!$C$115:$C$3257,Input!$A$115:$A$3257,"="&amp;'Output - County'!A857,Input!$B$115:$B$3257,"="&amp;'Output - County'!B857)*VLOOKUP(A857,'Output - State'!$B$2:$G$52,5,FALSE)</f>
        <v>22.608192333867962</v>
      </c>
      <c r="G857" s="99">
        <f>SUMIFS(Input!$D$115:$D$3257,Input!$A$115:$A$3257,"="&amp;'Output - County'!A857,Input!$B$115:$B$3257,"="&amp;'Output - County'!B857)*VLOOKUP(A857,'Output - State'!$B$2:$G$52,6,FALSE)</f>
        <v>2.82942524997293</v>
      </c>
    </row>
    <row r="858" spans="1:7" x14ac:dyDescent="0.25">
      <c r="A858" s="88">
        <v>19</v>
      </c>
      <c r="B858" s="88">
        <v>135</v>
      </c>
      <c r="C858" s="97">
        <f>SUMIFS(Input!$C$115:$C$3257,Input!$A$115:$A$3257,"="&amp;'Output - County'!A858,Input!$B$115:$B$3257,"="&amp;'Output - County'!B858)*VLOOKUP(A858,'Output - State'!$B$2:$G$52,2,FALSE)</f>
        <v>0.99467192646792046</v>
      </c>
      <c r="D858" s="98">
        <f>SUMIFS(Input!$C$115:$C$3257,Input!$A$115:$A$3257,"="&amp;'Output - County'!A858,Input!$B$115:$B$3257,"="&amp;'Output - County'!B858)*VLOOKUP(A858,'Output - State'!$B$2:$G$52,3,FALSE)</f>
        <v>0.25523864470227126</v>
      </c>
      <c r="E858" s="98">
        <f>SUMIFS(Input!$C$115:$C$3257,Input!$A$115:$A$3257,"="&amp;'Output - County'!A858,Input!$B$115:$B$3257,"="&amp;'Output - County'!B858)*VLOOKUP(A858,'Output - State'!$B$2:$G$52,4,FALSE)</f>
        <v>3.415500408724903</v>
      </c>
      <c r="F858" s="98">
        <f>SUMIFS(Input!$C$115:$C$3257,Input!$A$115:$A$3257,"="&amp;'Output - County'!A858,Input!$B$115:$B$3257,"="&amp;'Output - County'!B858)*VLOOKUP(A858,'Output - State'!$B$2:$G$52,5,FALSE)</f>
        <v>4.0573590379726792</v>
      </c>
      <c r="G858" s="99">
        <f>SUMIFS(Input!$D$115:$D$3257,Input!$A$115:$A$3257,"="&amp;'Output - County'!A858,Input!$B$115:$B$3257,"="&amp;'Output - County'!B858)*VLOOKUP(A858,'Output - State'!$B$2:$G$52,6,FALSE)</f>
        <v>2.5386413616962664</v>
      </c>
    </row>
    <row r="859" spans="1:7" x14ac:dyDescent="0.25">
      <c r="A859" s="88">
        <v>19</v>
      </c>
      <c r="B859" s="88">
        <v>137</v>
      </c>
      <c r="C859" s="97">
        <f>SUMIFS(Input!$C$115:$C$3257,Input!$A$115:$A$3257,"="&amp;'Output - County'!A859,Input!$B$115:$B$3257,"="&amp;'Output - County'!B859)*VLOOKUP(A859,'Output - State'!$B$2:$G$52,2,FALSE)</f>
        <v>1.3766973930861794</v>
      </c>
      <c r="D859" s="98">
        <f>SUMIFS(Input!$C$115:$C$3257,Input!$A$115:$A$3257,"="&amp;'Output - County'!A859,Input!$B$115:$B$3257,"="&amp;'Output - County'!B859)*VLOOKUP(A859,'Output - State'!$B$2:$G$52,3,FALSE)</f>
        <v>0.35326861794947739</v>
      </c>
      <c r="E859" s="98">
        <f>SUMIFS(Input!$C$115:$C$3257,Input!$A$115:$A$3257,"="&amp;'Output - County'!A859,Input!$B$115:$B$3257,"="&amp;'Output - County'!B859)*VLOOKUP(A859,'Output - State'!$B$2:$G$52,4,FALSE)</f>
        <v>4.7272978995934336</v>
      </c>
      <c r="F859" s="98">
        <f>SUMIFS(Input!$C$115:$C$3257,Input!$A$115:$A$3257,"="&amp;'Output - County'!A859,Input!$B$115:$B$3257,"="&amp;'Output - County'!B859)*VLOOKUP(A859,'Output - State'!$B$2:$G$52,5,FALSE)</f>
        <v>5.6156763469002815</v>
      </c>
      <c r="G859" s="99">
        <f>SUMIFS(Input!$D$115:$D$3257,Input!$A$115:$A$3257,"="&amp;'Output - County'!A859,Input!$B$115:$B$3257,"="&amp;'Output - County'!B859)*VLOOKUP(A859,'Output - State'!$B$2:$G$52,6,FALSE)</f>
        <v>3.2541657609388435</v>
      </c>
    </row>
    <row r="860" spans="1:7" x14ac:dyDescent="0.25">
      <c r="A860" s="88">
        <v>19</v>
      </c>
      <c r="B860" s="88">
        <v>139</v>
      </c>
      <c r="C860" s="97">
        <f>SUMIFS(Input!$C$115:$C$3257,Input!$A$115:$A$3257,"="&amp;'Output - County'!A860,Input!$B$115:$B$3257,"="&amp;'Output - County'!B860)*VLOOKUP(A860,'Output - State'!$B$2:$G$52,2,FALSE)</f>
        <v>7.3757458122458077</v>
      </c>
      <c r="D860" s="98">
        <f>SUMIFS(Input!$C$115:$C$3257,Input!$A$115:$A$3257,"="&amp;'Output - County'!A860,Input!$B$115:$B$3257,"="&amp;'Output - County'!B860)*VLOOKUP(A860,'Output - State'!$B$2:$G$52,3,FALSE)</f>
        <v>1.8926595942755691</v>
      </c>
      <c r="E860" s="98">
        <f>SUMIFS(Input!$C$115:$C$3257,Input!$A$115:$A$3257,"="&amp;'Output - County'!A860,Input!$B$115:$B$3257,"="&amp;'Output - County'!B860)*VLOOKUP(A860,'Output - State'!$B$2:$G$52,4,FALSE)</f>
        <v>25.326805920654504</v>
      </c>
      <c r="F860" s="98">
        <f>SUMIFS(Input!$C$115:$C$3257,Input!$A$115:$A$3257,"="&amp;'Output - County'!A860,Input!$B$115:$B$3257,"="&amp;'Output - County'!B860)*VLOOKUP(A860,'Output - State'!$B$2:$G$52,5,FALSE)</f>
        <v>30.086351224742064</v>
      </c>
      <c r="G860" s="99">
        <f>SUMIFS(Input!$D$115:$D$3257,Input!$A$115:$A$3257,"="&amp;'Output - County'!A860,Input!$B$115:$B$3257,"="&amp;'Output - County'!B860)*VLOOKUP(A860,'Output - State'!$B$2:$G$52,6,FALSE)</f>
        <v>14.016436861875139</v>
      </c>
    </row>
    <row r="861" spans="1:7" x14ac:dyDescent="0.25">
      <c r="A861" s="88">
        <v>19</v>
      </c>
      <c r="B861" s="88">
        <v>141</v>
      </c>
      <c r="C861" s="97">
        <f>SUMIFS(Input!$C$115:$C$3257,Input!$A$115:$A$3257,"="&amp;'Output - County'!A861,Input!$B$115:$B$3257,"="&amp;'Output - County'!B861)*VLOOKUP(A861,'Output - State'!$B$2:$G$52,2,FALSE)</f>
        <v>1.5657105492646286</v>
      </c>
      <c r="D861" s="98">
        <f>SUMIFS(Input!$C$115:$C$3257,Input!$A$115:$A$3257,"="&amp;'Output - County'!A861,Input!$B$115:$B$3257,"="&amp;'Output - County'!B861)*VLOOKUP(A861,'Output - State'!$B$2:$G$52,3,FALSE)</f>
        <v>0.40177050136464382</v>
      </c>
      <c r="E861" s="98">
        <f>SUMIFS(Input!$C$115:$C$3257,Input!$A$115:$A$3257,"="&amp;'Output - County'!A861,Input!$B$115:$B$3257,"="&amp;'Output - County'!B861)*VLOOKUP(A861,'Output - State'!$B$2:$G$52,4,FALSE)</f>
        <v>5.3763305052228212</v>
      </c>
      <c r="F861" s="98">
        <f>SUMIFS(Input!$C$115:$C$3257,Input!$A$115:$A$3257,"="&amp;'Output - County'!A861,Input!$B$115:$B$3257,"="&amp;'Output - County'!B861)*VLOOKUP(A861,'Output - State'!$B$2:$G$52,5,FALSE)</f>
        <v>6.3866785407991413</v>
      </c>
      <c r="G861" s="99">
        <f>SUMIFS(Input!$D$115:$D$3257,Input!$A$115:$A$3257,"="&amp;'Output - County'!A861,Input!$B$115:$B$3257,"="&amp;'Output - County'!B861)*VLOOKUP(A861,'Output - State'!$B$2:$G$52,6,FALSE)</f>
        <v>4.5087838856381568</v>
      </c>
    </row>
    <row r="862" spans="1:7" x14ac:dyDescent="0.25">
      <c r="A862" s="88">
        <v>19</v>
      </c>
      <c r="B862" s="88">
        <v>143</v>
      </c>
      <c r="C862" s="97">
        <f>SUMIFS(Input!$C$115:$C$3257,Input!$A$115:$A$3257,"="&amp;'Output - County'!A862,Input!$B$115:$B$3257,"="&amp;'Output - County'!B862)*VLOOKUP(A862,'Output - State'!$B$2:$G$52,2,FALSE)</f>
        <v>0.98097649286409305</v>
      </c>
      <c r="D862" s="98">
        <f>SUMIFS(Input!$C$115:$C$3257,Input!$A$115:$A$3257,"="&amp;'Output - County'!A862,Input!$B$115:$B$3257,"="&amp;'Output - County'!B862)*VLOOKUP(A862,'Output - State'!$B$2:$G$52,3,FALSE)</f>
        <v>0.25172431618989055</v>
      </c>
      <c r="E862" s="98">
        <f>SUMIFS(Input!$C$115:$C$3257,Input!$A$115:$A$3257,"="&amp;'Output - County'!A862,Input!$B$115:$B$3257,"="&amp;'Output - County'!B862)*VLOOKUP(A862,'Output - State'!$B$2:$G$52,4,FALSE)</f>
        <v>3.3684730846124777</v>
      </c>
      <c r="F862" s="98">
        <f>SUMIFS(Input!$C$115:$C$3257,Input!$A$115:$A$3257,"="&amp;'Output - County'!A862,Input!$B$115:$B$3257,"="&amp;'Output - County'!B862)*VLOOKUP(A862,'Output - State'!$B$2:$G$52,5,FALSE)</f>
        <v>4.0014940941325898</v>
      </c>
      <c r="G862" s="99">
        <f>SUMIFS(Input!$D$115:$D$3257,Input!$A$115:$A$3257,"="&amp;'Output - County'!A862,Input!$B$115:$B$3257,"="&amp;'Output - County'!B862)*VLOOKUP(A862,'Output - State'!$B$2:$G$52,6,FALSE)</f>
        <v>1.9701425239418902</v>
      </c>
    </row>
    <row r="863" spans="1:7" x14ac:dyDescent="0.25">
      <c r="A863" s="88">
        <v>19</v>
      </c>
      <c r="B863" s="88">
        <v>145</v>
      </c>
      <c r="C863" s="97">
        <f>SUMIFS(Input!$C$115:$C$3257,Input!$A$115:$A$3257,"="&amp;'Output - County'!A863,Input!$B$115:$B$3257,"="&amp;'Output - County'!B863)*VLOOKUP(A863,'Output - State'!$B$2:$G$52,2,FALSE)</f>
        <v>1.9091287606061393</v>
      </c>
      <c r="D863" s="98">
        <f>SUMIFS(Input!$C$115:$C$3257,Input!$A$115:$A$3257,"="&amp;'Output - County'!A863,Input!$B$115:$B$3257,"="&amp;'Output - County'!B863)*VLOOKUP(A863,'Output - State'!$B$2:$G$52,3,FALSE)</f>
        <v>0.48989362668511333</v>
      </c>
      <c r="E863" s="98">
        <f>SUMIFS(Input!$C$115:$C$3257,Input!$A$115:$A$3257,"="&amp;'Output - County'!A863,Input!$B$115:$B$3257,"="&amp;'Output - County'!B863)*VLOOKUP(A863,'Output - State'!$B$2:$G$52,4,FALSE)</f>
        <v>6.5555585602113968</v>
      </c>
      <c r="F863" s="98">
        <f>SUMIFS(Input!$C$115:$C$3257,Input!$A$115:$A$3257,"="&amp;'Output - County'!A863,Input!$B$115:$B$3257,"="&amp;'Output - County'!B863)*VLOOKUP(A863,'Output - State'!$B$2:$G$52,5,FALSE)</f>
        <v>7.7875132748593954</v>
      </c>
      <c r="G863" s="99">
        <f>SUMIFS(Input!$D$115:$D$3257,Input!$A$115:$A$3257,"="&amp;'Output - County'!A863,Input!$B$115:$B$3257,"="&amp;'Output - County'!B863)*VLOOKUP(A863,'Output - State'!$B$2:$G$52,6,FALSE)</f>
        <v>4.966196743601448</v>
      </c>
    </row>
    <row r="864" spans="1:7" x14ac:dyDescent="0.25">
      <c r="A864" s="88">
        <v>19</v>
      </c>
      <c r="B864" s="88">
        <v>147</v>
      </c>
      <c r="C864" s="97">
        <f>SUMIFS(Input!$C$115:$C$3257,Input!$A$115:$A$3257,"="&amp;'Output - County'!A864,Input!$B$115:$B$3257,"="&amp;'Output - County'!B864)*VLOOKUP(A864,'Output - State'!$B$2:$G$52,2,FALSE)</f>
        <v>1.0313024827581458</v>
      </c>
      <c r="D864" s="98">
        <f>SUMIFS(Input!$C$115:$C$3257,Input!$A$115:$A$3257,"="&amp;'Output - County'!A864,Input!$B$115:$B$3257,"="&amp;'Output - County'!B864)*VLOOKUP(A864,'Output - State'!$B$2:$G$52,3,FALSE)</f>
        <v>0.26463826008641866</v>
      </c>
      <c r="E864" s="98">
        <f>SUMIFS(Input!$C$115:$C$3257,Input!$A$115:$A$3257,"="&amp;'Output - County'!A864,Input!$B$115:$B$3257,"="&amp;'Output - County'!B864)*VLOOKUP(A864,'Output - State'!$B$2:$G$52,4,FALSE)</f>
        <v>3.5412822636781809</v>
      </c>
      <c r="F864" s="98">
        <f>SUMIFS(Input!$C$115:$C$3257,Input!$A$115:$A$3257,"="&amp;'Output - County'!A864,Input!$B$115:$B$3257,"="&amp;'Output - County'!B864)*VLOOKUP(A864,'Output - State'!$B$2:$G$52,5,FALSE)</f>
        <v>4.2067784743469154</v>
      </c>
      <c r="G864" s="99">
        <f>SUMIFS(Input!$D$115:$D$3257,Input!$A$115:$A$3257,"="&amp;'Output - County'!A864,Input!$B$115:$B$3257,"="&amp;'Output - County'!B864)*VLOOKUP(A864,'Output - State'!$B$2:$G$52,6,FALSE)</f>
        <v>2.907838882766637</v>
      </c>
    </row>
    <row r="865" spans="1:7" x14ac:dyDescent="0.25">
      <c r="A865" s="88">
        <v>19</v>
      </c>
      <c r="B865" s="88">
        <v>149</v>
      </c>
      <c r="C865" s="97">
        <f>SUMIFS(Input!$C$115:$C$3257,Input!$A$115:$A$3257,"="&amp;'Output - County'!A865,Input!$B$115:$B$3257,"="&amp;'Output - County'!B865)*VLOOKUP(A865,'Output - State'!$B$2:$G$52,2,FALSE)</f>
        <v>4.2788668961940477</v>
      </c>
      <c r="D865" s="98">
        <f>SUMIFS(Input!$C$115:$C$3257,Input!$A$115:$A$3257,"="&amp;'Output - County'!A865,Input!$B$115:$B$3257,"="&amp;'Output - County'!B865)*VLOOKUP(A865,'Output - State'!$B$2:$G$52,3,FALSE)</f>
        <v>1.0979823179730663</v>
      </c>
      <c r="E865" s="98">
        <f>SUMIFS(Input!$C$115:$C$3257,Input!$A$115:$A$3257,"="&amp;'Output - County'!A865,Input!$B$115:$B$3257,"="&amp;'Output - County'!B865)*VLOOKUP(A865,'Output - State'!$B$2:$G$52,4,FALSE)</f>
        <v>14.69275571567221</v>
      </c>
      <c r="F865" s="98">
        <f>SUMIFS(Input!$C$115:$C$3257,Input!$A$115:$A$3257,"="&amp;'Output - County'!A865,Input!$B$115:$B$3257,"="&amp;'Output - County'!B865)*VLOOKUP(A865,'Output - State'!$B$2:$G$52,5,FALSE)</f>
        <v>17.453894909051638</v>
      </c>
      <c r="G865" s="99">
        <f>SUMIFS(Input!$D$115:$D$3257,Input!$A$115:$A$3257,"="&amp;'Output - County'!A865,Input!$B$115:$B$3257,"="&amp;'Output - County'!B865)*VLOOKUP(A865,'Output - State'!$B$2:$G$52,6,FALSE)</f>
        <v>8.1680867493444875</v>
      </c>
    </row>
    <row r="866" spans="1:7" x14ac:dyDescent="0.25">
      <c r="A866" s="88">
        <v>19</v>
      </c>
      <c r="B866" s="88">
        <v>151</v>
      </c>
      <c r="C866" s="97">
        <f>SUMIFS(Input!$C$115:$C$3257,Input!$A$115:$A$3257,"="&amp;'Output - County'!A866,Input!$B$115:$B$3257,"="&amp;'Output - County'!B866)*VLOOKUP(A866,'Output - State'!$B$2:$G$52,2,FALSE)</f>
        <v>0.9217907161515132</v>
      </c>
      <c r="D866" s="98">
        <f>SUMIFS(Input!$C$115:$C$3257,Input!$A$115:$A$3257,"="&amp;'Output - County'!A866,Input!$B$115:$B$3257,"="&amp;'Output - County'!B866)*VLOOKUP(A866,'Output - State'!$B$2:$G$52,3,FALSE)</f>
        <v>0.23653689908100192</v>
      </c>
      <c r="E866" s="98">
        <f>SUMIFS(Input!$C$115:$C$3257,Input!$A$115:$A$3257,"="&amp;'Output - County'!A866,Input!$B$115:$B$3257,"="&amp;'Output - County'!B866)*VLOOKUP(A866,'Output - State'!$B$2:$G$52,4,FALSE)</f>
        <v>3.1652412056648651</v>
      </c>
      <c r="F866" s="98">
        <f>SUMIFS(Input!$C$115:$C$3257,Input!$A$115:$A$3257,"="&amp;'Output - County'!A866,Input!$B$115:$B$3257,"="&amp;'Output - County'!B866)*VLOOKUP(A866,'Output - State'!$B$2:$G$52,5,FALSE)</f>
        <v>3.7600698217929165</v>
      </c>
      <c r="G866" s="99">
        <f>SUMIFS(Input!$D$115:$D$3257,Input!$A$115:$A$3257,"="&amp;'Output - County'!A866,Input!$B$115:$B$3257,"="&amp;'Output - County'!B866)*VLOOKUP(A866,'Output - State'!$B$2:$G$52,6,FALSE)</f>
        <v>2.1923144835240604</v>
      </c>
    </row>
    <row r="867" spans="1:7" x14ac:dyDescent="0.25">
      <c r="A867" s="88">
        <v>19</v>
      </c>
      <c r="B867" s="88">
        <v>153</v>
      </c>
      <c r="C867" s="97">
        <f>SUMIFS(Input!$C$115:$C$3257,Input!$A$115:$A$3257,"="&amp;'Output - County'!A867,Input!$B$115:$B$3257,"="&amp;'Output - County'!B867)*VLOOKUP(A867,'Output - State'!$B$2:$G$52,2,FALSE)</f>
        <v>121.35341691305769</v>
      </c>
      <c r="D867" s="98">
        <f>SUMIFS(Input!$C$115:$C$3257,Input!$A$115:$A$3257,"="&amp;'Output - County'!A867,Input!$B$115:$B$3257,"="&amp;'Output - County'!B867)*VLOOKUP(A867,'Output - State'!$B$2:$G$52,3,FALSE)</f>
        <v>31.139997861272185</v>
      </c>
      <c r="E867" s="98">
        <f>SUMIFS(Input!$C$115:$C$3257,Input!$A$115:$A$3257,"="&amp;'Output - County'!A867,Input!$B$115:$B$3257,"="&amp;'Output - County'!B867)*VLOOKUP(A867,'Output - State'!$B$2:$G$52,4,FALSE)</f>
        <v>416.7028685915966</v>
      </c>
      <c r="F867" s="98">
        <f>SUMIFS(Input!$C$115:$C$3257,Input!$A$115:$A$3257,"="&amp;'Output - County'!A867,Input!$B$115:$B$3257,"="&amp;'Output - County'!B867)*VLOOKUP(A867,'Output - State'!$B$2:$G$52,5,FALSE)</f>
        <v>495.01184239660046</v>
      </c>
      <c r="G867" s="99">
        <f>SUMIFS(Input!$D$115:$D$3257,Input!$A$115:$A$3257,"="&amp;'Output - County'!A867,Input!$B$115:$B$3257,"="&amp;'Output - County'!B867)*VLOOKUP(A867,'Output - State'!$B$2:$G$52,6,FALSE)</f>
        <v>158.78760640725682</v>
      </c>
    </row>
    <row r="868" spans="1:7" x14ac:dyDescent="0.25">
      <c r="A868" s="88">
        <v>19</v>
      </c>
      <c r="B868" s="88">
        <v>155</v>
      </c>
      <c r="C868" s="97">
        <f>SUMIFS(Input!$C$115:$C$3257,Input!$A$115:$A$3257,"="&amp;'Output - County'!A868,Input!$B$115:$B$3257,"="&amp;'Output - County'!B868)*VLOOKUP(A868,'Output - State'!$B$2:$G$52,2,FALSE)</f>
        <v>38.128071739789931</v>
      </c>
      <c r="D868" s="98">
        <f>SUMIFS(Input!$C$115:$C$3257,Input!$A$115:$A$3257,"="&amp;'Output - County'!A868,Input!$B$115:$B$3257,"="&amp;'Output - County'!B868)*VLOOKUP(A868,'Output - State'!$B$2:$G$52,3,FALSE)</f>
        <v>9.7838866233336041</v>
      </c>
      <c r="E868" s="98">
        <f>SUMIFS(Input!$C$115:$C$3257,Input!$A$115:$A$3257,"="&amp;'Output - County'!A868,Input!$B$115:$B$3257,"="&amp;'Output - County'!B868)*VLOOKUP(A868,'Output - State'!$B$2:$G$52,4,FALSE)</f>
        <v>130.92401740298331</v>
      </c>
      <c r="F868" s="98">
        <f>SUMIFS(Input!$C$115:$C$3257,Input!$A$115:$A$3257,"="&amp;'Output - County'!A868,Input!$B$115:$B$3257,"="&amp;'Output - County'!B868)*VLOOKUP(A868,'Output - State'!$B$2:$G$52,5,FALSE)</f>
        <v>155.52794077866903</v>
      </c>
      <c r="G868" s="99">
        <f>SUMIFS(Input!$D$115:$D$3257,Input!$A$115:$A$3257,"="&amp;'Output - County'!A868,Input!$B$115:$B$3257,"="&amp;'Output - County'!B868)*VLOOKUP(A868,'Output - State'!$B$2:$G$52,6,FALSE)</f>
        <v>30.483299748553623</v>
      </c>
    </row>
    <row r="869" spans="1:7" x14ac:dyDescent="0.25">
      <c r="A869" s="88">
        <v>19</v>
      </c>
      <c r="B869" s="88">
        <v>157</v>
      </c>
      <c r="C869" s="97">
        <f>SUMIFS(Input!$C$115:$C$3257,Input!$A$115:$A$3257,"="&amp;'Output - County'!A869,Input!$B$115:$B$3257,"="&amp;'Output - County'!B869)*VLOOKUP(A869,'Output - State'!$B$2:$G$52,2,FALSE)</f>
        <v>10.615671261445923</v>
      </c>
      <c r="D869" s="98">
        <f>SUMIFS(Input!$C$115:$C$3257,Input!$A$115:$A$3257,"="&amp;'Output - County'!A869,Input!$B$115:$B$3257,"="&amp;'Output - County'!B869)*VLOOKUP(A869,'Output - State'!$B$2:$G$52,3,FALSE)</f>
        <v>2.7240434491781085</v>
      </c>
      <c r="E869" s="98">
        <f>SUMIFS(Input!$C$115:$C$3257,Input!$A$115:$A$3257,"="&amp;'Output - County'!A869,Input!$B$115:$B$3257,"="&amp;'Output - County'!B869)*VLOOKUP(A869,'Output - State'!$B$2:$G$52,4,FALSE)</f>
        <v>36.452048728377498</v>
      </c>
      <c r="F869" s="98">
        <f>SUMIFS(Input!$C$115:$C$3257,Input!$A$115:$A$3257,"="&amp;'Output - County'!A869,Input!$B$115:$B$3257,"="&amp;'Output - County'!B869)*VLOOKUP(A869,'Output - State'!$B$2:$G$52,5,FALSE)</f>
        <v>43.302307615860478</v>
      </c>
      <c r="G869" s="99">
        <f>SUMIFS(Input!$D$115:$D$3257,Input!$A$115:$A$3257,"="&amp;'Output - County'!A869,Input!$B$115:$B$3257,"="&amp;'Output - County'!B869)*VLOOKUP(A869,'Output - State'!$B$2:$G$52,6,FALSE)</f>
        <v>6.0443841945149206</v>
      </c>
    </row>
    <row r="870" spans="1:7" x14ac:dyDescent="0.25">
      <c r="A870" s="88">
        <v>19</v>
      </c>
      <c r="B870" s="88">
        <v>159</v>
      </c>
      <c r="C870" s="97">
        <f>SUMIFS(Input!$C$115:$C$3257,Input!$A$115:$A$3257,"="&amp;'Output - County'!A870,Input!$B$115:$B$3257,"="&amp;'Output - County'!B870)*VLOOKUP(A870,'Output - State'!$B$2:$G$52,2,FALSE)</f>
        <v>0.5646053809806082</v>
      </c>
      <c r="D870" s="98">
        <f>SUMIFS(Input!$C$115:$C$3257,Input!$A$115:$A$3257,"="&amp;'Output - County'!A870,Input!$B$115:$B$3257,"="&amp;'Output - County'!B870)*VLOOKUP(A870,'Output - State'!$B$2:$G$52,3,FALSE)</f>
        <v>0.1448810491161959</v>
      </c>
      <c r="E870" s="98">
        <f>SUMIFS(Input!$C$115:$C$3257,Input!$A$115:$A$3257,"="&amp;'Output - County'!A870,Input!$B$115:$B$3257,"="&amp;'Output - County'!B870)*VLOOKUP(A870,'Output - State'!$B$2:$G$52,4,FALSE)</f>
        <v>1.9387396569593851</v>
      </c>
      <c r="F870" s="98">
        <f>SUMIFS(Input!$C$115:$C$3257,Input!$A$115:$A$3257,"="&amp;'Output - County'!A870,Input!$B$115:$B$3257,"="&amp;'Output - County'!B870)*VLOOKUP(A870,'Output - State'!$B$2:$G$52,5,FALSE)</f>
        <v>2.3030777128136433</v>
      </c>
      <c r="G870" s="99">
        <f>SUMIFS(Input!$D$115:$D$3257,Input!$A$115:$A$3257,"="&amp;'Output - County'!A870,Input!$B$115:$B$3257,"="&amp;'Output - County'!B870)*VLOOKUP(A870,'Output - State'!$B$2:$G$52,6,FALSE)</f>
        <v>1.6140139416704706</v>
      </c>
    </row>
    <row r="871" spans="1:7" x14ac:dyDescent="0.25">
      <c r="A871" s="88">
        <v>19</v>
      </c>
      <c r="B871" s="88">
        <v>161</v>
      </c>
      <c r="C871" s="97">
        <f>SUMIFS(Input!$C$115:$C$3257,Input!$A$115:$A$3257,"="&amp;'Output - County'!A871,Input!$B$115:$B$3257,"="&amp;'Output - County'!B871)*VLOOKUP(A871,'Output - State'!$B$2:$G$52,2,FALSE)</f>
        <v>1.6476224697509168</v>
      </c>
      <c r="D871" s="98">
        <f>SUMIFS(Input!$C$115:$C$3257,Input!$A$115:$A$3257,"="&amp;'Output - County'!A871,Input!$B$115:$B$3257,"="&amp;'Output - County'!B871)*VLOOKUP(A871,'Output - State'!$B$2:$G$52,3,FALSE)</f>
        <v>0.42278958013177204</v>
      </c>
      <c r="E871" s="98">
        <f>SUMIFS(Input!$C$115:$C$3257,Input!$A$115:$A$3257,"="&amp;'Output - County'!A871,Input!$B$115:$B$3257,"="&amp;'Output - County'!B871)*VLOOKUP(A871,'Output - State'!$B$2:$G$52,4,FALSE)</f>
        <v>5.657599324072291</v>
      </c>
      <c r="F871" s="98">
        <f>SUMIFS(Input!$C$115:$C$3257,Input!$A$115:$A$3257,"="&amp;'Output - County'!A871,Input!$B$115:$B$3257,"="&amp;'Output - County'!B871)*VLOOKUP(A871,'Output - State'!$B$2:$G$52,5,FALSE)</f>
        <v>6.7208048613065481</v>
      </c>
      <c r="G871" s="99">
        <f>SUMIFS(Input!$D$115:$D$3257,Input!$A$115:$A$3257,"="&amp;'Output - County'!A871,Input!$B$115:$B$3257,"="&amp;'Output - County'!B871)*VLOOKUP(A871,'Output - State'!$B$2:$G$52,6,FALSE)</f>
        <v>3.1724848934453989</v>
      </c>
    </row>
    <row r="872" spans="1:7" x14ac:dyDescent="0.25">
      <c r="A872" s="88">
        <v>19</v>
      </c>
      <c r="B872" s="88">
        <v>163</v>
      </c>
      <c r="C872" s="97">
        <f>SUMIFS(Input!$C$115:$C$3257,Input!$A$115:$A$3257,"="&amp;'Output - County'!A872,Input!$B$115:$B$3257,"="&amp;'Output - County'!B872)*VLOOKUP(A872,'Output - State'!$B$2:$G$52,2,FALSE)</f>
        <v>44.131597878902859</v>
      </c>
      <c r="D872" s="98">
        <f>SUMIFS(Input!$C$115:$C$3257,Input!$A$115:$A$3257,"="&amp;'Output - County'!A872,Input!$B$115:$B$3257,"="&amp;'Output - County'!B872)*VLOOKUP(A872,'Output - State'!$B$2:$G$52,3,FALSE)</f>
        <v>11.324426608837319</v>
      </c>
      <c r="E872" s="98">
        <f>SUMIFS(Input!$C$115:$C$3257,Input!$A$115:$A$3257,"="&amp;'Output - County'!A872,Input!$B$115:$B$3257,"="&amp;'Output - County'!B872)*VLOOKUP(A872,'Output - State'!$B$2:$G$52,4,FALSE)</f>
        <v>151.5389010005774</v>
      </c>
      <c r="F872" s="98">
        <f>SUMIFS(Input!$C$115:$C$3257,Input!$A$115:$A$3257,"="&amp;'Output - County'!A872,Input!$B$115:$B$3257,"="&amp;'Output - County'!B872)*VLOOKUP(A872,'Output - State'!$B$2:$G$52,5,FALSE)</f>
        <v>180.01688069148224</v>
      </c>
      <c r="G872" s="99">
        <f>SUMIFS(Input!$D$115:$D$3257,Input!$A$115:$A$3257,"="&amp;'Output - County'!A872,Input!$B$115:$B$3257,"="&amp;'Output - County'!B872)*VLOOKUP(A872,'Output - State'!$B$2:$G$52,6,FALSE)</f>
        <v>56.523160305463847</v>
      </c>
    </row>
    <row r="873" spans="1:7" x14ac:dyDescent="0.25">
      <c r="A873" s="88">
        <v>19</v>
      </c>
      <c r="B873" s="88">
        <v>165</v>
      </c>
      <c r="C873" s="97">
        <f>SUMIFS(Input!$C$115:$C$3257,Input!$A$115:$A$3257,"="&amp;'Output - County'!A873,Input!$B$115:$B$3257,"="&amp;'Output - County'!B873)*VLOOKUP(A873,'Output - State'!$B$2:$G$52,2,FALSE)</f>
        <v>1.2527133096520029</v>
      </c>
      <c r="D873" s="98">
        <f>SUMIFS(Input!$C$115:$C$3257,Input!$A$115:$A$3257,"="&amp;'Output - County'!A873,Input!$B$115:$B$3257,"="&amp;'Output - County'!B873)*VLOOKUP(A873,'Output - State'!$B$2:$G$52,3,FALSE)</f>
        <v>0.32145357564425636</v>
      </c>
      <c r="E873" s="98">
        <f>SUMIFS(Input!$C$115:$C$3257,Input!$A$115:$A$3257,"="&amp;'Output - County'!A873,Input!$B$115:$B$3257,"="&amp;'Output - County'!B873)*VLOOKUP(A873,'Output - State'!$B$2:$G$52,4,FALSE)</f>
        <v>4.3015618590191851</v>
      </c>
      <c r="F873" s="98">
        <f>SUMIFS(Input!$C$115:$C$3257,Input!$A$115:$A$3257,"="&amp;'Output - County'!A873,Input!$B$115:$B$3257,"="&amp;'Output - County'!B873)*VLOOKUP(A873,'Output - State'!$B$2:$G$52,5,FALSE)</f>
        <v>5.1099337717853501</v>
      </c>
      <c r="G873" s="99">
        <f>SUMIFS(Input!$D$115:$D$3257,Input!$A$115:$A$3257,"="&amp;'Output - County'!A873,Input!$B$115:$B$3257,"="&amp;'Output - County'!B873)*VLOOKUP(A873,'Output - State'!$B$2:$G$52,6,FALSE)</f>
        <v>3.7899922516958422</v>
      </c>
    </row>
    <row r="874" spans="1:7" x14ac:dyDescent="0.25">
      <c r="A874" s="88">
        <v>19</v>
      </c>
      <c r="B874" s="88">
        <v>167</v>
      </c>
      <c r="C874" s="97">
        <f>SUMIFS(Input!$C$115:$C$3257,Input!$A$115:$A$3257,"="&amp;'Output - County'!A874,Input!$B$115:$B$3257,"="&amp;'Output - County'!B874)*VLOOKUP(A874,'Output - State'!$B$2:$G$52,2,FALSE)</f>
        <v>4.4371467200005306</v>
      </c>
      <c r="D874" s="98">
        <f>SUMIFS(Input!$C$115:$C$3257,Input!$A$115:$A$3257,"="&amp;'Output - County'!A874,Input!$B$115:$B$3257,"="&amp;'Output - County'!B874)*VLOOKUP(A874,'Output - State'!$B$2:$G$52,3,FALSE)</f>
        <v>1.1385978482168306</v>
      </c>
      <c r="E874" s="98">
        <f>SUMIFS(Input!$C$115:$C$3257,Input!$A$115:$A$3257,"="&amp;'Output - County'!A874,Input!$B$115:$B$3257,"="&amp;'Output - County'!B874)*VLOOKUP(A874,'Output - State'!$B$2:$G$52,4,FALSE)</f>
        <v>15.236256329813031</v>
      </c>
      <c r="F874" s="98">
        <f>SUMIFS(Input!$C$115:$C$3257,Input!$A$115:$A$3257,"="&amp;'Output - County'!A874,Input!$B$115:$B$3257,"="&amp;'Output - County'!B874)*VLOOKUP(A874,'Output - State'!$B$2:$G$52,5,FALSE)</f>
        <v>18.099532989871314</v>
      </c>
      <c r="G874" s="99">
        <f>SUMIFS(Input!$D$115:$D$3257,Input!$A$115:$A$3257,"="&amp;'Output - County'!A874,Input!$B$115:$B$3257,"="&amp;'Output - County'!B874)*VLOOKUP(A874,'Output - State'!$B$2:$G$52,6,FALSE)</f>
        <v>11.369976755087524</v>
      </c>
    </row>
    <row r="875" spans="1:7" x14ac:dyDescent="0.25">
      <c r="A875" s="88">
        <v>19</v>
      </c>
      <c r="B875" s="88">
        <v>169</v>
      </c>
      <c r="C875" s="97">
        <f>SUMIFS(Input!$C$115:$C$3257,Input!$A$115:$A$3257,"="&amp;'Output - County'!A875,Input!$B$115:$B$3257,"="&amp;'Output - County'!B875)*VLOOKUP(A875,'Output - State'!$B$2:$G$52,2,FALSE)</f>
        <v>22.438136096977331</v>
      </c>
      <c r="D875" s="98">
        <f>SUMIFS(Input!$C$115:$C$3257,Input!$A$115:$A$3257,"="&amp;'Output - County'!A875,Input!$B$115:$B$3257,"="&amp;'Output - County'!B875)*VLOOKUP(A875,'Output - State'!$B$2:$G$52,3,FALSE)</f>
        <v>5.7577572007832387</v>
      </c>
      <c r="E875" s="98">
        <f>SUMIFS(Input!$C$115:$C$3257,Input!$A$115:$A$3257,"="&amp;'Output - County'!A875,Input!$B$115:$B$3257,"="&amp;'Output - County'!B875)*VLOOKUP(A875,'Output - State'!$B$2:$G$52,4,FALSE)</f>
        <v>77.047980314866905</v>
      </c>
      <c r="F875" s="98">
        <f>SUMIFS(Input!$C$115:$C$3257,Input!$A$115:$A$3257,"="&amp;'Output - County'!A875,Input!$B$115:$B$3257,"="&amp;'Output - County'!B875)*VLOOKUP(A875,'Output - State'!$B$2:$G$52,5,FALSE)</f>
        <v>91.527238143347901</v>
      </c>
      <c r="G875" s="99">
        <f>SUMIFS(Input!$D$115:$D$3257,Input!$A$115:$A$3257,"="&amp;'Output - County'!A875,Input!$B$115:$B$3257,"="&amp;'Output - County'!B875)*VLOOKUP(A875,'Output - State'!$B$2:$G$52,6,FALSE)</f>
        <v>31.626831893461855</v>
      </c>
    </row>
    <row r="876" spans="1:7" x14ac:dyDescent="0.25">
      <c r="A876" s="88">
        <v>19</v>
      </c>
      <c r="B876" s="88">
        <v>171</v>
      </c>
      <c r="C876" s="97">
        <f>SUMIFS(Input!$C$115:$C$3257,Input!$A$115:$A$3257,"="&amp;'Output - County'!A876,Input!$B$115:$B$3257,"="&amp;'Output - County'!B876)*VLOOKUP(A876,'Output - State'!$B$2:$G$52,2,FALSE)</f>
        <v>2.0299784165492225</v>
      </c>
      <c r="D876" s="98">
        <f>SUMIFS(Input!$C$115:$C$3257,Input!$A$115:$A$3257,"="&amp;'Output - County'!A876,Input!$B$115:$B$3257,"="&amp;'Output - County'!B876)*VLOOKUP(A876,'Output - State'!$B$2:$G$52,3,FALSE)</f>
        <v>0.52090435652965683</v>
      </c>
      <c r="E876" s="98">
        <f>SUMIFS(Input!$C$115:$C$3257,Input!$A$115:$A$3257,"="&amp;'Output - County'!A876,Input!$B$115:$B$3257,"="&amp;'Output - County'!B876)*VLOOKUP(A876,'Output - State'!$B$2:$G$52,4,FALSE)</f>
        <v>6.9705316164366611</v>
      </c>
      <c r="F876" s="98">
        <f>SUMIFS(Input!$C$115:$C$3257,Input!$A$115:$A$3257,"="&amp;'Output - County'!A876,Input!$B$115:$B$3257,"="&amp;'Output - County'!B876)*VLOOKUP(A876,'Output - State'!$B$2:$G$52,5,FALSE)</f>
        <v>8.2804702295386328</v>
      </c>
      <c r="G876" s="99">
        <f>SUMIFS(Input!$D$115:$D$3257,Input!$A$115:$A$3257,"="&amp;'Output - County'!A876,Input!$B$115:$B$3257,"="&amp;'Output - County'!B876)*VLOOKUP(A876,'Output - State'!$B$2:$G$52,6,FALSE)</f>
        <v>5.521626642556873</v>
      </c>
    </row>
    <row r="877" spans="1:7" x14ac:dyDescent="0.25">
      <c r="A877" s="88">
        <v>19</v>
      </c>
      <c r="B877" s="88">
        <v>173</v>
      </c>
      <c r="C877" s="97">
        <f>SUMIFS(Input!$C$115:$C$3257,Input!$A$115:$A$3257,"="&amp;'Output - County'!A877,Input!$B$115:$B$3257,"="&amp;'Output - County'!B877)*VLOOKUP(A877,'Output - State'!$B$2:$G$52,2,FALSE)</f>
        <v>0.5310552464880417</v>
      </c>
      <c r="D877" s="98">
        <f>SUMIFS(Input!$C$115:$C$3257,Input!$A$115:$A$3257,"="&amp;'Output - County'!A877,Input!$B$115:$B$3257,"="&amp;'Output - County'!B877)*VLOOKUP(A877,'Output - State'!$B$2:$G$52,3,FALSE)</f>
        <v>0.1362718880153394</v>
      </c>
      <c r="E877" s="98">
        <f>SUMIFS(Input!$C$115:$C$3257,Input!$A$115:$A$3257,"="&amp;'Output - County'!A877,Input!$B$115:$B$3257,"="&amp;'Output - County'!B877)*VLOOKUP(A877,'Output - State'!$B$2:$G$52,4,FALSE)</f>
        <v>1.823535341825</v>
      </c>
      <c r="F877" s="98">
        <f>SUMIFS(Input!$C$115:$C$3257,Input!$A$115:$A$3257,"="&amp;'Output - County'!A877,Input!$B$115:$B$3257,"="&amp;'Output - County'!B877)*VLOOKUP(A877,'Output - State'!$B$2:$G$52,5,FALSE)</f>
        <v>2.1662236026428721</v>
      </c>
      <c r="G877" s="99">
        <f>SUMIFS(Input!$D$115:$D$3257,Input!$A$115:$A$3257,"="&amp;'Output - County'!A877,Input!$B$115:$B$3257,"="&amp;'Output - County'!B877)*VLOOKUP(A877,'Output - State'!$B$2:$G$52,6,FALSE)</f>
        <v>2.0126165750384812</v>
      </c>
    </row>
    <row r="878" spans="1:7" x14ac:dyDescent="0.25">
      <c r="A878" s="88">
        <v>19</v>
      </c>
      <c r="B878" s="88">
        <v>175</v>
      </c>
      <c r="C878" s="97">
        <f>SUMIFS(Input!$C$115:$C$3257,Input!$A$115:$A$3257,"="&amp;'Output - County'!A878,Input!$B$115:$B$3257,"="&amp;'Output - County'!B878)*VLOOKUP(A878,'Output - State'!$B$2:$G$52,2,FALSE)</f>
        <v>1.6384892927705297</v>
      </c>
      <c r="D878" s="98">
        <f>SUMIFS(Input!$C$115:$C$3257,Input!$A$115:$A$3257,"="&amp;'Output - County'!A878,Input!$B$115:$B$3257,"="&amp;'Output - County'!B878)*VLOOKUP(A878,'Output - State'!$B$2:$G$52,3,FALSE)</f>
        <v>0.4204459534019237</v>
      </c>
      <c r="E878" s="98">
        <f>SUMIFS(Input!$C$115:$C$3257,Input!$A$115:$A$3257,"="&amp;'Output - County'!A878,Input!$B$115:$B$3257,"="&amp;'Output - County'!B878)*VLOOKUP(A878,'Output - State'!$B$2:$G$52,4,FALSE)</f>
        <v>5.6262378581664017</v>
      </c>
      <c r="F878" s="98">
        <f>SUMIFS(Input!$C$115:$C$3257,Input!$A$115:$A$3257,"="&amp;'Output - County'!A878,Input!$B$115:$B$3257,"="&amp;'Output - County'!B878)*VLOOKUP(A878,'Output - State'!$B$2:$G$52,5,FALSE)</f>
        <v>6.6835497853556607</v>
      </c>
      <c r="G878" s="99">
        <f>SUMIFS(Input!$D$115:$D$3257,Input!$A$115:$A$3257,"="&amp;'Output - County'!A878,Input!$B$115:$B$3257,"="&amp;'Output - County'!B878)*VLOOKUP(A878,'Output - State'!$B$2:$G$52,6,FALSE)</f>
        <v>4.0186986806774874</v>
      </c>
    </row>
    <row r="879" spans="1:7" x14ac:dyDescent="0.25">
      <c r="A879" s="88">
        <v>19</v>
      </c>
      <c r="B879" s="88">
        <v>177</v>
      </c>
      <c r="C879" s="97">
        <f>SUMIFS(Input!$C$115:$C$3257,Input!$A$115:$A$3257,"="&amp;'Output - County'!A879,Input!$B$115:$B$3257,"="&amp;'Output - County'!B879)*VLOOKUP(A879,'Output - State'!$B$2:$G$52,2,FALSE)</f>
        <v>0.73740983502316571</v>
      </c>
      <c r="D879" s="98">
        <f>SUMIFS(Input!$C$115:$C$3257,Input!$A$115:$A$3257,"="&amp;'Output - County'!A879,Input!$B$115:$B$3257,"="&amp;'Output - County'!B879)*VLOOKUP(A879,'Output - State'!$B$2:$G$52,3,FALSE)</f>
        <v>0.18922368458692845</v>
      </c>
      <c r="E879" s="98">
        <f>SUMIFS(Input!$C$115:$C$3257,Input!$A$115:$A$3257,"="&amp;'Output - County'!A879,Input!$B$115:$B$3257,"="&amp;'Output - County'!B879)*VLOOKUP(A879,'Output - State'!$B$2:$G$52,4,FALSE)</f>
        <v>2.5321148872302217</v>
      </c>
      <c r="F879" s="98">
        <f>SUMIFS(Input!$C$115:$C$3257,Input!$A$115:$A$3257,"="&amp;'Output - County'!A879,Input!$B$115:$B$3257,"="&amp;'Output - County'!B879)*VLOOKUP(A879,'Output - State'!$B$2:$G$52,5,FALSE)</f>
        <v>3.0079631074394033</v>
      </c>
      <c r="G879" s="99">
        <f>SUMIFS(Input!$D$115:$D$3257,Input!$A$115:$A$3257,"="&amp;'Output - County'!A879,Input!$B$115:$B$3257,"="&amp;'Output - County'!B879)*VLOOKUP(A879,'Output - State'!$B$2:$G$52,6,FALSE)</f>
        <v>2.2903315245161942</v>
      </c>
    </row>
    <row r="880" spans="1:7" x14ac:dyDescent="0.25">
      <c r="A880" s="88">
        <v>19</v>
      </c>
      <c r="B880" s="88">
        <v>179</v>
      </c>
      <c r="C880" s="97">
        <f>SUMIFS(Input!$C$115:$C$3257,Input!$A$115:$A$3257,"="&amp;'Output - County'!A880,Input!$B$115:$B$3257,"="&amp;'Output - County'!B880)*VLOOKUP(A880,'Output - State'!$B$2:$G$52,2,FALSE)</f>
        <v>6.4915039954371325</v>
      </c>
      <c r="D880" s="98">
        <f>SUMIFS(Input!$C$115:$C$3257,Input!$A$115:$A$3257,"="&amp;'Output - County'!A880,Input!$B$115:$B$3257,"="&amp;'Output - County'!B880)*VLOOKUP(A880,'Output - State'!$B$2:$G$52,3,FALSE)</f>
        <v>1.6657579627871297</v>
      </c>
      <c r="E880" s="98">
        <f>SUMIFS(Input!$C$115:$C$3257,Input!$A$115:$A$3257,"="&amp;'Output - County'!A880,Input!$B$115:$B$3257,"="&amp;'Output - County'!B880)*VLOOKUP(A880,'Output - State'!$B$2:$G$52,4,FALSE)</f>
        <v>22.290499972575571</v>
      </c>
      <c r="F880" s="98">
        <f>SUMIFS(Input!$C$115:$C$3257,Input!$A$115:$A$3257,"="&amp;'Output - County'!A880,Input!$B$115:$B$3257,"="&amp;'Output - County'!B880)*VLOOKUP(A880,'Output - State'!$B$2:$G$52,5,FALSE)</f>
        <v>26.479446845805853</v>
      </c>
      <c r="G880" s="99">
        <f>SUMIFS(Input!$D$115:$D$3257,Input!$A$115:$A$3257,"="&amp;'Output - County'!A880,Input!$B$115:$B$3257,"="&amp;'Output - County'!B880)*VLOOKUP(A880,'Output - State'!$B$2:$G$52,6,FALSE)</f>
        <v>11.435321449082281</v>
      </c>
    </row>
    <row r="881" spans="1:7" x14ac:dyDescent="0.25">
      <c r="A881" s="88">
        <v>19</v>
      </c>
      <c r="B881" s="88">
        <v>181</v>
      </c>
      <c r="C881" s="97">
        <f>SUMIFS(Input!$C$115:$C$3257,Input!$A$115:$A$3257,"="&amp;'Output - County'!A881,Input!$B$115:$B$3257,"="&amp;'Output - County'!B881)*VLOOKUP(A881,'Output - State'!$B$2:$G$52,2,FALSE)</f>
        <v>14.308587939872696</v>
      </c>
      <c r="D881" s="98">
        <f>SUMIFS(Input!$C$115:$C$3257,Input!$A$115:$A$3257,"="&amp;'Output - County'!A881,Input!$B$115:$B$3257,"="&amp;'Output - County'!B881)*VLOOKUP(A881,'Output - State'!$B$2:$G$52,3,FALSE)</f>
        <v>3.6716675078435084</v>
      </c>
      <c r="E881" s="98">
        <f>SUMIFS(Input!$C$115:$C$3257,Input!$A$115:$A$3257,"="&amp;'Output - County'!A881,Input!$B$115:$B$3257,"="&amp;'Output - County'!B881)*VLOOKUP(A881,'Output - State'!$B$2:$G$52,4,FALSE)</f>
        <v>49.13277097349301</v>
      </c>
      <c r="F881" s="98">
        <f>SUMIFS(Input!$C$115:$C$3257,Input!$A$115:$A$3257,"="&amp;'Output - County'!A881,Input!$B$115:$B$3257,"="&amp;'Output - County'!B881)*VLOOKUP(A881,'Output - State'!$B$2:$G$52,5,FALSE)</f>
        <v>58.366057243238906</v>
      </c>
      <c r="G881" s="99">
        <f>SUMIFS(Input!$D$115:$D$3257,Input!$A$115:$A$3257,"="&amp;'Output - County'!A881,Input!$B$115:$B$3257,"="&amp;'Output - County'!B881)*VLOOKUP(A881,'Output - State'!$B$2:$G$52,6,FALSE)</f>
        <v>16.662896968662753</v>
      </c>
    </row>
    <row r="882" spans="1:7" x14ac:dyDescent="0.25">
      <c r="A882" s="88">
        <v>19</v>
      </c>
      <c r="B882" s="88">
        <v>183</v>
      </c>
      <c r="C882" s="97">
        <f>SUMIFS(Input!$C$115:$C$3257,Input!$A$115:$A$3257,"="&amp;'Output - County'!A882,Input!$B$115:$B$3257,"="&amp;'Output - County'!B882)*VLOOKUP(A882,'Output - State'!$B$2:$G$52,2,FALSE)</f>
        <v>3.5377001971511057</v>
      </c>
      <c r="D882" s="98">
        <f>SUMIFS(Input!$C$115:$C$3257,Input!$A$115:$A$3257,"="&amp;'Output - County'!A882,Input!$B$115:$B$3257,"="&amp;'Output - County'!B882)*VLOOKUP(A882,'Output - State'!$B$2:$G$52,3,FALSE)</f>
        <v>0.90779460006497714</v>
      </c>
      <c r="E882" s="98">
        <f>SUMIFS(Input!$C$115:$C$3257,Input!$A$115:$A$3257,"="&amp;'Output - County'!A882,Input!$B$115:$B$3257,"="&amp;'Output - County'!B882)*VLOOKUP(A882,'Output - State'!$B$2:$G$52,4,FALSE)</f>
        <v>12.147740524076676</v>
      </c>
      <c r="F882" s="98">
        <f>SUMIFS(Input!$C$115:$C$3257,Input!$A$115:$A$3257,"="&amp;'Output - County'!A882,Input!$B$115:$B$3257,"="&amp;'Output - County'!B882)*VLOOKUP(A882,'Output - State'!$B$2:$G$52,5,FALSE)</f>
        <v>14.430607204848759</v>
      </c>
      <c r="G882" s="99">
        <f>SUMIFS(Input!$D$115:$D$3257,Input!$A$115:$A$3257,"="&amp;'Output - County'!A882,Input!$B$115:$B$3257,"="&amp;'Output - County'!B882)*VLOOKUP(A882,'Output - State'!$B$2:$G$52,6,FALSE)</f>
        <v>7.220588686420526</v>
      </c>
    </row>
    <row r="883" spans="1:7" x14ac:dyDescent="0.25">
      <c r="A883" s="88">
        <v>19</v>
      </c>
      <c r="B883" s="88">
        <v>185</v>
      </c>
      <c r="C883" s="97">
        <f>SUMIFS(Input!$C$115:$C$3257,Input!$A$115:$A$3257,"="&amp;'Output - County'!A883,Input!$B$115:$B$3257,"="&amp;'Output - County'!B883)*VLOOKUP(A883,'Output - State'!$B$2:$G$52,2,FALSE)</f>
        <v>0.63557242934962932</v>
      </c>
      <c r="D883" s="98">
        <f>SUMIFS(Input!$C$115:$C$3257,Input!$A$115:$A$3257,"="&amp;'Output - County'!A883,Input!$B$115:$B$3257,"="&amp;'Output - County'!B883)*VLOOKUP(A883,'Output - State'!$B$2:$G$52,3,FALSE)</f>
        <v>0.16309160956555996</v>
      </c>
      <c r="E883" s="98">
        <f>SUMIFS(Input!$C$115:$C$3257,Input!$A$115:$A$3257,"="&amp;'Output - County'!A883,Input!$B$115:$B$3257,"="&amp;'Output - County'!B883)*VLOOKUP(A883,'Output - State'!$B$2:$G$52,4,FALSE)</f>
        <v>2.1824260185229525</v>
      </c>
      <c r="F883" s="98">
        <f>SUMIFS(Input!$C$115:$C$3257,Input!$A$115:$A$3257,"="&amp;'Output - County'!A883,Input!$B$115:$B$3257,"="&amp;'Output - County'!B883)*VLOOKUP(A883,'Output - State'!$B$2:$G$52,5,FALSE)</f>
        <v>2.5925588848828727</v>
      </c>
      <c r="G883" s="99">
        <f>SUMIFS(Input!$D$115:$D$3257,Input!$A$115:$A$3257,"="&amp;'Output - County'!A883,Input!$B$115:$B$3257,"="&amp;'Output - County'!B883)*VLOOKUP(A883,'Output - State'!$B$2:$G$52,6,FALSE)</f>
        <v>2.0942974425319263</v>
      </c>
    </row>
    <row r="884" spans="1:7" x14ac:dyDescent="0.25">
      <c r="A884" s="88">
        <v>19</v>
      </c>
      <c r="B884" s="88">
        <v>187</v>
      </c>
      <c r="C884" s="97">
        <f>SUMIFS(Input!$C$115:$C$3257,Input!$A$115:$A$3257,"="&amp;'Output - County'!A884,Input!$B$115:$B$3257,"="&amp;'Output - County'!B884)*VLOOKUP(A884,'Output - State'!$B$2:$G$52,2,FALSE)</f>
        <v>6.051081362118885</v>
      </c>
      <c r="D884" s="98">
        <f>SUMIFS(Input!$C$115:$C$3257,Input!$A$115:$A$3257,"="&amp;'Output - County'!A884,Input!$B$115:$B$3257,"="&amp;'Output - County'!B884)*VLOOKUP(A884,'Output - State'!$B$2:$G$52,3,FALSE)</f>
        <v>1.5527429343811978</v>
      </c>
      <c r="E884" s="98">
        <f>SUMIFS(Input!$C$115:$C$3257,Input!$A$115:$A$3257,"="&amp;'Output - County'!A884,Input!$B$115:$B$3257,"="&amp;'Output - County'!B884)*VLOOKUP(A884,'Output - State'!$B$2:$G$52,4,FALSE)</f>
        <v>20.778178528607793</v>
      </c>
      <c r="F884" s="98">
        <f>SUMIFS(Input!$C$115:$C$3257,Input!$A$115:$A$3257,"="&amp;'Output - County'!A884,Input!$B$115:$B$3257,"="&amp;'Output - County'!B884)*VLOOKUP(A884,'Output - State'!$B$2:$G$52,5,FALSE)</f>
        <v>24.682922077918828</v>
      </c>
      <c r="G884" s="99">
        <f>SUMIFS(Input!$D$115:$D$3257,Input!$A$115:$A$3257,"="&amp;'Output - County'!A884,Input!$B$115:$B$3257,"="&amp;'Output - County'!B884)*VLOOKUP(A884,'Output - State'!$B$2:$G$52,6,FALSE)</f>
        <v>11.860061960048194</v>
      </c>
    </row>
    <row r="885" spans="1:7" x14ac:dyDescent="0.25">
      <c r="A885" s="88">
        <v>19</v>
      </c>
      <c r="B885" s="88">
        <v>189</v>
      </c>
      <c r="C885" s="97">
        <f>SUMIFS(Input!$C$115:$C$3257,Input!$A$115:$A$3257,"="&amp;'Output - County'!A885,Input!$B$115:$B$3257,"="&amp;'Output - County'!B885)*VLOOKUP(A885,'Output - State'!$B$2:$G$52,2,FALSE)</f>
        <v>0.91953825652140087</v>
      </c>
      <c r="D885" s="98">
        <f>SUMIFS(Input!$C$115:$C$3257,Input!$A$115:$A$3257,"="&amp;'Output - County'!A885,Input!$B$115:$B$3257,"="&amp;'Output - County'!B885)*VLOOKUP(A885,'Output - State'!$B$2:$G$52,3,FALSE)</f>
        <v>0.23595890474142306</v>
      </c>
      <c r="E885" s="98">
        <f>SUMIFS(Input!$C$115:$C$3257,Input!$A$115:$A$3257,"="&amp;'Output - County'!A885,Input!$B$115:$B$3257,"="&amp;'Output - County'!B885)*VLOOKUP(A885,'Output - State'!$B$2:$G$52,4,FALSE)</f>
        <v>3.1575067189637034</v>
      </c>
      <c r="F885" s="98">
        <f>SUMIFS(Input!$C$115:$C$3257,Input!$A$115:$A$3257,"="&amp;'Output - County'!A885,Input!$B$115:$B$3257,"="&amp;'Output - County'!B885)*VLOOKUP(A885,'Output - State'!$B$2:$G$52,5,FALSE)</f>
        <v>3.7508818300594431</v>
      </c>
      <c r="G885" s="99">
        <f>SUMIFS(Input!$D$115:$D$3257,Input!$A$115:$A$3257,"="&amp;'Output - County'!A885,Input!$B$115:$B$3257,"="&amp;'Output - County'!B885)*VLOOKUP(A885,'Output - State'!$B$2:$G$52,6,FALSE)</f>
        <v>3.4305964347246847</v>
      </c>
    </row>
    <row r="886" spans="1:7" x14ac:dyDescent="0.25">
      <c r="A886" s="88">
        <v>19</v>
      </c>
      <c r="B886" s="88">
        <v>191</v>
      </c>
      <c r="C886" s="97">
        <f>SUMIFS(Input!$C$115:$C$3257,Input!$A$115:$A$3257,"="&amp;'Output - County'!A886,Input!$B$115:$B$3257,"="&amp;'Output - County'!B886)*VLOOKUP(A886,'Output - State'!$B$2:$G$52,2,FALSE)</f>
        <v>3.0166977966546238</v>
      </c>
      <c r="D886" s="98">
        <f>SUMIFS(Input!$C$115:$C$3257,Input!$A$115:$A$3257,"="&amp;'Output - County'!A886,Input!$B$115:$B$3257,"="&amp;'Output - County'!B886)*VLOOKUP(A886,'Output - State'!$B$2:$G$52,3,FALSE)</f>
        <v>0.77410233123663708</v>
      </c>
      <c r="E886" s="98">
        <f>SUMIFS(Input!$C$115:$C$3257,Input!$A$115:$A$3257,"="&amp;'Output - County'!A886,Input!$B$115:$B$3257,"="&amp;'Output - County'!B886)*VLOOKUP(A886,'Output - State'!$B$2:$G$52,4,FALSE)</f>
        <v>10.358724603861317</v>
      </c>
      <c r="F886" s="98">
        <f>SUMIFS(Input!$C$115:$C$3257,Input!$A$115:$A$3257,"="&amp;'Output - County'!A886,Input!$B$115:$B$3257,"="&amp;'Output - County'!B886)*VLOOKUP(A886,'Output - State'!$B$2:$G$52,5,FALSE)</f>
        <v>12.305390093347182</v>
      </c>
      <c r="G886" s="99">
        <f>SUMIFS(Input!$D$115:$D$3257,Input!$A$115:$A$3257,"="&amp;'Output - County'!A886,Input!$B$115:$B$3257,"="&amp;'Output - County'!B886)*VLOOKUP(A886,'Output - State'!$B$2:$G$52,6,FALSE)</f>
        <v>6.53446939947559</v>
      </c>
    </row>
    <row r="887" spans="1:7" x14ac:dyDescent="0.25">
      <c r="A887" s="88">
        <v>19</v>
      </c>
      <c r="B887" s="88">
        <v>193</v>
      </c>
      <c r="C887" s="97">
        <f>SUMIFS(Input!$C$115:$C$3257,Input!$A$115:$A$3257,"="&amp;'Output - County'!A887,Input!$B$115:$B$3257,"="&amp;'Output - County'!B887)*VLOOKUP(A887,'Output - State'!$B$2:$G$52,2,FALSE)</f>
        <v>23.25708942235061</v>
      </c>
      <c r="D887" s="98">
        <f>SUMIFS(Input!$C$115:$C$3257,Input!$A$115:$A$3257,"="&amp;'Output - County'!A887,Input!$B$115:$B$3257,"="&amp;'Output - County'!B887)*VLOOKUP(A887,'Output - State'!$B$2:$G$52,3,FALSE)</f>
        <v>5.9679054228055035</v>
      </c>
      <c r="E887" s="98">
        <f>SUMIFS(Input!$C$115:$C$3257,Input!$A$115:$A$3257,"="&amp;'Output - County'!A887,Input!$B$115:$B$3257,"="&amp;'Output - County'!B887)*VLOOKUP(A887,'Output - State'!$B$2:$G$52,4,FALSE)</f>
        <v>79.860098907046023</v>
      </c>
      <c r="F887" s="98">
        <f>SUMIFS(Input!$C$115:$C$3257,Input!$A$115:$A$3257,"="&amp;'Output - County'!A887,Input!$B$115:$B$3257,"="&amp;'Output - County'!B887)*VLOOKUP(A887,'Output - State'!$B$2:$G$52,5,FALSE)</f>
        <v>94.86782471059955</v>
      </c>
      <c r="G887" s="99">
        <f>SUMIFS(Input!$D$115:$D$3257,Input!$A$115:$A$3257,"="&amp;'Output - County'!A887,Input!$B$115:$B$3257,"="&amp;'Output - County'!B887)*VLOOKUP(A887,'Output - State'!$B$2:$G$52,6,FALSE)</f>
        <v>33.652517407299285</v>
      </c>
    </row>
    <row r="888" spans="1:7" x14ac:dyDescent="0.25">
      <c r="A888" s="88">
        <v>19</v>
      </c>
      <c r="B888" s="88">
        <v>195</v>
      </c>
      <c r="C888" s="97">
        <f>SUMIFS(Input!$C$115:$C$3257,Input!$A$115:$A$3257,"="&amp;'Output - County'!A888,Input!$B$115:$B$3257,"="&amp;'Output - County'!B888)*VLOOKUP(A888,'Output - State'!$B$2:$G$52,2,FALSE)</f>
        <v>4.7526581212402927</v>
      </c>
      <c r="D888" s="98">
        <f>SUMIFS(Input!$C$115:$C$3257,Input!$A$115:$A$3257,"="&amp;'Output - County'!A888,Input!$B$115:$B$3257,"="&amp;'Output - County'!B888)*VLOOKUP(A888,'Output - State'!$B$2:$G$52,3,FALSE)</f>
        <v>1.2195599225426998</v>
      </c>
      <c r="E888" s="98">
        <f>SUMIFS(Input!$C$115:$C$3257,Input!$A$115:$A$3257,"="&amp;'Output - County'!A888,Input!$B$115:$B$3257,"="&amp;'Output - County'!B888)*VLOOKUP(A888,'Output - State'!$B$2:$G$52,4,FALSE)</f>
        <v>16.319658093969014</v>
      </c>
      <c r="F888" s="98">
        <f>SUMIFS(Input!$C$115:$C$3257,Input!$A$115:$A$3257,"="&amp;'Output - County'!A888,Input!$B$115:$B$3257,"="&amp;'Output - County'!B888)*VLOOKUP(A888,'Output - State'!$B$2:$G$52,5,FALSE)</f>
        <v>19.386533257335746</v>
      </c>
      <c r="G888" s="99">
        <f>SUMIFS(Input!$D$115:$D$3257,Input!$A$115:$A$3257,"="&amp;'Output - County'!A888,Input!$B$115:$B$3257,"="&amp;'Output - County'!B888)*VLOOKUP(A888,'Output - State'!$B$2:$G$52,6,FALSE)</f>
        <v>2.4210209125057061</v>
      </c>
    </row>
    <row r="889" spans="1:7" x14ac:dyDescent="0.25">
      <c r="A889" s="88">
        <v>19</v>
      </c>
      <c r="B889" s="88">
        <v>197</v>
      </c>
      <c r="C889" s="97">
        <f>SUMIFS(Input!$C$115:$C$3257,Input!$A$115:$A$3257,"="&amp;'Output - County'!A889,Input!$B$115:$B$3257,"="&amp;'Output - County'!B889)*VLOOKUP(A889,'Output - State'!$B$2:$G$52,2,FALSE)</f>
        <v>1.5089801162445886</v>
      </c>
      <c r="D889" s="98">
        <f>SUMIFS(Input!$C$115:$C$3257,Input!$A$115:$A$3257,"="&amp;'Output - County'!A889,Input!$B$115:$B$3257,"="&amp;'Output - County'!B889)*VLOOKUP(A889,'Output - State'!$B$2:$G$52,3,FALSE)</f>
        <v>0.38721313983457056</v>
      </c>
      <c r="E889" s="98">
        <f>SUMIFS(Input!$C$115:$C$3257,Input!$A$115:$A$3257,"="&amp;'Output - County'!A889,Input!$B$115:$B$3257,"="&amp;'Output - County'!B889)*VLOOKUP(A889,'Output - State'!$B$2:$G$52,4,FALSE)</f>
        <v>5.1815297754433658</v>
      </c>
      <c r="F889" s="98">
        <f>SUMIFS(Input!$C$115:$C$3257,Input!$A$115:$A$3257,"="&amp;'Output - County'!A889,Input!$B$115:$B$3257,"="&amp;'Output - County'!B889)*VLOOKUP(A889,'Output - State'!$B$2:$G$52,5,FALSE)</f>
        <v>6.1552698430998731</v>
      </c>
      <c r="G889" s="99">
        <f>SUMIFS(Input!$D$115:$D$3257,Input!$A$115:$A$3257,"="&amp;'Output - County'!A889,Input!$B$115:$B$3257,"="&amp;'Output - County'!B889)*VLOOKUP(A889,'Output - State'!$B$2:$G$52,6,FALSE)</f>
        <v>4.1493880686669993</v>
      </c>
    </row>
    <row r="890" spans="1:7" x14ac:dyDescent="0.25">
      <c r="A890" s="88">
        <v>20</v>
      </c>
      <c r="B890" s="88">
        <v>1</v>
      </c>
      <c r="C890" s="97">
        <f>SUMIFS(Input!$C$115:$C$3257,Input!$A$115:$A$3257,"="&amp;'Output - County'!A890,Input!$B$115:$B$3257,"="&amp;'Output - County'!B890)*VLOOKUP(A890,'Output - State'!$B$2:$G$52,2,FALSE)</f>
        <v>1.1509821685964796</v>
      </c>
      <c r="D890" s="98">
        <f>SUMIFS(Input!$C$115:$C$3257,Input!$A$115:$A$3257,"="&amp;'Output - County'!A890,Input!$B$115:$B$3257,"="&amp;'Output - County'!B890)*VLOOKUP(A890,'Output - State'!$B$2:$G$52,3,FALSE)</f>
        <v>0.28192382471260369</v>
      </c>
      <c r="E890" s="98">
        <f>SUMIFS(Input!$C$115:$C$3257,Input!$A$115:$A$3257,"="&amp;'Output - County'!A890,Input!$B$115:$B$3257,"="&amp;'Output - County'!B890)*VLOOKUP(A890,'Output - State'!$B$2:$G$52,4,FALSE)</f>
        <v>3.900234751306892</v>
      </c>
      <c r="F890" s="98">
        <f>SUMIFS(Input!$C$115:$C$3257,Input!$A$115:$A$3257,"="&amp;'Output - County'!A890,Input!$B$115:$B$3257,"="&amp;'Output - County'!B890)*VLOOKUP(A890,'Output - State'!$B$2:$G$52,5,FALSE)</f>
        <v>4.6331871833497758</v>
      </c>
      <c r="G890" s="99">
        <f>SUMIFS(Input!$D$115:$D$3257,Input!$A$115:$A$3257,"="&amp;'Output - County'!A890,Input!$B$115:$B$3257,"="&amp;'Output - County'!B890)*VLOOKUP(A890,'Output - State'!$B$2:$G$52,6,FALSE)</f>
        <v>3.0648449129701922</v>
      </c>
    </row>
    <row r="891" spans="1:7" x14ac:dyDescent="0.25">
      <c r="A891" s="88">
        <v>20</v>
      </c>
      <c r="B891" s="88">
        <v>3</v>
      </c>
      <c r="C891" s="97">
        <f>SUMIFS(Input!$C$115:$C$3257,Input!$A$115:$A$3257,"="&amp;'Output - County'!A891,Input!$B$115:$B$3257,"="&amp;'Output - County'!B891)*VLOOKUP(A891,'Output - State'!$B$2:$G$52,2,FALSE)</f>
        <v>0.52973567141069733</v>
      </c>
      <c r="D891" s="98">
        <f>SUMIFS(Input!$C$115:$C$3257,Input!$A$115:$A$3257,"="&amp;'Output - County'!A891,Input!$B$115:$B$3257,"="&amp;'Output - County'!B891)*VLOOKUP(A891,'Output - State'!$B$2:$G$52,3,FALSE)</f>
        <v>0.12975449198567163</v>
      </c>
      <c r="E891" s="98">
        <f>SUMIFS(Input!$C$115:$C$3257,Input!$A$115:$A$3257,"="&amp;'Output - County'!A891,Input!$B$115:$B$3257,"="&amp;'Output - County'!B891)*VLOOKUP(A891,'Output - State'!$B$2:$G$52,4,FALSE)</f>
        <v>1.7950699246386308</v>
      </c>
      <c r="F891" s="98">
        <f>SUMIFS(Input!$C$115:$C$3257,Input!$A$115:$A$3257,"="&amp;'Output - County'!A891,Input!$B$115:$B$3257,"="&amp;'Output - County'!B891)*VLOOKUP(A891,'Output - State'!$B$2:$G$52,5,FALSE)</f>
        <v>2.132408815973327</v>
      </c>
      <c r="G891" s="99">
        <f>SUMIFS(Input!$D$115:$D$3257,Input!$A$115:$A$3257,"="&amp;'Output - County'!A891,Input!$B$115:$B$3257,"="&amp;'Output - County'!B891)*VLOOKUP(A891,'Output - State'!$B$2:$G$52,6,FALSE)</f>
        <v>1.9247226053452808</v>
      </c>
    </row>
    <row r="892" spans="1:7" x14ac:dyDescent="0.25">
      <c r="A892" s="88">
        <v>20</v>
      </c>
      <c r="B892" s="88">
        <v>5</v>
      </c>
      <c r="C892" s="97">
        <f>SUMIFS(Input!$C$115:$C$3257,Input!$A$115:$A$3257,"="&amp;'Output - County'!A892,Input!$B$115:$B$3257,"="&amp;'Output - County'!B892)*VLOOKUP(A892,'Output - State'!$B$2:$G$52,2,FALSE)</f>
        <v>1.2994442770286492</v>
      </c>
      <c r="D892" s="98">
        <f>SUMIFS(Input!$C$115:$C$3257,Input!$A$115:$A$3257,"="&amp;'Output - County'!A892,Input!$B$115:$B$3257,"="&amp;'Output - County'!B892)*VLOOKUP(A892,'Output - State'!$B$2:$G$52,3,FALSE)</f>
        <v>0.31828842407484487</v>
      </c>
      <c r="E892" s="98">
        <f>SUMIFS(Input!$C$115:$C$3257,Input!$A$115:$A$3257,"="&amp;'Output - County'!A892,Input!$B$115:$B$3257,"="&amp;'Output - County'!B892)*VLOOKUP(A892,'Output - State'!$B$2:$G$52,4,FALSE)</f>
        <v>4.4033155898793295</v>
      </c>
      <c r="F892" s="98">
        <f>SUMIFS(Input!$C$115:$C$3257,Input!$A$115:$A$3257,"="&amp;'Output - County'!A892,Input!$B$115:$B$3257,"="&amp;'Output - County'!B892)*VLOOKUP(A892,'Output - State'!$B$2:$G$52,5,FALSE)</f>
        <v>5.2308095938166455</v>
      </c>
      <c r="G892" s="99">
        <f>SUMIFS(Input!$D$115:$D$3257,Input!$A$115:$A$3257,"="&amp;'Output - County'!A892,Input!$B$115:$B$3257,"="&amp;'Output - County'!B892)*VLOOKUP(A892,'Output - State'!$B$2:$G$52,6,FALSE)</f>
        <v>3.9720390072093688</v>
      </c>
    </row>
    <row r="893" spans="1:7" x14ac:dyDescent="0.25">
      <c r="A893" s="88">
        <v>20</v>
      </c>
      <c r="B893" s="88">
        <v>7</v>
      </c>
      <c r="C893" s="97">
        <f>SUMIFS(Input!$C$115:$C$3257,Input!$A$115:$A$3257,"="&amp;'Output - County'!A893,Input!$B$115:$B$3257,"="&amp;'Output - County'!B893)*VLOOKUP(A893,'Output - State'!$B$2:$G$52,2,FALSE)</f>
        <v>0.30694689035062572</v>
      </c>
      <c r="D893" s="98">
        <f>SUMIFS(Input!$C$115:$C$3257,Input!$A$115:$A$3257,"="&amp;'Output - County'!A893,Input!$B$115:$B$3257,"="&amp;'Output - County'!B893)*VLOOKUP(A893,'Output - State'!$B$2:$G$52,3,FALSE)</f>
        <v>7.518417198140534E-2</v>
      </c>
      <c r="E893" s="98">
        <f>SUMIFS(Input!$C$115:$C$3257,Input!$A$115:$A$3257,"="&amp;'Output - County'!A893,Input!$B$115:$B$3257,"="&amp;'Output - County'!B893)*VLOOKUP(A893,'Output - State'!$B$2:$G$52,4,FALSE)</f>
        <v>1.0401246528527308</v>
      </c>
      <c r="F893" s="98">
        <f>SUMIFS(Input!$C$115:$C$3257,Input!$A$115:$A$3257,"="&amp;'Output - County'!A893,Input!$B$115:$B$3257,"="&amp;'Output - County'!B893)*VLOOKUP(A893,'Output - State'!$B$2:$G$52,5,FALSE)</f>
        <v>1.2355902959606788</v>
      </c>
      <c r="G893" s="99">
        <f>SUMIFS(Input!$D$115:$D$3257,Input!$A$115:$A$3257,"="&amp;'Output - County'!A893,Input!$B$115:$B$3257,"="&amp;'Output - County'!B893)*VLOOKUP(A893,'Output - State'!$B$2:$G$52,6,FALSE)</f>
        <v>1.0959885408781407</v>
      </c>
    </row>
    <row r="894" spans="1:7" x14ac:dyDescent="0.25">
      <c r="A894" s="88">
        <v>20</v>
      </c>
      <c r="B894" s="88">
        <v>9</v>
      </c>
      <c r="C894" s="97">
        <f>SUMIFS(Input!$C$115:$C$3257,Input!$A$115:$A$3257,"="&amp;'Output - County'!A894,Input!$B$115:$B$3257,"="&amp;'Output - County'!B894)*VLOOKUP(A894,'Output - State'!$B$2:$G$52,2,FALSE)</f>
        <v>2.4098777547698962</v>
      </c>
      <c r="D894" s="98">
        <f>SUMIFS(Input!$C$115:$C$3257,Input!$A$115:$A$3257,"="&amp;'Output - County'!A894,Input!$B$115:$B$3257,"="&amp;'Output - County'!B894)*VLOOKUP(A894,'Output - State'!$B$2:$G$52,3,FALSE)</f>
        <v>0.5902801731003543</v>
      </c>
      <c r="E894" s="98">
        <f>SUMIFS(Input!$C$115:$C$3257,Input!$A$115:$A$3257,"="&amp;'Output - County'!A894,Input!$B$115:$B$3257,"="&amp;'Output - County'!B894)*VLOOKUP(A894,'Output - State'!$B$2:$G$52,4,FALSE)</f>
        <v>8.1661464634298646</v>
      </c>
      <c r="F894" s="98">
        <f>SUMIFS(Input!$C$115:$C$3257,Input!$A$115:$A$3257,"="&amp;'Output - County'!A894,Input!$B$115:$B$3257,"="&amp;'Output - County'!B894)*VLOOKUP(A894,'Output - State'!$B$2:$G$52,5,FALSE)</f>
        <v>9.7007712469210947</v>
      </c>
      <c r="G894" s="99">
        <f>SUMIFS(Input!$D$115:$D$3257,Input!$A$115:$A$3257,"="&amp;'Output - County'!A894,Input!$B$115:$B$3257,"="&amp;'Output - County'!B894)*VLOOKUP(A894,'Output - State'!$B$2:$G$52,6,FALSE)</f>
        <v>6.3993961782817612</v>
      </c>
    </row>
    <row r="895" spans="1:7" x14ac:dyDescent="0.25">
      <c r="A895" s="88">
        <v>20</v>
      </c>
      <c r="B895" s="88">
        <v>11</v>
      </c>
      <c r="C895" s="97">
        <f>SUMIFS(Input!$C$115:$C$3257,Input!$A$115:$A$3257,"="&amp;'Output - County'!A895,Input!$B$115:$B$3257,"="&amp;'Output - County'!B895)*VLOOKUP(A895,'Output - State'!$B$2:$G$52,2,FALSE)</f>
        <v>2.0476329675292968</v>
      </c>
      <c r="D895" s="98">
        <f>SUMIFS(Input!$C$115:$C$3257,Input!$A$115:$A$3257,"="&amp;'Output - County'!A895,Input!$B$115:$B$3257,"="&amp;'Output - County'!B895)*VLOOKUP(A895,'Output - State'!$B$2:$G$52,3,FALSE)</f>
        <v>0.50155122604324553</v>
      </c>
      <c r="E895" s="98">
        <f>SUMIFS(Input!$C$115:$C$3257,Input!$A$115:$A$3257,"="&amp;'Output - County'!A895,Input!$B$115:$B$3257,"="&amp;'Output - County'!B895)*VLOOKUP(A895,'Output - State'!$B$2:$G$52,4,FALSE)</f>
        <v>6.9386385608544572</v>
      </c>
      <c r="F895" s="98">
        <f>SUMIFS(Input!$C$115:$C$3257,Input!$A$115:$A$3257,"="&amp;'Output - County'!A895,Input!$B$115:$B$3257,"="&amp;'Output - County'!B895)*VLOOKUP(A895,'Output - State'!$B$2:$G$52,5,FALSE)</f>
        <v>8.2425836648102369</v>
      </c>
      <c r="G895" s="99">
        <f>SUMIFS(Input!$D$115:$D$3257,Input!$A$115:$A$3257,"="&amp;'Output - County'!A895,Input!$B$115:$B$3257,"="&amp;'Output - County'!B895)*VLOOKUP(A895,'Output - State'!$B$2:$G$52,6,FALSE)</f>
        <v>3.5552200990454232</v>
      </c>
    </row>
    <row r="896" spans="1:7" x14ac:dyDescent="0.25">
      <c r="A896" s="88">
        <v>20</v>
      </c>
      <c r="B896" s="88">
        <v>13</v>
      </c>
      <c r="C896" s="97">
        <f>SUMIFS(Input!$C$115:$C$3257,Input!$A$115:$A$3257,"="&amp;'Output - County'!A896,Input!$B$115:$B$3257,"="&amp;'Output - County'!B896)*VLOOKUP(A896,'Output - State'!$B$2:$G$52,2,FALSE)</f>
        <v>0.8089957965896174</v>
      </c>
      <c r="D896" s="98">
        <f>SUMIFS(Input!$C$115:$C$3257,Input!$A$115:$A$3257,"="&amp;'Output - County'!A896,Input!$B$115:$B$3257,"="&amp;'Output - County'!B896)*VLOOKUP(A896,'Output - State'!$B$2:$G$52,3,FALSE)</f>
        <v>0.1981570135261799</v>
      </c>
      <c r="E896" s="98">
        <f>SUMIFS(Input!$C$115:$C$3257,Input!$A$115:$A$3257,"="&amp;'Output - County'!A896,Input!$B$115:$B$3257,"="&amp;'Output - County'!B896)*VLOOKUP(A896,'Output - State'!$B$2:$G$52,4,FALSE)</f>
        <v>2.7413748063252821</v>
      </c>
      <c r="F896" s="98">
        <f>SUMIFS(Input!$C$115:$C$3257,Input!$A$115:$A$3257,"="&amp;'Output - County'!A896,Input!$B$115:$B$3257,"="&amp;'Output - County'!B896)*VLOOKUP(A896,'Output - State'!$B$2:$G$52,5,FALSE)</f>
        <v>3.2565482406330317</v>
      </c>
      <c r="G896" s="99">
        <f>SUMIFS(Input!$D$115:$D$3257,Input!$A$115:$A$3257,"="&amp;'Output - County'!A896,Input!$B$115:$B$3257,"="&amp;'Output - County'!B896)*VLOOKUP(A896,'Output - State'!$B$2:$G$52,6,FALSE)</f>
        <v>2.3562527690914838</v>
      </c>
    </row>
    <row r="897" spans="1:7" x14ac:dyDescent="0.25">
      <c r="A897" s="88">
        <v>20</v>
      </c>
      <c r="B897" s="88">
        <v>15</v>
      </c>
      <c r="C897" s="97">
        <f>SUMIFS(Input!$C$115:$C$3257,Input!$A$115:$A$3257,"="&amp;'Output - County'!A897,Input!$B$115:$B$3257,"="&amp;'Output - County'!B897)*VLOOKUP(A897,'Output - State'!$B$2:$G$52,2,FALSE)</f>
        <v>13.053276384907699</v>
      </c>
      <c r="D897" s="98">
        <f>SUMIFS(Input!$C$115:$C$3257,Input!$A$115:$A$3257,"="&amp;'Output - County'!A897,Input!$B$115:$B$3257,"="&amp;'Output - County'!B897)*VLOOKUP(A897,'Output - State'!$B$2:$G$52,3,FALSE)</f>
        <v>3.1972950614442235</v>
      </c>
      <c r="E897" s="98">
        <f>SUMIFS(Input!$C$115:$C$3257,Input!$A$115:$A$3257,"="&amp;'Output - County'!A897,Input!$B$115:$B$3257,"="&amp;'Output - County'!B897)*VLOOKUP(A897,'Output - State'!$B$2:$G$52,4,FALSE)</f>
        <v>44.232520332536382</v>
      </c>
      <c r="F897" s="98">
        <f>SUMIFS(Input!$C$115:$C$3257,Input!$A$115:$A$3257,"="&amp;'Output - County'!A897,Input!$B$115:$B$3257,"="&amp;'Output - County'!B897)*VLOOKUP(A897,'Output - State'!$B$2:$G$52,5,FALSE)</f>
        <v>52.544925974851999</v>
      </c>
      <c r="G897" s="99">
        <f>SUMIFS(Input!$D$115:$D$3257,Input!$A$115:$A$3257,"="&amp;'Output - County'!A897,Input!$B$115:$B$3257,"="&amp;'Output - County'!B897)*VLOOKUP(A897,'Output - State'!$B$2:$G$52,6,FALSE)</f>
        <v>16.378531214912705</v>
      </c>
    </row>
    <row r="898" spans="1:7" x14ac:dyDescent="0.25">
      <c r="A898" s="88">
        <v>20</v>
      </c>
      <c r="B898" s="88">
        <v>17</v>
      </c>
      <c r="C898" s="97">
        <f>SUMIFS(Input!$C$115:$C$3257,Input!$A$115:$A$3257,"="&amp;'Output - County'!A898,Input!$B$115:$B$3257,"="&amp;'Output - County'!B898)*VLOOKUP(A898,'Output - State'!$B$2:$G$52,2,FALSE)</f>
        <v>2.6964510985022967</v>
      </c>
      <c r="D898" s="98">
        <f>SUMIFS(Input!$C$115:$C$3257,Input!$A$115:$A$3257,"="&amp;'Output - County'!A898,Input!$B$115:$B$3257,"="&amp;'Output - County'!B898)*VLOOKUP(A898,'Output - State'!$B$2:$G$52,3,FALSE)</f>
        <v>0.6604740087044596</v>
      </c>
      <c r="E898" s="98">
        <f>SUMIFS(Input!$C$115:$C$3257,Input!$A$115:$A$3257,"="&amp;'Output - County'!A898,Input!$B$115:$B$3257,"="&amp;'Output - County'!B898)*VLOOKUP(A898,'Output - State'!$B$2:$G$52,4,FALSE)</f>
        <v>9.1372330228213645</v>
      </c>
      <c r="F898" s="98">
        <f>SUMIFS(Input!$C$115:$C$3257,Input!$A$115:$A$3257,"="&amp;'Output - County'!A898,Input!$B$115:$B$3257,"="&amp;'Output - County'!B898)*VLOOKUP(A898,'Output - State'!$B$2:$G$52,5,FALSE)</f>
        <v>10.854349451255674</v>
      </c>
      <c r="G898" s="99">
        <f>SUMIFS(Input!$D$115:$D$3257,Input!$A$115:$A$3257,"="&amp;'Output - County'!A898,Input!$B$115:$B$3257,"="&amp;'Output - County'!B898)*VLOOKUP(A898,'Output - State'!$B$2:$G$52,6,FALSE)</f>
        <v>0.63748774189779989</v>
      </c>
    </row>
    <row r="899" spans="1:7" x14ac:dyDescent="0.25">
      <c r="A899" s="88">
        <v>20</v>
      </c>
      <c r="B899" s="88">
        <v>19</v>
      </c>
      <c r="C899" s="97">
        <f>SUMIFS(Input!$C$115:$C$3257,Input!$A$115:$A$3257,"="&amp;'Output - County'!A899,Input!$B$115:$B$3257,"="&amp;'Output - County'!B899)*VLOOKUP(A899,'Output - State'!$B$2:$G$52,2,FALSE)</f>
        <v>0.22971044624299924</v>
      </c>
      <c r="D899" s="98">
        <f>SUMIFS(Input!$C$115:$C$3257,Input!$A$115:$A$3257,"="&amp;'Output - County'!A899,Input!$B$115:$B$3257,"="&amp;'Output - County'!B899)*VLOOKUP(A899,'Output - State'!$B$2:$G$52,3,FALSE)</f>
        <v>5.6265726219056358E-2</v>
      </c>
      <c r="E899" s="98">
        <f>SUMIFS(Input!$C$115:$C$3257,Input!$A$115:$A$3257,"="&amp;'Output - County'!A899,Input!$B$115:$B$3257,"="&amp;'Output - County'!B899)*VLOOKUP(A899,'Output - State'!$B$2:$G$52,4,FALSE)</f>
        <v>0.77840012610070208</v>
      </c>
      <c r="F899" s="98">
        <f>SUMIFS(Input!$C$115:$C$3257,Input!$A$115:$A$3257,"="&amp;'Output - County'!A899,Input!$B$115:$B$3257,"="&amp;'Output - County'!B899)*VLOOKUP(A899,'Output - State'!$B$2:$G$52,5,FALSE)</f>
        <v>0.92468113273416785</v>
      </c>
      <c r="G899" s="99">
        <f>SUMIFS(Input!$D$115:$D$3257,Input!$A$115:$A$3257,"="&amp;'Output - County'!A899,Input!$B$115:$B$3257,"="&amp;'Output - County'!B899)*VLOOKUP(A899,'Output - State'!$B$2:$G$52,6,FALSE)</f>
        <v>0.80911905702413067</v>
      </c>
    </row>
    <row r="900" spans="1:7" x14ac:dyDescent="0.25">
      <c r="A900" s="88">
        <v>20</v>
      </c>
      <c r="B900" s="88">
        <v>21</v>
      </c>
      <c r="C900" s="97">
        <f>SUMIFS(Input!$C$115:$C$3257,Input!$A$115:$A$3257,"="&amp;'Output - County'!A900,Input!$B$115:$B$3257,"="&amp;'Output - County'!B900)*VLOOKUP(A900,'Output - State'!$B$2:$G$52,2,FALSE)</f>
        <v>2.004107455338179</v>
      </c>
      <c r="D900" s="98">
        <f>SUMIFS(Input!$C$115:$C$3257,Input!$A$115:$A$3257,"="&amp;'Output - County'!A900,Input!$B$115:$B$3257,"="&amp;'Output - County'!B900)*VLOOKUP(A900,'Output - State'!$B$2:$G$52,3,FALSE)</f>
        <v>0.4908900019128507</v>
      </c>
      <c r="E900" s="98">
        <f>SUMIFS(Input!$C$115:$C$3257,Input!$A$115:$A$3257,"="&amp;'Output - County'!A900,Input!$B$115:$B$3257,"="&amp;'Output - County'!B900)*VLOOKUP(A900,'Output - State'!$B$2:$G$52,4,FALSE)</f>
        <v>6.7911473834513911</v>
      </c>
      <c r="F900" s="98">
        <f>SUMIFS(Input!$C$115:$C$3257,Input!$A$115:$A$3257,"="&amp;'Output - County'!A900,Input!$B$115:$B$3257,"="&amp;'Output - County'!B900)*VLOOKUP(A900,'Output - State'!$B$2:$G$52,5,FALSE)</f>
        <v>8.0673751770206046</v>
      </c>
      <c r="G900" s="99">
        <f>SUMIFS(Input!$D$115:$D$3257,Input!$A$115:$A$3257,"="&amp;'Output - County'!A900,Input!$B$115:$B$3257,"="&amp;'Output - County'!B900)*VLOOKUP(A900,'Output - State'!$B$2:$G$52,6,FALSE)</f>
        <v>4.9037518607523074</v>
      </c>
    </row>
    <row r="901" spans="1:7" x14ac:dyDescent="0.25">
      <c r="A901" s="88">
        <v>20</v>
      </c>
      <c r="B901" s="88">
        <v>23</v>
      </c>
      <c r="C901" s="97">
        <f>SUMIFS(Input!$C$115:$C$3257,Input!$A$115:$A$3257,"="&amp;'Output - County'!A901,Input!$B$115:$B$3257,"="&amp;'Output - County'!B901)*VLOOKUP(A901,'Output - State'!$B$2:$G$52,2,FALSE)</f>
        <v>0.23108371233405972</v>
      </c>
      <c r="D901" s="98">
        <f>SUMIFS(Input!$C$115:$C$3257,Input!$A$115:$A$3257,"="&amp;'Output - County'!A901,Input!$B$115:$B$3257,"="&amp;'Output - County'!B901)*VLOOKUP(A901,'Output - State'!$B$2:$G$52,3,FALSE)</f>
        <v>5.6602096702720761E-2</v>
      </c>
      <c r="E901" s="98">
        <f>SUMIFS(Input!$C$115:$C$3257,Input!$A$115:$A$3257,"="&amp;'Output - County'!A901,Input!$B$115:$B$3257,"="&amp;'Output - County'!B901)*VLOOKUP(A901,'Output - State'!$B$2:$G$52,4,FALSE)</f>
        <v>0.78305359535268604</v>
      </c>
      <c r="F901" s="98">
        <f>SUMIFS(Input!$C$115:$C$3257,Input!$A$115:$A$3257,"="&amp;'Output - County'!A901,Input!$B$115:$B$3257,"="&amp;'Output - County'!B901)*VLOOKUP(A901,'Output - State'!$B$2:$G$52,5,FALSE)</f>
        <v>0.93020910616940267</v>
      </c>
      <c r="G901" s="99">
        <f>SUMIFS(Input!$D$115:$D$3257,Input!$A$115:$A$3257,"="&amp;'Output - County'!A901,Input!$B$115:$B$3257,"="&amp;'Output - County'!B901)*VLOOKUP(A901,'Output - State'!$B$2:$G$52,6,FALSE)</f>
        <v>0.64974712154968073</v>
      </c>
    </row>
    <row r="902" spans="1:7" x14ac:dyDescent="0.25">
      <c r="A902" s="88">
        <v>20</v>
      </c>
      <c r="B902" s="88">
        <v>25</v>
      </c>
      <c r="C902" s="97">
        <f>SUMIFS(Input!$C$115:$C$3257,Input!$A$115:$A$3257,"="&amp;'Output - County'!A902,Input!$B$115:$B$3257,"="&amp;'Output - County'!B902)*VLOOKUP(A902,'Output - State'!$B$2:$G$52,2,FALSE)</f>
        <v>0.26562737388573571</v>
      </c>
      <c r="D902" s="98">
        <f>SUMIFS(Input!$C$115:$C$3257,Input!$A$115:$A$3257,"="&amp;'Output - County'!A902,Input!$B$115:$B$3257,"="&amp;'Output - County'!B902)*VLOOKUP(A902,'Output - State'!$B$2:$G$52,3,FALSE)</f>
        <v>6.5063288761066596E-2</v>
      </c>
      <c r="E902" s="98">
        <f>SUMIFS(Input!$C$115:$C$3257,Input!$A$115:$A$3257,"="&amp;'Output - County'!A902,Input!$B$115:$B$3257,"="&amp;'Output - County'!B902)*VLOOKUP(A902,'Output - State'!$B$2:$G$52,4,FALSE)</f>
        <v>0.90010874433515875</v>
      </c>
      <c r="F902" s="98">
        <f>SUMIFS(Input!$C$115:$C$3257,Input!$A$115:$A$3257,"="&amp;'Output - County'!A902,Input!$B$115:$B$3257,"="&amp;'Output - County'!B902)*VLOOKUP(A902,'Output - State'!$B$2:$G$52,5,FALSE)</f>
        <v>1.0692618685265824</v>
      </c>
      <c r="G902" s="99">
        <f>SUMIFS(Input!$D$115:$D$3257,Input!$A$115:$A$3257,"="&amp;'Output - County'!A902,Input!$B$115:$B$3257,"="&amp;'Output - County'!B902)*VLOOKUP(A902,'Output - State'!$B$2:$G$52,6,FALSE)</f>
        <v>0.48792331014485463</v>
      </c>
    </row>
    <row r="903" spans="1:7" x14ac:dyDescent="0.25">
      <c r="A903" s="88">
        <v>20</v>
      </c>
      <c r="B903" s="88">
        <v>27</v>
      </c>
      <c r="C903" s="97">
        <f>SUMIFS(Input!$C$115:$C$3257,Input!$A$115:$A$3257,"="&amp;'Output - County'!A903,Input!$B$115:$B$3257,"="&amp;'Output - County'!B903)*VLOOKUP(A903,'Output - State'!$B$2:$G$52,2,FALSE)</f>
        <v>0.46773339695820165</v>
      </c>
      <c r="D903" s="98">
        <f>SUMIFS(Input!$C$115:$C$3257,Input!$A$115:$A$3257,"="&amp;'Output - County'!A903,Input!$B$115:$B$3257,"="&amp;'Output - County'!B903)*VLOOKUP(A903,'Output - State'!$B$2:$G$52,3,FALSE)</f>
        <v>0.11456753355012667</v>
      </c>
      <c r="E903" s="98">
        <f>SUMIFS(Input!$C$115:$C$3257,Input!$A$115:$A$3257,"="&amp;'Output - County'!A903,Input!$B$115:$B$3257,"="&amp;'Output - County'!B903)*VLOOKUP(A903,'Output - State'!$B$2:$G$52,4,FALSE)</f>
        <v>1.5849681245607259</v>
      </c>
      <c r="F903" s="98">
        <f>SUMIFS(Input!$C$115:$C$3257,Input!$A$115:$A$3257,"="&amp;'Output - County'!A903,Input!$B$115:$B$3257,"="&amp;'Output - County'!B903)*VLOOKUP(A903,'Output - State'!$B$2:$G$52,5,FALSE)</f>
        <v>1.882823591136928</v>
      </c>
      <c r="G903" s="99">
        <f>SUMIFS(Input!$D$115:$D$3257,Input!$A$115:$A$3257,"="&amp;'Output - County'!A903,Input!$B$115:$B$3257,"="&amp;'Output - County'!B903)*VLOOKUP(A903,'Output - State'!$B$2:$G$52,6,FALSE)</f>
        <v>1.9615007443009229</v>
      </c>
    </row>
    <row r="904" spans="1:7" x14ac:dyDescent="0.25">
      <c r="A904" s="88">
        <v>20</v>
      </c>
      <c r="B904" s="88">
        <v>29</v>
      </c>
      <c r="C904" s="97">
        <f>SUMIFS(Input!$C$115:$C$3257,Input!$A$115:$A$3257,"="&amp;'Output - County'!A904,Input!$B$115:$B$3257,"="&amp;'Output - County'!B904)*VLOOKUP(A904,'Output - State'!$B$2:$G$52,2,FALSE)</f>
        <v>1.9272643694719493</v>
      </c>
      <c r="D904" s="98">
        <f>SUMIFS(Input!$C$115:$C$3257,Input!$A$115:$A$3257,"="&amp;'Output - County'!A904,Input!$B$115:$B$3257,"="&amp;'Output - County'!B904)*VLOOKUP(A904,'Output - State'!$B$2:$G$52,3,FALSE)</f>
        <v>0.47206790608790528</v>
      </c>
      <c r="E904" s="98">
        <f>SUMIFS(Input!$C$115:$C$3257,Input!$A$115:$A$3257,"="&amp;'Output - County'!A904,Input!$B$115:$B$3257,"="&amp;'Output - County'!B904)*VLOOKUP(A904,'Output - State'!$B$2:$G$52,4,FALSE)</f>
        <v>6.5307557961007436</v>
      </c>
      <c r="F904" s="98">
        <f>SUMIFS(Input!$C$115:$C$3257,Input!$A$115:$A$3257,"="&amp;'Output - County'!A904,Input!$B$115:$B$3257,"="&amp;'Output - County'!B904)*VLOOKUP(A904,'Output - State'!$B$2:$G$52,5,FALSE)</f>
        <v>7.7580494461114924</v>
      </c>
      <c r="G904" s="99">
        <f>SUMIFS(Input!$D$115:$D$3257,Input!$A$115:$A$3257,"="&amp;'Output - County'!A904,Input!$B$115:$B$3257,"="&amp;'Output - County'!B904)*VLOOKUP(A904,'Output - State'!$B$2:$G$52,6,FALSE)</f>
        <v>2.140487687218382</v>
      </c>
    </row>
    <row r="905" spans="1:7" x14ac:dyDescent="0.25">
      <c r="A905" s="88">
        <v>20</v>
      </c>
      <c r="B905" s="88">
        <v>31</v>
      </c>
      <c r="C905" s="97">
        <f>SUMIFS(Input!$C$115:$C$3257,Input!$A$115:$A$3257,"="&amp;'Output - County'!A905,Input!$B$115:$B$3257,"="&amp;'Output - County'!B905)*VLOOKUP(A905,'Output - State'!$B$2:$G$52,2,FALSE)</f>
        <v>1.8568322671848112</v>
      </c>
      <c r="D905" s="98">
        <f>SUMIFS(Input!$C$115:$C$3257,Input!$A$115:$A$3257,"="&amp;'Output - County'!A905,Input!$B$115:$B$3257,"="&amp;'Output - County'!B905)*VLOOKUP(A905,'Output - State'!$B$2:$G$52,3,FALSE)</f>
        <v>0.45481612912636249</v>
      </c>
      <c r="E905" s="98">
        <f>SUMIFS(Input!$C$115:$C$3257,Input!$A$115:$A$3257,"="&amp;'Output - County'!A905,Input!$B$115:$B$3257,"="&amp;'Output - County'!B905)*VLOOKUP(A905,'Output - State'!$B$2:$G$52,4,FALSE)</f>
        <v>6.2920885600280316</v>
      </c>
      <c r="F905" s="98">
        <f>SUMIFS(Input!$C$115:$C$3257,Input!$A$115:$A$3257,"="&amp;'Output - County'!A905,Input!$B$115:$B$3257,"="&amp;'Output - County'!B905)*VLOOKUP(A905,'Output - State'!$B$2:$G$52,5,FALSE)</f>
        <v>7.4745306197415982</v>
      </c>
      <c r="G905" s="99">
        <f>SUMIFS(Input!$D$115:$D$3257,Input!$A$115:$A$3257,"="&amp;'Output - County'!A905,Input!$B$115:$B$3257,"="&amp;'Output - County'!B905)*VLOOKUP(A905,'Output - State'!$B$2:$G$52,6,FALSE)</f>
        <v>2.0178938906995745</v>
      </c>
    </row>
    <row r="906" spans="1:7" x14ac:dyDescent="0.25">
      <c r="A906" s="88">
        <v>20</v>
      </c>
      <c r="B906" s="88">
        <v>33</v>
      </c>
      <c r="C906" s="97">
        <f>SUMIFS(Input!$C$115:$C$3257,Input!$A$115:$A$3257,"="&amp;'Output - County'!A906,Input!$B$115:$B$3257,"="&amp;'Output - County'!B906)*VLOOKUP(A906,'Output - State'!$B$2:$G$52,2,FALSE)</f>
        <v>0.11822762253966396</v>
      </c>
      <c r="D906" s="98">
        <f>SUMIFS(Input!$C$115:$C$3257,Input!$A$115:$A$3257,"="&amp;'Output - County'!A906,Input!$B$115:$B$3257,"="&amp;'Output - County'!B906)*VLOOKUP(A906,'Output - State'!$B$2:$G$52,3,FALSE)</f>
        <v>2.895890522240193E-2</v>
      </c>
      <c r="E906" s="98">
        <f>SUMIFS(Input!$C$115:$C$3257,Input!$A$115:$A$3257,"="&amp;'Output - County'!A906,Input!$B$115:$B$3257,"="&amp;'Output - County'!B906)*VLOOKUP(A906,'Output - State'!$B$2:$G$52,4,FALSE)</f>
        <v>0.40062782428322125</v>
      </c>
      <c r="F906" s="98">
        <f>SUMIFS(Input!$C$115:$C$3257,Input!$A$115:$A$3257,"="&amp;'Output - County'!A906,Input!$B$115:$B$3257,"="&amp;'Output - County'!B906)*VLOOKUP(A906,'Output - State'!$B$2:$G$52,5,FALSE)</f>
        <v>0.47591589202171897</v>
      </c>
      <c r="G906" s="99">
        <f>SUMIFS(Input!$D$115:$D$3257,Input!$A$115:$A$3257,"="&amp;'Output - County'!A906,Input!$B$115:$B$3257,"="&amp;'Output - County'!B906)*VLOOKUP(A906,'Output - State'!$B$2:$G$52,6,FALSE)</f>
        <v>0.42662641188545075</v>
      </c>
    </row>
    <row r="907" spans="1:7" x14ac:dyDescent="0.25">
      <c r="A907" s="88">
        <v>20</v>
      </c>
      <c r="B907" s="88">
        <v>35</v>
      </c>
      <c r="C907" s="97">
        <f>SUMIFS(Input!$C$115:$C$3257,Input!$A$115:$A$3257,"="&amp;'Output - County'!A907,Input!$B$115:$B$3257,"="&amp;'Output - County'!B907)*VLOOKUP(A907,'Output - State'!$B$2:$G$52,2,FALSE)</f>
        <v>3.7713356537759677</v>
      </c>
      <c r="D907" s="98">
        <f>SUMIFS(Input!$C$115:$C$3257,Input!$A$115:$A$3257,"="&amp;'Output - County'!A907,Input!$B$115:$B$3257,"="&amp;'Output - County'!B907)*VLOOKUP(A907,'Output - State'!$B$2:$G$52,3,FALSE)</f>
        <v>0.92375833509570537</v>
      </c>
      <c r="E907" s="98">
        <f>SUMIFS(Input!$C$115:$C$3257,Input!$A$115:$A$3257,"="&amp;'Output - County'!A907,Input!$B$115:$B$3257,"="&amp;'Output - County'!B907)*VLOOKUP(A907,'Output - State'!$B$2:$G$52,4,FALSE)</f>
        <v>12.779602305773475</v>
      </c>
      <c r="F907" s="98">
        <f>SUMIFS(Input!$C$115:$C$3257,Input!$A$115:$A$3257,"="&amp;'Output - County'!A907,Input!$B$115:$B$3257,"="&amp;'Output - County'!B907)*VLOOKUP(A907,'Output - State'!$B$2:$G$52,5,FALSE)</f>
        <v>15.181211744133273</v>
      </c>
      <c r="G907" s="99">
        <f>SUMIFS(Input!$D$115:$D$3257,Input!$A$115:$A$3257,"="&amp;'Output - County'!A907,Input!$B$115:$B$3257,"="&amp;'Output - County'!B907)*VLOOKUP(A907,'Output - State'!$B$2:$G$52,6,FALSE)</f>
        <v>8.6060845156202994</v>
      </c>
    </row>
    <row r="908" spans="1:7" x14ac:dyDescent="0.25">
      <c r="A908" s="88">
        <v>20</v>
      </c>
      <c r="B908" s="88">
        <v>37</v>
      </c>
      <c r="C908" s="97">
        <f>SUMIFS(Input!$C$115:$C$3257,Input!$A$115:$A$3257,"="&amp;'Output - County'!A908,Input!$B$115:$B$3257,"="&amp;'Output - County'!B908)*VLOOKUP(A908,'Output - State'!$B$2:$G$52,2,FALSE)</f>
        <v>4.0051538743438151</v>
      </c>
      <c r="D908" s="98">
        <f>SUMIFS(Input!$C$115:$C$3257,Input!$A$115:$A$3257,"="&amp;'Output - County'!A908,Input!$B$115:$B$3257,"="&amp;'Output - County'!B908)*VLOOKUP(A908,'Output - State'!$B$2:$G$52,3,FALSE)</f>
        <v>0.98103022759632064</v>
      </c>
      <c r="E908" s="98">
        <f>SUMIFS(Input!$C$115:$C$3257,Input!$A$115:$A$3257,"="&amp;'Output - County'!A908,Input!$B$115:$B$3257,"="&amp;'Output - County'!B908)*VLOOKUP(A908,'Output - State'!$B$2:$G$52,4,FALSE)</f>
        <v>13.571922095105654</v>
      </c>
      <c r="F908" s="98">
        <f>SUMIFS(Input!$C$115:$C$3257,Input!$A$115:$A$3257,"="&amp;'Output - County'!A908,Input!$B$115:$B$3257,"="&amp;'Output - County'!B908)*VLOOKUP(A908,'Output - State'!$B$2:$G$52,5,FALSE)</f>
        <v>16.122428395725382</v>
      </c>
      <c r="G908" s="99">
        <f>SUMIFS(Input!$D$115:$D$3257,Input!$A$115:$A$3257,"="&amp;'Output - County'!A908,Input!$B$115:$B$3257,"="&amp;'Output - County'!B908)*VLOOKUP(A908,'Output - State'!$B$2:$G$52,6,FALSE)</f>
        <v>9.5377973691632363</v>
      </c>
    </row>
    <row r="909" spans="1:7" x14ac:dyDescent="0.25">
      <c r="A909" s="88">
        <v>20</v>
      </c>
      <c r="B909" s="88">
        <v>39</v>
      </c>
      <c r="C909" s="97">
        <f>SUMIFS(Input!$C$115:$C$3257,Input!$A$115:$A$3257,"="&amp;'Output - County'!A909,Input!$B$115:$B$3257,"="&amp;'Output - County'!B909)*VLOOKUP(A909,'Output - State'!$B$2:$G$52,2,FALSE)</f>
        <v>0.2715352712578033</v>
      </c>
      <c r="D909" s="98">
        <f>SUMIFS(Input!$C$115:$C$3257,Input!$A$115:$A$3257,"="&amp;'Output - County'!A909,Input!$B$115:$B$3257,"="&amp;'Output - County'!B909)*VLOOKUP(A909,'Output - State'!$B$2:$G$52,3,FALSE)</f>
        <v>6.6510380704440375E-2</v>
      </c>
      <c r="E909" s="98">
        <f>SUMIFS(Input!$C$115:$C$3257,Input!$A$115:$A$3257,"="&amp;'Output - County'!A909,Input!$B$115:$B$3257,"="&amp;'Output - County'!B909)*VLOOKUP(A909,'Output - State'!$B$2:$G$52,4,FALSE)</f>
        <v>0.92012833044724474</v>
      </c>
      <c r="F909" s="98">
        <f>SUMIFS(Input!$C$115:$C$3257,Input!$A$115:$A$3257,"="&amp;'Output - County'!A909,Input!$B$115:$B$3257,"="&amp;'Output - County'!B909)*VLOOKUP(A909,'Output - State'!$B$2:$G$52,5,FALSE)</f>
        <v>1.0930436395493148</v>
      </c>
      <c r="G909" s="99">
        <f>SUMIFS(Input!$D$115:$D$3257,Input!$A$115:$A$3257,"="&amp;'Output - County'!A909,Input!$B$115:$B$3257,"="&amp;'Output - County'!B909)*VLOOKUP(A909,'Output - State'!$B$2:$G$52,6,FALSE)</f>
        <v>0.70123651608757986</v>
      </c>
    </row>
    <row r="910" spans="1:7" x14ac:dyDescent="0.25">
      <c r="A910" s="88">
        <v>20</v>
      </c>
      <c r="B910" s="88">
        <v>41</v>
      </c>
      <c r="C910" s="97">
        <f>SUMIFS(Input!$C$115:$C$3257,Input!$A$115:$A$3257,"="&amp;'Output - County'!A910,Input!$B$115:$B$3257,"="&amp;'Output - County'!B910)*VLOOKUP(A910,'Output - State'!$B$2:$G$52,2,FALSE)</f>
        <v>4.3213128761888822</v>
      </c>
      <c r="D910" s="98">
        <f>SUMIFS(Input!$C$115:$C$3257,Input!$A$115:$A$3257,"="&amp;'Output - County'!A910,Input!$B$115:$B$3257,"="&amp;'Output - County'!B910)*VLOOKUP(A910,'Output - State'!$B$2:$G$52,3,FALSE)</f>
        <v>1.058470832194192</v>
      </c>
      <c r="E910" s="98">
        <f>SUMIFS(Input!$C$115:$C$3257,Input!$A$115:$A$3257,"="&amp;'Output - County'!A910,Input!$B$115:$B$3257,"="&amp;'Output - County'!B910)*VLOOKUP(A910,'Output - State'!$B$2:$G$52,4,FALSE)</f>
        <v>14.643263041628119</v>
      </c>
      <c r="F910" s="98">
        <f>SUMIFS(Input!$C$115:$C$3257,Input!$A$115:$A$3257,"="&amp;'Output - County'!A910,Input!$B$115:$B$3257,"="&amp;'Output - County'!B910)*VLOOKUP(A910,'Output - State'!$B$2:$G$52,5,FALSE)</f>
        <v>17.395101313877923</v>
      </c>
      <c r="G910" s="99">
        <f>SUMIFS(Input!$D$115:$D$3257,Input!$A$115:$A$3257,"="&amp;'Output - County'!A910,Input!$B$115:$B$3257,"="&amp;'Output - County'!B910)*VLOOKUP(A910,'Output - State'!$B$2:$G$52,6,FALSE)</f>
        <v>4.5850079898034073</v>
      </c>
    </row>
    <row r="911" spans="1:7" x14ac:dyDescent="0.25">
      <c r="A911" s="88">
        <v>20</v>
      </c>
      <c r="B911" s="88">
        <v>43</v>
      </c>
      <c r="C911" s="97">
        <f>SUMIFS(Input!$C$115:$C$3257,Input!$A$115:$A$3257,"="&amp;'Output - County'!A911,Input!$B$115:$B$3257,"="&amp;'Output - County'!B911)*VLOOKUP(A911,'Output - State'!$B$2:$G$52,2,FALSE)</f>
        <v>1.072687165473587</v>
      </c>
      <c r="D911" s="98">
        <f>SUMIFS(Input!$C$115:$C$3257,Input!$A$115:$A$3257,"="&amp;'Output - County'!A911,Input!$B$115:$B$3257,"="&amp;'Output - County'!B911)*VLOOKUP(A911,'Output - State'!$B$2:$G$52,3,FALSE)</f>
        <v>0.26274609343358007</v>
      </c>
      <c r="E911" s="98">
        <f>SUMIFS(Input!$C$115:$C$3257,Input!$A$115:$A$3257,"="&amp;'Output - County'!A911,Input!$B$115:$B$3257,"="&amp;'Output - County'!B911)*VLOOKUP(A911,'Output - State'!$B$2:$G$52,4,FALSE)</f>
        <v>3.6349231762318781</v>
      </c>
      <c r="F911" s="98">
        <f>SUMIFS(Input!$C$115:$C$3257,Input!$A$115:$A$3257,"="&amp;'Output - County'!A911,Input!$B$115:$B$3257,"="&amp;'Output - County'!B911)*VLOOKUP(A911,'Output - State'!$B$2:$G$52,5,FALSE)</f>
        <v>4.3180168749933356</v>
      </c>
      <c r="G911" s="99">
        <f>SUMIFS(Input!$D$115:$D$3257,Input!$A$115:$A$3257,"="&amp;'Output - County'!A911,Input!$B$115:$B$3257,"="&amp;'Output - County'!B911)*VLOOKUP(A911,'Output - State'!$B$2:$G$52,6,FALSE)</f>
        <v>1.8781369626681337</v>
      </c>
    </row>
    <row r="912" spans="1:7" x14ac:dyDescent="0.25">
      <c r="A912" s="88">
        <v>20</v>
      </c>
      <c r="B912" s="88">
        <v>45</v>
      </c>
      <c r="C912" s="97">
        <f>SUMIFS(Input!$C$115:$C$3257,Input!$A$115:$A$3257,"="&amp;'Output - County'!A912,Input!$B$115:$B$3257,"="&amp;'Output - County'!B912)*VLOOKUP(A912,'Output - State'!$B$2:$G$52,2,FALSE)</f>
        <v>19.357970731379584</v>
      </c>
      <c r="D912" s="98">
        <f>SUMIFS(Input!$C$115:$C$3257,Input!$A$115:$A$3257,"="&amp;'Output - County'!A912,Input!$B$115:$B$3257,"="&amp;'Output - County'!B912)*VLOOKUP(A912,'Output - State'!$B$2:$G$52,3,FALSE)</f>
        <v>4.7415792322135397</v>
      </c>
      <c r="E912" s="98">
        <f>SUMIFS(Input!$C$115:$C$3257,Input!$A$115:$A$3257,"="&amp;'Output - County'!A912,Input!$B$115:$B$3257,"="&amp;'Output - County'!B912)*VLOOKUP(A912,'Output - State'!$B$2:$G$52,4,FALSE)</f>
        <v>65.596698386191903</v>
      </c>
      <c r="F912" s="98">
        <f>SUMIFS(Input!$C$115:$C$3257,Input!$A$115:$A$3257,"="&amp;'Output - County'!A912,Input!$B$115:$B$3257,"="&amp;'Output - County'!B912)*VLOOKUP(A912,'Output - State'!$B$2:$G$52,5,FALSE)</f>
        <v>77.923971661225522</v>
      </c>
      <c r="G912" s="99">
        <f>SUMIFS(Input!$D$115:$D$3257,Input!$A$115:$A$3257,"="&amp;'Output - County'!A912,Input!$B$115:$B$3257,"="&amp;'Output - County'!B912)*VLOOKUP(A912,'Output - State'!$B$2:$G$52,6,FALSE)</f>
        <v>29.667698757551459</v>
      </c>
    </row>
    <row r="913" spans="1:7" x14ac:dyDescent="0.25">
      <c r="A913" s="88">
        <v>20</v>
      </c>
      <c r="B913" s="88">
        <v>47</v>
      </c>
      <c r="C913" s="97">
        <f>SUMIFS(Input!$C$115:$C$3257,Input!$A$115:$A$3257,"="&amp;'Output - County'!A913,Input!$B$115:$B$3257,"="&amp;'Output - County'!B913)*VLOOKUP(A913,'Output - State'!$B$2:$G$52,2,FALSE)</f>
        <v>0.29998965396414101</v>
      </c>
      <c r="D913" s="98">
        <f>SUMIFS(Input!$C$115:$C$3257,Input!$A$115:$A$3257,"="&amp;'Output - County'!A913,Input!$B$115:$B$3257,"="&amp;'Output - County'!B913)*VLOOKUP(A913,'Output - State'!$B$2:$G$52,3,FALSE)</f>
        <v>7.348005288640734E-2</v>
      </c>
      <c r="E913" s="98">
        <f>SUMIFS(Input!$C$115:$C$3257,Input!$A$115:$A$3257,"="&amp;'Output - County'!A913,Input!$B$115:$B$3257,"="&amp;'Output - County'!B913)*VLOOKUP(A913,'Output - State'!$B$2:$G$52,4,FALSE)</f>
        <v>1.0165492614453095</v>
      </c>
      <c r="F913" s="98">
        <f>SUMIFS(Input!$C$115:$C$3257,Input!$A$115:$A$3257,"="&amp;'Output - County'!A913,Input!$B$115:$B$3257,"="&amp;'Output - County'!B913)*VLOOKUP(A913,'Output - State'!$B$2:$G$52,5,FALSE)</f>
        <v>1.2075844941881784</v>
      </c>
      <c r="G913" s="99">
        <f>SUMIFS(Input!$D$115:$D$3257,Input!$A$115:$A$3257,"="&amp;'Output - County'!A913,Input!$B$115:$B$3257,"="&amp;'Output - County'!B913)*VLOOKUP(A913,'Output - State'!$B$2:$G$52,6,FALSE)</f>
        <v>0.69142901236607535</v>
      </c>
    </row>
    <row r="914" spans="1:7" x14ac:dyDescent="0.25">
      <c r="A914" s="88">
        <v>20</v>
      </c>
      <c r="B914" s="88">
        <v>49</v>
      </c>
      <c r="C914" s="97">
        <f>SUMIFS(Input!$C$115:$C$3257,Input!$A$115:$A$3257,"="&amp;'Output - County'!A914,Input!$B$115:$B$3257,"="&amp;'Output - County'!B914)*VLOOKUP(A914,'Output - State'!$B$2:$G$52,2,FALSE)</f>
        <v>0.15655449224390633</v>
      </c>
      <c r="D914" s="98">
        <f>SUMIFS(Input!$C$115:$C$3257,Input!$A$115:$A$3257,"="&amp;'Output - County'!A914,Input!$B$115:$B$3257,"="&amp;'Output - County'!B914)*VLOOKUP(A914,'Output - State'!$B$2:$G$52,3,FALSE)</f>
        <v>3.8346763688930287E-2</v>
      </c>
      <c r="E914" s="98">
        <f>SUMIFS(Input!$C$115:$C$3257,Input!$A$115:$A$3257,"="&amp;'Output - County'!A914,Input!$B$115:$B$3257,"="&amp;'Output - County'!B914)*VLOOKUP(A914,'Output - State'!$B$2:$G$52,4,FALSE)</f>
        <v>0.53050280689183937</v>
      </c>
      <c r="F914" s="98">
        <f>SUMIFS(Input!$C$115:$C$3257,Input!$A$115:$A$3257,"="&amp;'Output - County'!A914,Input!$B$115:$B$3257,"="&amp;'Output - County'!B914)*VLOOKUP(A914,'Output - State'!$B$2:$G$52,5,FALSE)</f>
        <v>0.6301976579227061</v>
      </c>
      <c r="G914" s="99">
        <f>SUMIFS(Input!$D$115:$D$3257,Input!$A$115:$A$3257,"="&amp;'Output - County'!A914,Input!$B$115:$B$3257,"="&amp;'Output - County'!B914)*VLOOKUP(A914,'Output - State'!$B$2:$G$52,6,FALSE)</f>
        <v>0.60806523073328611</v>
      </c>
    </row>
    <row r="915" spans="1:7" x14ac:dyDescent="0.25">
      <c r="A915" s="88">
        <v>20</v>
      </c>
      <c r="B915" s="88">
        <v>51</v>
      </c>
      <c r="C915" s="97">
        <f>SUMIFS(Input!$C$115:$C$3257,Input!$A$115:$A$3257,"="&amp;'Output - County'!A915,Input!$B$115:$B$3257,"="&amp;'Output - County'!B915)*VLOOKUP(A915,'Output - State'!$B$2:$G$52,2,FALSE)</f>
        <v>6.2908429335825913</v>
      </c>
      <c r="D915" s="98">
        <f>SUMIFS(Input!$C$115:$C$3257,Input!$A$115:$A$3257,"="&amp;'Output - County'!A915,Input!$B$115:$B$3257,"="&amp;'Output - County'!B915)*VLOOKUP(A915,'Output - State'!$B$2:$G$52,3,FALSE)</f>
        <v>1.540891378590628</v>
      </c>
      <c r="E915" s="98">
        <f>SUMIFS(Input!$C$115:$C$3257,Input!$A$115:$A$3257,"="&amp;'Output - County'!A915,Input!$B$115:$B$3257,"="&amp;'Output - County'!B915)*VLOOKUP(A915,'Output - State'!$B$2:$G$52,4,FALSE)</f>
        <v>21.317240956470595</v>
      </c>
      <c r="F915" s="98">
        <f>SUMIFS(Input!$C$115:$C$3257,Input!$A$115:$A$3257,"="&amp;'Output - County'!A915,Input!$B$115:$B$3257,"="&amp;'Output - County'!B915)*VLOOKUP(A915,'Output - State'!$B$2:$G$52,5,FALSE)</f>
        <v>25.323287925375176</v>
      </c>
      <c r="G915" s="99">
        <f>SUMIFS(Input!$D$115:$D$3257,Input!$A$115:$A$3257,"="&amp;'Output - County'!A915,Input!$B$115:$B$3257,"="&amp;'Output - County'!B915)*VLOOKUP(A915,'Output - State'!$B$2:$G$52,6,FALSE)</f>
        <v>7.0123651608757989</v>
      </c>
    </row>
    <row r="916" spans="1:7" x14ac:dyDescent="0.25">
      <c r="A916" s="88">
        <v>20</v>
      </c>
      <c r="B916" s="88">
        <v>53</v>
      </c>
      <c r="C916" s="97">
        <f>SUMIFS(Input!$C$115:$C$3257,Input!$A$115:$A$3257,"="&amp;'Output - County'!A916,Input!$B$115:$B$3257,"="&amp;'Output - County'!B916)*VLOOKUP(A916,'Output - State'!$B$2:$G$52,2,FALSE)</f>
        <v>3.0211308925847806</v>
      </c>
      <c r="D916" s="98">
        <f>SUMIFS(Input!$C$115:$C$3257,Input!$A$115:$A$3257,"="&amp;'Output - County'!A916,Input!$B$115:$B$3257,"="&amp;'Output - County'!B916)*VLOOKUP(A916,'Output - State'!$B$2:$G$52,3,FALSE)</f>
        <v>0.74000171282715099</v>
      </c>
      <c r="E916" s="98">
        <f>SUMIFS(Input!$C$115:$C$3257,Input!$A$115:$A$3257,"="&amp;'Output - County'!A916,Input!$B$115:$B$3257,"="&amp;'Output - County'!B916)*VLOOKUP(A916,'Output - State'!$B$2:$G$52,4,FALSE)</f>
        <v>10.237447648623816</v>
      </c>
      <c r="F916" s="98">
        <f>SUMIFS(Input!$C$115:$C$3257,Input!$A$115:$A$3257,"="&amp;'Output - County'!A916,Input!$B$115:$B$3257,"="&amp;'Output - County'!B916)*VLOOKUP(A916,'Output - State'!$B$2:$G$52,5,FALSE)</f>
        <v>12.161322140910782</v>
      </c>
      <c r="G916" s="99">
        <f>SUMIFS(Input!$D$115:$D$3257,Input!$A$115:$A$3257,"="&amp;'Output - County'!A916,Input!$B$115:$B$3257,"="&amp;'Output - County'!B916)*VLOOKUP(A916,'Output - State'!$B$2:$G$52,6,FALSE)</f>
        <v>1.5103555731117106</v>
      </c>
    </row>
    <row r="917" spans="1:7" x14ac:dyDescent="0.25">
      <c r="A917" s="88">
        <v>20</v>
      </c>
      <c r="B917" s="88">
        <v>55</v>
      </c>
      <c r="C917" s="97">
        <f>SUMIFS(Input!$C$115:$C$3257,Input!$A$115:$A$3257,"="&amp;'Output - County'!A917,Input!$B$115:$B$3257,"="&amp;'Output - County'!B917)*VLOOKUP(A917,'Output - State'!$B$2:$G$52,2,FALSE)</f>
        <v>4.8031278707653886</v>
      </c>
      <c r="D917" s="98">
        <f>SUMIFS(Input!$C$115:$C$3257,Input!$A$115:$A$3257,"="&amp;'Output - County'!A917,Input!$B$115:$B$3257,"="&amp;'Output - County'!B917)*VLOOKUP(A917,'Output - State'!$B$2:$G$52,3,FALSE)</f>
        <v>1.1764875398209746</v>
      </c>
      <c r="E917" s="98">
        <f>SUMIFS(Input!$C$115:$C$3257,Input!$A$115:$A$3257,"="&amp;'Output - County'!A917,Input!$B$115:$B$3257,"="&amp;'Output - County'!B917)*VLOOKUP(A917,'Output - State'!$B$2:$G$52,4,FALSE)</f>
        <v>16.275948270661285</v>
      </c>
      <c r="F917" s="98">
        <f>SUMIFS(Input!$C$115:$C$3257,Input!$A$115:$A$3257,"="&amp;'Output - County'!A917,Input!$B$115:$B$3257,"="&amp;'Output - County'!B917)*VLOOKUP(A917,'Output - State'!$B$2:$G$52,5,FALSE)</f>
        <v>19.334609256333497</v>
      </c>
      <c r="G917" s="99">
        <f>SUMIFS(Input!$D$115:$D$3257,Input!$A$115:$A$3257,"="&amp;'Output - County'!A917,Input!$B$115:$B$3257,"="&amp;'Output - County'!B917)*VLOOKUP(A917,'Output - State'!$B$2:$G$52,6,FALSE)</f>
        <v>8.9493471458729594</v>
      </c>
    </row>
    <row r="918" spans="1:7" x14ac:dyDescent="0.25">
      <c r="A918" s="88">
        <v>20</v>
      </c>
      <c r="B918" s="88">
        <v>57</v>
      </c>
      <c r="C918" s="97">
        <f>SUMIFS(Input!$C$115:$C$3257,Input!$A$115:$A$3257,"="&amp;'Output - County'!A918,Input!$B$115:$B$3257,"="&amp;'Output - County'!B918)*VLOOKUP(A918,'Output - State'!$B$2:$G$52,2,FALSE)</f>
        <v>3.8713594291737832</v>
      </c>
      <c r="D918" s="98">
        <f>SUMIFS(Input!$C$115:$C$3257,Input!$A$115:$A$3257,"="&amp;'Output - County'!A918,Input!$B$115:$B$3257,"="&amp;'Output - County'!B918)*VLOOKUP(A918,'Output - State'!$B$2:$G$52,3,FALSE)</f>
        <v>0.94825835437639749</v>
      </c>
      <c r="E918" s="98">
        <f>SUMIFS(Input!$C$115:$C$3257,Input!$A$115:$A$3257,"="&amp;'Output - County'!A918,Input!$B$115:$B$3257,"="&amp;'Output - County'!B918)*VLOOKUP(A918,'Output - State'!$B$2:$G$52,4,FALSE)</f>
        <v>13.118544311486028</v>
      </c>
      <c r="F918" s="98">
        <f>SUMIFS(Input!$C$115:$C$3257,Input!$A$115:$A$3257,"="&amp;'Output - County'!A918,Input!$B$115:$B$3257,"="&amp;'Output - County'!B918)*VLOOKUP(A918,'Output - State'!$B$2:$G$52,5,FALSE)</f>
        <v>15.583849497217255</v>
      </c>
      <c r="G918" s="99">
        <f>SUMIFS(Input!$D$115:$D$3257,Input!$A$115:$A$3257,"="&amp;'Output - County'!A918,Input!$B$115:$B$3257,"="&amp;'Output - County'!B918)*VLOOKUP(A918,'Output - State'!$B$2:$G$52,6,FALSE)</f>
        <v>8.311859403975161</v>
      </c>
    </row>
    <row r="919" spans="1:7" x14ac:dyDescent="0.25">
      <c r="A919" s="88">
        <v>20</v>
      </c>
      <c r="B919" s="88">
        <v>59</v>
      </c>
      <c r="C919" s="97">
        <f>SUMIFS(Input!$C$115:$C$3257,Input!$A$115:$A$3257,"="&amp;'Output - County'!A919,Input!$B$115:$B$3257,"="&amp;'Output - County'!B919)*VLOOKUP(A919,'Output - State'!$B$2:$G$52,2,FALSE)</f>
        <v>6.6605442745832217</v>
      </c>
      <c r="D919" s="98">
        <f>SUMIFS(Input!$C$115:$C$3257,Input!$A$115:$A$3257,"="&amp;'Output - County'!A919,Input!$B$115:$B$3257,"="&amp;'Output - County'!B919)*VLOOKUP(A919,'Output - State'!$B$2:$G$52,3,FALSE)</f>
        <v>1.6314467485173163</v>
      </c>
      <c r="E919" s="98">
        <f>SUMIFS(Input!$C$115:$C$3257,Input!$A$115:$A$3257,"="&amp;'Output - County'!A919,Input!$B$115:$B$3257,"="&amp;'Output - County'!B919)*VLOOKUP(A919,'Output - State'!$B$2:$G$52,4,FALSE)</f>
        <v>22.570016244495875</v>
      </c>
      <c r="F919" s="98">
        <f>SUMIFS(Input!$C$115:$C$3257,Input!$A$115:$A$3257,"="&amp;'Output - County'!A919,Input!$B$115:$B$3257,"="&amp;'Output - County'!B919)*VLOOKUP(A919,'Output - State'!$B$2:$G$52,5,FALSE)</f>
        <v>26.811491271635585</v>
      </c>
      <c r="G919" s="99">
        <f>SUMIFS(Input!$D$115:$D$3257,Input!$A$115:$A$3257,"="&amp;'Output - County'!A919,Input!$B$115:$B$3257,"="&amp;'Output - County'!B919)*VLOOKUP(A919,'Output - State'!$B$2:$G$52,6,FALSE)</f>
        <v>6.2768023817629537</v>
      </c>
    </row>
    <row r="920" spans="1:7" x14ac:dyDescent="0.25">
      <c r="A920" s="88">
        <v>20</v>
      </c>
      <c r="B920" s="88">
        <v>61</v>
      </c>
      <c r="C920" s="97">
        <f>SUMIFS(Input!$C$115:$C$3257,Input!$A$115:$A$3257,"="&amp;'Output - County'!A920,Input!$B$115:$B$3257,"="&amp;'Output - County'!B920)*VLOOKUP(A920,'Output - State'!$B$2:$G$52,2,FALSE)</f>
        <v>7.0679487955544458</v>
      </c>
      <c r="D920" s="98">
        <f>SUMIFS(Input!$C$115:$C$3257,Input!$A$115:$A$3257,"="&amp;'Output - County'!A920,Input!$B$115:$B$3257,"="&amp;'Output - County'!B920)*VLOOKUP(A920,'Output - State'!$B$2:$G$52,3,FALSE)</f>
        <v>1.7312372091266857</v>
      </c>
      <c r="E920" s="98">
        <f>SUMIFS(Input!$C$115:$C$3257,Input!$A$115:$A$3257,"="&amp;'Output - County'!A920,Input!$B$115:$B$3257,"="&amp;'Output - County'!B920)*VLOOKUP(A920,'Output - State'!$B$2:$G$52,4,FALSE)</f>
        <v>23.950553071116843</v>
      </c>
      <c r="F920" s="98">
        <f>SUMIFS(Input!$C$115:$C$3257,Input!$A$115:$A$3257,"="&amp;'Output - County'!A920,Input!$B$115:$B$3257,"="&amp;'Output - County'!B920)*VLOOKUP(A920,'Output - State'!$B$2:$G$52,5,FALSE)</f>
        <v>28.451465770375535</v>
      </c>
      <c r="G920" s="99">
        <f>SUMIFS(Input!$D$115:$D$3257,Input!$A$115:$A$3257,"="&amp;'Output - County'!A920,Input!$B$115:$B$3257,"="&amp;'Output - County'!B920)*VLOOKUP(A920,'Output - State'!$B$2:$G$52,6,FALSE)</f>
        <v>8.0421530516337842</v>
      </c>
    </row>
    <row r="921" spans="1:7" x14ac:dyDescent="0.25">
      <c r="A921" s="88">
        <v>20</v>
      </c>
      <c r="B921" s="88">
        <v>63</v>
      </c>
      <c r="C921" s="97">
        <f>SUMIFS(Input!$C$115:$C$3257,Input!$A$115:$A$3257,"="&amp;'Output - County'!A921,Input!$B$115:$B$3257,"="&amp;'Output - County'!B921)*VLOOKUP(A921,'Output - State'!$B$2:$G$52,2,FALSE)</f>
        <v>3.7324966878662611</v>
      </c>
      <c r="D921" s="98">
        <f>SUMIFS(Input!$C$115:$C$3257,Input!$A$115:$A$3257,"="&amp;'Output - County'!A921,Input!$B$115:$B$3257,"="&amp;'Output - County'!B921)*VLOOKUP(A921,'Output - State'!$B$2:$G$52,3,FALSE)</f>
        <v>0.91424504278249863</v>
      </c>
      <c r="E921" s="98">
        <f>SUMIFS(Input!$C$115:$C$3257,Input!$A$115:$A$3257,"="&amp;'Output - County'!A921,Input!$B$115:$B$3257,"="&amp;'Output - County'!B921)*VLOOKUP(A921,'Output - State'!$B$2:$G$52,4,FALSE)</f>
        <v>12.647992026588543</v>
      </c>
      <c r="F921" s="98">
        <f>SUMIFS(Input!$C$115:$C$3257,Input!$A$115:$A$3257,"="&amp;'Output - County'!A921,Input!$B$115:$B$3257,"="&amp;'Output - County'!B921)*VLOOKUP(A921,'Output - State'!$B$2:$G$52,5,FALSE)</f>
        <v>15.024868575683634</v>
      </c>
      <c r="G921" s="99">
        <f>SUMIFS(Input!$D$115:$D$3257,Input!$A$115:$A$3257,"="&amp;'Output - County'!A921,Input!$B$115:$B$3257,"="&amp;'Output - County'!B921)*VLOOKUP(A921,'Output - State'!$B$2:$G$52,6,FALSE)</f>
        <v>0.6399396178281761</v>
      </c>
    </row>
    <row r="922" spans="1:7" x14ac:dyDescent="0.25">
      <c r="A922" s="88">
        <v>20</v>
      </c>
      <c r="B922" s="88">
        <v>65</v>
      </c>
      <c r="C922" s="97">
        <f>SUMIFS(Input!$C$115:$C$3257,Input!$A$115:$A$3257,"="&amp;'Output - County'!A922,Input!$B$115:$B$3257,"="&amp;'Output - County'!B922)*VLOOKUP(A922,'Output - State'!$B$2:$G$52,2,FALSE)</f>
        <v>0.18980956826535256</v>
      </c>
      <c r="D922" s="98">
        <f>SUMIFS(Input!$C$115:$C$3257,Input!$A$115:$A$3257,"="&amp;'Output - County'!A922,Input!$B$115:$B$3257,"="&amp;'Output - County'!B922)*VLOOKUP(A922,'Output - State'!$B$2:$G$52,3,FALSE)</f>
        <v>4.6492327085891488E-2</v>
      </c>
      <c r="E922" s="98">
        <f>SUMIFS(Input!$C$115:$C$3257,Input!$A$115:$A$3257,"="&amp;'Output - County'!A922,Input!$B$115:$B$3257,"="&amp;'Output - County'!B922)*VLOOKUP(A922,'Output - State'!$B$2:$G$52,4,FALSE)</f>
        <v>0.64319143639020759</v>
      </c>
      <c r="F922" s="98">
        <f>SUMIFS(Input!$C$115:$C$3257,Input!$A$115:$A$3257,"="&amp;'Output - County'!A922,Input!$B$115:$B$3257,"="&amp;'Output - County'!B922)*VLOOKUP(A922,'Output - State'!$B$2:$G$52,5,FALSE)</f>
        <v>0.76406332170772395</v>
      </c>
      <c r="G922" s="99">
        <f>SUMIFS(Input!$D$115:$D$3257,Input!$A$115:$A$3257,"="&amp;'Output - County'!A922,Input!$B$115:$B$3257,"="&amp;'Output - County'!B922)*VLOOKUP(A922,'Output - State'!$B$2:$G$52,6,FALSE)</f>
        <v>0.60806523073328611</v>
      </c>
    </row>
    <row r="923" spans="1:7" x14ac:dyDescent="0.25">
      <c r="A923" s="88">
        <v>20</v>
      </c>
      <c r="B923" s="88">
        <v>67</v>
      </c>
      <c r="C923" s="97">
        <f>SUMIFS(Input!$C$115:$C$3257,Input!$A$115:$A$3257,"="&amp;'Output - County'!A923,Input!$B$115:$B$3257,"="&amp;'Output - County'!B923)*VLOOKUP(A923,'Output - State'!$B$2:$G$52,2,FALSE)</f>
        <v>0.59703013090315249</v>
      </c>
      <c r="D923" s="98">
        <f>SUMIFS(Input!$C$115:$C$3257,Input!$A$115:$A$3257,"="&amp;'Output - County'!A923,Input!$B$115:$B$3257,"="&amp;'Output - County'!B923)*VLOOKUP(A923,'Output - State'!$B$2:$G$52,3,FALSE)</f>
        <v>0.14623772858108725</v>
      </c>
      <c r="E923" s="98">
        <f>SUMIFS(Input!$C$115:$C$3257,Input!$A$115:$A$3257,"="&amp;'Output - County'!A923,Input!$B$115:$B$3257,"="&amp;'Output - County'!B923)*VLOOKUP(A923,'Output - State'!$B$2:$G$52,4,FALSE)</f>
        <v>2.0231048991534308</v>
      </c>
      <c r="F923" s="98">
        <f>SUMIFS(Input!$C$115:$C$3257,Input!$A$115:$A$3257,"="&amp;'Output - County'!A923,Input!$B$115:$B$3257,"="&amp;'Output - County'!B923)*VLOOKUP(A923,'Output - State'!$B$2:$G$52,5,FALSE)</f>
        <v>2.4032973108064755</v>
      </c>
      <c r="G923" s="99">
        <f>SUMIFS(Input!$D$115:$D$3257,Input!$A$115:$A$3257,"="&amp;'Output - County'!A923,Input!$B$115:$B$3257,"="&amp;'Output - County'!B923)*VLOOKUP(A923,'Output - State'!$B$2:$G$52,6,FALSE)</f>
        <v>1.787417553244216</v>
      </c>
    </row>
    <row r="924" spans="1:7" x14ac:dyDescent="0.25">
      <c r="A924" s="88">
        <v>20</v>
      </c>
      <c r="B924" s="88">
        <v>69</v>
      </c>
      <c r="C924" s="97">
        <f>SUMIFS(Input!$C$115:$C$3257,Input!$A$115:$A$3257,"="&amp;'Output - County'!A924,Input!$B$115:$B$3257,"="&amp;'Output - County'!B924)*VLOOKUP(A924,'Output - State'!$B$2:$G$52,2,FALSE)</f>
        <v>0.6570175768564338</v>
      </c>
      <c r="D924" s="98">
        <f>SUMIFS(Input!$C$115:$C$3257,Input!$A$115:$A$3257,"="&amp;'Output - County'!A924,Input!$B$115:$B$3257,"="&amp;'Output - County'!B924)*VLOOKUP(A924,'Output - State'!$B$2:$G$52,3,FALSE)</f>
        <v>0.16093117098125251</v>
      </c>
      <c r="E924" s="98">
        <f>SUMIFS(Input!$C$115:$C$3257,Input!$A$115:$A$3257,"="&amp;'Output - County'!A924,Input!$B$115:$B$3257,"="&amp;'Output - County'!B924)*VLOOKUP(A924,'Output - State'!$B$2:$G$52,4,FALSE)</f>
        <v>2.2263792223642165</v>
      </c>
      <c r="F924" s="98">
        <f>SUMIFS(Input!$C$115:$C$3257,Input!$A$115:$A$3257,"="&amp;'Output - County'!A924,Input!$B$115:$B$3257,"="&amp;'Output - County'!B924)*VLOOKUP(A924,'Output - State'!$B$2:$G$52,5,FALSE)</f>
        <v>2.6447720037563629</v>
      </c>
      <c r="G924" s="99">
        <f>SUMIFS(Input!$D$115:$D$3257,Input!$A$115:$A$3257,"="&amp;'Output - County'!A924,Input!$B$115:$B$3257,"="&amp;'Output - County'!B924)*VLOOKUP(A924,'Output - State'!$B$2:$G$52,6,FALSE)</f>
        <v>1.4907405656687014</v>
      </c>
    </row>
    <row r="925" spans="1:7" x14ac:dyDescent="0.25">
      <c r="A925" s="88">
        <v>20</v>
      </c>
      <c r="B925" s="88">
        <v>71</v>
      </c>
      <c r="C925" s="97">
        <f>SUMIFS(Input!$C$115:$C$3257,Input!$A$115:$A$3257,"="&amp;'Output - County'!A925,Input!$B$115:$B$3257,"="&amp;'Output - County'!B925)*VLOOKUP(A925,'Output - State'!$B$2:$G$52,2,FALSE)</f>
        <v>0.13464588604043601</v>
      </c>
      <c r="D925" s="98">
        <f>SUMIFS(Input!$C$115:$C$3257,Input!$A$115:$A$3257,"="&amp;'Output - County'!A925,Input!$B$115:$B$3257,"="&amp;'Output - County'!B925)*VLOOKUP(A925,'Output - State'!$B$2:$G$52,3,FALSE)</f>
        <v>3.2980426812889548E-2</v>
      </c>
      <c r="E925" s="98">
        <f>SUMIFS(Input!$C$115:$C$3257,Input!$A$115:$A$3257,"="&amp;'Output - County'!A925,Input!$B$115:$B$3257,"="&amp;'Output - County'!B925)*VLOOKUP(A925,'Output - State'!$B$2:$G$52,4,FALSE)</f>
        <v>0.45626298841431268</v>
      </c>
      <c r="F925" s="98">
        <f>SUMIFS(Input!$C$115:$C$3257,Input!$A$115:$A$3257,"="&amp;'Output - County'!A925,Input!$B$115:$B$3257,"="&amp;'Output - County'!B925)*VLOOKUP(A925,'Output - State'!$B$2:$G$52,5,FALSE)</f>
        <v>0.54200630601778954</v>
      </c>
      <c r="G925" s="99">
        <f>SUMIFS(Input!$D$115:$D$3257,Input!$A$115:$A$3257,"="&amp;'Output - County'!A925,Input!$B$115:$B$3257,"="&amp;'Output - County'!B925)*VLOOKUP(A925,'Output - State'!$B$2:$G$52,6,FALSE)</f>
        <v>0.3015807394362669</v>
      </c>
    </row>
    <row r="926" spans="1:7" x14ac:dyDescent="0.25">
      <c r="A926" s="88">
        <v>20</v>
      </c>
      <c r="B926" s="88">
        <v>73</v>
      </c>
      <c r="C926" s="97">
        <f>SUMIFS(Input!$C$115:$C$3257,Input!$A$115:$A$3257,"="&amp;'Output - County'!A926,Input!$B$115:$B$3257,"="&amp;'Output - County'!B926)*VLOOKUP(A926,'Output - State'!$B$2:$G$52,2,FALSE)</f>
        <v>0.5919919271423929</v>
      </c>
      <c r="D926" s="98">
        <f>SUMIFS(Input!$C$115:$C$3257,Input!$A$115:$A$3257,"="&amp;'Output - County'!A926,Input!$B$115:$B$3257,"="&amp;'Output - County'!B926)*VLOOKUP(A926,'Output - State'!$B$2:$G$52,3,FALSE)</f>
        <v>0.14500366109275528</v>
      </c>
      <c r="E926" s="98">
        <f>SUMIFS(Input!$C$115:$C$3257,Input!$A$115:$A$3257,"="&amp;'Output - County'!A926,Input!$B$115:$B$3257,"="&amp;'Output - County'!B926)*VLOOKUP(A926,'Output - State'!$B$2:$G$52,4,FALSE)</f>
        <v>2.0060323693367081</v>
      </c>
      <c r="F926" s="98">
        <f>SUMIFS(Input!$C$115:$C$3257,Input!$A$115:$A$3257,"="&amp;'Output - County'!A926,Input!$B$115:$B$3257,"="&amp;'Output - County'!B926)*VLOOKUP(A926,'Output - State'!$B$2:$G$52,5,FALSE)</f>
        <v>2.3830164222502956</v>
      </c>
      <c r="G926" s="99">
        <f>SUMIFS(Input!$D$115:$D$3257,Input!$A$115:$A$3257,"="&amp;'Output - County'!A926,Input!$B$115:$B$3257,"="&amp;'Output - County'!B926)*VLOOKUP(A926,'Output - State'!$B$2:$G$52,6,FALSE)</f>
        <v>1.4735774341560683</v>
      </c>
    </row>
    <row r="927" spans="1:7" x14ac:dyDescent="0.25">
      <c r="A927" s="88">
        <v>20</v>
      </c>
      <c r="B927" s="88">
        <v>75</v>
      </c>
      <c r="C927" s="97">
        <f>SUMIFS(Input!$C$115:$C$3257,Input!$A$115:$A$3257,"="&amp;'Output - County'!A927,Input!$B$115:$B$3257,"="&amp;'Output - County'!B927)*VLOOKUP(A927,'Output - State'!$B$2:$G$52,2,FALSE)</f>
        <v>0.26842627214255382</v>
      </c>
      <c r="D927" s="98">
        <f>SUMIFS(Input!$C$115:$C$3257,Input!$A$115:$A$3257,"="&amp;'Output - County'!A927,Input!$B$115:$B$3257,"="&amp;'Output - County'!B927)*VLOOKUP(A927,'Output - State'!$B$2:$G$52,3,FALSE)</f>
        <v>6.5748856377205955E-2</v>
      </c>
      <c r="E927" s="98">
        <f>SUMIFS(Input!$C$115:$C$3257,Input!$A$115:$A$3257,"="&amp;'Output - County'!A927,Input!$B$115:$B$3257,"="&amp;'Output - County'!B927)*VLOOKUP(A927,'Output - State'!$B$2:$G$52,4,FALSE)</f>
        <v>0.9095931312739467</v>
      </c>
      <c r="F927" s="98">
        <f>SUMIFS(Input!$C$115:$C$3257,Input!$A$115:$A$3257,"="&amp;'Output - County'!A927,Input!$B$115:$B$3257,"="&amp;'Output - County'!B927)*VLOOKUP(A927,'Output - State'!$B$2:$G$52,5,FALSE)</f>
        <v>1.0805286108661294</v>
      </c>
      <c r="G927" s="99">
        <f>SUMIFS(Input!$D$115:$D$3257,Input!$A$115:$A$3257,"="&amp;'Output - County'!A927,Input!$B$115:$B$3257,"="&amp;'Output - County'!B927)*VLOOKUP(A927,'Output - State'!$B$2:$G$52,6,FALSE)</f>
        <v>0.63748774189779989</v>
      </c>
    </row>
    <row r="928" spans="1:7" x14ac:dyDescent="0.25">
      <c r="A928" s="88">
        <v>20</v>
      </c>
      <c r="B928" s="88">
        <v>77</v>
      </c>
      <c r="C928" s="97">
        <f>SUMIFS(Input!$C$115:$C$3257,Input!$A$115:$A$3257,"="&amp;'Output - County'!A928,Input!$B$115:$B$3257,"="&amp;'Output - County'!B928)*VLOOKUP(A928,'Output - State'!$B$2:$G$52,2,FALSE)</f>
        <v>0.35794782405825043</v>
      </c>
      <c r="D928" s="98">
        <f>SUMIFS(Input!$C$115:$C$3257,Input!$A$115:$A$3257,"="&amp;'Output - County'!A928,Input!$B$115:$B$3257,"="&amp;'Output - County'!B928)*VLOOKUP(A928,'Output - State'!$B$2:$G$52,3,FALSE)</f>
        <v>8.767644048657311E-2</v>
      </c>
      <c r="E928" s="98">
        <f>SUMIFS(Input!$C$115:$C$3257,Input!$A$115:$A$3257,"="&amp;'Output - County'!A928,Input!$B$115:$B$3257,"="&amp;'Output - County'!B928)*VLOOKUP(A928,'Output - State'!$B$2:$G$52,4,FALSE)</f>
        <v>1.2129471512569736</v>
      </c>
      <c r="F928" s="98">
        <f>SUMIFS(Input!$C$115:$C$3257,Input!$A$115:$A$3257,"="&amp;'Output - County'!A928,Input!$B$115:$B$3257,"="&amp;'Output - County'!B928)*VLOOKUP(A928,'Output - State'!$B$2:$G$52,5,FALSE)</f>
        <v>1.4408904985530278</v>
      </c>
      <c r="G928" s="99">
        <f>SUMIFS(Input!$D$115:$D$3257,Input!$A$115:$A$3257,"="&amp;'Output - County'!A928,Input!$B$115:$B$3257,"="&amp;'Output - County'!B928)*VLOOKUP(A928,'Output - State'!$B$2:$G$52,6,FALSE)</f>
        <v>1.3509836376372606</v>
      </c>
    </row>
    <row r="929" spans="1:7" x14ac:dyDescent="0.25">
      <c r="A929" s="88">
        <v>20</v>
      </c>
      <c r="B929" s="88">
        <v>79</v>
      </c>
      <c r="C929" s="97">
        <f>SUMIFS(Input!$C$115:$C$3257,Input!$A$115:$A$3257,"="&amp;'Output - County'!A929,Input!$B$115:$B$3257,"="&amp;'Output - County'!B929)*VLOOKUP(A929,'Output - State'!$B$2:$G$52,2,FALSE)</f>
        <v>6.2655490291904075</v>
      </c>
      <c r="D929" s="98">
        <f>SUMIFS(Input!$C$115:$C$3257,Input!$A$115:$A$3257,"="&amp;'Output - County'!A929,Input!$B$115:$B$3257,"="&amp;'Output - County'!B929)*VLOOKUP(A929,'Output - State'!$B$2:$G$52,3,FALSE)</f>
        <v>1.5346958401516138</v>
      </c>
      <c r="E929" s="98">
        <f>SUMIFS(Input!$C$115:$C$3257,Input!$A$115:$A$3257,"="&amp;'Output - County'!A929,Input!$B$115:$B$3257,"="&amp;'Output - County'!B929)*VLOOKUP(A929,'Output - State'!$B$2:$G$52,4,FALSE)</f>
        <v>21.231529667800565</v>
      </c>
      <c r="F929" s="98">
        <f>SUMIFS(Input!$C$115:$C$3257,Input!$A$115:$A$3257,"="&amp;'Output - County'!A929,Input!$B$115:$B$3257,"="&amp;'Output - County'!B929)*VLOOKUP(A929,'Output - State'!$B$2:$G$52,5,FALSE)</f>
        <v>25.221469324840601</v>
      </c>
      <c r="G929" s="99">
        <f>SUMIFS(Input!$D$115:$D$3257,Input!$A$115:$A$3257,"="&amp;'Output - County'!A929,Input!$B$115:$B$3257,"="&amp;'Output - County'!B929)*VLOOKUP(A929,'Output - State'!$B$2:$G$52,6,FALSE)</f>
        <v>8.385415681886446</v>
      </c>
    </row>
    <row r="930" spans="1:7" x14ac:dyDescent="0.25">
      <c r="A930" s="88">
        <v>20</v>
      </c>
      <c r="B930" s="88">
        <v>81</v>
      </c>
      <c r="C930" s="97">
        <f>SUMIFS(Input!$C$115:$C$3257,Input!$A$115:$A$3257,"="&amp;'Output - County'!A930,Input!$B$115:$B$3257,"="&amp;'Output - County'!B930)*VLOOKUP(A930,'Output - State'!$B$2:$G$52,2,FALSE)</f>
        <v>0.49935309701483055</v>
      </c>
      <c r="D930" s="98">
        <f>SUMIFS(Input!$C$115:$C$3257,Input!$A$115:$A$3257,"="&amp;'Output - County'!A930,Input!$B$115:$B$3257,"="&amp;'Output - County'!B930)*VLOOKUP(A930,'Output - State'!$B$2:$G$52,3,FALSE)</f>
        <v>0.1223125247580273</v>
      </c>
      <c r="E930" s="98">
        <f>SUMIFS(Input!$C$115:$C$3257,Input!$A$115:$A$3257,"="&amp;'Output - County'!A930,Input!$B$115:$B$3257,"="&amp;'Output - County'!B930)*VLOOKUP(A930,'Output - State'!$B$2:$G$52,4,FALSE)</f>
        <v>1.6921150955143658</v>
      </c>
      <c r="F930" s="98">
        <f>SUMIFS(Input!$C$115:$C$3257,Input!$A$115:$A$3257,"="&amp;'Output - County'!A930,Input!$B$115:$B$3257,"="&amp;'Output - County'!B930)*VLOOKUP(A930,'Output - State'!$B$2:$G$52,5,FALSE)</f>
        <v>2.0101061790352106</v>
      </c>
      <c r="G930" s="99">
        <f>SUMIFS(Input!$D$115:$D$3257,Input!$A$115:$A$3257,"="&amp;'Output - County'!A930,Input!$B$115:$B$3257,"="&amp;'Output - County'!B930)*VLOOKUP(A930,'Output - State'!$B$2:$G$52,6,FALSE)</f>
        <v>0.97829849622008525</v>
      </c>
    </row>
    <row r="931" spans="1:7" x14ac:dyDescent="0.25">
      <c r="A931" s="88">
        <v>20</v>
      </c>
      <c r="B931" s="88">
        <v>83</v>
      </c>
      <c r="C931" s="97">
        <f>SUMIFS(Input!$C$115:$C$3257,Input!$A$115:$A$3257,"="&amp;'Output - County'!A931,Input!$B$115:$B$3257,"="&amp;'Output - County'!B931)*VLOOKUP(A931,'Output - State'!$B$2:$G$52,2,FALSE)</f>
        <v>0.20774317542624504</v>
      </c>
      <c r="D931" s="98">
        <f>SUMIFS(Input!$C$115:$C$3257,Input!$A$115:$A$3257,"="&amp;'Output - County'!A931,Input!$B$115:$B$3257,"="&amp;'Output - County'!B931)*VLOOKUP(A931,'Output - State'!$B$2:$G$52,3,FALSE)</f>
        <v>5.0885019917838122E-2</v>
      </c>
      <c r="E931" s="98">
        <f>SUMIFS(Input!$C$115:$C$3257,Input!$A$115:$A$3257,"="&amp;'Output - County'!A931,Input!$B$115:$B$3257,"="&amp;'Output - County'!B931)*VLOOKUP(A931,'Output - State'!$B$2:$G$52,4,FALSE)</f>
        <v>0.70396151586979772</v>
      </c>
      <c r="F931" s="98">
        <f>SUMIFS(Input!$C$115:$C$3257,Input!$A$115:$A$3257,"="&amp;'Output - County'!A931,Input!$B$115:$B$3257,"="&amp;'Output - County'!B931)*VLOOKUP(A931,'Output - State'!$B$2:$G$52,5,FALSE)</f>
        <v>0.83625363109400863</v>
      </c>
      <c r="G931" s="99">
        <f>SUMIFS(Input!$D$115:$D$3257,Input!$A$115:$A$3257,"="&amp;'Output - County'!A931,Input!$B$115:$B$3257,"="&amp;'Output - County'!B931)*VLOOKUP(A931,'Output - State'!$B$2:$G$52,6,FALSE)</f>
        <v>0.44624141932845995</v>
      </c>
    </row>
    <row r="932" spans="1:7" x14ac:dyDescent="0.25">
      <c r="A932" s="88">
        <v>20</v>
      </c>
      <c r="B932" s="88">
        <v>85</v>
      </c>
      <c r="C932" s="97">
        <f>SUMIFS(Input!$C$115:$C$3257,Input!$A$115:$A$3257,"="&amp;'Output - County'!A932,Input!$B$115:$B$3257,"="&amp;'Output - County'!B932)*VLOOKUP(A932,'Output - State'!$B$2:$G$52,2,FALSE)</f>
        <v>1.9993693328497544</v>
      </c>
      <c r="D932" s="98">
        <f>SUMIFS(Input!$C$115:$C$3257,Input!$A$115:$A$3257,"="&amp;'Output - County'!A932,Input!$B$115:$B$3257,"="&amp;'Output - County'!B932)*VLOOKUP(A932,'Output - State'!$B$2:$G$52,3,FALSE)</f>
        <v>0.48972943691858822</v>
      </c>
      <c r="E932" s="98">
        <f>SUMIFS(Input!$C$115:$C$3257,Input!$A$115:$A$3257,"="&amp;'Output - County'!A932,Input!$B$115:$B$3257,"="&amp;'Output - County'!B932)*VLOOKUP(A932,'Output - State'!$B$2:$G$52,4,FALSE)</f>
        <v>6.7750917133554447</v>
      </c>
      <c r="F932" s="98">
        <f>SUMIFS(Input!$C$115:$C$3257,Input!$A$115:$A$3257,"="&amp;'Output - County'!A932,Input!$B$115:$B$3257,"="&amp;'Output - County'!B932)*VLOOKUP(A932,'Output - State'!$B$2:$G$52,5,FALSE)</f>
        <v>8.0483022417610783</v>
      </c>
      <c r="G932" s="99">
        <f>SUMIFS(Input!$D$115:$D$3257,Input!$A$115:$A$3257,"="&amp;'Output - County'!A932,Input!$B$115:$B$3257,"="&amp;'Output - County'!B932)*VLOOKUP(A932,'Output - State'!$B$2:$G$52,6,FALSE)</f>
        <v>3.2609949874002848</v>
      </c>
    </row>
    <row r="933" spans="1:7" x14ac:dyDescent="0.25">
      <c r="A933" s="88">
        <v>20</v>
      </c>
      <c r="B933" s="88">
        <v>87</v>
      </c>
      <c r="C933" s="97">
        <f>SUMIFS(Input!$C$115:$C$3257,Input!$A$115:$A$3257,"="&amp;'Output - County'!A933,Input!$B$115:$B$3257,"="&amp;'Output - County'!B933)*VLOOKUP(A933,'Output - State'!$B$2:$G$52,2,FALSE)</f>
        <v>1.268295175562929</v>
      </c>
      <c r="D933" s="98">
        <f>SUMIFS(Input!$C$115:$C$3257,Input!$A$115:$A$3257,"="&amp;'Output - County'!A933,Input!$B$115:$B$3257,"="&amp;'Output - County'!B933)*VLOOKUP(A933,'Output - State'!$B$2:$G$52,3,FALSE)</f>
        <v>0.31065870220670744</v>
      </c>
      <c r="E933" s="98">
        <f>SUMIFS(Input!$C$115:$C$3257,Input!$A$115:$A$3257,"="&amp;'Output - County'!A933,Input!$B$115:$B$3257,"="&amp;'Output - County'!B933)*VLOOKUP(A933,'Output - State'!$B$2:$G$52,4,FALSE)</f>
        <v>4.2977632960877319</v>
      </c>
      <c r="F933" s="98">
        <f>SUMIFS(Input!$C$115:$C$3257,Input!$A$115:$A$3257,"="&amp;'Output - County'!A933,Input!$B$115:$B$3257,"="&amp;'Output - County'!B933)*VLOOKUP(A933,'Output - State'!$B$2:$G$52,5,FALSE)</f>
        <v>5.1054213631198815</v>
      </c>
      <c r="G933" s="99">
        <f>SUMIFS(Input!$D$115:$D$3257,Input!$A$115:$A$3257,"="&amp;'Output - County'!A933,Input!$B$115:$B$3257,"="&amp;'Output - County'!B933)*VLOOKUP(A933,'Output - State'!$B$2:$G$52,6,FALSE)</f>
        <v>4.6340455084109307</v>
      </c>
    </row>
    <row r="934" spans="1:7" x14ac:dyDescent="0.25">
      <c r="A934" s="88">
        <v>20</v>
      </c>
      <c r="B934" s="88">
        <v>89</v>
      </c>
      <c r="C934" s="97">
        <f>SUMIFS(Input!$C$115:$C$3257,Input!$A$115:$A$3257,"="&amp;'Output - County'!A934,Input!$B$115:$B$3257,"="&amp;'Output - County'!B934)*VLOOKUP(A934,'Output - State'!$B$2:$G$52,2,FALSE)</f>
        <v>0.24936330645083721</v>
      </c>
      <c r="D934" s="98">
        <f>SUMIFS(Input!$C$115:$C$3257,Input!$A$115:$A$3257,"="&amp;'Output - County'!A934,Input!$B$115:$B$3257,"="&amp;'Output - County'!B934)*VLOOKUP(A934,'Output - State'!$B$2:$G$52,3,FALSE)</f>
        <v>6.1079536256697597E-2</v>
      </c>
      <c r="E934" s="98">
        <f>SUMIFS(Input!$C$115:$C$3257,Input!$A$115:$A$3257,"="&amp;'Output - County'!A934,Input!$B$115:$B$3257,"="&amp;'Output - County'!B934)*VLOOKUP(A934,'Output - State'!$B$2:$G$52,4,FALSE)</f>
        <v>0.84499609121339792</v>
      </c>
      <c r="F934" s="98">
        <f>SUMIFS(Input!$C$115:$C$3257,Input!$A$115:$A$3257,"="&amp;'Output - County'!A934,Input!$B$115:$B$3257,"="&amp;'Output - County'!B934)*VLOOKUP(A934,'Output - State'!$B$2:$G$52,5,FALSE)</f>
        <v>1.0037921585306435</v>
      </c>
      <c r="G934" s="99">
        <f>SUMIFS(Input!$D$115:$D$3257,Input!$A$115:$A$3257,"="&amp;'Output - County'!A934,Input!$B$115:$B$3257,"="&amp;'Output - County'!B934)*VLOOKUP(A934,'Output - State'!$B$2:$G$52,6,FALSE)</f>
        <v>0.69878464015720376</v>
      </c>
    </row>
    <row r="935" spans="1:7" x14ac:dyDescent="0.25">
      <c r="A935" s="88">
        <v>20</v>
      </c>
      <c r="B935" s="88">
        <v>91</v>
      </c>
      <c r="C935" s="97">
        <f>SUMIFS(Input!$C$115:$C$3257,Input!$A$115:$A$3257,"="&amp;'Output - County'!A935,Input!$B$115:$B$3257,"="&amp;'Output - County'!B935)*VLOOKUP(A935,'Output - State'!$B$2:$G$52,2,FALSE)</f>
        <v>100.76986599990455</v>
      </c>
      <c r="D935" s="98">
        <f>SUMIFS(Input!$C$115:$C$3257,Input!$A$115:$A$3257,"="&amp;'Output - County'!A935,Input!$B$115:$B$3257,"="&amp;'Output - County'!B935)*VLOOKUP(A935,'Output - State'!$B$2:$G$52,3,FALSE)</f>
        <v>24.682768172779273</v>
      </c>
      <c r="E935" s="98">
        <f>SUMIFS(Input!$C$115:$C$3257,Input!$A$115:$A$3257,"="&amp;'Output - County'!A935,Input!$B$115:$B$3257,"="&amp;'Output - County'!B935)*VLOOKUP(A935,'Output - State'!$B$2:$G$52,4,FALSE)</f>
        <v>341.47021907092358</v>
      </c>
      <c r="F935" s="98">
        <f>SUMIFS(Input!$C$115:$C$3257,Input!$A$115:$A$3257,"="&amp;'Output - County'!A935,Input!$B$115:$B$3257,"="&amp;'Output - County'!B935)*VLOOKUP(A935,'Output - State'!$B$2:$G$52,5,FALSE)</f>
        <v>405.64108146693326</v>
      </c>
      <c r="G935" s="99">
        <f>SUMIFS(Input!$D$115:$D$3257,Input!$A$115:$A$3257,"="&amp;'Output - County'!A935,Input!$B$115:$B$3257,"="&amp;'Output - County'!B935)*VLOOKUP(A935,'Output - State'!$B$2:$G$52,6,FALSE)</f>
        <v>146.62218063649399</v>
      </c>
    </row>
    <row r="936" spans="1:7" x14ac:dyDescent="0.25">
      <c r="A936" s="88">
        <v>20</v>
      </c>
      <c r="B936" s="88">
        <v>93</v>
      </c>
      <c r="C936" s="97">
        <f>SUMIFS(Input!$C$115:$C$3257,Input!$A$115:$A$3257,"="&amp;'Output - County'!A936,Input!$B$115:$B$3257,"="&amp;'Output - County'!B936)*VLOOKUP(A936,'Output - State'!$B$2:$G$52,2,FALSE)</f>
        <v>0.3499429213378481</v>
      </c>
      <c r="D936" s="98">
        <f>SUMIFS(Input!$C$115:$C$3257,Input!$A$115:$A$3257,"="&amp;'Output - County'!A936,Input!$B$115:$B$3257,"="&amp;'Output - County'!B936)*VLOOKUP(A936,'Output - State'!$B$2:$G$52,3,FALSE)</f>
        <v>8.5715703949585678E-2</v>
      </c>
      <c r="E936" s="98">
        <f>SUMIFS(Input!$C$115:$C$3257,Input!$A$115:$A$3257,"="&amp;'Output - County'!A936,Input!$B$115:$B$3257,"="&amp;'Output - County'!B936)*VLOOKUP(A936,'Output - State'!$B$2:$G$52,4,FALSE)</f>
        <v>1.1858216226234453</v>
      </c>
      <c r="F936" s="98">
        <f>SUMIFS(Input!$C$115:$C$3257,Input!$A$115:$A$3257,"="&amp;'Output - County'!A936,Input!$B$115:$B$3257,"="&amp;'Output - County'!B936)*VLOOKUP(A936,'Output - State'!$B$2:$G$52,5,FALSE)</f>
        <v>1.4086673992730836</v>
      </c>
      <c r="G936" s="99">
        <f>SUMIFS(Input!$D$115:$D$3257,Input!$A$115:$A$3257,"="&amp;'Output - County'!A936,Input!$B$115:$B$3257,"="&amp;'Output - County'!B936)*VLOOKUP(A936,'Output - State'!$B$2:$G$52,6,FALSE)</f>
        <v>0.96603911656820451</v>
      </c>
    </row>
    <row r="937" spans="1:7" x14ac:dyDescent="0.25">
      <c r="A937" s="88">
        <v>20</v>
      </c>
      <c r="B937" s="88">
        <v>95</v>
      </c>
      <c r="C937" s="97">
        <f>SUMIFS(Input!$C$115:$C$3257,Input!$A$115:$A$3257,"="&amp;'Output - County'!A937,Input!$B$115:$B$3257,"="&amp;'Output - County'!B937)*VLOOKUP(A937,'Output - State'!$B$2:$G$52,2,FALSE)</f>
        <v>2.0161453788909882</v>
      </c>
      <c r="D937" s="98">
        <f>SUMIFS(Input!$C$115:$C$3257,Input!$A$115:$A$3257,"="&amp;'Output - County'!A937,Input!$B$115:$B$3257,"="&amp;'Output - County'!B937)*VLOOKUP(A937,'Output - State'!$B$2:$G$52,3,FALSE)</f>
        <v>0.49383859446467482</v>
      </c>
      <c r="E937" s="98">
        <f>SUMIFS(Input!$C$115:$C$3257,Input!$A$115:$A$3257,"="&amp;'Output - County'!A937,Input!$B$115:$B$3257,"="&amp;'Output - County'!B937)*VLOOKUP(A937,'Output - State'!$B$2:$G$52,4,FALSE)</f>
        <v>6.8319392645554178</v>
      </c>
      <c r="F937" s="98">
        <f>SUMIFS(Input!$C$115:$C$3257,Input!$A$115:$A$3257,"="&amp;'Output - County'!A937,Input!$B$115:$B$3257,"="&amp;'Output - County'!B937)*VLOOKUP(A937,'Output - State'!$B$2:$G$52,5,FALSE)</f>
        <v>8.1158328809197275</v>
      </c>
      <c r="G937" s="99">
        <f>SUMIFS(Input!$D$115:$D$3257,Input!$A$115:$A$3257,"="&amp;'Output - County'!A937,Input!$B$115:$B$3257,"="&amp;'Output - County'!B937)*VLOOKUP(A937,'Output - State'!$B$2:$G$52,6,FALSE)</f>
        <v>1.770254421731583</v>
      </c>
    </row>
    <row r="938" spans="1:7" x14ac:dyDescent="0.25">
      <c r="A938" s="88">
        <v>20</v>
      </c>
      <c r="B938" s="88">
        <v>97</v>
      </c>
      <c r="C938" s="97">
        <f>SUMIFS(Input!$C$115:$C$3257,Input!$A$115:$A$3257,"="&amp;'Output - County'!A938,Input!$B$115:$B$3257,"="&amp;'Output - County'!B938)*VLOOKUP(A938,'Output - State'!$B$2:$G$52,2,FALSE)</f>
        <v>0.41520743675531152</v>
      </c>
      <c r="D938" s="98">
        <f>SUMIFS(Input!$C$115:$C$3257,Input!$A$115:$A$3257,"="&amp;'Output - County'!A938,Input!$B$115:$B$3257,"="&amp;'Output - County'!B938)*VLOOKUP(A938,'Output - State'!$B$2:$G$52,3,FALSE)</f>
        <v>0.10170172207091129</v>
      </c>
      <c r="E938" s="98">
        <f>SUMIFS(Input!$C$115:$C$3257,Input!$A$115:$A$3257,"="&amp;'Output - County'!A938,Input!$B$115:$B$3257,"="&amp;'Output - County'!B938)*VLOOKUP(A938,'Output - State'!$B$2:$G$52,4,FALSE)</f>
        <v>1.4069778994133737</v>
      </c>
      <c r="F938" s="98">
        <f>SUMIFS(Input!$C$115:$C$3257,Input!$A$115:$A$3257,"="&amp;'Output - County'!A938,Input!$B$115:$B$3257,"="&amp;'Output - County'!B938)*VLOOKUP(A938,'Output - State'!$B$2:$G$52,5,FALSE)</f>
        <v>1.6713845156715539</v>
      </c>
      <c r="G938" s="99">
        <f>SUMIFS(Input!$D$115:$D$3257,Input!$A$115:$A$3257,"="&amp;'Output - County'!A938,Input!$B$115:$B$3257,"="&amp;'Output - County'!B938)*VLOOKUP(A938,'Output - State'!$B$2:$G$52,6,FALSE)</f>
        <v>0.61051710666366221</v>
      </c>
    </row>
    <row r="939" spans="1:7" x14ac:dyDescent="0.25">
      <c r="A939" s="88">
        <v>20</v>
      </c>
      <c r="B939" s="88">
        <v>99</v>
      </c>
      <c r="C939" s="97">
        <f>SUMIFS(Input!$C$115:$C$3257,Input!$A$115:$A$3257,"="&amp;'Output - County'!A939,Input!$B$115:$B$3257,"="&amp;'Output - County'!B939)*VLOOKUP(A939,'Output - State'!$B$2:$G$52,2,FALSE)</f>
        <v>1.7981457743527083</v>
      </c>
      <c r="D939" s="98">
        <f>SUMIFS(Input!$C$115:$C$3257,Input!$A$115:$A$3257,"="&amp;'Output - County'!A939,Input!$B$115:$B$3257,"="&amp;'Output - County'!B939)*VLOOKUP(A939,'Output - State'!$B$2:$G$52,3,FALSE)</f>
        <v>0.44044134472951074</v>
      </c>
      <c r="E939" s="98">
        <f>SUMIFS(Input!$C$115:$C$3257,Input!$A$115:$A$3257,"="&amp;'Output - County'!A939,Input!$B$115:$B$3257,"="&amp;'Output - County'!B939)*VLOOKUP(A939,'Output - State'!$B$2:$G$52,4,FALSE)</f>
        <v>6.0932226652981392</v>
      </c>
      <c r="F939" s="98">
        <f>SUMIFS(Input!$C$115:$C$3257,Input!$A$115:$A$3257,"="&amp;'Output - County'!A939,Input!$B$115:$B$3257,"="&amp;'Output - County'!B939)*VLOOKUP(A939,'Output - State'!$B$2:$G$52,5,FALSE)</f>
        <v>7.238292810117656</v>
      </c>
      <c r="G939" s="99">
        <f>SUMIFS(Input!$D$115:$D$3257,Input!$A$115:$A$3257,"="&amp;'Output - County'!A939,Input!$B$115:$B$3257,"="&amp;'Output - County'!B939)*VLOOKUP(A939,'Output - State'!$B$2:$G$52,6,FALSE)</f>
        <v>4.8792331014485457</v>
      </c>
    </row>
    <row r="940" spans="1:7" x14ac:dyDescent="0.25">
      <c r="A940" s="88">
        <v>20</v>
      </c>
      <c r="B940" s="88">
        <v>101</v>
      </c>
      <c r="C940" s="97">
        <f>SUMIFS(Input!$C$115:$C$3257,Input!$A$115:$A$3257,"="&amp;'Output - County'!A940,Input!$B$115:$B$3257,"="&amp;'Output - County'!B940)*VLOOKUP(A940,'Output - State'!$B$2:$G$52,2,FALSE)</f>
        <v>0.15994690568320538</v>
      </c>
      <c r="D940" s="98">
        <f>SUMIFS(Input!$C$115:$C$3257,Input!$A$115:$A$3257,"="&amp;'Output - County'!A940,Input!$B$115:$B$3257,"="&amp;'Output - County'!B940)*VLOOKUP(A940,'Output - State'!$B$2:$G$52,3,FALSE)</f>
        <v>3.9177708075305857E-2</v>
      </c>
      <c r="E940" s="98">
        <f>SUMIFS(Input!$C$115:$C$3257,Input!$A$115:$A$3257,"="&amp;'Output - County'!A940,Input!$B$115:$B$3257,"="&amp;'Output - County'!B940)*VLOOKUP(A940,'Output - State'!$B$2:$G$52,4,FALSE)</f>
        <v>0.54199838792494004</v>
      </c>
      <c r="F940" s="98">
        <f>SUMIFS(Input!$C$115:$C$3257,Input!$A$115:$A$3257,"="&amp;'Output - County'!A940,Input!$B$115:$B$3257,"="&amp;'Output - County'!B940)*VLOOKUP(A940,'Output - State'!$B$2:$G$52,5,FALSE)</f>
        <v>0.64385354842772602</v>
      </c>
      <c r="G940" s="99">
        <f>SUMIFS(Input!$D$115:$D$3257,Input!$A$115:$A$3257,"="&amp;'Output - County'!A940,Input!$B$115:$B$3257,"="&amp;'Output - County'!B940)*VLOOKUP(A940,'Output - State'!$B$2:$G$52,6,FALSE)</f>
        <v>0.38004076920830376</v>
      </c>
    </row>
    <row r="941" spans="1:7" x14ac:dyDescent="0.25">
      <c r="A941" s="88">
        <v>20</v>
      </c>
      <c r="B941" s="88">
        <v>103</v>
      </c>
      <c r="C941" s="97">
        <f>SUMIFS(Input!$C$115:$C$3257,Input!$A$115:$A$3257,"="&amp;'Output - County'!A941,Input!$B$115:$B$3257,"="&amp;'Output - County'!B941)*VLOOKUP(A941,'Output - State'!$B$2:$G$52,2,FALSE)</f>
        <v>9.7121090541847295</v>
      </c>
      <c r="D941" s="98">
        <f>SUMIFS(Input!$C$115:$C$3257,Input!$A$115:$A$3257,"="&amp;'Output - County'!A941,Input!$B$115:$B$3257,"="&amp;'Output - County'!B941)*VLOOKUP(A941,'Output - State'!$B$2:$G$52,3,FALSE)</f>
        <v>2.3789029971858779</v>
      </c>
      <c r="E941" s="98">
        <f>SUMIFS(Input!$C$115:$C$3257,Input!$A$115:$A$3257,"="&amp;'Output - County'!A941,Input!$B$115:$B$3257,"="&amp;'Output - County'!B941)*VLOOKUP(A941,'Output - State'!$B$2:$G$52,4,FALSE)</f>
        <v>32.910592600929931</v>
      </c>
      <c r="F941" s="98">
        <f>SUMIFS(Input!$C$115:$C$3257,Input!$A$115:$A$3257,"="&amp;'Output - County'!A941,Input!$B$115:$B$3257,"="&amp;'Output - County'!B941)*VLOOKUP(A941,'Output - State'!$B$2:$G$52,5,FALSE)</f>
        <v>39.09532260435892</v>
      </c>
      <c r="G941" s="99">
        <f>SUMIFS(Input!$D$115:$D$3257,Input!$A$115:$A$3257,"="&amp;'Output - County'!A941,Input!$B$115:$B$3257,"="&amp;'Output - County'!B941)*VLOOKUP(A941,'Output - State'!$B$2:$G$52,6,FALSE)</f>
        <v>19.982788832565653</v>
      </c>
    </row>
    <row r="942" spans="1:7" x14ac:dyDescent="0.25">
      <c r="A942" s="88">
        <v>20</v>
      </c>
      <c r="B942" s="88">
        <v>105</v>
      </c>
      <c r="C942" s="97">
        <f>SUMIFS(Input!$C$115:$C$3257,Input!$A$115:$A$3257,"="&amp;'Output - County'!A942,Input!$B$115:$B$3257,"="&amp;'Output - County'!B942)*VLOOKUP(A942,'Output - State'!$B$2:$G$52,2,FALSE)</f>
        <v>1.1528571419317042</v>
      </c>
      <c r="D942" s="98">
        <f>SUMIFS(Input!$C$115:$C$3257,Input!$A$115:$A$3257,"="&amp;'Output - County'!A942,Input!$B$115:$B$3257,"="&amp;'Output - County'!B942)*VLOOKUP(A942,'Output - State'!$B$2:$G$52,3,FALSE)</f>
        <v>0.28238308435043563</v>
      </c>
      <c r="E942" s="98">
        <f>SUMIFS(Input!$C$115:$C$3257,Input!$A$115:$A$3257,"="&amp;'Output - County'!A942,Input!$B$115:$B$3257,"="&amp;'Output - County'!B942)*VLOOKUP(A942,'Output - State'!$B$2:$G$52,4,FALSE)</f>
        <v>3.9065883129513215</v>
      </c>
      <c r="F942" s="98">
        <f>SUMIFS(Input!$C$115:$C$3257,Input!$A$115:$A$3257,"="&amp;'Output - County'!A942,Input!$B$115:$B$3257,"="&amp;'Output - County'!B942)*VLOOKUP(A942,'Output - State'!$B$2:$G$52,5,FALSE)</f>
        <v>4.640734739396172</v>
      </c>
      <c r="G942" s="99">
        <f>SUMIFS(Input!$D$115:$D$3257,Input!$A$115:$A$3257,"="&amp;'Output - County'!A942,Input!$B$115:$B$3257,"="&amp;'Output - County'!B942)*VLOOKUP(A942,'Output - State'!$B$2:$G$52,6,FALSE)</f>
        <v>0.73556277911284607</v>
      </c>
    </row>
    <row r="943" spans="1:7" x14ac:dyDescent="0.25">
      <c r="A943" s="88">
        <v>20</v>
      </c>
      <c r="B943" s="88">
        <v>107</v>
      </c>
      <c r="C943" s="97">
        <f>SUMIFS(Input!$C$115:$C$3257,Input!$A$115:$A$3257,"="&amp;'Output - County'!A943,Input!$B$115:$B$3257,"="&amp;'Output - County'!B943)*VLOOKUP(A943,'Output - State'!$B$2:$G$52,2,FALSE)</f>
        <v>1.9645472770274086</v>
      </c>
      <c r="D943" s="98">
        <f>SUMIFS(Input!$C$115:$C$3257,Input!$A$115:$A$3257,"="&amp;'Output - County'!A943,Input!$B$115:$B$3257,"="&amp;'Output - County'!B943)*VLOOKUP(A943,'Output - State'!$B$2:$G$52,3,FALSE)</f>
        <v>0.48120005442279973</v>
      </c>
      <c r="E943" s="98">
        <f>SUMIFS(Input!$C$115:$C$3257,Input!$A$115:$A$3257,"="&amp;'Output - County'!A943,Input!$B$115:$B$3257,"="&amp;'Output - County'!B943)*VLOOKUP(A943,'Output - State'!$B$2:$G$52,4,FALSE)</f>
        <v>6.6570931935383442</v>
      </c>
      <c r="F943" s="98">
        <f>SUMIFS(Input!$C$115:$C$3257,Input!$A$115:$A$3257,"="&amp;'Output - County'!A943,Input!$B$115:$B$3257,"="&amp;'Output - County'!B943)*VLOOKUP(A943,'Output - State'!$B$2:$G$52,5,FALSE)</f>
        <v>7.9081288254077045</v>
      </c>
      <c r="G943" s="99">
        <f>SUMIFS(Input!$D$115:$D$3257,Input!$A$115:$A$3257,"="&amp;'Output - County'!A943,Input!$B$115:$B$3257,"="&amp;'Output - County'!B943)*VLOOKUP(A943,'Output - State'!$B$2:$G$52,6,FALSE)</f>
        <v>2.3954827839775024</v>
      </c>
    </row>
    <row r="944" spans="1:7" x14ac:dyDescent="0.25">
      <c r="A944" s="88">
        <v>20</v>
      </c>
      <c r="B944" s="88">
        <v>109</v>
      </c>
      <c r="C944" s="97">
        <f>SUMIFS(Input!$C$115:$C$3257,Input!$A$115:$A$3257,"="&amp;'Output - County'!A944,Input!$B$115:$B$3257,"="&amp;'Output - County'!B944)*VLOOKUP(A944,'Output - State'!$B$2:$G$52,2,FALSE)</f>
        <v>0.41487172389375127</v>
      </c>
      <c r="D944" s="98">
        <f>SUMIFS(Input!$C$115:$C$3257,Input!$A$115:$A$3257,"="&amp;'Output - County'!A944,Input!$B$115:$B$3257,"="&amp;'Output - County'!B944)*VLOOKUP(A944,'Output - State'!$B$2:$G$52,3,FALSE)</f>
        <v>0.10161949190565017</v>
      </c>
      <c r="E944" s="98">
        <f>SUMIFS(Input!$C$115:$C$3257,Input!$A$115:$A$3257,"="&amp;'Output - County'!A944,Input!$B$115:$B$3257,"="&amp;'Output - County'!B944)*VLOOKUP(A944,'Output - State'!$B$2:$G$52,4,FALSE)</f>
        <v>1.4058402979762337</v>
      </c>
      <c r="F944" s="98">
        <f>SUMIFS(Input!$C$115:$C$3257,Input!$A$115:$A$3257,"="&amp;'Output - County'!A944,Input!$B$115:$B$3257,"="&amp;'Output - County'!B944)*VLOOKUP(A944,'Output - State'!$B$2:$G$52,5,FALSE)</f>
        <v>1.6700331302462146</v>
      </c>
      <c r="G944" s="99">
        <f>SUMIFS(Input!$D$115:$D$3257,Input!$A$115:$A$3257,"="&amp;'Output - County'!A944,Input!$B$115:$B$3257,"="&amp;'Output - County'!B944)*VLOOKUP(A944,'Output - State'!$B$2:$G$52,6,FALSE)</f>
        <v>0.68897713643569913</v>
      </c>
    </row>
    <row r="945" spans="1:7" x14ac:dyDescent="0.25">
      <c r="A945" s="88">
        <v>20</v>
      </c>
      <c r="B945" s="88">
        <v>111</v>
      </c>
      <c r="C945" s="97">
        <f>SUMIFS(Input!$C$115:$C$3257,Input!$A$115:$A$3257,"="&amp;'Output - County'!A945,Input!$B$115:$B$3257,"="&amp;'Output - County'!B945)*VLOOKUP(A945,'Output - State'!$B$2:$G$52,2,FALSE)</f>
        <v>7.7214325793611494</v>
      </c>
      <c r="D945" s="98">
        <f>SUMIFS(Input!$C$115:$C$3257,Input!$A$115:$A$3257,"="&amp;'Output - County'!A945,Input!$B$115:$B$3257,"="&amp;'Output - County'!B945)*VLOOKUP(A945,'Output - State'!$B$2:$G$52,3,FALSE)</f>
        <v>1.8913028059231205</v>
      </c>
      <c r="E945" s="98">
        <f>SUMIFS(Input!$C$115:$C$3257,Input!$A$115:$A$3257,"="&amp;'Output - County'!A945,Input!$B$115:$B$3257,"="&amp;'Output - County'!B945)*VLOOKUP(A945,'Output - State'!$B$2:$G$52,4,FALSE)</f>
        <v>26.164957631464109</v>
      </c>
      <c r="F945" s="98">
        <f>SUMIFS(Input!$C$115:$C$3257,Input!$A$115:$A$3257,"="&amp;'Output - County'!A945,Input!$B$115:$B$3257,"="&amp;'Output - County'!B945)*VLOOKUP(A945,'Output - State'!$B$2:$G$52,5,FALSE)</f>
        <v>31.082012771248852</v>
      </c>
      <c r="G945" s="99">
        <f>SUMIFS(Input!$D$115:$D$3257,Input!$A$115:$A$3257,"="&amp;'Output - County'!A945,Input!$B$115:$B$3257,"="&amp;'Output - County'!B945)*VLOOKUP(A945,'Output - State'!$B$2:$G$52,6,FALSE)</f>
        <v>8.1647468481525909</v>
      </c>
    </row>
    <row r="946" spans="1:7" x14ac:dyDescent="0.25">
      <c r="A946" s="88">
        <v>20</v>
      </c>
      <c r="B946" s="88">
        <v>113</v>
      </c>
      <c r="C946" s="97">
        <f>SUMIFS(Input!$C$115:$C$3257,Input!$A$115:$A$3257,"="&amp;'Output - County'!A946,Input!$B$115:$B$3257,"="&amp;'Output - County'!B946)*VLOOKUP(A946,'Output - State'!$B$2:$G$52,2,FALSE)</f>
        <v>7.1608695718731292</v>
      </c>
      <c r="D946" s="98">
        <f>SUMIFS(Input!$C$115:$C$3257,Input!$A$115:$A$3257,"="&amp;'Output - County'!A946,Input!$B$115:$B$3257,"="&amp;'Output - County'!B946)*VLOOKUP(A946,'Output - State'!$B$2:$G$52,3,FALSE)</f>
        <v>1.7539974059132024</v>
      </c>
      <c r="E946" s="98">
        <f>SUMIFS(Input!$C$115:$C$3257,Input!$A$115:$A$3257,"="&amp;'Output - County'!A946,Input!$B$115:$B$3257,"="&amp;'Output - County'!B946)*VLOOKUP(A946,'Output - State'!$B$2:$G$52,4,FALSE)</f>
        <v>24.265425751862605</v>
      </c>
      <c r="F946" s="98">
        <f>SUMIFS(Input!$C$115:$C$3257,Input!$A$115:$A$3257,"="&amp;'Output - County'!A946,Input!$B$115:$B$3257,"="&amp;'Output - County'!B946)*VLOOKUP(A946,'Output - State'!$B$2:$G$52,5,FALSE)</f>
        <v>28.82551096556011</v>
      </c>
      <c r="G946" s="99">
        <f>SUMIFS(Input!$D$115:$D$3257,Input!$A$115:$A$3257,"="&amp;'Output - County'!A946,Input!$B$115:$B$3257,"="&amp;'Output - County'!B946)*VLOOKUP(A946,'Output - State'!$B$2:$G$52,6,FALSE)</f>
        <v>6.9878464015720381</v>
      </c>
    </row>
    <row r="947" spans="1:7" x14ac:dyDescent="0.25">
      <c r="A947" s="88">
        <v>20</v>
      </c>
      <c r="B947" s="88">
        <v>115</v>
      </c>
      <c r="C947" s="97">
        <f>SUMIFS(Input!$C$115:$C$3257,Input!$A$115:$A$3257,"="&amp;'Output - County'!A947,Input!$B$115:$B$3257,"="&amp;'Output - County'!B947)*VLOOKUP(A947,'Output - State'!$B$2:$G$52,2,FALSE)</f>
        <v>0.84489435148987135</v>
      </c>
      <c r="D947" s="98">
        <f>SUMIFS(Input!$C$115:$C$3257,Input!$A$115:$A$3257,"="&amp;'Output - County'!A947,Input!$B$115:$B$3257,"="&amp;'Output - County'!B947)*VLOOKUP(A947,'Output - State'!$B$2:$G$52,3,FALSE)</f>
        <v>0.20695007581269317</v>
      </c>
      <c r="E947" s="98">
        <f>SUMIFS(Input!$C$115:$C$3257,Input!$A$115:$A$3257,"="&amp;'Output - County'!A947,Input!$B$115:$B$3257,"="&amp;'Output - County'!B947)*VLOOKUP(A947,'Output - State'!$B$2:$G$52,4,FALSE)</f>
        <v>2.8630211664199843</v>
      </c>
      <c r="F947" s="98">
        <f>SUMIFS(Input!$C$115:$C$3257,Input!$A$115:$A$3257,"="&amp;'Output - County'!A947,Input!$B$115:$B$3257,"="&amp;'Output - County'!B947)*VLOOKUP(A947,'Output - State'!$B$2:$G$52,5,FALSE)</f>
        <v>3.4010550184117467</v>
      </c>
      <c r="G947" s="99">
        <f>SUMIFS(Input!$D$115:$D$3257,Input!$A$115:$A$3257,"="&amp;'Output - County'!A947,Input!$B$115:$B$3257,"="&amp;'Output - County'!B947)*VLOOKUP(A947,'Output - State'!$B$2:$G$52,6,FALSE)</f>
        <v>2.9177323571476226</v>
      </c>
    </row>
    <row r="948" spans="1:7" x14ac:dyDescent="0.25">
      <c r="A948" s="88">
        <v>20</v>
      </c>
      <c r="B948" s="88">
        <v>117</v>
      </c>
      <c r="C948" s="97">
        <f>SUMIFS(Input!$C$115:$C$3257,Input!$A$115:$A$3257,"="&amp;'Output - County'!A948,Input!$B$115:$B$3257,"="&amp;'Output - County'!B948)*VLOOKUP(A948,'Output - State'!$B$2:$G$52,2,FALSE)</f>
        <v>0.81133612340816263</v>
      </c>
      <c r="D948" s="98">
        <f>SUMIFS(Input!$C$115:$C$3257,Input!$A$115:$A$3257,"="&amp;'Output - County'!A948,Input!$B$115:$B$3257,"="&amp;'Output - County'!B948)*VLOOKUP(A948,'Output - State'!$B$2:$G$52,3,FALSE)</f>
        <v>0.19873025775685838</v>
      </c>
      <c r="E948" s="98">
        <f>SUMIFS(Input!$C$115:$C$3257,Input!$A$115:$A$3257,"="&amp;'Output - County'!A948,Input!$B$115:$B$3257,"="&amp;'Output - County'!B948)*VLOOKUP(A948,'Output - State'!$B$2:$G$52,4,FALSE)</f>
        <v>2.7493052714846478</v>
      </c>
      <c r="F948" s="98">
        <f>SUMIFS(Input!$C$115:$C$3257,Input!$A$115:$A$3257,"="&amp;'Output - County'!A948,Input!$B$115:$B$3257,"="&amp;'Output - County'!B948)*VLOOKUP(A948,'Output - State'!$B$2:$G$52,5,FALSE)</f>
        <v>3.2659690401174895</v>
      </c>
      <c r="G948" s="99">
        <f>SUMIFS(Input!$D$115:$D$3257,Input!$A$115:$A$3257,"="&amp;'Output - County'!A948,Input!$B$115:$B$3257,"="&amp;'Output - County'!B948)*VLOOKUP(A948,'Output - State'!$B$2:$G$52,6,FALSE)</f>
        <v>2.3832234043256215</v>
      </c>
    </row>
    <row r="949" spans="1:7" x14ac:dyDescent="0.25">
      <c r="A949" s="88">
        <v>20</v>
      </c>
      <c r="B949" s="88">
        <v>119</v>
      </c>
      <c r="C949" s="97">
        <f>SUMIFS(Input!$C$115:$C$3257,Input!$A$115:$A$3257,"="&amp;'Output - County'!A949,Input!$B$115:$B$3257,"="&amp;'Output - County'!B949)*VLOOKUP(A949,'Output - State'!$B$2:$G$52,2,FALSE)</f>
        <v>0.45704234403754435</v>
      </c>
      <c r="D949" s="98">
        <f>SUMIFS(Input!$C$115:$C$3257,Input!$A$115:$A$3257,"="&amp;'Output - County'!A949,Input!$B$115:$B$3257,"="&amp;'Output - County'!B949)*VLOOKUP(A949,'Output - State'!$B$2:$G$52,3,FALSE)</f>
        <v>0.1119488461266091</v>
      </c>
      <c r="E949" s="98">
        <f>SUMIFS(Input!$C$115:$C$3257,Input!$A$115:$A$3257,"="&amp;'Output - County'!A949,Input!$B$115:$B$3257,"="&amp;'Output - County'!B949)*VLOOKUP(A949,'Output - State'!$B$2:$G$52,4,FALSE)</f>
        <v>1.5487402686765159</v>
      </c>
      <c r="F949" s="98">
        <f>SUMIFS(Input!$C$115:$C$3257,Input!$A$115:$A$3257,"="&amp;'Output - County'!A949,Input!$B$115:$B$3257,"="&amp;'Output - County'!B949)*VLOOKUP(A949,'Output - State'!$B$2:$G$52,5,FALSE)</f>
        <v>1.8397876078524038</v>
      </c>
      <c r="G949" s="99">
        <f>SUMIFS(Input!$D$115:$D$3257,Input!$A$115:$A$3257,"="&amp;'Output - County'!A949,Input!$B$115:$B$3257,"="&amp;'Output - County'!B949)*VLOOKUP(A949,'Output - State'!$B$2:$G$52,6,FALSE)</f>
        <v>1.005269131454223</v>
      </c>
    </row>
    <row r="950" spans="1:7" x14ac:dyDescent="0.25">
      <c r="A950" s="88">
        <v>20</v>
      </c>
      <c r="B950" s="88">
        <v>121</v>
      </c>
      <c r="C950" s="97">
        <f>SUMIFS(Input!$C$115:$C$3257,Input!$A$115:$A$3257,"="&amp;'Output - County'!A950,Input!$B$115:$B$3257,"="&amp;'Output - County'!B950)*VLOOKUP(A950,'Output - State'!$B$2:$G$52,2,FALSE)</f>
        <v>7.1581823359045451</v>
      </c>
      <c r="D950" s="98">
        <f>SUMIFS(Input!$C$115:$C$3257,Input!$A$115:$A$3257,"="&amp;'Output - County'!A950,Input!$B$115:$B$3257,"="&amp;'Output - County'!B950)*VLOOKUP(A950,'Output - State'!$B$2:$G$52,3,FALSE)</f>
        <v>1.7533391890764529</v>
      </c>
      <c r="E950" s="98">
        <f>SUMIFS(Input!$C$115:$C$3257,Input!$A$115:$A$3257,"="&amp;'Output - County'!A950,Input!$B$115:$B$3257,"="&amp;'Output - County'!B950)*VLOOKUP(A950,'Output - State'!$B$2:$G$52,4,FALSE)</f>
        <v>24.256319745361726</v>
      </c>
      <c r="F950" s="98">
        <f>SUMIFS(Input!$C$115:$C$3257,Input!$A$115:$A$3257,"="&amp;'Output - County'!A950,Input!$B$115:$B$3257,"="&amp;'Output - County'!B950)*VLOOKUP(A950,'Output - State'!$B$2:$G$52,5,FALSE)</f>
        <v>28.814693710881468</v>
      </c>
      <c r="G950" s="99">
        <f>SUMIFS(Input!$D$115:$D$3257,Input!$A$115:$A$3257,"="&amp;'Output - County'!A950,Input!$B$115:$B$3257,"="&amp;'Output - County'!B950)*VLOOKUP(A950,'Output - State'!$B$2:$G$52,6,FALSE)</f>
        <v>8.2628218853676376</v>
      </c>
    </row>
    <row r="951" spans="1:7" x14ac:dyDescent="0.25">
      <c r="A951" s="88">
        <v>20</v>
      </c>
      <c r="B951" s="88">
        <v>123</v>
      </c>
      <c r="C951" s="97">
        <f>SUMIFS(Input!$C$115:$C$3257,Input!$A$115:$A$3257,"="&amp;'Output - County'!A951,Input!$B$115:$B$3257,"="&amp;'Output - County'!B951)*VLOOKUP(A951,'Output - State'!$B$2:$G$52,2,FALSE)</f>
        <v>0.39679202377147577</v>
      </c>
      <c r="D951" s="98">
        <f>SUMIFS(Input!$C$115:$C$3257,Input!$A$115:$A$3257,"="&amp;'Output - County'!A951,Input!$B$115:$B$3257,"="&amp;'Output - County'!B951)*VLOOKUP(A951,'Output - State'!$B$2:$G$52,3,FALSE)</f>
        <v>9.7191014777855661E-2</v>
      </c>
      <c r="E951" s="98">
        <f>SUMIFS(Input!$C$115:$C$3257,Input!$A$115:$A$3257,"="&amp;'Output - County'!A951,Input!$B$115:$B$3257,"="&amp;'Output - County'!B951)*VLOOKUP(A951,'Output - State'!$B$2:$G$52,4,FALSE)</f>
        <v>1.3445751657838789</v>
      </c>
      <c r="F951" s="98">
        <f>SUMIFS(Input!$C$115:$C$3257,Input!$A$115:$A$3257,"="&amp;'Output - County'!A951,Input!$B$115:$B$3257,"="&amp;'Output - County'!B951)*VLOOKUP(A951,'Output - State'!$B$2:$G$52,5,FALSE)</f>
        <v>1.5972547352624937</v>
      </c>
      <c r="G951" s="99">
        <f>SUMIFS(Input!$D$115:$D$3257,Input!$A$115:$A$3257,"="&amp;'Output - County'!A951,Input!$B$115:$B$3257,"="&amp;'Output - County'!B951)*VLOOKUP(A951,'Output - State'!$B$2:$G$52,6,FALSE)</f>
        <v>1.4980961934598298</v>
      </c>
    </row>
    <row r="952" spans="1:7" x14ac:dyDescent="0.25">
      <c r="A952" s="88">
        <v>20</v>
      </c>
      <c r="B952" s="88">
        <v>125</v>
      </c>
      <c r="C952" s="97">
        <f>SUMIFS(Input!$C$115:$C$3257,Input!$A$115:$A$3257,"="&amp;'Output - County'!A952,Input!$B$115:$B$3257,"="&amp;'Output - County'!B952)*VLOOKUP(A952,'Output - State'!$B$2:$G$52,2,FALSE)</f>
        <v>3.1822231885834555</v>
      </c>
      <c r="D952" s="98">
        <f>SUMIFS(Input!$C$115:$C$3257,Input!$A$115:$A$3257,"="&amp;'Output - County'!A952,Input!$B$115:$B$3257,"="&amp;'Output - County'!B952)*VLOOKUP(A952,'Output - State'!$B$2:$G$52,3,FALSE)</f>
        <v>0.77945997504772202</v>
      </c>
      <c r="E952" s="98">
        <f>SUMIFS(Input!$C$115:$C$3257,Input!$A$115:$A$3257,"="&amp;'Output - County'!A952,Input!$B$115:$B$3257,"="&amp;'Output - County'!B952)*VLOOKUP(A952,'Output - State'!$B$2:$G$52,4,FALSE)</f>
        <v>10.783327322666031</v>
      </c>
      <c r="F952" s="98">
        <f>SUMIFS(Input!$C$115:$C$3257,Input!$A$115:$A$3257,"="&amp;'Output - County'!A952,Input!$B$115:$B$3257,"="&amp;'Output - County'!B952)*VLOOKUP(A952,'Output - State'!$B$2:$G$52,5,FALSE)</f>
        <v>12.809786366961809</v>
      </c>
      <c r="G952" s="99">
        <f>SUMIFS(Input!$D$115:$D$3257,Input!$A$115:$A$3257,"="&amp;'Output - County'!A952,Input!$B$115:$B$3257,"="&amp;'Output - County'!B952)*VLOOKUP(A952,'Output - State'!$B$2:$G$52,6,FALSE)</f>
        <v>7.8705217365074533</v>
      </c>
    </row>
    <row r="953" spans="1:7" x14ac:dyDescent="0.25">
      <c r="A953" s="88">
        <v>20</v>
      </c>
      <c r="B953" s="88">
        <v>127</v>
      </c>
      <c r="C953" s="97">
        <f>SUMIFS(Input!$C$115:$C$3257,Input!$A$115:$A$3257,"="&amp;'Output - County'!A953,Input!$B$115:$B$3257,"="&amp;'Output - County'!B953)*VLOOKUP(A953,'Output - State'!$B$2:$G$52,2,FALSE)</f>
        <v>0.35254191202498092</v>
      </c>
      <c r="D953" s="98">
        <f>SUMIFS(Input!$C$115:$C$3257,Input!$A$115:$A$3257,"="&amp;'Output - County'!A953,Input!$B$115:$B$3257,"="&amp;'Output - County'!B953)*VLOOKUP(A953,'Output - State'!$B$2:$G$52,3,FALSE)</f>
        <v>8.6352305814410737E-2</v>
      </c>
      <c r="E953" s="98">
        <f>SUMIFS(Input!$C$115:$C$3257,Input!$A$115:$A$3257,"="&amp;'Output - County'!A953,Input!$B$115:$B$3257,"="&amp;'Output - County'!B953)*VLOOKUP(A953,'Output - State'!$B$2:$G$52,4,FALSE)</f>
        <v>1.1946285998928143</v>
      </c>
      <c r="F953" s="98">
        <f>SUMIFS(Input!$C$115:$C$3257,Input!$A$115:$A$3257,"="&amp;'Output - County'!A953,Input!$B$115:$B$3257,"="&amp;'Output - County'!B953)*VLOOKUP(A953,'Output - State'!$B$2:$G$52,5,FALSE)</f>
        <v>1.4191294295892898</v>
      </c>
      <c r="G953" s="99">
        <f>SUMIFS(Input!$D$115:$D$3257,Input!$A$115:$A$3257,"="&amp;'Output - County'!A953,Input!$B$115:$B$3257,"="&amp;'Output - County'!B953)*VLOOKUP(A953,'Output - State'!$B$2:$G$52,6,FALSE)</f>
        <v>1.3632430172891414</v>
      </c>
    </row>
    <row r="954" spans="1:7" x14ac:dyDescent="0.25">
      <c r="A954" s="88">
        <v>20</v>
      </c>
      <c r="B954" s="88">
        <v>129</v>
      </c>
      <c r="C954" s="97">
        <f>SUMIFS(Input!$C$115:$C$3257,Input!$A$115:$A$3257,"="&amp;'Output - County'!A954,Input!$B$115:$B$3257,"="&amp;'Output - County'!B954)*VLOOKUP(A954,'Output - State'!$B$2:$G$52,2,FALSE)</f>
        <v>0.20799267413385047</v>
      </c>
      <c r="D954" s="98">
        <f>SUMIFS(Input!$C$115:$C$3257,Input!$A$115:$A$3257,"="&amp;'Output - County'!A954,Input!$B$115:$B$3257,"="&amp;'Output - County'!B954)*VLOOKUP(A954,'Output - State'!$B$2:$G$52,3,FALSE)</f>
        <v>5.0946132619518594E-2</v>
      </c>
      <c r="E954" s="98">
        <f>SUMIFS(Input!$C$115:$C$3257,Input!$A$115:$A$3257,"="&amp;'Output - County'!A954,Input!$B$115:$B$3257,"="&amp;'Output - County'!B954)*VLOOKUP(A954,'Output - State'!$B$2:$G$52,4,FALSE)</f>
        <v>0.70480697078331345</v>
      </c>
      <c r="F954" s="98">
        <f>SUMIFS(Input!$C$115:$C$3257,Input!$A$115:$A$3257,"="&amp;'Output - County'!A954,Input!$B$115:$B$3257,"="&amp;'Output - County'!B954)*VLOOKUP(A954,'Output - State'!$B$2:$G$52,5,FALSE)</f>
        <v>0.83725796829911892</v>
      </c>
      <c r="G954" s="99">
        <f>SUMIFS(Input!$D$115:$D$3257,Input!$A$115:$A$3257,"="&amp;'Output - County'!A954,Input!$B$115:$B$3257,"="&amp;'Output - County'!B954)*VLOOKUP(A954,'Output - State'!$B$2:$G$52,6,FALSE)</f>
        <v>0.65955462527118536</v>
      </c>
    </row>
    <row r="955" spans="1:7" x14ac:dyDescent="0.25">
      <c r="A955" s="88">
        <v>20</v>
      </c>
      <c r="B955" s="88">
        <v>131</v>
      </c>
      <c r="C955" s="97">
        <f>SUMIFS(Input!$C$115:$C$3257,Input!$A$115:$A$3257,"="&amp;'Output - County'!A955,Input!$B$115:$B$3257,"="&amp;'Output - County'!B955)*VLOOKUP(A955,'Output - State'!$B$2:$G$52,2,FALSE)</f>
        <v>0.55462443081899448</v>
      </c>
      <c r="D955" s="98">
        <f>SUMIFS(Input!$C$115:$C$3257,Input!$A$115:$A$3257,"="&amp;'Output - County'!A955,Input!$B$115:$B$3257,"="&amp;'Output - County'!B955)*VLOOKUP(A955,'Output - State'!$B$2:$G$52,3,FALSE)</f>
        <v>0.13585079341951156</v>
      </c>
      <c r="E955" s="98">
        <f>SUMIFS(Input!$C$115:$C$3257,Input!$A$115:$A$3257,"="&amp;'Output - County'!A955,Input!$B$115:$B$3257,"="&amp;'Output - County'!B955)*VLOOKUP(A955,'Output - State'!$B$2:$G$52,4,FALSE)</f>
        <v>1.8794083331819427</v>
      </c>
      <c r="F955" s="98">
        <f>SUMIFS(Input!$C$115:$C$3257,Input!$A$115:$A$3257,"="&amp;'Output - County'!A955,Input!$B$115:$B$3257,"="&amp;'Output - County'!B955)*VLOOKUP(A955,'Output - State'!$B$2:$G$52,5,FALSE)</f>
        <v>2.2325965375959944</v>
      </c>
      <c r="G955" s="99">
        <f>SUMIFS(Input!$D$115:$D$3257,Input!$A$115:$A$3257,"="&amp;'Output - County'!A955,Input!$B$115:$B$3257,"="&amp;'Output - County'!B955)*VLOOKUP(A955,'Output - State'!$B$2:$G$52,6,FALSE)</f>
        <v>2.4763946896799154</v>
      </c>
    </row>
    <row r="956" spans="1:7" x14ac:dyDescent="0.25">
      <c r="A956" s="88">
        <v>20</v>
      </c>
      <c r="B956" s="88">
        <v>133</v>
      </c>
      <c r="C956" s="97">
        <f>SUMIFS(Input!$C$115:$C$3257,Input!$A$115:$A$3257,"="&amp;'Output - County'!A956,Input!$B$115:$B$3257,"="&amp;'Output - County'!B956)*VLOOKUP(A956,'Output - State'!$B$2:$G$52,2,FALSE)</f>
        <v>1.6027481685346692</v>
      </c>
      <c r="D956" s="98">
        <f>SUMIFS(Input!$C$115:$C$3257,Input!$A$115:$A$3257,"="&amp;'Output - County'!A956,Input!$B$115:$B$3257,"="&amp;'Output - County'!B956)*VLOOKUP(A956,'Output - State'!$B$2:$G$52,3,FALSE)</f>
        <v>0.3925802727903327</v>
      </c>
      <c r="E956" s="98">
        <f>SUMIFS(Input!$C$115:$C$3257,Input!$A$115:$A$3257,"="&amp;'Output - County'!A956,Input!$B$115:$B$3257,"="&amp;'Output - County'!B956)*VLOOKUP(A956,'Output - State'!$B$2:$G$52,4,FALSE)</f>
        <v>5.431095524385964</v>
      </c>
      <c r="F956" s="98">
        <f>SUMIFS(Input!$C$115:$C$3257,Input!$A$115:$A$3257,"="&amp;'Output - County'!A956,Input!$B$115:$B$3257,"="&amp;'Output - County'!B956)*VLOOKUP(A956,'Output - State'!$B$2:$G$52,5,FALSE)</f>
        <v>6.4517352876520206</v>
      </c>
      <c r="G956" s="99">
        <f>SUMIFS(Input!$D$115:$D$3257,Input!$A$115:$A$3257,"="&amp;'Output - County'!A956,Input!$B$115:$B$3257,"="&amp;'Output - County'!B956)*VLOOKUP(A956,'Output - State'!$B$2:$G$52,6,FALSE)</f>
        <v>3.9230014886018458</v>
      </c>
    </row>
    <row r="957" spans="1:7" x14ac:dyDescent="0.25">
      <c r="A957" s="88">
        <v>20</v>
      </c>
      <c r="B957" s="88">
        <v>135</v>
      </c>
      <c r="C957" s="97">
        <f>SUMIFS(Input!$C$115:$C$3257,Input!$A$115:$A$3257,"="&amp;'Output - County'!A957,Input!$B$115:$B$3257,"="&amp;'Output - County'!B957)*VLOOKUP(A957,'Output - State'!$B$2:$G$52,2,FALSE)</f>
        <v>0.25734669092854801</v>
      </c>
      <c r="D957" s="98">
        <f>SUMIFS(Input!$C$115:$C$3257,Input!$A$115:$A$3257,"="&amp;'Output - County'!A957,Input!$B$115:$B$3257,"="&amp;'Output - County'!B957)*VLOOKUP(A957,'Output - State'!$B$2:$G$52,3,FALSE)</f>
        <v>6.3035002073211499E-2</v>
      </c>
      <c r="E957" s="98">
        <f>SUMIFS(Input!$C$115:$C$3257,Input!$A$115:$A$3257,"="&amp;'Output - County'!A957,Input!$B$115:$B$3257,"="&amp;'Output - County'!B957)*VLOOKUP(A957,'Output - State'!$B$2:$G$52,4,FALSE)</f>
        <v>0.87204870281986657</v>
      </c>
      <c r="F957" s="98">
        <f>SUMIFS(Input!$C$115:$C$3257,Input!$A$115:$A$3257,"="&amp;'Output - County'!A957,Input!$B$115:$B$3257,"="&amp;'Output - County'!B957)*VLOOKUP(A957,'Output - State'!$B$2:$G$52,5,FALSE)</f>
        <v>1.0359286378359549</v>
      </c>
      <c r="G957" s="99">
        <f>SUMIFS(Input!$D$115:$D$3257,Input!$A$115:$A$3257,"="&amp;'Output - County'!A957,Input!$B$115:$B$3257,"="&amp;'Output - County'!B957)*VLOOKUP(A957,'Output - State'!$B$2:$G$52,6,FALSE)</f>
        <v>0.68652526050532303</v>
      </c>
    </row>
    <row r="958" spans="1:7" x14ac:dyDescent="0.25">
      <c r="A958" s="88">
        <v>20</v>
      </c>
      <c r="B958" s="88">
        <v>137</v>
      </c>
      <c r="C958" s="97">
        <f>SUMIFS(Input!$C$115:$C$3257,Input!$A$115:$A$3257,"="&amp;'Output - County'!A958,Input!$B$115:$B$3257,"="&amp;'Output - County'!B958)*VLOOKUP(A958,'Output - State'!$B$2:$G$52,2,FALSE)</f>
        <v>0.37217749226408875</v>
      </c>
      <c r="D958" s="98">
        <f>SUMIFS(Input!$C$115:$C$3257,Input!$A$115:$A$3257,"="&amp;'Output - County'!A958,Input!$B$115:$B$3257,"="&amp;'Output - County'!B958)*VLOOKUP(A958,'Output - State'!$B$2:$G$52,3,FALSE)</f>
        <v>9.116188326269635E-2</v>
      </c>
      <c r="E958" s="98">
        <f>SUMIFS(Input!$C$115:$C$3257,Input!$A$115:$A$3257,"="&amp;'Output - County'!A958,Input!$B$115:$B$3257,"="&amp;'Output - County'!B958)*VLOOKUP(A958,'Output - State'!$B$2:$G$52,4,FALSE)</f>
        <v>1.2611660098546298</v>
      </c>
      <c r="F958" s="98">
        <f>SUMIFS(Input!$C$115:$C$3257,Input!$A$115:$A$3257,"="&amp;'Output - County'!A958,Input!$B$115:$B$3257,"="&amp;'Output - County'!B958)*VLOOKUP(A958,'Output - State'!$B$2:$G$52,5,FALSE)</f>
        <v>1.4981708962458991</v>
      </c>
      <c r="G958" s="99">
        <f>SUMIFS(Input!$D$115:$D$3257,Input!$A$115:$A$3257,"="&amp;'Output - County'!A958,Input!$B$115:$B$3257,"="&amp;'Output - County'!B958)*VLOOKUP(A958,'Output - State'!$B$2:$G$52,6,FALSE)</f>
        <v>1.3289167542638753</v>
      </c>
    </row>
    <row r="959" spans="1:7" x14ac:dyDescent="0.25">
      <c r="A959" s="88">
        <v>20</v>
      </c>
      <c r="B959" s="88">
        <v>139</v>
      </c>
      <c r="C959" s="97">
        <f>SUMIFS(Input!$C$115:$C$3257,Input!$A$115:$A$3257,"="&amp;'Output - County'!A959,Input!$B$115:$B$3257,"="&amp;'Output - County'!B959)*VLOOKUP(A959,'Output - State'!$B$2:$G$52,2,FALSE)</f>
        <v>3.0679349572332932</v>
      </c>
      <c r="D959" s="98">
        <f>SUMIFS(Input!$C$115:$C$3257,Input!$A$115:$A$3257,"="&amp;'Output - County'!A959,Input!$B$115:$B$3257,"="&amp;'Output - County'!B959)*VLOOKUP(A959,'Output - State'!$B$2:$G$52,3,FALSE)</f>
        <v>0.75146599201220132</v>
      </c>
      <c r="E959" s="98">
        <f>SUMIFS(Input!$C$115:$C$3257,Input!$A$115:$A$3257,"="&amp;'Output - County'!A959,Input!$B$115:$B$3257,"="&amp;'Output - County'!B959)*VLOOKUP(A959,'Output - State'!$B$2:$G$52,4,FALSE)</f>
        <v>10.396048576097039</v>
      </c>
      <c r="F959" s="98">
        <f>SUMIFS(Input!$C$115:$C$3257,Input!$A$115:$A$3257,"="&amp;'Output - County'!A959,Input!$B$115:$B$3257,"="&amp;'Output - County'!B959)*VLOOKUP(A959,'Output - State'!$B$2:$G$52,5,FALSE)</f>
        <v>12.349728180878017</v>
      </c>
      <c r="G959" s="99">
        <f>SUMIFS(Input!$D$115:$D$3257,Input!$A$115:$A$3257,"="&amp;'Output - County'!A959,Input!$B$115:$B$3257,"="&amp;'Output - County'!B959)*VLOOKUP(A959,'Output - State'!$B$2:$G$52,6,FALSE)</f>
        <v>3.8984827292980846</v>
      </c>
    </row>
    <row r="960" spans="1:7" x14ac:dyDescent="0.25">
      <c r="A960" s="88">
        <v>20</v>
      </c>
      <c r="B960" s="88">
        <v>141</v>
      </c>
      <c r="C960" s="97">
        <f>SUMIFS(Input!$C$115:$C$3257,Input!$A$115:$A$3257,"="&amp;'Output - County'!A960,Input!$B$115:$B$3257,"="&amp;'Output - County'!B960)*VLOOKUP(A960,'Output - State'!$B$2:$G$52,2,FALSE)</f>
        <v>0.23557791231145581</v>
      </c>
      <c r="D960" s="98">
        <f>SUMIFS(Input!$C$115:$C$3257,Input!$A$115:$A$3257,"="&amp;'Output - County'!A960,Input!$B$115:$B$3257,"="&amp;'Output - County'!B960)*VLOOKUP(A960,'Output - State'!$B$2:$G$52,3,FALSE)</f>
        <v>5.7702914839804338E-2</v>
      </c>
      <c r="E960" s="98">
        <f>SUMIFS(Input!$C$115:$C$3257,Input!$A$115:$A$3257,"="&amp;'Output - County'!A960,Input!$B$115:$B$3257,"="&amp;'Output - County'!B960)*VLOOKUP(A960,'Output - State'!$B$2:$G$52,4,FALSE)</f>
        <v>0.79828270611513785</v>
      </c>
      <c r="F960" s="98">
        <f>SUMIFS(Input!$C$115:$C$3257,Input!$A$115:$A$3257,"="&amp;'Output - County'!A960,Input!$B$115:$B$3257,"="&amp;'Output - County'!B960)*VLOOKUP(A960,'Output - State'!$B$2:$G$52,5,FALSE)</f>
        <v>0.94830015075967067</v>
      </c>
      <c r="G960" s="99">
        <f>SUMIFS(Input!$D$115:$D$3257,Input!$A$115:$A$3257,"="&amp;'Output - County'!A960,Input!$B$115:$B$3257,"="&amp;'Output - County'!B960)*VLOOKUP(A960,'Output - State'!$B$2:$G$52,6,FALSE)</f>
        <v>0.84834907191014908</v>
      </c>
    </row>
    <row r="961" spans="1:7" x14ac:dyDescent="0.25">
      <c r="A961" s="88">
        <v>20</v>
      </c>
      <c r="B961" s="88">
        <v>143</v>
      </c>
      <c r="C961" s="97">
        <f>SUMIFS(Input!$C$115:$C$3257,Input!$A$115:$A$3257,"="&amp;'Output - County'!A961,Input!$B$115:$B$3257,"="&amp;'Output - County'!B961)*VLOOKUP(A961,'Output - State'!$B$2:$G$52,2,FALSE)</f>
        <v>1.802845568619766</v>
      </c>
      <c r="D961" s="98">
        <f>SUMIFS(Input!$C$115:$C$3257,Input!$A$115:$A$3257,"="&amp;'Output - County'!A961,Input!$B$115:$B$3257,"="&amp;'Output - County'!B961)*VLOOKUP(A961,'Output - State'!$B$2:$G$52,3,FALSE)</f>
        <v>0.4415925215342279</v>
      </c>
      <c r="E961" s="98">
        <f>SUMIFS(Input!$C$115:$C$3257,Input!$A$115:$A$3257,"="&amp;'Output - County'!A961,Input!$B$115:$B$3257,"="&amp;'Output - County'!B961)*VLOOKUP(A961,'Output - State'!$B$2:$G$52,4,FALSE)</f>
        <v>6.1091484558312139</v>
      </c>
      <c r="F961" s="98">
        <f>SUMIFS(Input!$C$115:$C$3257,Input!$A$115:$A$3257,"="&amp;'Output - County'!A961,Input!$B$115:$B$3257,"="&amp;'Output - County'!B961)*VLOOKUP(A961,'Output - State'!$B$2:$G$52,5,FALSE)</f>
        <v>7.2572114581702714</v>
      </c>
      <c r="G961" s="99">
        <f>SUMIFS(Input!$D$115:$D$3257,Input!$A$115:$A$3257,"="&amp;'Output - County'!A961,Input!$B$115:$B$3257,"="&amp;'Output - County'!B961)*VLOOKUP(A961,'Output - State'!$B$2:$G$52,6,FALSE)</f>
        <v>1.4098286599662884</v>
      </c>
    </row>
    <row r="962" spans="1:7" x14ac:dyDescent="0.25">
      <c r="A962" s="88">
        <v>20</v>
      </c>
      <c r="B962" s="88">
        <v>145</v>
      </c>
      <c r="C962" s="97">
        <f>SUMIFS(Input!$C$115:$C$3257,Input!$A$115:$A$3257,"="&amp;'Output - County'!A962,Input!$B$115:$B$3257,"="&amp;'Output - County'!B962)*VLOOKUP(A962,'Output - State'!$B$2:$G$52,2,FALSE)</f>
        <v>0.48495171662203229</v>
      </c>
      <c r="D962" s="98">
        <f>SUMIFS(Input!$C$115:$C$3257,Input!$A$115:$A$3257,"="&amp;'Output - County'!A962,Input!$B$115:$B$3257,"="&amp;'Output - County'!B962)*VLOOKUP(A962,'Output - State'!$B$2:$G$52,3,FALSE)</f>
        <v>0.11878502246280956</v>
      </c>
      <c r="E962" s="98">
        <f>SUMIFS(Input!$C$115:$C$3257,Input!$A$115:$A$3257,"="&amp;'Output - County'!A962,Input!$B$115:$B$3257,"="&amp;'Output - County'!B962)*VLOOKUP(A962,'Output - State'!$B$2:$G$52,4,FALSE)</f>
        <v>1.6433143705272235</v>
      </c>
      <c r="F962" s="98">
        <f>SUMIFS(Input!$C$115:$C$3257,Input!$A$115:$A$3257,"="&amp;'Output - County'!A962,Input!$B$115:$B$3257,"="&amp;'Output - County'!B962)*VLOOKUP(A962,'Output - State'!$B$2:$G$52,5,FALSE)</f>
        <v>1.9521345675898116</v>
      </c>
      <c r="G962" s="99">
        <f>SUMIFS(Input!$D$115:$D$3257,Input!$A$115:$A$3257,"="&amp;'Output - County'!A962,Input!$B$115:$B$3257,"="&amp;'Output - County'!B962)*VLOOKUP(A962,'Output - State'!$B$2:$G$52,6,FALSE)</f>
        <v>1.6108824862571329</v>
      </c>
    </row>
    <row r="963" spans="1:7" x14ac:dyDescent="0.25">
      <c r="A963" s="88">
        <v>20</v>
      </c>
      <c r="B963" s="88">
        <v>147</v>
      </c>
      <c r="C963" s="97">
        <f>SUMIFS(Input!$C$115:$C$3257,Input!$A$115:$A$3257,"="&amp;'Output - County'!A963,Input!$B$115:$B$3257,"="&amp;'Output - County'!B963)*VLOOKUP(A963,'Output - State'!$B$2:$G$52,2,FALSE)</f>
        <v>0.36607820204097996</v>
      </c>
      <c r="D963" s="98">
        <f>SUMIFS(Input!$C$115:$C$3257,Input!$A$115:$A$3257,"="&amp;'Output - County'!A963,Input!$B$115:$B$3257,"="&amp;'Output - County'!B963)*VLOOKUP(A963,'Output - State'!$B$2:$G$52,3,FALSE)</f>
        <v>8.9667911179855272E-2</v>
      </c>
      <c r="E963" s="98">
        <f>SUMIFS(Input!$C$115:$C$3257,Input!$A$115:$A$3257,"="&amp;'Output - County'!A963,Input!$B$115:$B$3257,"="&amp;'Output - County'!B963)*VLOOKUP(A963,'Output - State'!$B$2:$G$52,4,FALSE)</f>
        <v>1.2404978671713391</v>
      </c>
      <c r="F963" s="98">
        <f>SUMIFS(Input!$C$115:$C$3257,Input!$A$115:$A$3257,"="&amp;'Output - County'!A963,Input!$B$115:$B$3257,"="&amp;'Output - County'!B963)*VLOOKUP(A963,'Output - State'!$B$2:$G$52,5,FALSE)</f>
        <v>1.4736186885225615</v>
      </c>
      <c r="G963" s="99">
        <f>SUMIFS(Input!$D$115:$D$3257,Input!$A$115:$A$3257,"="&amp;'Output - County'!A963,Input!$B$115:$B$3257,"="&amp;'Output - County'!B963)*VLOOKUP(A963,'Output - State'!$B$2:$G$52,6,FALSE)</f>
        <v>1.294590491238609</v>
      </c>
    </row>
    <row r="964" spans="1:7" x14ac:dyDescent="0.25">
      <c r="A964" s="88">
        <v>20</v>
      </c>
      <c r="B964" s="88">
        <v>149</v>
      </c>
      <c r="C964" s="97">
        <f>SUMIFS(Input!$C$115:$C$3257,Input!$A$115:$A$3257,"="&amp;'Output - County'!A964,Input!$B$115:$B$3257,"="&amp;'Output - County'!B964)*VLOOKUP(A964,'Output - State'!$B$2:$G$52,2,FALSE)</f>
        <v>1.8775113629599023</v>
      </c>
      <c r="D964" s="98">
        <f>SUMIFS(Input!$C$115:$C$3257,Input!$A$115:$A$3257,"="&amp;'Output - County'!A964,Input!$B$115:$B$3257,"="&amp;'Output - County'!B964)*VLOOKUP(A964,'Output - State'!$B$2:$G$52,3,FALSE)</f>
        <v>0.45988130731206889</v>
      </c>
      <c r="E964" s="98">
        <f>SUMIFS(Input!$C$115:$C$3257,Input!$A$115:$A$3257,"="&amp;'Output - County'!A964,Input!$B$115:$B$3257,"="&amp;'Output - County'!B964)*VLOOKUP(A964,'Output - State'!$B$2:$G$52,4,FALSE)</f>
        <v>6.3621620417622999</v>
      </c>
      <c r="F964" s="98">
        <f>SUMIFS(Input!$C$115:$C$3257,Input!$A$115:$A$3257,"="&amp;'Output - County'!A964,Input!$B$115:$B$3257,"="&amp;'Output - County'!B964)*VLOOKUP(A964,'Output - State'!$B$2:$G$52,5,FALSE)</f>
        <v>7.5577726751986756</v>
      </c>
      <c r="G964" s="99">
        <f>SUMIFS(Input!$D$115:$D$3257,Input!$A$115:$A$3257,"="&amp;'Output - County'!A964,Input!$B$115:$B$3257,"="&amp;'Output - County'!B964)*VLOOKUP(A964,'Output - State'!$B$2:$G$52,6,FALSE)</f>
        <v>5.9335397515102928</v>
      </c>
    </row>
    <row r="965" spans="1:7" x14ac:dyDescent="0.25">
      <c r="A965" s="88">
        <v>20</v>
      </c>
      <c r="B965" s="88">
        <v>151</v>
      </c>
      <c r="C965" s="97">
        <f>SUMIFS(Input!$C$115:$C$3257,Input!$A$115:$A$3257,"="&amp;'Output - County'!A965,Input!$B$115:$B$3257,"="&amp;'Output - County'!B965)*VLOOKUP(A965,'Output - State'!$B$2:$G$52,2,FALSE)</f>
        <v>1.5395002311665922</v>
      </c>
      <c r="D965" s="98">
        <f>SUMIFS(Input!$C$115:$C$3257,Input!$A$115:$A$3257,"="&amp;'Output - County'!A965,Input!$B$115:$B$3257,"="&amp;'Output - County'!B965)*VLOOKUP(A965,'Output - State'!$B$2:$G$52,3,FALSE)</f>
        <v>0.3770881992426296</v>
      </c>
      <c r="E965" s="98">
        <f>SUMIFS(Input!$C$115:$C$3257,Input!$A$115:$A$3257,"="&amp;'Output - County'!A965,Input!$B$115:$B$3257,"="&amp;'Output - County'!B965)*VLOOKUP(A965,'Output - State'!$B$2:$G$52,4,FALSE)</f>
        <v>5.216772653014063</v>
      </c>
      <c r="F965" s="98">
        <f>SUMIFS(Input!$C$115:$C$3257,Input!$A$115:$A$3257,"="&amp;'Output - County'!A965,Input!$B$115:$B$3257,"="&amp;'Output - County'!B965)*VLOOKUP(A965,'Output - State'!$B$2:$G$52,5,FALSE)</f>
        <v>6.1971357458151397</v>
      </c>
      <c r="G965" s="99">
        <f>SUMIFS(Input!$D$115:$D$3257,Input!$A$115:$A$3257,"="&amp;'Output - County'!A965,Input!$B$115:$B$3257,"="&amp;'Output - County'!B965)*VLOOKUP(A965,'Output - State'!$B$2:$G$52,6,FALSE)</f>
        <v>2.2900521189713277</v>
      </c>
    </row>
    <row r="966" spans="1:7" x14ac:dyDescent="0.25">
      <c r="A966" s="88">
        <v>20</v>
      </c>
      <c r="B966" s="88">
        <v>153</v>
      </c>
      <c r="C966" s="97">
        <f>SUMIFS(Input!$C$115:$C$3257,Input!$A$115:$A$3257,"="&amp;'Output - County'!A966,Input!$B$115:$B$3257,"="&amp;'Output - County'!B966)*VLOOKUP(A966,'Output - State'!$B$2:$G$52,2,FALSE)</f>
        <v>0.21913100505452865</v>
      </c>
      <c r="D966" s="98">
        <f>SUMIFS(Input!$C$115:$C$3257,Input!$A$115:$A$3257,"="&amp;'Output - County'!A966,Input!$B$115:$B$3257,"="&amp;'Output - County'!B966)*VLOOKUP(A966,'Output - State'!$B$2:$G$52,3,FALSE)</f>
        <v>5.3674377191631636E-2</v>
      </c>
      <c r="E966" s="98">
        <f>SUMIFS(Input!$C$115:$C$3257,Input!$A$115:$A$3257,"="&amp;'Output - County'!A966,Input!$B$115:$B$3257,"="&amp;'Output - County'!B966)*VLOOKUP(A966,'Output - State'!$B$2:$G$52,4,FALSE)</f>
        <v>0.74255047933945284</v>
      </c>
      <c r="F966" s="98">
        <f>SUMIFS(Input!$C$115:$C$3257,Input!$A$115:$A$3257,"="&amp;'Output - County'!A966,Input!$B$115:$B$3257,"="&amp;'Output - County'!B966)*VLOOKUP(A966,'Output - State'!$B$2:$G$52,5,FALSE)</f>
        <v>0.88209443360120388</v>
      </c>
      <c r="G966" s="99">
        <f>SUMIFS(Input!$D$115:$D$3257,Input!$A$115:$A$3257,"="&amp;'Output - County'!A966,Input!$B$115:$B$3257,"="&amp;'Output - County'!B966)*VLOOKUP(A966,'Output - State'!$B$2:$G$52,6,FALSE)</f>
        <v>0.61296898259403843</v>
      </c>
    </row>
    <row r="967" spans="1:7" x14ac:dyDescent="0.25">
      <c r="A967" s="88">
        <v>20</v>
      </c>
      <c r="B967" s="88">
        <v>155</v>
      </c>
      <c r="C967" s="97">
        <f>SUMIFS(Input!$C$115:$C$3257,Input!$A$115:$A$3257,"="&amp;'Output - County'!A967,Input!$B$115:$B$3257,"="&amp;'Output - County'!B967)*VLOOKUP(A967,'Output - State'!$B$2:$G$52,2,FALSE)</f>
        <v>7.4246579174728886</v>
      </c>
      <c r="D967" s="98">
        <f>SUMIFS(Input!$C$115:$C$3257,Input!$A$115:$A$3257,"="&amp;'Output - County'!A967,Input!$B$115:$B$3257,"="&amp;'Output - County'!B967)*VLOOKUP(A967,'Output - State'!$B$2:$G$52,3,FALSE)</f>
        <v>1.8186102394871402</v>
      </c>
      <c r="E967" s="98">
        <f>SUMIFS(Input!$C$115:$C$3257,Input!$A$115:$A$3257,"="&amp;'Output - County'!A967,Input!$B$115:$B$3257,"="&amp;'Output - County'!B967)*VLOOKUP(A967,'Output - State'!$B$2:$G$52,4,FALSE)</f>
        <v>25.159302738464849</v>
      </c>
      <c r="F967" s="98">
        <f>SUMIFS(Input!$C$115:$C$3257,Input!$A$115:$A$3257,"="&amp;'Output - County'!A967,Input!$B$115:$B$3257,"="&amp;'Output - County'!B967)*VLOOKUP(A967,'Output - State'!$B$2:$G$52,5,FALSE)</f>
        <v>29.887369971977375</v>
      </c>
      <c r="G967" s="99">
        <f>SUMIFS(Input!$D$115:$D$3257,Input!$A$115:$A$3257,"="&amp;'Output - County'!A967,Input!$B$115:$B$3257,"="&amp;'Output - County'!B967)*VLOOKUP(A967,'Output - State'!$B$2:$G$52,6,FALSE)</f>
        <v>15.275187046243436</v>
      </c>
    </row>
    <row r="968" spans="1:7" x14ac:dyDescent="0.25">
      <c r="A968" s="88">
        <v>20</v>
      </c>
      <c r="B968" s="88">
        <v>157</v>
      </c>
      <c r="C968" s="97">
        <f>SUMIFS(Input!$C$115:$C$3257,Input!$A$115:$A$3257,"="&amp;'Output - County'!A968,Input!$B$115:$B$3257,"="&amp;'Output - County'!B968)*VLOOKUP(A968,'Output - State'!$B$2:$G$52,2,FALSE)</f>
        <v>1.4079097212906864</v>
      </c>
      <c r="D968" s="98">
        <f>SUMIFS(Input!$C$115:$C$3257,Input!$A$115:$A$3257,"="&amp;'Output - County'!A968,Input!$B$115:$B$3257,"="&amp;'Output - County'!B968)*VLOOKUP(A968,'Output - State'!$B$2:$G$52,3,FALSE)</f>
        <v>0.34485616224649146</v>
      </c>
      <c r="E968" s="98">
        <f>SUMIFS(Input!$C$115:$C$3257,Input!$A$115:$A$3257,"="&amp;'Output - County'!A968,Input!$B$115:$B$3257,"="&amp;'Output - County'!B968)*VLOOKUP(A968,'Output - State'!$B$2:$G$52,4,FALSE)</f>
        <v>4.7708631562700399</v>
      </c>
      <c r="F968" s="98">
        <f>SUMIFS(Input!$C$115:$C$3257,Input!$A$115:$A$3257,"="&amp;'Output - County'!A968,Input!$B$115:$B$3257,"="&amp;'Output - County'!B968)*VLOOKUP(A968,'Output - State'!$B$2:$G$52,5,FALSE)</f>
        <v>5.6674286135569885</v>
      </c>
      <c r="G968" s="99">
        <f>SUMIFS(Input!$D$115:$D$3257,Input!$A$115:$A$3257,"="&amp;'Output - County'!A968,Input!$B$115:$B$3257,"="&amp;'Output - County'!B968)*VLOOKUP(A968,'Output - State'!$B$2:$G$52,6,FALSE)</f>
        <v>1.1401223076249114</v>
      </c>
    </row>
    <row r="969" spans="1:7" x14ac:dyDescent="0.25">
      <c r="A969" s="88">
        <v>20</v>
      </c>
      <c r="B969" s="88">
        <v>159</v>
      </c>
      <c r="C969" s="97">
        <f>SUMIFS(Input!$C$115:$C$3257,Input!$A$115:$A$3257,"="&amp;'Output - County'!A969,Input!$B$115:$B$3257,"="&amp;'Output - County'!B969)*VLOOKUP(A969,'Output - State'!$B$2:$G$52,2,FALSE)</f>
        <v>0.6547130635273547</v>
      </c>
      <c r="D969" s="98">
        <f>SUMIFS(Input!$C$115:$C$3257,Input!$A$115:$A$3257,"="&amp;'Output - County'!A969,Input!$B$115:$B$3257,"="&amp;'Output - County'!B969)*VLOOKUP(A969,'Output - State'!$B$2:$G$52,3,FALSE)</f>
        <v>0.16036669897676661</v>
      </c>
      <c r="E969" s="98">
        <f>SUMIFS(Input!$C$115:$C$3257,Input!$A$115:$A$3257,"="&amp;'Output - County'!A969,Input!$B$115:$B$3257,"="&amp;'Output - County'!B969)*VLOOKUP(A969,'Output - State'!$B$2:$G$52,4,FALSE)</f>
        <v>2.2185701153109902</v>
      </c>
      <c r="F969" s="98">
        <f>SUMIFS(Input!$C$115:$C$3257,Input!$A$115:$A$3257,"="&amp;'Output - County'!A969,Input!$B$115:$B$3257,"="&amp;'Output - County'!B969)*VLOOKUP(A969,'Output - State'!$B$2:$G$52,5,FALSE)</f>
        <v>2.635495368625544</v>
      </c>
      <c r="G969" s="99">
        <f>SUMIFS(Input!$D$115:$D$3257,Input!$A$115:$A$3257,"="&amp;'Output - County'!A969,Input!$B$115:$B$3257,"="&amp;'Output - County'!B969)*VLOOKUP(A969,'Output - State'!$B$2:$G$52,6,FALSE)</f>
        <v>2.3243783819965937</v>
      </c>
    </row>
    <row r="970" spans="1:7" x14ac:dyDescent="0.25">
      <c r="A970" s="88">
        <v>20</v>
      </c>
      <c r="B970" s="88">
        <v>161</v>
      </c>
      <c r="C970" s="97">
        <f>SUMIFS(Input!$C$115:$C$3257,Input!$A$115:$A$3257,"="&amp;'Output - County'!A970,Input!$B$115:$B$3257,"="&amp;'Output - County'!B970)*VLOOKUP(A970,'Output - State'!$B$2:$G$52,2,FALSE)</f>
        <v>8.5396470613780231</v>
      </c>
      <c r="D970" s="98">
        <f>SUMIFS(Input!$C$115:$C$3257,Input!$A$115:$A$3257,"="&amp;'Output - County'!A970,Input!$B$115:$B$3257,"="&amp;'Output - County'!B970)*VLOOKUP(A970,'Output - State'!$B$2:$G$52,3,FALSE)</f>
        <v>2.0917178622977346</v>
      </c>
      <c r="E970" s="98">
        <f>SUMIFS(Input!$C$115:$C$3257,Input!$A$115:$A$3257,"="&amp;'Output - County'!A970,Input!$B$115:$B$3257,"="&amp;'Output - County'!B970)*VLOOKUP(A970,'Output - State'!$B$2:$G$52,4,FALSE)</f>
        <v>28.937571007982527</v>
      </c>
      <c r="F970" s="98">
        <f>SUMIFS(Input!$C$115:$C$3257,Input!$A$115:$A$3257,"="&amp;'Output - County'!A970,Input!$B$115:$B$3257,"="&amp;'Output - County'!B970)*VLOOKUP(A970,'Output - State'!$B$2:$G$52,5,FALSE)</f>
        <v>34.375670096917474</v>
      </c>
      <c r="G970" s="99">
        <f>SUMIFS(Input!$D$115:$D$3257,Input!$A$115:$A$3257,"="&amp;'Output - County'!A970,Input!$B$115:$B$3257,"="&amp;'Output - County'!B970)*VLOOKUP(A970,'Output - State'!$B$2:$G$52,6,FALSE)</f>
        <v>18.315513199909866</v>
      </c>
    </row>
    <row r="971" spans="1:7" x14ac:dyDescent="0.25">
      <c r="A971" s="88">
        <v>20</v>
      </c>
      <c r="B971" s="88">
        <v>163</v>
      </c>
      <c r="C971" s="97">
        <f>SUMIFS(Input!$C$115:$C$3257,Input!$A$115:$A$3257,"="&amp;'Output - County'!A971,Input!$B$115:$B$3257,"="&amp;'Output - County'!B971)*VLOOKUP(A971,'Output - State'!$B$2:$G$52,2,FALSE)</f>
        <v>0.35599525545874422</v>
      </c>
      <c r="D971" s="98">
        <f>SUMIFS(Input!$C$115:$C$3257,Input!$A$115:$A$3257,"="&amp;'Output - County'!A971,Input!$B$115:$B$3257,"="&amp;'Output - County'!B971)*VLOOKUP(A971,'Output - State'!$B$2:$G$52,3,FALSE)</f>
        <v>8.7198174512863214E-2</v>
      </c>
      <c r="E971" s="98">
        <f>SUMIFS(Input!$C$115:$C$3257,Input!$A$115:$A$3257,"="&amp;'Output - County'!A971,Input!$B$115:$B$3257,"="&amp;'Output - County'!B971)*VLOOKUP(A971,'Output - State'!$B$2:$G$52,4,FALSE)</f>
        <v>1.2063306491825834</v>
      </c>
      <c r="F971" s="98">
        <f>SUMIFS(Input!$C$115:$C$3257,Input!$A$115:$A$3257,"="&amp;'Output - County'!A971,Input!$B$115:$B$3257,"="&amp;'Output - County'!B971)*VLOOKUP(A971,'Output - State'!$B$2:$G$52,5,FALSE)</f>
        <v>1.4330305889413306</v>
      </c>
      <c r="G971" s="99">
        <f>SUMIFS(Input!$D$115:$D$3257,Input!$A$115:$A$3257,"="&amp;'Output - County'!A971,Input!$B$115:$B$3257,"="&amp;'Output - County'!B971)*VLOOKUP(A971,'Output - State'!$B$2:$G$52,6,FALSE)</f>
        <v>1.2259379651880769</v>
      </c>
    </row>
    <row r="972" spans="1:7" x14ac:dyDescent="0.25">
      <c r="A972" s="88">
        <v>20</v>
      </c>
      <c r="B972" s="88">
        <v>165</v>
      </c>
      <c r="C972" s="97">
        <f>SUMIFS(Input!$C$115:$C$3257,Input!$A$115:$A$3257,"="&amp;'Output - County'!A972,Input!$B$115:$B$3257,"="&amp;'Output - County'!B972)*VLOOKUP(A972,'Output - State'!$B$2:$G$52,2,FALSE)</f>
        <v>0.30182445659707829</v>
      </c>
      <c r="D972" s="98">
        <f>SUMIFS(Input!$C$115:$C$3257,Input!$A$115:$A$3257,"="&amp;'Output - County'!A972,Input!$B$115:$B$3257,"="&amp;'Output - County'!B972)*VLOOKUP(A972,'Output - State'!$B$2:$G$52,3,FALSE)</f>
        <v>7.3929473033811713E-2</v>
      </c>
      <c r="E972" s="98">
        <f>SUMIFS(Input!$C$115:$C$3257,Input!$A$115:$A$3257,"="&amp;'Output - County'!A972,Input!$B$115:$B$3257,"="&amp;'Output - County'!B972)*VLOOKUP(A972,'Output - State'!$B$2:$G$52,4,FALSE)</f>
        <v>1.0227667000694871</v>
      </c>
      <c r="F972" s="98">
        <f>SUMIFS(Input!$C$115:$C$3257,Input!$A$115:$A$3257,"="&amp;'Output - County'!A972,Input!$B$115:$B$3257,"="&amp;'Output - County'!B972)*VLOOKUP(A972,'Output - State'!$B$2:$G$52,5,FALSE)</f>
        <v>1.214970346267249</v>
      </c>
      <c r="G972" s="99">
        <f>SUMIFS(Input!$D$115:$D$3257,Input!$A$115:$A$3257,"="&amp;'Output - County'!A972,Input!$B$115:$B$3257,"="&amp;'Output - County'!B972)*VLOOKUP(A972,'Output - State'!$B$2:$G$52,6,FALSE)</f>
        <v>0.75027403469510301</v>
      </c>
    </row>
    <row r="973" spans="1:7" x14ac:dyDescent="0.25">
      <c r="A973" s="88">
        <v>20</v>
      </c>
      <c r="B973" s="88">
        <v>167</v>
      </c>
      <c r="C973" s="97">
        <f>SUMIFS(Input!$C$115:$C$3257,Input!$A$115:$A$3257,"="&amp;'Output - County'!A973,Input!$B$115:$B$3257,"="&amp;'Output - County'!B973)*VLOOKUP(A973,'Output - State'!$B$2:$G$52,2,FALSE)</f>
        <v>3.424909044838464</v>
      </c>
      <c r="D973" s="98">
        <f>SUMIFS(Input!$C$115:$C$3257,Input!$A$115:$A$3257,"="&amp;'Output - County'!A973,Input!$B$115:$B$3257,"="&amp;'Output - County'!B973)*VLOOKUP(A973,'Output - State'!$B$2:$G$52,3,FALSE)</f>
        <v>0.83890392358646948</v>
      </c>
      <c r="E973" s="98">
        <f>SUMIFS(Input!$C$115:$C$3257,Input!$A$115:$A$3257,"="&amp;'Output - County'!A973,Input!$B$115:$B$3257,"="&amp;'Output - County'!B973)*VLOOKUP(A973,'Output - State'!$B$2:$G$52,4,FALSE)</f>
        <v>11.605696109986745</v>
      </c>
      <c r="F973" s="98">
        <f>SUMIFS(Input!$C$115:$C$3257,Input!$A$115:$A$3257,"="&amp;'Output - County'!A973,Input!$B$115:$B$3257,"="&amp;'Output - County'!B973)*VLOOKUP(A973,'Output - State'!$B$2:$G$52,5,FALSE)</f>
        <v>13.786698980779352</v>
      </c>
      <c r="G973" s="99">
        <f>SUMIFS(Input!$D$115:$D$3257,Input!$A$115:$A$3257,"="&amp;'Output - County'!A973,Input!$B$115:$B$3257,"="&amp;'Output - County'!B973)*VLOOKUP(A973,'Output - State'!$B$2:$G$52,6,FALSE)</f>
        <v>1.691794391959546</v>
      </c>
    </row>
    <row r="974" spans="1:7" x14ac:dyDescent="0.25">
      <c r="A974" s="88">
        <v>20</v>
      </c>
      <c r="B974" s="88">
        <v>169</v>
      </c>
      <c r="C974" s="97">
        <f>SUMIFS(Input!$C$115:$C$3257,Input!$A$115:$A$3257,"="&amp;'Output - County'!A974,Input!$B$115:$B$3257,"="&amp;'Output - County'!B974)*VLOOKUP(A974,'Output - State'!$B$2:$G$52,2,FALSE)</f>
        <v>11.622229979647329</v>
      </c>
      <c r="D974" s="98">
        <f>SUMIFS(Input!$C$115:$C$3257,Input!$A$115:$A$3257,"="&amp;'Output - County'!A974,Input!$B$115:$B$3257,"="&amp;'Output - County'!B974)*VLOOKUP(A974,'Output - State'!$B$2:$G$52,3,FALSE)</f>
        <v>2.8467717545504314</v>
      </c>
      <c r="E974" s="98">
        <f>SUMIFS(Input!$C$115:$C$3257,Input!$A$115:$A$3257,"="&amp;'Output - County'!A974,Input!$B$115:$B$3257,"="&amp;'Output - County'!B974)*VLOOKUP(A974,'Output - State'!$B$2:$G$52,4,FALSE)</f>
        <v>39.383255875785203</v>
      </c>
      <c r="F974" s="98">
        <f>SUMIFS(Input!$C$115:$C$3257,Input!$A$115:$A$3257,"="&amp;'Output - County'!A974,Input!$B$115:$B$3257,"="&amp;'Output - County'!B974)*VLOOKUP(A974,'Output - State'!$B$2:$G$52,5,FALSE)</f>
        <v>46.784362480009861</v>
      </c>
      <c r="G974" s="99">
        <f>SUMIFS(Input!$D$115:$D$3257,Input!$A$115:$A$3257,"="&amp;'Output - County'!A974,Input!$B$115:$B$3257,"="&amp;'Output - County'!B974)*VLOOKUP(A974,'Output - State'!$B$2:$G$52,6,FALSE)</f>
        <v>13.338205061246276</v>
      </c>
    </row>
    <row r="975" spans="1:7" x14ac:dyDescent="0.25">
      <c r="A975" s="88">
        <v>20</v>
      </c>
      <c r="B975" s="88">
        <v>171</v>
      </c>
      <c r="C975" s="97">
        <f>SUMIFS(Input!$C$115:$C$3257,Input!$A$115:$A$3257,"="&amp;'Output - County'!A975,Input!$B$115:$B$3257,"="&amp;'Output - County'!B975)*VLOOKUP(A975,'Output - State'!$B$2:$G$52,2,FALSE)</f>
        <v>0.43427645186949293</v>
      </c>
      <c r="D975" s="98">
        <f>SUMIFS(Input!$C$115:$C$3257,Input!$A$115:$A$3257,"="&amp;'Output - County'!A975,Input!$B$115:$B$3257,"="&amp;'Output - County'!B975)*VLOOKUP(A975,'Output - State'!$B$2:$G$52,3,FALSE)</f>
        <v>0.10637252394879619</v>
      </c>
      <c r="E975" s="98">
        <f>SUMIFS(Input!$C$115:$C$3257,Input!$A$115:$A$3257,"="&amp;'Output - County'!A975,Input!$B$115:$B$3257,"="&amp;'Output - County'!B975)*VLOOKUP(A975,'Output - State'!$B$2:$G$52,4,FALSE)</f>
        <v>1.471595438634002</v>
      </c>
      <c r="F975" s="98">
        <f>SUMIFS(Input!$C$115:$C$3257,Input!$A$115:$A$3257,"="&amp;'Output - County'!A975,Input!$B$115:$B$3257,"="&amp;'Output - County'!B975)*VLOOKUP(A975,'Output - State'!$B$2:$G$52,5,FALSE)</f>
        <v>1.7481453194760681</v>
      </c>
      <c r="G975" s="99">
        <f>SUMIFS(Input!$D$115:$D$3257,Input!$A$115:$A$3257,"="&amp;'Output - County'!A975,Input!$B$115:$B$3257,"="&amp;'Output - County'!B975)*VLOOKUP(A975,'Output - State'!$B$2:$G$52,6,FALSE)</f>
        <v>1.2038710818146914</v>
      </c>
    </row>
    <row r="976" spans="1:7" x14ac:dyDescent="0.25">
      <c r="A976" s="88">
        <v>20</v>
      </c>
      <c r="B976" s="88">
        <v>173</v>
      </c>
      <c r="C976" s="97">
        <f>SUMIFS(Input!$C$115:$C$3257,Input!$A$115:$A$3257,"="&amp;'Output - County'!A976,Input!$B$115:$B$3257,"="&amp;'Output - County'!B976)*VLOOKUP(A976,'Output - State'!$B$2:$G$52,2,FALSE)</f>
        <v>82.850256863217012</v>
      </c>
      <c r="D976" s="98">
        <f>SUMIFS(Input!$C$115:$C$3257,Input!$A$115:$A$3257,"="&amp;'Output - County'!A976,Input!$B$115:$B$3257,"="&amp;'Output - County'!B976)*VLOOKUP(A976,'Output - State'!$B$2:$G$52,3,FALSE)</f>
        <v>20.293504044273885</v>
      </c>
      <c r="E976" s="98">
        <f>SUMIFS(Input!$C$115:$C$3257,Input!$A$115:$A$3257,"="&amp;'Output - County'!A976,Input!$B$115:$B$3257,"="&amp;'Output - County'!B976)*VLOOKUP(A976,'Output - State'!$B$2:$G$52,4,FALSE)</f>
        <v>280.74757349773392</v>
      </c>
      <c r="F976" s="98">
        <f>SUMIFS(Input!$C$115:$C$3257,Input!$A$115:$A$3257,"="&amp;'Output - County'!A976,Input!$B$115:$B$3257,"="&amp;'Output - County'!B976)*VLOOKUP(A976,'Output - State'!$B$2:$G$52,5,FALSE)</f>
        <v>333.50712001383818</v>
      </c>
      <c r="G976" s="99">
        <f>SUMIFS(Input!$D$115:$D$3257,Input!$A$115:$A$3257,"="&amp;'Output - County'!A976,Input!$B$115:$B$3257,"="&amp;'Output - County'!B976)*VLOOKUP(A976,'Output - State'!$B$2:$G$52,6,FALSE)</f>
        <v>125.78123522829669</v>
      </c>
    </row>
    <row r="977" spans="1:7" x14ac:dyDescent="0.25">
      <c r="A977" s="88">
        <v>20</v>
      </c>
      <c r="B977" s="88">
        <v>175</v>
      </c>
      <c r="C977" s="97">
        <f>SUMIFS(Input!$C$115:$C$3257,Input!$A$115:$A$3257,"="&amp;'Output - County'!A977,Input!$B$115:$B$3257,"="&amp;'Output - County'!B977)*VLOOKUP(A977,'Output - State'!$B$2:$G$52,2,FALSE)</f>
        <v>2.3100488842809801</v>
      </c>
      <c r="D977" s="98">
        <f>SUMIFS(Input!$C$115:$C$3257,Input!$A$115:$A$3257,"="&amp;'Output - County'!A977,Input!$B$115:$B$3257,"="&amp;'Output - County'!B977)*VLOOKUP(A977,'Output - State'!$B$2:$G$52,3,FALSE)</f>
        <v>0.56582789420945401</v>
      </c>
      <c r="E977" s="98">
        <f>SUMIFS(Input!$C$115:$C$3257,Input!$A$115:$A$3257,"="&amp;'Output - County'!A977,Input!$B$115:$B$3257,"="&amp;'Output - County'!B977)*VLOOKUP(A977,'Output - State'!$B$2:$G$52,4,FALSE)</f>
        <v>7.827864915298349</v>
      </c>
      <c r="F977" s="98">
        <f>SUMIFS(Input!$C$115:$C$3257,Input!$A$115:$A$3257,"="&amp;'Output - County'!A977,Input!$B$115:$B$3257,"="&amp;'Output - County'!B977)*VLOOKUP(A977,'Output - State'!$B$2:$G$52,5,FALSE)</f>
        <v>9.2989180680473158</v>
      </c>
      <c r="G977" s="99">
        <f>SUMIFS(Input!$D$115:$D$3257,Input!$A$115:$A$3257,"="&amp;'Output - County'!A977,Input!$B$115:$B$3257,"="&amp;'Output - County'!B977)*VLOOKUP(A977,'Output - State'!$B$2:$G$52,6,FALSE)</f>
        <v>5.3696082875237767</v>
      </c>
    </row>
    <row r="978" spans="1:7" x14ac:dyDescent="0.25">
      <c r="A978" s="88">
        <v>20</v>
      </c>
      <c r="B978" s="88">
        <v>177</v>
      </c>
      <c r="C978" s="97">
        <f>SUMIFS(Input!$C$115:$C$3257,Input!$A$115:$A$3257,"="&amp;'Output - County'!A978,Input!$B$115:$B$3257,"="&amp;'Output - County'!B978)*VLOOKUP(A978,'Output - State'!$B$2:$G$52,2,FALSE)</f>
        <v>30.422049897571799</v>
      </c>
      <c r="D978" s="98">
        <f>SUMIFS(Input!$C$115:$C$3257,Input!$A$115:$A$3257,"="&amp;'Output - County'!A978,Input!$B$115:$B$3257,"="&amp;'Output - County'!B978)*VLOOKUP(A978,'Output - State'!$B$2:$G$52,3,FALSE)</f>
        <v>7.4516364342808528</v>
      </c>
      <c r="E978" s="98">
        <f>SUMIFS(Input!$C$115:$C$3257,Input!$A$115:$A$3257,"="&amp;'Output - County'!A978,Input!$B$115:$B$3257,"="&amp;'Output - County'!B978)*VLOOKUP(A978,'Output - State'!$B$2:$G$52,4,FALSE)</f>
        <v>103.08859637781248</v>
      </c>
      <c r="F978" s="98">
        <f>SUMIFS(Input!$C$115:$C$3257,Input!$A$115:$A$3257,"="&amp;'Output - County'!A978,Input!$B$115:$B$3257,"="&amp;'Output - County'!B978)*VLOOKUP(A978,'Output - State'!$B$2:$G$52,5,FALSE)</f>
        <v>122.46154243078699</v>
      </c>
      <c r="G978" s="99">
        <f>SUMIFS(Input!$D$115:$D$3257,Input!$A$115:$A$3257,"="&amp;'Output - County'!A978,Input!$B$115:$B$3257,"="&amp;'Output - County'!B978)*VLOOKUP(A978,'Output - State'!$B$2:$G$52,6,FALSE)</f>
        <v>43.398203967657921</v>
      </c>
    </row>
    <row r="979" spans="1:7" x14ac:dyDescent="0.25">
      <c r="A979" s="88">
        <v>20</v>
      </c>
      <c r="B979" s="88">
        <v>179</v>
      </c>
      <c r="C979" s="97">
        <f>SUMIFS(Input!$C$115:$C$3257,Input!$A$115:$A$3257,"="&amp;'Output - County'!A979,Input!$B$115:$B$3257,"="&amp;'Output - County'!B979)*VLOOKUP(A979,'Output - State'!$B$2:$G$52,2,FALSE)</f>
        <v>0.2541695299189991</v>
      </c>
      <c r="D979" s="98">
        <f>SUMIFS(Input!$C$115:$C$3257,Input!$A$115:$A$3257,"="&amp;'Output - County'!A979,Input!$B$115:$B$3257,"="&amp;'Output - County'!B979)*VLOOKUP(A979,'Output - State'!$B$2:$G$52,3,FALSE)</f>
        <v>6.2256782038202584E-2</v>
      </c>
      <c r="E979" s="98">
        <f>SUMIFS(Input!$C$115:$C$3257,Input!$A$115:$A$3257,"="&amp;'Output - County'!A979,Input!$B$115:$B$3257,"="&amp;'Output - County'!B979)*VLOOKUP(A979,'Output - State'!$B$2:$G$52,4,FALSE)</f>
        <v>0.86128252926997517</v>
      </c>
      <c r="F979" s="98">
        <f>SUMIFS(Input!$C$115:$C$3257,Input!$A$115:$A$3257,"="&amp;'Output - County'!A979,Input!$B$115:$B$3257,"="&amp;'Output - County'!B979)*VLOOKUP(A979,'Output - State'!$B$2:$G$52,5,FALSE)</f>
        <v>1.0231392288681072</v>
      </c>
      <c r="G979" s="99">
        <f>SUMIFS(Input!$D$115:$D$3257,Input!$A$115:$A$3257,"="&amp;'Output - County'!A979,Input!$B$115:$B$3257,"="&amp;'Output - County'!B979)*VLOOKUP(A979,'Output - State'!$B$2:$G$52,6,FALSE)</f>
        <v>0.61787273445479074</v>
      </c>
    </row>
    <row r="980" spans="1:7" x14ac:dyDescent="0.25">
      <c r="A980" s="88">
        <v>20</v>
      </c>
      <c r="B980" s="88">
        <v>181</v>
      </c>
      <c r="C980" s="97">
        <f>SUMIFS(Input!$C$115:$C$3257,Input!$A$115:$A$3257,"="&amp;'Output - County'!A980,Input!$B$115:$B$3257,"="&amp;'Output - County'!B980)*VLOOKUP(A980,'Output - State'!$B$2:$G$52,2,FALSE)</f>
        <v>3.5695483667134091</v>
      </c>
      <c r="D980" s="98">
        <f>SUMIFS(Input!$C$115:$C$3257,Input!$A$115:$A$3257,"="&amp;'Output - County'!A980,Input!$B$115:$B$3257,"="&amp;'Output - County'!B980)*VLOOKUP(A980,'Output - State'!$B$2:$G$52,3,FALSE)</f>
        <v>0.87433216212864096</v>
      </c>
      <c r="E980" s="98">
        <f>SUMIFS(Input!$C$115:$C$3257,Input!$A$115:$A$3257,"="&amp;'Output - County'!A980,Input!$B$115:$B$3257,"="&amp;'Output - County'!B980)*VLOOKUP(A980,'Output - State'!$B$2:$G$52,4,FALSE)</f>
        <v>12.095822998981062</v>
      </c>
      <c r="F980" s="98">
        <f>SUMIFS(Input!$C$115:$C$3257,Input!$A$115:$A$3257,"="&amp;'Output - County'!A980,Input!$B$115:$B$3257,"="&amp;'Output - County'!B980)*VLOOKUP(A980,'Output - State'!$B$2:$G$52,5,FALSE)</f>
        <v>14.368933067982089</v>
      </c>
      <c r="G980" s="99">
        <f>SUMIFS(Input!$D$115:$D$3257,Input!$A$115:$A$3257,"="&amp;'Output - County'!A980,Input!$B$115:$B$3257,"="&amp;'Output - County'!B980)*VLOOKUP(A980,'Output - State'!$B$2:$G$52,6,FALSE)</f>
        <v>1.4515105507826831</v>
      </c>
    </row>
    <row r="981" spans="1:7" x14ac:dyDescent="0.25">
      <c r="A981" s="88">
        <v>20</v>
      </c>
      <c r="B981" s="88">
        <v>183</v>
      </c>
      <c r="C981" s="97">
        <f>SUMIFS(Input!$C$115:$C$3257,Input!$A$115:$A$3257,"="&amp;'Output - County'!A981,Input!$B$115:$B$3257,"="&amp;'Output - County'!B981)*VLOOKUP(A981,'Output - State'!$B$2:$G$52,2,FALSE)</f>
        <v>0.2745113681891293</v>
      </c>
      <c r="D981" s="98">
        <f>SUMIFS(Input!$C$115:$C$3257,Input!$A$115:$A$3257,"="&amp;'Output - County'!A981,Input!$B$115:$B$3257,"="&amp;'Output - County'!B981)*VLOOKUP(A981,'Output - State'!$B$2:$G$52,3,FALSE)</f>
        <v>6.7239351710670636E-2</v>
      </c>
      <c r="E981" s="98">
        <f>SUMIFS(Input!$C$115:$C$3257,Input!$A$115:$A$3257,"="&amp;'Output - County'!A981,Input!$B$115:$B$3257,"="&amp;'Output - County'!B981)*VLOOKUP(A981,'Output - State'!$B$2:$G$52,4,FALSE)</f>
        <v>0.93021317536623216</v>
      </c>
      <c r="F981" s="98">
        <f>SUMIFS(Input!$C$115:$C$3257,Input!$A$115:$A$3257,"="&amp;'Output - County'!A981,Input!$B$115:$B$3257,"="&amp;'Output - County'!B981)*VLOOKUP(A981,'Output - State'!$B$2:$G$52,5,FALSE)</f>
        <v>1.1050236810606793</v>
      </c>
      <c r="G981" s="99">
        <f>SUMIFS(Input!$D$115:$D$3257,Input!$A$115:$A$3257,"="&amp;'Output - County'!A981,Input!$B$115:$B$3257,"="&amp;'Output - County'!B981)*VLOOKUP(A981,'Output - State'!$B$2:$G$52,6,FALSE)</f>
        <v>0.88022345900503918</v>
      </c>
    </row>
    <row r="982" spans="1:7" x14ac:dyDescent="0.25">
      <c r="A982" s="88">
        <v>20</v>
      </c>
      <c r="B982" s="88">
        <v>185</v>
      </c>
      <c r="C982" s="97">
        <f>SUMIFS(Input!$C$115:$C$3257,Input!$A$115:$A$3257,"="&amp;'Output - County'!A982,Input!$B$115:$B$3257,"="&amp;'Output - County'!B982)*VLOOKUP(A982,'Output - State'!$B$2:$G$52,2,FALSE)</f>
        <v>0.65270072269908574</v>
      </c>
      <c r="D982" s="98">
        <f>SUMIFS(Input!$C$115:$C$3257,Input!$A$115:$A$3257,"="&amp;'Output - County'!A982,Input!$B$115:$B$3257,"="&amp;'Output - County'!B982)*VLOOKUP(A982,'Output - State'!$B$2:$G$52,3,FALSE)</f>
        <v>0.15987379227637635</v>
      </c>
      <c r="E982" s="98">
        <f>SUMIFS(Input!$C$115:$C$3257,Input!$A$115:$A$3257,"="&amp;'Output - County'!A982,Input!$B$115:$B$3257,"="&amp;'Output - County'!B982)*VLOOKUP(A982,'Output - State'!$B$2:$G$52,4,FALSE)</f>
        <v>2.2117510682014605</v>
      </c>
      <c r="F982" s="98">
        <f>SUMIFS(Input!$C$115:$C$3257,Input!$A$115:$A$3257,"="&amp;'Output - County'!A982,Input!$B$115:$B$3257,"="&amp;'Output - County'!B982)*VLOOKUP(A982,'Output - State'!$B$2:$G$52,5,FALSE)</f>
        <v>2.6273948506605818</v>
      </c>
      <c r="G982" s="99">
        <f>SUMIFS(Input!$D$115:$D$3257,Input!$A$115:$A$3257,"="&amp;'Output - County'!A982,Input!$B$115:$B$3257,"="&amp;'Output - County'!B982)*VLOOKUP(A982,'Output - State'!$B$2:$G$52,6,FALSE)</f>
        <v>1.0199803870364799</v>
      </c>
    </row>
    <row r="983" spans="1:7" x14ac:dyDescent="0.25">
      <c r="A983" s="88">
        <v>20</v>
      </c>
      <c r="B983" s="88">
        <v>187</v>
      </c>
      <c r="C983" s="97">
        <f>SUMIFS(Input!$C$115:$C$3257,Input!$A$115:$A$3257,"="&amp;'Output - County'!A983,Input!$B$115:$B$3257,"="&amp;'Output - County'!B983)*VLOOKUP(A983,'Output - State'!$B$2:$G$52,2,FALSE)</f>
        <v>0.20390650422545301</v>
      </c>
      <c r="D983" s="98">
        <f>SUMIFS(Input!$C$115:$C$3257,Input!$A$115:$A$3257,"="&amp;'Output - County'!A983,Input!$B$115:$B$3257,"="&amp;'Output - County'!B983)*VLOOKUP(A983,'Output - State'!$B$2:$G$52,3,FALSE)</f>
        <v>4.9945258166002329E-2</v>
      </c>
      <c r="E983" s="98">
        <f>SUMIFS(Input!$C$115:$C$3257,Input!$A$115:$A$3257,"="&amp;'Output - County'!A983,Input!$B$115:$B$3257,"="&amp;'Output - County'!B983)*VLOOKUP(A983,'Output - State'!$B$2:$G$52,4,FALSE)</f>
        <v>0.69096051658853641</v>
      </c>
      <c r="F983" s="98">
        <f>SUMIFS(Input!$C$115:$C$3257,Input!$A$115:$A$3257,"="&amp;'Output - County'!A983,Input!$B$115:$B$3257,"="&amp;'Output - County'!B983)*VLOOKUP(A983,'Output - State'!$B$2:$G$52,5,FALSE)</f>
        <v>0.82080941630142579</v>
      </c>
      <c r="G983" s="99">
        <f>SUMIFS(Input!$D$115:$D$3257,Input!$A$115:$A$3257,"="&amp;'Output - County'!A983,Input!$B$115:$B$3257,"="&amp;'Output - County'!B983)*VLOOKUP(A983,'Output - State'!$B$2:$G$52,6,FALSE)</f>
        <v>0.49773081386635915</v>
      </c>
    </row>
    <row r="984" spans="1:7" x14ac:dyDescent="0.25">
      <c r="A984" s="88">
        <v>20</v>
      </c>
      <c r="B984" s="88">
        <v>189</v>
      </c>
      <c r="C984" s="97">
        <f>SUMIFS(Input!$C$115:$C$3257,Input!$A$115:$A$3257,"="&amp;'Output - County'!A984,Input!$B$115:$B$3257,"="&amp;'Output - County'!B984)*VLOOKUP(A984,'Output - State'!$B$2:$G$52,2,FALSE)</f>
        <v>0.44593889652302005</v>
      </c>
      <c r="D984" s="98">
        <f>SUMIFS(Input!$C$115:$C$3257,Input!$A$115:$A$3257,"="&amp;'Output - County'!A984,Input!$B$115:$B$3257,"="&amp;'Output - County'!B984)*VLOOKUP(A984,'Output - State'!$B$2:$G$52,3,FALSE)</f>
        <v>0.1092291459642621</v>
      </c>
      <c r="E984" s="98">
        <f>SUMIFS(Input!$C$115:$C$3257,Input!$A$115:$A$3257,"="&amp;'Output - County'!A984,Input!$B$115:$B$3257,"="&amp;'Output - County'!B984)*VLOOKUP(A984,'Output - State'!$B$2:$G$52,4,FALSE)</f>
        <v>1.5111149665328103</v>
      </c>
      <c r="F984" s="98">
        <f>SUMIFS(Input!$C$115:$C$3257,Input!$A$115:$A$3257,"="&amp;'Output - County'!A984,Input!$B$115:$B$3257,"="&amp;'Output - County'!B984)*VLOOKUP(A984,'Output - State'!$B$2:$G$52,5,FALSE)</f>
        <v>1.7950915629275523</v>
      </c>
      <c r="G984" s="99">
        <f>SUMIFS(Input!$D$115:$D$3257,Input!$A$115:$A$3257,"="&amp;'Output - County'!A984,Input!$B$115:$B$3257,"="&amp;'Output - County'!B984)*VLOOKUP(A984,'Output - State'!$B$2:$G$52,6,FALSE)</f>
        <v>1.3583392654283892</v>
      </c>
    </row>
    <row r="985" spans="1:7" x14ac:dyDescent="0.25">
      <c r="A985" s="88">
        <v>20</v>
      </c>
      <c r="B985" s="88">
        <v>191</v>
      </c>
      <c r="C985" s="97">
        <f>SUMIFS(Input!$C$115:$C$3257,Input!$A$115:$A$3257,"="&amp;'Output - County'!A985,Input!$B$115:$B$3257,"="&amp;'Output - County'!B985)*VLOOKUP(A985,'Output - State'!$B$2:$G$52,2,FALSE)</f>
        <v>6.7804342219509568</v>
      </c>
      <c r="D985" s="98">
        <f>SUMIFS(Input!$C$115:$C$3257,Input!$A$115:$A$3257,"="&amp;'Output - County'!A985,Input!$B$115:$B$3257,"="&amp;'Output - County'!B985)*VLOOKUP(A985,'Output - State'!$B$2:$G$52,3,FALSE)</f>
        <v>1.66081282683608</v>
      </c>
      <c r="E985" s="98">
        <f>SUMIFS(Input!$C$115:$C$3257,Input!$A$115:$A$3257,"="&amp;'Output - County'!A985,Input!$B$115:$B$3257,"="&amp;'Output - County'!B985)*VLOOKUP(A985,'Output - State'!$B$2:$G$52,4,FALSE)</f>
        <v>22.976277046629924</v>
      </c>
      <c r="F985" s="98">
        <f>SUMIFS(Input!$C$115:$C$3257,Input!$A$115:$A$3257,"="&amp;'Output - County'!A985,Input!$B$115:$B$3257,"="&amp;'Output - County'!B985)*VLOOKUP(A985,'Output - State'!$B$2:$G$52,5,FALSE)</f>
        <v>27.294098720049856</v>
      </c>
      <c r="G985" s="99">
        <f>SUMIFS(Input!$D$115:$D$3257,Input!$A$115:$A$3257,"="&amp;'Output - County'!A985,Input!$B$115:$B$3257,"="&amp;'Output - County'!B985)*VLOOKUP(A985,'Output - State'!$B$2:$G$52,6,FALSE)</f>
        <v>5.6393146398651535</v>
      </c>
    </row>
    <row r="986" spans="1:7" x14ac:dyDescent="0.25">
      <c r="A986" s="88">
        <v>20</v>
      </c>
      <c r="B986" s="88">
        <v>193</v>
      </c>
      <c r="C986" s="97">
        <f>SUMIFS(Input!$C$115:$C$3257,Input!$A$115:$A$3257,"="&amp;'Output - County'!A986,Input!$B$115:$B$3257,"="&amp;'Output - County'!B986)*VLOOKUP(A986,'Output - State'!$B$2:$G$52,2,FALSE)</f>
        <v>4.2939959864943438</v>
      </c>
      <c r="D986" s="98">
        <f>SUMIFS(Input!$C$115:$C$3257,Input!$A$115:$A$3257,"="&amp;'Output - County'!A986,Input!$B$115:$B$3257,"="&amp;'Output - County'!B986)*VLOOKUP(A986,'Output - State'!$B$2:$G$52,3,FALSE)</f>
        <v>1.0517797797764752</v>
      </c>
      <c r="E986" s="98">
        <f>SUMIFS(Input!$C$115:$C$3257,Input!$A$115:$A$3257,"="&amp;'Output - County'!A986,Input!$B$115:$B$3257,"="&amp;'Output - County'!B986)*VLOOKUP(A986,'Output - State'!$B$2:$G$52,4,FALSE)</f>
        <v>14.550696635830388</v>
      </c>
      <c r="F986" s="98">
        <f>SUMIFS(Input!$C$115:$C$3257,Input!$A$115:$A$3257,"="&amp;'Output - County'!A986,Input!$B$115:$B$3257,"="&amp;'Output - County'!B986)*VLOOKUP(A986,'Output - State'!$B$2:$G$52,5,FALSE)</f>
        <v>17.285139346894503</v>
      </c>
      <c r="G986" s="99">
        <f>SUMIFS(Input!$D$115:$D$3257,Input!$A$115:$A$3257,"="&amp;'Output - County'!A986,Input!$B$115:$B$3257,"="&amp;'Output - County'!B986)*VLOOKUP(A986,'Output - State'!$B$2:$G$52,6,FALSE)</f>
        <v>1.8903963423200145</v>
      </c>
    </row>
    <row r="987" spans="1:7" x14ac:dyDescent="0.25">
      <c r="A987" s="88">
        <v>20</v>
      </c>
      <c r="B987" s="88">
        <v>195</v>
      </c>
      <c r="C987" s="97">
        <f>SUMIFS(Input!$C$115:$C$3257,Input!$A$115:$A$3257,"="&amp;'Output - County'!A987,Input!$B$115:$B$3257,"="&amp;'Output - County'!B987)*VLOOKUP(A987,'Output - State'!$B$2:$G$52,2,FALSE)</f>
        <v>3.3045438777450871</v>
      </c>
      <c r="D987" s="98">
        <f>SUMIFS(Input!$C$115:$C$3257,Input!$A$115:$A$3257,"="&amp;'Output - County'!A987,Input!$B$115:$B$3257,"="&amp;'Output - County'!B987)*VLOOKUP(A987,'Output - State'!$B$2:$G$52,3,FALSE)</f>
        <v>0.80942144401815808</v>
      </c>
      <c r="E987" s="98">
        <f>SUMIFS(Input!$C$115:$C$3257,Input!$A$115:$A$3257,"="&amp;'Output - County'!A987,Input!$B$115:$B$3257,"="&amp;'Output - County'!B987)*VLOOKUP(A987,'Output - State'!$B$2:$G$52,4,FALSE)</f>
        <v>11.197824971446948</v>
      </c>
      <c r="F987" s="98">
        <f>SUMIFS(Input!$C$115:$C$3257,Input!$A$115:$A$3257,"="&amp;'Output - County'!A987,Input!$B$115:$B$3257,"="&amp;'Output - County'!B987)*VLOOKUP(A987,'Output - State'!$B$2:$G$52,5,FALSE)</f>
        <v>13.30217857315321</v>
      </c>
      <c r="G987" s="99">
        <f>SUMIFS(Input!$D$115:$D$3257,Input!$A$115:$A$3257,"="&amp;'Output - County'!A987,Input!$B$115:$B$3257,"="&amp;'Output - County'!B987)*VLOOKUP(A987,'Output - State'!$B$2:$G$52,6,FALSE)</f>
        <v>0.68652526050532303</v>
      </c>
    </row>
    <row r="988" spans="1:7" x14ac:dyDescent="0.25">
      <c r="A988" s="88">
        <v>20</v>
      </c>
      <c r="B988" s="88">
        <v>197</v>
      </c>
      <c r="C988" s="97">
        <f>SUMIFS(Input!$C$115:$C$3257,Input!$A$115:$A$3257,"="&amp;'Output - County'!A988,Input!$B$115:$B$3257,"="&amp;'Output - County'!B988)*VLOOKUP(A988,'Output - State'!$B$2:$G$52,2,FALSE)</f>
        <v>4.1901842257624713</v>
      </c>
      <c r="D988" s="98">
        <f>SUMIFS(Input!$C$115:$C$3257,Input!$A$115:$A$3257,"="&amp;'Output - County'!A988,Input!$B$115:$B$3257,"="&amp;'Output - County'!B988)*VLOOKUP(A988,'Output - State'!$B$2:$G$52,3,FALSE)</f>
        <v>1.0263519239554177</v>
      </c>
      <c r="E988" s="98">
        <f>SUMIFS(Input!$C$115:$C$3257,Input!$A$115:$A$3257,"="&amp;'Output - County'!A988,Input!$B$115:$B$3257,"="&amp;'Output - County'!B988)*VLOOKUP(A988,'Output - State'!$B$2:$G$52,4,FALSE)</f>
        <v>14.198918608465693</v>
      </c>
      <c r="F988" s="98">
        <f>SUMIFS(Input!$C$115:$C$3257,Input!$A$115:$A$3257,"="&amp;'Output - County'!A988,Input!$B$115:$B$3257,"="&amp;'Output - County'!B988)*VLOOKUP(A988,'Output - State'!$B$2:$G$52,5,FALSE)</f>
        <v>16.867253360102545</v>
      </c>
      <c r="G988" s="99">
        <f>SUMIFS(Input!$D$115:$D$3257,Input!$A$115:$A$3257,"="&amp;'Output - County'!A988,Input!$B$115:$B$3257,"="&amp;'Output - County'!B988)*VLOOKUP(A988,'Output - State'!$B$2:$G$52,6,FALSE)</f>
        <v>1.6942462678899219</v>
      </c>
    </row>
    <row r="989" spans="1:7" x14ac:dyDescent="0.25">
      <c r="A989" s="88">
        <v>20</v>
      </c>
      <c r="B989" s="88">
        <v>199</v>
      </c>
      <c r="C989" s="97">
        <f>SUMIFS(Input!$C$115:$C$3257,Input!$A$115:$A$3257,"="&amp;'Output - County'!A989,Input!$B$115:$B$3257,"="&amp;'Output - County'!B989)*VLOOKUP(A989,'Output - State'!$B$2:$G$52,2,FALSE)</f>
        <v>0.17908500438498479</v>
      </c>
      <c r="D989" s="98">
        <f>SUMIFS(Input!$C$115:$C$3257,Input!$A$115:$A$3257,"="&amp;'Output - County'!A989,Input!$B$115:$B$3257,"="&amp;'Output - County'!B989)*VLOOKUP(A989,'Output - State'!$B$2:$G$52,3,FALSE)</f>
        <v>4.3865431422325456E-2</v>
      </c>
      <c r="E989" s="98">
        <f>SUMIFS(Input!$C$115:$C$3257,Input!$A$115:$A$3257,"="&amp;'Output - County'!A989,Input!$B$115:$B$3257,"="&amp;'Output - County'!B989)*VLOOKUP(A989,'Output - State'!$B$2:$G$52,4,FALSE)</f>
        <v>0.60685002478534589</v>
      </c>
      <c r="F989" s="98">
        <f>SUMIFS(Input!$C$115:$C$3257,Input!$A$115:$A$3257,"="&amp;'Output - County'!A989,Input!$B$115:$B$3257,"="&amp;'Output - County'!B989)*VLOOKUP(A989,'Output - State'!$B$2:$G$52,5,FALSE)</f>
        <v>0.72089244271997466</v>
      </c>
      <c r="G989" s="99">
        <f>SUMIFS(Input!$D$115:$D$3257,Input!$A$115:$A$3257,"="&amp;'Output - County'!A989,Input!$B$115:$B$3257,"="&amp;'Output - County'!B989)*VLOOKUP(A989,'Output - State'!$B$2:$G$52,6,FALSE)</f>
        <v>0.36532951362604688</v>
      </c>
    </row>
    <row r="990" spans="1:7" x14ac:dyDescent="0.25">
      <c r="A990" s="88">
        <v>20</v>
      </c>
      <c r="B990" s="88">
        <v>201</v>
      </c>
      <c r="C990" s="97">
        <f>SUMIFS(Input!$C$115:$C$3257,Input!$A$115:$A$3257,"="&amp;'Output - County'!A990,Input!$B$115:$B$3257,"="&amp;'Output - County'!B990)*VLOOKUP(A990,'Output - State'!$B$2:$G$52,2,FALSE)</f>
        <v>0.51664247405845853</v>
      </c>
      <c r="D990" s="98">
        <f>SUMIFS(Input!$C$115:$C$3257,Input!$A$115:$A$3257,"="&amp;'Output - County'!A990,Input!$B$115:$B$3257,"="&amp;'Output - County'!B990)*VLOOKUP(A990,'Output - State'!$B$2:$G$52,3,FALSE)</f>
        <v>0.12654741860436869</v>
      </c>
      <c r="E990" s="98">
        <f>SUMIFS(Input!$C$115:$C$3257,Input!$A$115:$A$3257,"="&amp;'Output - County'!A990,Input!$B$115:$B$3257,"="&amp;'Output - County'!B990)*VLOOKUP(A990,'Output - State'!$B$2:$G$52,4,FALSE)</f>
        <v>1.7507021275413117</v>
      </c>
      <c r="F990" s="98">
        <f>SUMIFS(Input!$C$115:$C$3257,Input!$A$115:$A$3257,"="&amp;'Output - County'!A990,Input!$B$115:$B$3257,"="&amp;'Output - County'!B990)*VLOOKUP(A990,'Output - State'!$B$2:$G$52,5,FALSE)</f>
        <v>2.079703191319354</v>
      </c>
      <c r="G990" s="99">
        <f>SUMIFS(Input!$D$115:$D$3257,Input!$A$115:$A$3257,"="&amp;'Output - County'!A990,Input!$B$115:$B$3257,"="&amp;'Output - County'!B990)*VLOOKUP(A990,'Output - State'!$B$2:$G$52,6,FALSE)</f>
        <v>1.3362723820550038</v>
      </c>
    </row>
    <row r="991" spans="1:7" x14ac:dyDescent="0.25">
      <c r="A991" s="88">
        <v>20</v>
      </c>
      <c r="B991" s="88">
        <v>203</v>
      </c>
      <c r="C991" s="97">
        <f>SUMIFS(Input!$C$115:$C$3257,Input!$A$115:$A$3257,"="&amp;'Output - County'!A991,Input!$B$115:$B$3257,"="&amp;'Output - County'!B991)*VLOOKUP(A991,'Output - State'!$B$2:$G$52,2,FALSE)</f>
        <v>0.17898606716684312</v>
      </c>
      <c r="D991" s="98">
        <f>SUMIFS(Input!$C$115:$C$3257,Input!$A$115:$A$3257,"="&amp;'Output - County'!A991,Input!$B$115:$B$3257,"="&amp;'Output - County'!B991)*VLOOKUP(A991,'Output - State'!$B$2:$G$52,3,FALSE)</f>
        <v>4.3841197546505353E-2</v>
      </c>
      <c r="E991" s="98">
        <f>SUMIFS(Input!$C$115:$C$3257,Input!$A$115:$A$3257,"="&amp;'Output - County'!A991,Input!$B$115:$B$3257,"="&amp;'Output - County'!B991)*VLOOKUP(A991,'Output - State'!$B$2:$G$52,4,FALSE)</f>
        <v>0.60651476470319865</v>
      </c>
      <c r="F991" s="98">
        <f>SUMIFS(Input!$C$115:$C$3257,Input!$A$115:$A$3257,"="&amp;'Output - County'!A991,Input!$B$115:$B$3257,"="&amp;'Output - County'!B991)*VLOOKUP(A991,'Output - State'!$B$2:$G$52,5,FALSE)</f>
        <v>0.72049417881671263</v>
      </c>
      <c r="G991" s="99">
        <f>SUMIFS(Input!$D$115:$D$3257,Input!$A$115:$A$3257,"="&amp;'Output - County'!A991,Input!$B$115:$B$3257,"="&amp;'Output - County'!B991)*VLOOKUP(A991,'Output - State'!$B$2:$G$52,6,FALSE)</f>
        <v>0.51734582130936846</v>
      </c>
    </row>
    <row r="992" spans="1:7" x14ac:dyDescent="0.25">
      <c r="A992" s="88">
        <v>20</v>
      </c>
      <c r="B992" s="88">
        <v>205</v>
      </c>
      <c r="C992" s="97">
        <f>SUMIFS(Input!$C$115:$C$3257,Input!$A$115:$A$3257,"="&amp;'Output - County'!A992,Input!$B$115:$B$3257,"="&amp;'Output - County'!B992)*VLOOKUP(A992,'Output - State'!$B$2:$G$52,2,FALSE)</f>
        <v>0.70181793099327905</v>
      </c>
      <c r="D992" s="98">
        <f>SUMIFS(Input!$C$115:$C$3257,Input!$A$115:$A$3257,"="&amp;'Output - County'!A992,Input!$B$115:$B$3257,"="&amp;'Output - County'!B992)*VLOOKUP(A992,'Output - State'!$B$2:$G$52,3,FALSE)</f>
        <v>0.17190465739254943</v>
      </c>
      <c r="E992" s="98">
        <f>SUMIFS(Input!$C$115:$C$3257,Input!$A$115:$A$3257,"="&amp;'Output - County'!A992,Input!$B$115:$B$3257,"="&amp;'Output - County'!B992)*VLOOKUP(A992,'Output - State'!$B$2:$G$52,4,FALSE)</f>
        <v>2.3781903475430277</v>
      </c>
      <c r="F992" s="98">
        <f>SUMIFS(Input!$C$115:$C$3257,Input!$A$115:$A$3257,"="&amp;'Output - County'!A992,Input!$B$115:$B$3257,"="&amp;'Output - County'!B992)*VLOOKUP(A992,'Output - State'!$B$2:$G$52,5,FALSE)</f>
        <v>2.8251122664117556</v>
      </c>
      <c r="G992" s="99">
        <f>SUMIFS(Input!$D$115:$D$3257,Input!$A$115:$A$3257,"="&amp;'Output - County'!A992,Input!$B$115:$B$3257,"="&amp;'Output - County'!B992)*VLOOKUP(A992,'Output - State'!$B$2:$G$52,6,FALSE)</f>
        <v>2.1257764316361252</v>
      </c>
    </row>
    <row r="993" spans="1:7" x14ac:dyDescent="0.25">
      <c r="A993" s="88">
        <v>20</v>
      </c>
      <c r="B993" s="88">
        <v>207</v>
      </c>
      <c r="C993" s="97">
        <f>SUMIFS(Input!$C$115:$C$3257,Input!$A$115:$A$3257,"="&amp;'Output - County'!A993,Input!$B$115:$B$3257,"="&amp;'Output - County'!B993)*VLOOKUP(A993,'Output - State'!$B$2:$G$52,2,FALSE)</f>
        <v>0.2534746253124554</v>
      </c>
      <c r="D993" s="98">
        <f>SUMIFS(Input!$C$115:$C$3257,Input!$A$115:$A$3257,"="&amp;'Output - County'!A993,Input!$B$115:$B$3257,"="&amp;'Output - County'!B993)*VLOOKUP(A993,'Output - State'!$B$2:$G$52,3,FALSE)</f>
        <v>6.2086570744029283E-2</v>
      </c>
      <c r="E993" s="98">
        <f>SUMIFS(Input!$C$115:$C$3257,Input!$A$115:$A$3257,"="&amp;'Output - County'!A993,Input!$B$115:$B$3257,"="&amp;'Output - County'!B993)*VLOOKUP(A993,'Output - State'!$B$2:$G$52,4,FALSE)</f>
        <v>0.85892776551321792</v>
      </c>
      <c r="F993" s="98">
        <f>SUMIFS(Input!$C$115:$C$3257,Input!$A$115:$A$3257,"="&amp;'Output - County'!A993,Input!$B$115:$B$3257,"="&amp;'Output - County'!B993)*VLOOKUP(A993,'Output - State'!$B$2:$G$52,5,FALSE)</f>
        <v>1.0203419456394582</v>
      </c>
      <c r="G993" s="99">
        <f>SUMIFS(Input!$D$115:$D$3257,Input!$A$115:$A$3257,"="&amp;'Output - County'!A993,Input!$B$115:$B$3257,"="&amp;'Output - County'!B993)*VLOOKUP(A993,'Output - State'!$B$2:$G$52,6,FALSE)</f>
        <v>0.7796965458596169</v>
      </c>
    </row>
    <row r="994" spans="1:7" x14ac:dyDescent="0.25">
      <c r="A994" s="88">
        <v>20</v>
      </c>
      <c r="B994" s="88">
        <v>209</v>
      </c>
      <c r="C994" s="97">
        <f>SUMIFS(Input!$C$115:$C$3257,Input!$A$115:$A$3257,"="&amp;'Output - County'!A994,Input!$B$115:$B$3257,"="&amp;'Output - County'!B994)*VLOOKUP(A994,'Output - State'!$B$2:$G$52,2,FALSE)</f>
        <v>35.603387512153567</v>
      </c>
      <c r="D994" s="98">
        <f>SUMIFS(Input!$C$115:$C$3257,Input!$A$115:$A$3257,"="&amp;'Output - County'!A994,Input!$B$115:$B$3257,"="&amp;'Output - County'!B994)*VLOOKUP(A994,'Output - State'!$B$2:$G$52,3,FALSE)</f>
        <v>8.7207634088641477</v>
      </c>
      <c r="E994" s="98">
        <f>SUMIFS(Input!$C$115:$C$3257,Input!$A$115:$A$3257,"="&amp;'Output - County'!A994,Input!$B$115:$B$3257,"="&amp;'Output - County'!B994)*VLOOKUP(A994,'Output - State'!$B$2:$G$52,4,FALSE)</f>
        <v>120.64615163280635</v>
      </c>
      <c r="F994" s="98">
        <f>SUMIFS(Input!$C$115:$C$3257,Input!$A$115:$A$3257,"="&amp;'Output - County'!A994,Input!$B$115:$B$3257,"="&amp;'Output - County'!B994)*VLOOKUP(A994,'Output - State'!$B$2:$G$52,5,FALSE)</f>
        <v>143.31860493225184</v>
      </c>
      <c r="G994" s="99">
        <f>SUMIFS(Input!$D$115:$D$3257,Input!$A$115:$A$3257,"="&amp;'Output - County'!A994,Input!$B$115:$B$3257,"="&amp;'Output - County'!B994)*VLOOKUP(A994,'Output - State'!$B$2:$G$52,6,FALSE)</f>
        <v>40.455952851206533</v>
      </c>
    </row>
    <row r="995" spans="1:7" x14ac:dyDescent="0.25">
      <c r="A995" s="88">
        <v>21</v>
      </c>
      <c r="B995" s="88">
        <v>1</v>
      </c>
      <c r="C995" s="97">
        <f>SUMIFS(Input!$C$115:$C$3257,Input!$A$115:$A$3257,"="&amp;'Output - County'!A995,Input!$B$115:$B$3257,"="&amp;'Output - County'!B995)*VLOOKUP(A995,'Output - State'!$B$2:$G$52,2,FALSE)</f>
        <v>4.0996782923347581</v>
      </c>
      <c r="D995" s="98">
        <f>SUMIFS(Input!$C$115:$C$3257,Input!$A$115:$A$3257,"="&amp;'Output - County'!A995,Input!$B$115:$B$3257,"="&amp;'Output - County'!B995)*VLOOKUP(A995,'Output - State'!$B$2:$G$52,3,FALSE)</f>
        <v>0.98368968833846082</v>
      </c>
      <c r="E995" s="98">
        <f>SUMIFS(Input!$C$115:$C$3257,Input!$A$115:$A$3257,"="&amp;'Output - County'!A995,Input!$B$115:$B$3257,"="&amp;'Output - County'!B995)*VLOOKUP(A995,'Output - State'!$B$2:$G$52,4,FALSE)</f>
        <v>4.8037179104800742</v>
      </c>
      <c r="F995" s="98">
        <f>SUMIFS(Input!$C$115:$C$3257,Input!$A$115:$A$3257,"="&amp;'Output - County'!A995,Input!$B$115:$B$3257,"="&amp;'Output - County'!B995)*VLOOKUP(A995,'Output - State'!$B$2:$G$52,5,FALSE)</f>
        <v>15.750025017234426</v>
      </c>
      <c r="G995" s="99">
        <f>SUMIFS(Input!$D$115:$D$3257,Input!$A$115:$A$3257,"="&amp;'Output - County'!A995,Input!$B$115:$B$3257,"="&amp;'Output - County'!B995)*VLOOKUP(A995,'Output - State'!$B$2:$G$52,6,FALSE)</f>
        <v>5.2268630013505959</v>
      </c>
    </row>
    <row r="996" spans="1:7" x14ac:dyDescent="0.25">
      <c r="A996" s="88">
        <v>21</v>
      </c>
      <c r="B996" s="88">
        <v>3</v>
      </c>
      <c r="C996" s="97">
        <f>SUMIFS(Input!$C$115:$C$3257,Input!$A$115:$A$3257,"="&amp;'Output - County'!A996,Input!$B$115:$B$3257,"="&amp;'Output - County'!B996)*VLOOKUP(A996,'Output - State'!$B$2:$G$52,2,FALSE)</f>
        <v>3.4242833540810222</v>
      </c>
      <c r="D996" s="98">
        <f>SUMIFS(Input!$C$115:$C$3257,Input!$A$115:$A$3257,"="&amp;'Output - County'!A996,Input!$B$115:$B$3257,"="&amp;'Output - County'!B996)*VLOOKUP(A996,'Output - State'!$B$2:$G$52,3,FALSE)</f>
        <v>0.82163330514410327</v>
      </c>
      <c r="E996" s="98">
        <f>SUMIFS(Input!$C$115:$C$3257,Input!$A$115:$A$3257,"="&amp;'Output - County'!A996,Input!$B$115:$B$3257,"="&amp;'Output - County'!B996)*VLOOKUP(A996,'Output - State'!$B$2:$G$52,4,FALSE)</f>
        <v>4.0123370922331452</v>
      </c>
      <c r="F996" s="98">
        <f>SUMIFS(Input!$C$115:$C$3257,Input!$A$115:$A$3257,"="&amp;'Output - County'!A996,Input!$B$115:$B$3257,"="&amp;'Output - County'!B996)*VLOOKUP(A996,'Output - State'!$B$2:$G$52,5,FALSE)</f>
        <v>13.155312355536328</v>
      </c>
      <c r="G996" s="99">
        <f>SUMIFS(Input!$D$115:$D$3257,Input!$A$115:$A$3257,"="&amp;'Output - County'!A996,Input!$B$115:$B$3257,"="&amp;'Output - County'!B996)*VLOOKUP(A996,'Output - State'!$B$2:$G$52,6,FALSE)</f>
        <v>5.7441046525259152</v>
      </c>
    </row>
    <row r="997" spans="1:7" x14ac:dyDescent="0.25">
      <c r="A997" s="88">
        <v>21</v>
      </c>
      <c r="B997" s="88">
        <v>5</v>
      </c>
      <c r="C997" s="97">
        <f>SUMIFS(Input!$C$115:$C$3257,Input!$A$115:$A$3257,"="&amp;'Output - County'!A997,Input!$B$115:$B$3257,"="&amp;'Output - County'!B997)*VLOOKUP(A997,'Output - State'!$B$2:$G$52,2,FALSE)</f>
        <v>5.21801383675027</v>
      </c>
      <c r="D997" s="98">
        <f>SUMIFS(Input!$C$115:$C$3257,Input!$A$115:$A$3257,"="&amp;'Output - County'!A997,Input!$B$115:$B$3257,"="&amp;'Output - County'!B997)*VLOOKUP(A997,'Output - State'!$B$2:$G$52,3,FALSE)</f>
        <v>1.2520266320446989</v>
      </c>
      <c r="E997" s="98">
        <f>SUMIFS(Input!$C$115:$C$3257,Input!$A$115:$A$3257,"="&amp;'Output - County'!A997,Input!$B$115:$B$3257,"="&amp;'Output - County'!B997)*VLOOKUP(A997,'Output - State'!$B$2:$G$52,4,FALSE)</f>
        <v>6.1141057266849996</v>
      </c>
      <c r="F997" s="98">
        <f>SUMIFS(Input!$C$115:$C$3257,Input!$A$115:$A$3257,"="&amp;'Output - County'!A997,Input!$B$115:$B$3257,"="&amp;'Output - County'!B997)*VLOOKUP(A997,'Output - State'!$B$2:$G$52,5,FALSE)</f>
        <v>20.046414037597234</v>
      </c>
      <c r="G997" s="99">
        <f>SUMIFS(Input!$D$115:$D$3257,Input!$A$115:$A$3257,"="&amp;'Output - County'!A997,Input!$B$115:$B$3257,"="&amp;'Output - County'!B997)*VLOOKUP(A997,'Output - State'!$B$2:$G$52,6,FALSE)</f>
        <v>6.1524533245064292</v>
      </c>
    </row>
    <row r="998" spans="1:7" x14ac:dyDescent="0.25">
      <c r="A998" s="88">
        <v>21</v>
      </c>
      <c r="B998" s="88">
        <v>7</v>
      </c>
      <c r="C998" s="97">
        <f>SUMIFS(Input!$C$115:$C$3257,Input!$A$115:$A$3257,"="&amp;'Output - County'!A998,Input!$B$115:$B$3257,"="&amp;'Output - County'!B998)*VLOOKUP(A998,'Output - State'!$B$2:$G$52,2,FALSE)</f>
        <v>1.7391495816506315</v>
      </c>
      <c r="D998" s="98">
        <f>SUMIFS(Input!$C$115:$C$3257,Input!$A$115:$A$3257,"="&amp;'Output - County'!A998,Input!$B$115:$B$3257,"="&amp;'Output - County'!B998)*VLOOKUP(A998,'Output - State'!$B$2:$G$52,3,FALSE)</f>
        <v>0.41729701404779906</v>
      </c>
      <c r="E998" s="98">
        <f>SUMIFS(Input!$C$115:$C$3257,Input!$A$115:$A$3257,"="&amp;'Output - County'!A998,Input!$B$115:$B$3257,"="&amp;'Output - County'!B998)*VLOOKUP(A998,'Output - State'!$B$2:$G$52,4,FALSE)</f>
        <v>2.0378145304716737</v>
      </c>
      <c r="F998" s="98">
        <f>SUMIFS(Input!$C$115:$C$3257,Input!$A$115:$A$3257,"="&amp;'Output - County'!A998,Input!$B$115:$B$3257,"="&amp;'Output - County'!B998)*VLOOKUP(A998,'Output - State'!$B$2:$G$52,5,FALSE)</f>
        <v>6.681414361445114</v>
      </c>
      <c r="G998" s="99">
        <f>SUMIFS(Input!$D$115:$D$3257,Input!$A$115:$A$3257,"="&amp;'Output - County'!A998,Input!$B$115:$B$3257,"="&amp;'Output - County'!B998)*VLOOKUP(A998,'Output - State'!$B$2:$G$52,6,FALSE)</f>
        <v>2.1751372594162115</v>
      </c>
    </row>
    <row r="999" spans="1:7" x14ac:dyDescent="0.25">
      <c r="A999" s="88">
        <v>21</v>
      </c>
      <c r="B999" s="88">
        <v>9</v>
      </c>
      <c r="C999" s="97">
        <f>SUMIFS(Input!$C$115:$C$3257,Input!$A$115:$A$3257,"="&amp;'Output - County'!A999,Input!$B$115:$B$3257,"="&amp;'Output - County'!B999)*VLOOKUP(A999,'Output - State'!$B$2:$G$52,2,FALSE)</f>
        <v>12.793693522118319</v>
      </c>
      <c r="D999" s="98">
        <f>SUMIFS(Input!$C$115:$C$3257,Input!$A$115:$A$3257,"="&amp;'Output - County'!A999,Input!$B$115:$B$3257,"="&amp;'Output - County'!B999)*VLOOKUP(A999,'Output - State'!$B$2:$G$52,3,FALSE)</f>
        <v>3.0697590142623632</v>
      </c>
      <c r="E999" s="98">
        <f>SUMIFS(Input!$C$115:$C$3257,Input!$A$115:$A$3257,"="&amp;'Output - County'!A999,Input!$B$115:$B$3257,"="&amp;'Output - County'!B999)*VLOOKUP(A999,'Output - State'!$B$2:$G$52,4,FALSE)</f>
        <v>14.990760330707042</v>
      </c>
      <c r="F999" s="98">
        <f>SUMIFS(Input!$C$115:$C$3257,Input!$A$115:$A$3257,"="&amp;'Output - County'!A999,Input!$B$115:$B$3257,"="&amp;'Output - County'!B999)*VLOOKUP(A999,'Output - State'!$B$2:$G$52,5,FALSE)</f>
        <v>49.150440270628934</v>
      </c>
      <c r="G999" s="99">
        <f>SUMIFS(Input!$D$115:$D$3257,Input!$A$115:$A$3257,"="&amp;'Output - County'!A999,Input!$B$115:$B$3257,"="&amp;'Output - County'!B999)*VLOOKUP(A999,'Output - State'!$B$2:$G$52,6,FALSE)</f>
        <v>12.005450956227149</v>
      </c>
    </row>
    <row r="1000" spans="1:7" x14ac:dyDescent="0.25">
      <c r="A1000" s="88">
        <v>21</v>
      </c>
      <c r="B1000" s="88">
        <v>11</v>
      </c>
      <c r="C1000" s="97">
        <f>SUMIFS(Input!$C$115:$C$3257,Input!$A$115:$A$3257,"="&amp;'Output - County'!A1000,Input!$B$115:$B$3257,"="&amp;'Output - County'!B1000)*VLOOKUP(A1000,'Output - State'!$B$2:$G$52,2,FALSE)</f>
        <v>3.9731814456235202</v>
      </c>
      <c r="D1000" s="98">
        <f>SUMIFS(Input!$C$115:$C$3257,Input!$A$115:$A$3257,"="&amp;'Output - County'!A1000,Input!$B$115:$B$3257,"="&amp;'Output - County'!B1000)*VLOOKUP(A1000,'Output - State'!$B$2:$G$52,3,FALSE)</f>
        <v>0.95333763755685896</v>
      </c>
      <c r="E1000" s="98">
        <f>SUMIFS(Input!$C$115:$C$3257,Input!$A$115:$A$3257,"="&amp;'Output - County'!A1000,Input!$B$115:$B$3257,"="&amp;'Output - County'!B1000)*VLOOKUP(A1000,'Output - State'!$B$2:$G$52,4,FALSE)</f>
        <v>4.6554977027378799</v>
      </c>
      <c r="F1000" s="98">
        <f>SUMIFS(Input!$C$115:$C$3257,Input!$A$115:$A$3257,"="&amp;'Output - County'!A1000,Input!$B$115:$B$3257,"="&amp;'Output - County'!B1000)*VLOOKUP(A1000,'Output - State'!$B$2:$G$52,5,FALSE)</f>
        <v>15.264053104748426</v>
      </c>
      <c r="G1000" s="99">
        <f>SUMIFS(Input!$D$115:$D$3257,Input!$A$115:$A$3257,"="&amp;'Output - County'!A1000,Input!$B$115:$B$3257,"="&amp;'Output - County'!B1000)*VLOOKUP(A1000,'Output - State'!$B$2:$G$52,6,FALSE)</f>
        <v>3.3756823550389261</v>
      </c>
    </row>
    <row r="1001" spans="1:7" x14ac:dyDescent="0.25">
      <c r="A1001" s="88">
        <v>21</v>
      </c>
      <c r="B1001" s="88">
        <v>13</v>
      </c>
      <c r="C1001" s="97">
        <f>SUMIFS(Input!$C$115:$C$3257,Input!$A$115:$A$3257,"="&amp;'Output - County'!A1001,Input!$B$115:$B$3257,"="&amp;'Output - County'!B1001)*VLOOKUP(A1001,'Output - State'!$B$2:$G$52,2,FALSE)</f>
        <v>5.7818550701076799</v>
      </c>
      <c r="D1001" s="98">
        <f>SUMIFS(Input!$C$115:$C$3257,Input!$A$115:$A$3257,"="&amp;'Output - County'!A1001,Input!$B$115:$B$3257,"="&amp;'Output - County'!B1001)*VLOOKUP(A1001,'Output - State'!$B$2:$G$52,3,FALSE)</f>
        <v>1.3873164688474435</v>
      </c>
      <c r="E1001" s="98">
        <f>SUMIFS(Input!$C$115:$C$3257,Input!$A$115:$A$3257,"="&amp;'Output - County'!A1001,Input!$B$115:$B$3257,"="&amp;'Output - County'!B1001)*VLOOKUP(A1001,'Output - State'!$B$2:$G$52,4,FALSE)</f>
        <v>6.7747756715463714</v>
      </c>
      <c r="F1001" s="98">
        <f>SUMIFS(Input!$C$115:$C$3257,Input!$A$115:$A$3257,"="&amp;'Output - County'!A1001,Input!$B$115:$B$3257,"="&amp;'Output - County'!B1001)*VLOOKUP(A1001,'Output - State'!$B$2:$G$52,5,FALSE)</f>
        <v>22.212562915115644</v>
      </c>
      <c r="G1001" s="99">
        <f>SUMIFS(Input!$D$115:$D$3257,Input!$A$115:$A$3257,"="&amp;'Output - County'!A1001,Input!$B$115:$B$3257,"="&amp;'Output - County'!B1001)*VLOOKUP(A1001,'Output - State'!$B$2:$G$52,6,FALSE)</f>
        <v>7.2141598716557702</v>
      </c>
    </row>
    <row r="1002" spans="1:7" x14ac:dyDescent="0.25">
      <c r="A1002" s="88">
        <v>21</v>
      </c>
      <c r="B1002" s="88">
        <v>15</v>
      </c>
      <c r="C1002" s="97">
        <f>SUMIFS(Input!$C$115:$C$3257,Input!$A$115:$A$3257,"="&amp;'Output - County'!A1002,Input!$B$115:$B$3257,"="&amp;'Output - County'!B1002)*VLOOKUP(A1002,'Output - State'!$B$2:$G$52,2,FALSE)</f>
        <v>39.660681968806635</v>
      </c>
      <c r="D1002" s="98">
        <f>SUMIFS(Input!$C$115:$C$3257,Input!$A$115:$A$3257,"="&amp;'Output - County'!A1002,Input!$B$115:$B$3257,"="&amp;'Output - County'!B1002)*VLOOKUP(A1002,'Output - State'!$B$2:$G$52,3,FALSE)</f>
        <v>9.5163086230768457</v>
      </c>
      <c r="E1002" s="98">
        <f>SUMIFS(Input!$C$115:$C$3257,Input!$A$115:$A$3257,"="&amp;'Output - County'!A1002,Input!$B$115:$B$3257,"="&amp;'Output - County'!B1002)*VLOOKUP(A1002,'Output - State'!$B$2:$G$52,4,FALSE)</f>
        <v>46.471628925524925</v>
      </c>
      <c r="F1002" s="98">
        <f>SUMIFS(Input!$C$115:$C$3257,Input!$A$115:$A$3257,"="&amp;'Output - County'!A1002,Input!$B$115:$B$3257,"="&amp;'Output - County'!B1002)*VLOOKUP(A1002,'Output - State'!$B$2:$G$52,5,FALSE)</f>
        <v>152.36725632282287</v>
      </c>
      <c r="G1002" s="99">
        <f>SUMIFS(Input!$D$115:$D$3257,Input!$A$115:$A$3257,"="&amp;'Output - County'!A1002,Input!$B$115:$B$3257,"="&amp;'Output - County'!B1002)*VLOOKUP(A1002,'Output - State'!$B$2:$G$52,6,FALSE)</f>
        <v>35.934683134285343</v>
      </c>
    </row>
    <row r="1003" spans="1:7" x14ac:dyDescent="0.25">
      <c r="A1003" s="88">
        <v>21</v>
      </c>
      <c r="B1003" s="88">
        <v>17</v>
      </c>
      <c r="C1003" s="97">
        <f>SUMIFS(Input!$C$115:$C$3257,Input!$A$115:$A$3257,"="&amp;'Output - County'!A1003,Input!$B$115:$B$3257,"="&amp;'Output - County'!B1003)*VLOOKUP(A1003,'Output - State'!$B$2:$G$52,2,FALSE)</f>
        <v>4.3599723589272577</v>
      </c>
      <c r="D1003" s="98">
        <f>SUMIFS(Input!$C$115:$C$3257,Input!$A$115:$A$3257,"="&amp;'Output - County'!A1003,Input!$B$115:$B$3257,"="&amp;'Output - County'!B1003)*VLOOKUP(A1003,'Output - State'!$B$2:$G$52,3,FALSE)</f>
        <v>1.0461454643737329</v>
      </c>
      <c r="E1003" s="98">
        <f>SUMIFS(Input!$C$115:$C$3257,Input!$A$115:$A$3257,"="&amp;'Output - County'!A1003,Input!$B$115:$B$3257,"="&amp;'Output - County'!B1003)*VLOOKUP(A1003,'Output - State'!$B$2:$G$52,4,FALSE)</f>
        <v>5.1087123955400218</v>
      </c>
      <c r="F1003" s="98">
        <f>SUMIFS(Input!$C$115:$C$3257,Input!$A$115:$A$3257,"="&amp;'Output - County'!A1003,Input!$B$115:$B$3257,"="&amp;'Output - County'!B1003)*VLOOKUP(A1003,'Output - State'!$B$2:$G$52,5,FALSE)</f>
        <v>16.750015203863146</v>
      </c>
      <c r="G1003" s="99">
        <f>SUMIFS(Input!$D$115:$D$3257,Input!$A$115:$A$3257,"="&amp;'Output - County'!A1003,Input!$B$115:$B$3257,"="&amp;'Output - County'!B1003)*VLOOKUP(A1003,'Output - State'!$B$2:$G$52,6,FALSE)</f>
        <v>5.4718722045389043</v>
      </c>
    </row>
    <row r="1004" spans="1:7" x14ac:dyDescent="0.25">
      <c r="A1004" s="88">
        <v>21</v>
      </c>
      <c r="B1004" s="88">
        <v>19</v>
      </c>
      <c r="C1004" s="97">
        <f>SUMIFS(Input!$C$115:$C$3257,Input!$A$115:$A$3257,"="&amp;'Output - County'!A1004,Input!$B$115:$B$3257,"="&amp;'Output - County'!B1004)*VLOOKUP(A1004,'Output - State'!$B$2:$G$52,2,FALSE)</f>
        <v>10.140193397472277</v>
      </c>
      <c r="D1004" s="98">
        <f>SUMIFS(Input!$C$115:$C$3257,Input!$A$115:$A$3257,"="&amp;'Output - County'!A1004,Input!$B$115:$B$3257,"="&amp;'Output - County'!B1004)*VLOOKUP(A1004,'Output - State'!$B$2:$G$52,3,FALSE)</f>
        <v>2.4330698585548269</v>
      </c>
      <c r="E1004" s="98">
        <f>SUMIFS(Input!$C$115:$C$3257,Input!$A$115:$A$3257,"="&amp;'Output - County'!A1004,Input!$B$115:$B$3257,"="&amp;'Output - County'!B1004)*VLOOKUP(A1004,'Output - State'!$B$2:$G$52,4,FALSE)</f>
        <v>11.881573422540134</v>
      </c>
      <c r="F1004" s="98">
        <f>SUMIFS(Input!$C$115:$C$3257,Input!$A$115:$A$3257,"="&amp;'Output - County'!A1004,Input!$B$115:$B$3257,"="&amp;'Output - County'!B1004)*VLOOKUP(A1004,'Output - State'!$B$2:$G$52,5,FALSE)</f>
        <v>38.956300543970293</v>
      </c>
      <c r="G1004" s="99">
        <f>SUMIFS(Input!$D$115:$D$3257,Input!$A$115:$A$3257,"="&amp;'Output - County'!A1004,Input!$B$115:$B$3257,"="&amp;'Output - County'!B1004)*VLOOKUP(A1004,'Output - State'!$B$2:$G$52,6,FALSE)</f>
        <v>12.876594789785582</v>
      </c>
    </row>
    <row r="1005" spans="1:7" x14ac:dyDescent="0.25">
      <c r="A1005" s="88">
        <v>21</v>
      </c>
      <c r="B1005" s="88">
        <v>21</v>
      </c>
      <c r="C1005" s="97">
        <f>SUMIFS(Input!$C$115:$C$3257,Input!$A$115:$A$3257,"="&amp;'Output - County'!A1005,Input!$B$115:$B$3257,"="&amp;'Output - County'!B1005)*VLOOKUP(A1005,'Output - State'!$B$2:$G$52,2,FALSE)</f>
        <v>6.56399854174665</v>
      </c>
      <c r="D1005" s="98">
        <f>SUMIFS(Input!$C$115:$C$3257,Input!$A$115:$A$3257,"="&amp;'Output - County'!A1005,Input!$B$115:$B$3257,"="&amp;'Output - County'!B1005)*VLOOKUP(A1005,'Output - State'!$B$2:$G$52,3,FALSE)</f>
        <v>1.5749864304859056</v>
      </c>
      <c r="E1005" s="98">
        <f>SUMIFS(Input!$C$115:$C$3257,Input!$A$115:$A$3257,"="&amp;'Output - County'!A1005,Input!$B$115:$B$3257,"="&amp;'Output - County'!B1005)*VLOOKUP(A1005,'Output - State'!$B$2:$G$52,4,FALSE)</f>
        <v>7.6912369973782253</v>
      </c>
      <c r="F1005" s="98">
        <f>SUMIFS(Input!$C$115:$C$3257,Input!$A$115:$A$3257,"="&amp;'Output - County'!A1005,Input!$B$115:$B$3257,"="&amp;'Output - County'!B1005)*VLOOKUP(A1005,'Output - State'!$B$2:$G$52,5,FALSE)</f>
        <v>25.217378992614456</v>
      </c>
      <c r="G1005" s="99">
        <f>SUMIFS(Input!$D$115:$D$3257,Input!$A$115:$A$3257,"="&amp;'Output - County'!A1005,Input!$B$115:$B$3257,"="&amp;'Output - County'!B1005)*VLOOKUP(A1005,'Output - State'!$B$2:$G$52,6,FALSE)</f>
        <v>8.1941966844090057</v>
      </c>
    </row>
    <row r="1006" spans="1:7" x14ac:dyDescent="0.25">
      <c r="A1006" s="88">
        <v>21</v>
      </c>
      <c r="B1006" s="88">
        <v>23</v>
      </c>
      <c r="C1006" s="97">
        <f>SUMIFS(Input!$C$115:$C$3257,Input!$A$115:$A$3257,"="&amp;'Output - County'!A1006,Input!$B$115:$B$3257,"="&amp;'Output - County'!B1006)*VLOOKUP(A1006,'Output - State'!$B$2:$G$52,2,FALSE)</f>
        <v>1.873608019835018</v>
      </c>
      <c r="D1006" s="98">
        <f>SUMIFS(Input!$C$115:$C$3257,Input!$A$115:$A$3257,"="&amp;'Output - County'!A1006,Input!$B$115:$B$3257,"="&amp;'Output - County'!B1006)*VLOOKUP(A1006,'Output - State'!$B$2:$G$52,3,FALSE)</f>
        <v>0.44955939409829576</v>
      </c>
      <c r="E1006" s="98">
        <f>SUMIFS(Input!$C$115:$C$3257,Input!$A$115:$A$3257,"="&amp;'Output - County'!A1006,Input!$B$115:$B$3257,"="&amp;'Output - County'!B1006)*VLOOKUP(A1006,'Output - State'!$B$2:$G$52,4,FALSE)</f>
        <v>2.1953635774125435</v>
      </c>
      <c r="F1006" s="98">
        <f>SUMIFS(Input!$C$115:$C$3257,Input!$A$115:$A$3257,"="&amp;'Output - County'!A1006,Input!$B$115:$B$3257,"="&amp;'Output - County'!B1006)*VLOOKUP(A1006,'Output - State'!$B$2:$G$52,5,FALSE)</f>
        <v>7.1979728848643543</v>
      </c>
      <c r="G1006" s="99">
        <f>SUMIFS(Input!$D$115:$D$3257,Input!$A$115:$A$3257,"="&amp;'Output - County'!A1006,Input!$B$115:$B$3257,"="&amp;'Output - County'!B1006)*VLOOKUP(A1006,'Output - State'!$B$2:$G$52,6,FALSE)</f>
        <v>2.2540846693324443</v>
      </c>
    </row>
    <row r="1007" spans="1:7" x14ac:dyDescent="0.25">
      <c r="A1007" s="88">
        <v>21</v>
      </c>
      <c r="B1007" s="88">
        <v>25</v>
      </c>
      <c r="C1007" s="97">
        <f>SUMIFS(Input!$C$115:$C$3257,Input!$A$115:$A$3257,"="&amp;'Output - County'!A1007,Input!$B$115:$B$3257,"="&amp;'Output - County'!B1007)*VLOOKUP(A1007,'Output - State'!$B$2:$G$52,2,FALSE)</f>
        <v>2.7248087639936851</v>
      </c>
      <c r="D1007" s="98">
        <f>SUMIFS(Input!$C$115:$C$3257,Input!$A$115:$A$3257,"="&amp;'Output - County'!A1007,Input!$B$115:$B$3257,"="&amp;'Output - County'!B1007)*VLOOKUP(A1007,'Output - State'!$B$2:$G$52,3,FALSE)</f>
        <v>0.65379917464411386</v>
      </c>
      <c r="E1007" s="98">
        <f>SUMIFS(Input!$C$115:$C$3257,Input!$A$115:$A$3257,"="&amp;'Output - County'!A1007,Input!$B$115:$B$3257,"="&amp;'Output - County'!B1007)*VLOOKUP(A1007,'Output - State'!$B$2:$G$52,4,FALSE)</f>
        <v>3.1927414125890499</v>
      </c>
      <c r="F1007" s="98">
        <f>SUMIFS(Input!$C$115:$C$3257,Input!$A$115:$A$3257,"="&amp;'Output - County'!A1007,Input!$B$115:$B$3257,"="&amp;'Output - County'!B1007)*VLOOKUP(A1007,'Output - State'!$B$2:$G$52,5,FALSE)</f>
        <v>10.468091186647648</v>
      </c>
      <c r="G1007" s="99">
        <f>SUMIFS(Input!$D$115:$D$3257,Input!$A$115:$A$3257,"="&amp;'Output - County'!A1007,Input!$B$115:$B$3257,"="&amp;'Output - County'!B1007)*VLOOKUP(A1007,'Output - State'!$B$2:$G$52,6,FALSE)</f>
        <v>3.4845753342337304</v>
      </c>
    </row>
    <row r="1008" spans="1:7" x14ac:dyDescent="0.25">
      <c r="A1008" s="88">
        <v>21</v>
      </c>
      <c r="B1008" s="88">
        <v>27</v>
      </c>
      <c r="C1008" s="97">
        <f>SUMIFS(Input!$C$115:$C$3257,Input!$A$115:$A$3257,"="&amp;'Output - County'!A1008,Input!$B$115:$B$3257,"="&amp;'Output - County'!B1008)*VLOOKUP(A1008,'Output - State'!$B$2:$G$52,2,FALSE)</f>
        <v>3.198603025273834</v>
      </c>
      <c r="D1008" s="98">
        <f>SUMIFS(Input!$C$115:$C$3257,Input!$A$115:$A$3257,"="&amp;'Output - County'!A1008,Input!$B$115:$B$3257,"="&amp;'Output - County'!B1008)*VLOOKUP(A1008,'Output - State'!$B$2:$G$52,3,FALSE)</f>
        <v>0.76748285808986949</v>
      </c>
      <c r="E1008" s="98">
        <f>SUMIFS(Input!$C$115:$C$3257,Input!$A$115:$A$3257,"="&amp;'Output - County'!A1008,Input!$B$115:$B$3257,"="&amp;'Output - County'!B1008)*VLOOKUP(A1008,'Output - State'!$B$2:$G$52,4,FALSE)</f>
        <v>3.7479005778946686</v>
      </c>
      <c r="F1008" s="98">
        <f>SUMIFS(Input!$C$115:$C$3257,Input!$A$115:$A$3257,"="&amp;'Output - County'!A1008,Input!$B$115:$B$3257,"="&amp;'Output - County'!B1008)*VLOOKUP(A1008,'Output - State'!$B$2:$G$52,5,FALSE)</f>
        <v>12.288300221619194</v>
      </c>
      <c r="G1008" s="99">
        <f>SUMIFS(Input!$D$115:$D$3257,Input!$A$115:$A$3257,"="&amp;'Output - County'!A1008,Input!$B$115:$B$3257,"="&amp;'Output - County'!B1008)*VLOOKUP(A1008,'Output - State'!$B$2:$G$52,6,FALSE)</f>
        <v>5.5263186941363065</v>
      </c>
    </row>
    <row r="1009" spans="1:7" x14ac:dyDescent="0.25">
      <c r="A1009" s="88">
        <v>21</v>
      </c>
      <c r="B1009" s="88">
        <v>29</v>
      </c>
      <c r="C1009" s="97">
        <f>SUMIFS(Input!$C$115:$C$3257,Input!$A$115:$A$3257,"="&amp;'Output - County'!A1009,Input!$B$115:$B$3257,"="&amp;'Output - County'!B1009)*VLOOKUP(A1009,'Output - State'!$B$2:$G$52,2,FALSE)</f>
        <v>24.955420791129608</v>
      </c>
      <c r="D1009" s="98">
        <f>SUMIFS(Input!$C$115:$C$3257,Input!$A$115:$A$3257,"="&amp;'Output - County'!A1009,Input!$B$115:$B$3257,"="&amp;'Output - County'!B1009)*VLOOKUP(A1009,'Output - State'!$B$2:$G$52,3,FALSE)</f>
        <v>5.9878820604728906</v>
      </c>
      <c r="E1009" s="98">
        <f>SUMIFS(Input!$C$115:$C$3257,Input!$A$115:$A$3257,"="&amp;'Output - County'!A1009,Input!$B$115:$B$3257,"="&amp;'Output - County'!B1009)*VLOOKUP(A1009,'Output - State'!$B$2:$G$52,4,FALSE)</f>
        <v>29.241026556170439</v>
      </c>
      <c r="F1009" s="98">
        <f>SUMIFS(Input!$C$115:$C$3257,Input!$A$115:$A$3257,"="&amp;'Output - County'!A1009,Input!$B$115:$B$3257,"="&amp;'Output - County'!B1009)*VLOOKUP(A1009,'Output - State'!$B$2:$G$52,5,FALSE)</f>
        <v>95.873010941076359</v>
      </c>
      <c r="G1009" s="99">
        <f>SUMIFS(Input!$D$115:$D$3257,Input!$A$115:$A$3257,"="&amp;'Output - County'!A1009,Input!$B$115:$B$3257,"="&amp;'Output - County'!B1009)*VLOOKUP(A1009,'Output - State'!$B$2:$G$52,6,FALSE)</f>
        <v>22.050828286947823</v>
      </c>
    </row>
    <row r="1010" spans="1:7" x14ac:dyDescent="0.25">
      <c r="A1010" s="88">
        <v>21</v>
      </c>
      <c r="B1010" s="88">
        <v>31</v>
      </c>
      <c r="C1010" s="97">
        <f>SUMIFS(Input!$C$115:$C$3257,Input!$A$115:$A$3257,"="&amp;'Output - County'!A1010,Input!$B$115:$B$3257,"="&amp;'Output - County'!B1010)*VLOOKUP(A1010,'Output - State'!$B$2:$G$52,2,FALSE)</f>
        <v>3.4795143342200907</v>
      </c>
      <c r="D1010" s="98">
        <f>SUMIFS(Input!$C$115:$C$3257,Input!$A$115:$A$3257,"="&amp;'Output - County'!A1010,Input!$B$115:$B$3257,"="&amp;'Output - County'!B1010)*VLOOKUP(A1010,'Output - State'!$B$2:$G$52,3,FALSE)</f>
        <v>0.83488560002324286</v>
      </c>
      <c r="E1010" s="98">
        <f>SUMIFS(Input!$C$115:$C$3257,Input!$A$115:$A$3257,"="&amp;'Output - County'!A1010,Input!$B$115:$B$3257,"="&amp;'Output - County'!B1010)*VLOOKUP(A1010,'Output - State'!$B$2:$G$52,4,FALSE)</f>
        <v>4.0770529137168641</v>
      </c>
      <c r="F1010" s="98">
        <f>SUMIFS(Input!$C$115:$C$3257,Input!$A$115:$A$3257,"="&amp;'Output - County'!A1010,Input!$B$115:$B$3257,"="&amp;'Output - County'!B1010)*VLOOKUP(A1010,'Output - State'!$B$2:$G$52,5,FALSE)</f>
        <v>13.367497131240107</v>
      </c>
      <c r="G1010" s="99">
        <f>SUMIFS(Input!$D$115:$D$3257,Input!$A$115:$A$3257,"="&amp;'Output - County'!A1010,Input!$B$115:$B$3257,"="&amp;'Output - County'!B1010)*VLOOKUP(A1010,'Output - State'!$B$2:$G$52,6,FALSE)</f>
        <v>3.4573520894350294</v>
      </c>
    </row>
    <row r="1011" spans="1:7" x14ac:dyDescent="0.25">
      <c r="A1011" s="88">
        <v>21</v>
      </c>
      <c r="B1011" s="88">
        <v>33</v>
      </c>
      <c r="C1011" s="97">
        <f>SUMIFS(Input!$C$115:$C$3257,Input!$A$115:$A$3257,"="&amp;'Output - County'!A1011,Input!$B$115:$B$3257,"="&amp;'Output - County'!B1011)*VLOOKUP(A1011,'Output - State'!$B$2:$G$52,2,FALSE)</f>
        <v>4.2929092195453107</v>
      </c>
      <c r="D1011" s="98">
        <f>SUMIFS(Input!$C$115:$C$3257,Input!$A$115:$A$3257,"="&amp;'Output - County'!A1011,Input!$B$115:$B$3257,"="&amp;'Output - County'!B1011)*VLOOKUP(A1011,'Output - State'!$B$2:$G$52,3,FALSE)</f>
        <v>1.0300541240358898</v>
      </c>
      <c r="E1011" s="98">
        <f>SUMIFS(Input!$C$115:$C$3257,Input!$A$115:$A$3257,"="&amp;'Output - County'!A1011,Input!$B$115:$B$3257,"="&amp;'Output - County'!B1011)*VLOOKUP(A1011,'Output - State'!$B$2:$G$52,4,FALSE)</f>
        <v>5.0301324727240262</v>
      </c>
      <c r="F1011" s="98">
        <f>SUMIFS(Input!$C$115:$C$3257,Input!$A$115:$A$3257,"="&amp;'Output - County'!A1011,Input!$B$115:$B$3257,"="&amp;'Output - County'!B1011)*VLOOKUP(A1011,'Output - State'!$B$2:$G$52,5,FALSE)</f>
        <v>16.492373982361737</v>
      </c>
      <c r="G1011" s="99">
        <f>SUMIFS(Input!$D$115:$D$3257,Input!$A$115:$A$3257,"="&amp;'Output - County'!A1011,Input!$B$115:$B$3257,"="&amp;'Output - County'!B1011)*VLOOKUP(A1011,'Output - State'!$B$2:$G$52,6,FALSE)</f>
        <v>3.4573520894350294</v>
      </c>
    </row>
    <row r="1012" spans="1:7" x14ac:dyDescent="0.25">
      <c r="A1012" s="88">
        <v>21</v>
      </c>
      <c r="B1012" s="88">
        <v>35</v>
      </c>
      <c r="C1012" s="97">
        <f>SUMIFS(Input!$C$115:$C$3257,Input!$A$115:$A$3257,"="&amp;'Output - County'!A1012,Input!$B$115:$B$3257,"="&amp;'Output - County'!B1012)*VLOOKUP(A1012,'Output - State'!$B$2:$G$52,2,FALSE)</f>
        <v>6.5937491844216209</v>
      </c>
      <c r="D1012" s="98">
        <f>SUMIFS(Input!$C$115:$C$3257,Input!$A$115:$A$3257,"="&amp;'Output - County'!A1012,Input!$B$115:$B$3257,"="&amp;'Output - County'!B1012)*VLOOKUP(A1012,'Output - State'!$B$2:$G$52,3,FALSE)</f>
        <v>1.5821248931490686</v>
      </c>
      <c r="E1012" s="98">
        <f>SUMIFS(Input!$C$115:$C$3257,Input!$A$115:$A$3257,"="&amp;'Output - County'!A1012,Input!$B$115:$B$3257,"="&amp;'Output - County'!B1012)*VLOOKUP(A1012,'Output - State'!$B$2:$G$52,4,FALSE)</f>
        <v>7.7260967314537652</v>
      </c>
      <c r="F1012" s="98">
        <f>SUMIFS(Input!$C$115:$C$3257,Input!$A$115:$A$3257,"="&amp;'Output - County'!A1012,Input!$B$115:$B$3257,"="&amp;'Output - County'!B1012)*VLOOKUP(A1012,'Output - State'!$B$2:$G$52,5,FALSE)</f>
        <v>25.331674147745456</v>
      </c>
      <c r="G1012" s="99">
        <f>SUMIFS(Input!$D$115:$D$3257,Input!$A$115:$A$3257,"="&amp;'Output - County'!A1012,Input!$B$115:$B$3257,"="&amp;'Output - County'!B1012)*VLOOKUP(A1012,'Output - State'!$B$2:$G$52,6,FALSE)</f>
        <v>10.617065471493397</v>
      </c>
    </row>
    <row r="1013" spans="1:7" x14ac:dyDescent="0.25">
      <c r="A1013" s="88">
        <v>21</v>
      </c>
      <c r="B1013" s="88">
        <v>37</v>
      </c>
      <c r="C1013" s="97">
        <f>SUMIFS(Input!$C$115:$C$3257,Input!$A$115:$A$3257,"="&amp;'Output - County'!A1013,Input!$B$115:$B$3257,"="&amp;'Output - County'!B1013)*VLOOKUP(A1013,'Output - State'!$B$2:$G$52,2,FALSE)</f>
        <v>20.591390172606079</v>
      </c>
      <c r="D1013" s="98">
        <f>SUMIFS(Input!$C$115:$C$3257,Input!$A$115:$A$3257,"="&amp;'Output - County'!A1013,Input!$B$115:$B$3257,"="&amp;'Output - County'!B1013)*VLOOKUP(A1013,'Output - State'!$B$2:$G$52,3,FALSE)</f>
        <v>4.9407628445428671</v>
      </c>
      <c r="E1013" s="98">
        <f>SUMIFS(Input!$C$115:$C$3257,Input!$A$115:$A$3257,"="&amp;'Output - County'!A1013,Input!$B$115:$B$3257,"="&amp;'Output - County'!B1013)*VLOOKUP(A1013,'Output - State'!$B$2:$G$52,4,FALSE)</f>
        <v>24.127558974267519</v>
      </c>
      <c r="F1013" s="98">
        <f>SUMIFS(Input!$C$115:$C$3257,Input!$A$115:$A$3257,"="&amp;'Output - County'!A1013,Input!$B$115:$B$3257,"="&amp;'Output - County'!B1013)*VLOOKUP(A1013,'Output - State'!$B$2:$G$52,5,FALSE)</f>
        <v>79.1074048333398</v>
      </c>
      <c r="G1013" s="99">
        <f>SUMIFS(Input!$D$115:$D$3257,Input!$A$115:$A$3257,"="&amp;'Output - County'!A1013,Input!$B$115:$B$3257,"="&amp;'Output - County'!B1013)*VLOOKUP(A1013,'Output - State'!$B$2:$G$52,6,FALSE)</f>
        <v>25.453733886785454</v>
      </c>
    </row>
    <row r="1014" spans="1:7" x14ac:dyDescent="0.25">
      <c r="A1014" s="88">
        <v>21</v>
      </c>
      <c r="B1014" s="88">
        <v>39</v>
      </c>
      <c r="C1014" s="97">
        <f>SUMIFS(Input!$C$115:$C$3257,Input!$A$115:$A$3257,"="&amp;'Output - County'!A1014,Input!$B$115:$B$3257,"="&amp;'Output - County'!B1014)*VLOOKUP(A1014,'Output - State'!$B$2:$G$52,2,FALSE)</f>
        <v>1.0357729070205681</v>
      </c>
      <c r="D1014" s="98">
        <f>SUMIFS(Input!$C$115:$C$3257,Input!$A$115:$A$3257,"="&amp;'Output - County'!A1014,Input!$B$115:$B$3257,"="&amp;'Output - County'!B1014)*VLOOKUP(A1014,'Output - State'!$B$2:$G$52,3,FALSE)</f>
        <v>0.24852660512448035</v>
      </c>
      <c r="E1014" s="98">
        <f>SUMIFS(Input!$C$115:$C$3257,Input!$A$115:$A$3257,"="&amp;'Output - County'!A1014,Input!$B$115:$B$3257,"="&amp;'Output - County'!B1014)*VLOOKUP(A1014,'Output - State'!$B$2:$G$52,4,FALSE)</f>
        <v>1.2136466595312154</v>
      </c>
      <c r="F1014" s="98">
        <f>SUMIFS(Input!$C$115:$C$3257,Input!$A$115:$A$3257,"="&amp;'Output - County'!A1014,Input!$B$115:$B$3257,"="&amp;'Output - County'!B1014)*VLOOKUP(A1014,'Output - State'!$B$2:$G$52,5,FALSE)</f>
        <v>3.9792022774687283</v>
      </c>
      <c r="G1014" s="99">
        <f>SUMIFS(Input!$D$115:$D$3257,Input!$A$115:$A$3257,"="&amp;'Output - County'!A1014,Input!$B$115:$B$3257,"="&amp;'Output - County'!B1014)*VLOOKUP(A1014,'Output - State'!$B$2:$G$52,6,FALSE)</f>
        <v>1.2903818034584282</v>
      </c>
    </row>
    <row r="1015" spans="1:7" x14ac:dyDescent="0.25">
      <c r="A1015" s="88">
        <v>21</v>
      </c>
      <c r="B1015" s="88">
        <v>41</v>
      </c>
      <c r="C1015" s="97">
        <f>SUMIFS(Input!$C$115:$C$3257,Input!$A$115:$A$3257,"="&amp;'Output - County'!A1015,Input!$B$115:$B$3257,"="&amp;'Output - County'!B1015)*VLOOKUP(A1015,'Output - State'!$B$2:$G$52,2,FALSE)</f>
        <v>7.5017172299016002</v>
      </c>
      <c r="D1015" s="98">
        <f>SUMIFS(Input!$C$115:$C$3257,Input!$A$115:$A$3257,"="&amp;'Output - County'!A1015,Input!$B$115:$B$3257,"="&amp;'Output - County'!B1015)*VLOOKUP(A1015,'Output - State'!$B$2:$G$52,3,FALSE)</f>
        <v>1.7999855983047481</v>
      </c>
      <c r="E1015" s="98">
        <f>SUMIFS(Input!$C$115:$C$3257,Input!$A$115:$A$3257,"="&amp;'Output - County'!A1015,Input!$B$115:$B$3257,"="&amp;'Output - County'!B1015)*VLOOKUP(A1015,'Output - State'!$B$2:$G$52,4,FALSE)</f>
        <v>8.7899905424317542</v>
      </c>
      <c r="F1015" s="98">
        <f>SUMIFS(Input!$C$115:$C$3257,Input!$A$115:$A$3257,"="&amp;'Output - County'!A1015,Input!$B$115:$B$3257,"="&amp;'Output - County'!B1015)*VLOOKUP(A1015,'Output - State'!$B$2:$G$52,5,FALSE)</f>
        <v>28.819879419338854</v>
      </c>
      <c r="G1015" s="99">
        <f>SUMIFS(Input!$D$115:$D$3257,Input!$A$115:$A$3257,"="&amp;'Output - County'!A1015,Input!$B$115:$B$3257,"="&amp;'Output - County'!B1015)*VLOOKUP(A1015,'Output - State'!$B$2:$G$52,6,FALSE)</f>
        <v>2.912887193461009</v>
      </c>
    </row>
    <row r="1016" spans="1:7" x14ac:dyDescent="0.25">
      <c r="A1016" s="88">
        <v>21</v>
      </c>
      <c r="B1016" s="88">
        <v>43</v>
      </c>
      <c r="C1016" s="97">
        <f>SUMIFS(Input!$C$115:$C$3257,Input!$A$115:$A$3257,"="&amp;'Output - County'!A1016,Input!$B$115:$B$3257,"="&amp;'Output - County'!B1016)*VLOOKUP(A1016,'Output - State'!$B$2:$G$52,2,FALSE)</f>
        <v>7.9162510641124513</v>
      </c>
      <c r="D1016" s="98">
        <f>SUMIFS(Input!$C$115:$C$3257,Input!$A$115:$A$3257,"="&amp;'Output - County'!A1016,Input!$B$115:$B$3257,"="&amp;'Output - County'!B1016)*VLOOKUP(A1016,'Output - State'!$B$2:$G$52,3,FALSE)</f>
        <v>1.8994501487166766</v>
      </c>
      <c r="E1016" s="98">
        <f>SUMIFS(Input!$C$115:$C$3257,Input!$A$115:$A$3257,"="&amp;'Output - County'!A1016,Input!$B$115:$B$3257,"="&amp;'Output - County'!B1016)*VLOOKUP(A1016,'Output - State'!$B$2:$G$52,4,FALSE)</f>
        <v>9.2757124605690429</v>
      </c>
      <c r="F1016" s="98">
        <f>SUMIFS(Input!$C$115:$C$3257,Input!$A$115:$A$3257,"="&amp;'Output - County'!A1016,Input!$B$115:$B$3257,"="&amp;'Output - County'!B1016)*VLOOKUP(A1016,'Output - State'!$B$2:$G$52,5,FALSE)</f>
        <v>30.412423466396948</v>
      </c>
      <c r="G1016" s="99">
        <f>SUMIFS(Input!$D$115:$D$3257,Input!$A$115:$A$3257,"="&amp;'Output - County'!A1016,Input!$B$115:$B$3257,"="&amp;'Output - County'!B1016)*VLOOKUP(A1016,'Output - State'!$B$2:$G$52,6,FALSE)</f>
        <v>7.3502760956492743</v>
      </c>
    </row>
    <row r="1017" spans="1:7" x14ac:dyDescent="0.25">
      <c r="A1017" s="88">
        <v>21</v>
      </c>
      <c r="B1017" s="88">
        <v>45</v>
      </c>
      <c r="C1017" s="97">
        <f>SUMIFS(Input!$C$115:$C$3257,Input!$A$115:$A$3257,"="&amp;'Output - County'!A1017,Input!$B$115:$B$3257,"="&amp;'Output - County'!B1017)*VLOOKUP(A1017,'Output - State'!$B$2:$G$52,2,FALSE)</f>
        <v>2.4367217422598149</v>
      </c>
      <c r="D1017" s="98">
        <f>SUMIFS(Input!$C$115:$C$3257,Input!$A$115:$A$3257,"="&amp;'Output - County'!A1017,Input!$B$115:$B$3257,"="&amp;'Output - County'!B1017)*VLOOKUP(A1017,'Output - State'!$B$2:$G$52,3,FALSE)</f>
        <v>0.5846746696424403</v>
      </c>
      <c r="E1017" s="98">
        <f>SUMIFS(Input!$C$115:$C$3257,Input!$A$115:$A$3257,"="&amp;'Output - County'!A1017,Input!$B$115:$B$3257,"="&amp;'Output - County'!B1017)*VLOOKUP(A1017,'Output - State'!$B$2:$G$52,4,FALSE)</f>
        <v>2.8551810755578888</v>
      </c>
      <c r="F1017" s="98">
        <f>SUMIFS(Input!$C$115:$C$3257,Input!$A$115:$A$3257,"="&amp;'Output - County'!A1017,Input!$B$115:$B$3257,"="&amp;'Output - County'!B1017)*VLOOKUP(A1017,'Output - State'!$B$2:$G$52,5,FALSE)</f>
        <v>9.3613268320072756</v>
      </c>
      <c r="G1017" s="99">
        <f>SUMIFS(Input!$D$115:$D$3257,Input!$A$115:$A$3257,"="&amp;'Output - County'!A1017,Input!$B$115:$B$3257,"="&amp;'Output - County'!B1017)*VLOOKUP(A1017,'Output - State'!$B$2:$G$52,6,FALSE)</f>
        <v>4.3284959229934614</v>
      </c>
    </row>
    <row r="1018" spans="1:7" x14ac:dyDescent="0.25">
      <c r="A1018" s="88">
        <v>21</v>
      </c>
      <c r="B1018" s="88">
        <v>47</v>
      </c>
      <c r="C1018" s="97">
        <f>SUMIFS(Input!$C$115:$C$3257,Input!$A$115:$A$3257,"="&amp;'Output - County'!A1018,Input!$B$115:$B$3257,"="&amp;'Output - County'!B1018)*VLOOKUP(A1018,'Output - State'!$B$2:$G$52,2,FALSE)</f>
        <v>23.654626916927747</v>
      </c>
      <c r="D1018" s="98">
        <f>SUMIFS(Input!$C$115:$C$3257,Input!$A$115:$A$3257,"="&amp;'Output - County'!A1018,Input!$B$115:$B$3257,"="&amp;'Output - County'!B1018)*VLOOKUP(A1018,'Output - State'!$B$2:$G$52,3,FALSE)</f>
        <v>5.6757654919366081</v>
      </c>
      <c r="E1018" s="98">
        <f>SUMIFS(Input!$C$115:$C$3257,Input!$A$115:$A$3257,"="&amp;'Output - County'!A1018,Input!$B$115:$B$3257,"="&amp;'Output - County'!B1018)*VLOOKUP(A1018,'Output - State'!$B$2:$G$52,4,FALSE)</f>
        <v>27.716846758202031</v>
      </c>
      <c r="F1018" s="98">
        <f>SUMIFS(Input!$C$115:$C$3257,Input!$A$115:$A$3257,"="&amp;'Output - County'!A1018,Input!$B$115:$B$3257,"="&amp;'Output - County'!B1018)*VLOOKUP(A1018,'Output - State'!$B$2:$G$52,5,FALSE)</f>
        <v>90.875658807556377</v>
      </c>
      <c r="G1018" s="99">
        <f>SUMIFS(Input!$D$115:$D$3257,Input!$A$115:$A$3257,"="&amp;'Output - County'!A1018,Input!$B$115:$B$3257,"="&amp;'Output - County'!B1018)*VLOOKUP(A1018,'Output - State'!$B$2:$G$52,6,FALSE)</f>
        <v>19.246834072681622</v>
      </c>
    </row>
    <row r="1019" spans="1:7" x14ac:dyDescent="0.25">
      <c r="A1019" s="88">
        <v>21</v>
      </c>
      <c r="B1019" s="88">
        <v>49</v>
      </c>
      <c r="C1019" s="97">
        <f>SUMIFS(Input!$C$115:$C$3257,Input!$A$115:$A$3257,"="&amp;'Output - County'!A1019,Input!$B$115:$B$3257,"="&amp;'Output - County'!B1019)*VLOOKUP(A1019,'Output - State'!$B$2:$G$52,2,FALSE)</f>
        <v>11.586005422235793</v>
      </c>
      <c r="D1019" s="98">
        <f>SUMIFS(Input!$C$115:$C$3257,Input!$A$115:$A$3257,"="&amp;'Output - County'!A1019,Input!$B$115:$B$3257,"="&amp;'Output - County'!B1019)*VLOOKUP(A1019,'Output - State'!$B$2:$G$52,3,FALSE)</f>
        <v>2.7799825377020642</v>
      </c>
      <c r="E1019" s="98">
        <f>SUMIFS(Input!$C$115:$C$3257,Input!$A$115:$A$3257,"="&amp;'Output - County'!A1019,Input!$B$115:$B$3257,"="&amp;'Output - County'!B1019)*VLOOKUP(A1019,'Output - State'!$B$2:$G$52,4,FALSE)</f>
        <v>13.575675404036989</v>
      </c>
      <c r="F1019" s="98">
        <f>SUMIFS(Input!$C$115:$C$3257,Input!$A$115:$A$3257,"="&amp;'Output - County'!A1019,Input!$B$115:$B$3257,"="&amp;'Output - County'!B1019)*VLOOKUP(A1019,'Output - State'!$B$2:$G$52,5,FALSE)</f>
        <v>44.51077919728808</v>
      </c>
      <c r="G1019" s="99">
        <f>SUMIFS(Input!$D$115:$D$3257,Input!$A$115:$A$3257,"="&amp;'Output - County'!A1019,Input!$B$115:$B$3257,"="&amp;'Output - County'!B1019)*VLOOKUP(A1019,'Output - State'!$B$2:$G$52,6,FALSE)</f>
        <v>9.8548146171297688</v>
      </c>
    </row>
    <row r="1020" spans="1:7" x14ac:dyDescent="0.25">
      <c r="A1020" s="88">
        <v>21</v>
      </c>
      <c r="B1020" s="88">
        <v>51</v>
      </c>
      <c r="C1020" s="97">
        <f>SUMIFS(Input!$C$115:$C$3257,Input!$A$115:$A$3257,"="&amp;'Output - County'!A1020,Input!$B$115:$B$3257,"="&amp;'Output - County'!B1020)*VLOOKUP(A1020,'Output - State'!$B$2:$G$52,2,FALSE)</f>
        <v>3.7101046268885143</v>
      </c>
      <c r="D1020" s="98">
        <f>SUMIFS(Input!$C$115:$C$3257,Input!$A$115:$A$3257,"="&amp;'Output - County'!A1020,Input!$B$115:$B$3257,"="&amp;'Output - County'!B1020)*VLOOKUP(A1020,'Output - State'!$B$2:$G$52,3,FALSE)</f>
        <v>0.89021415923067704</v>
      </c>
      <c r="E1020" s="98">
        <f>SUMIFS(Input!$C$115:$C$3257,Input!$A$115:$A$3257,"="&amp;'Output - County'!A1020,Input!$B$115:$B$3257,"="&amp;'Output - County'!B1020)*VLOOKUP(A1020,'Output - State'!$B$2:$G$52,4,FALSE)</f>
        <v>4.3472425822440792</v>
      </c>
      <c r="F1020" s="98">
        <f>SUMIFS(Input!$C$115:$C$3257,Input!$A$115:$A$3257,"="&amp;'Output - County'!A1020,Input!$B$115:$B$3257,"="&amp;'Output - County'!B1020)*VLOOKUP(A1020,'Output - State'!$B$2:$G$52,5,FALSE)</f>
        <v>14.253372221744044</v>
      </c>
      <c r="G1020" s="99">
        <f>SUMIFS(Input!$D$115:$D$3257,Input!$A$115:$A$3257,"="&amp;'Output - County'!A1020,Input!$B$115:$B$3257,"="&amp;'Output - County'!B1020)*VLOOKUP(A1020,'Output - State'!$B$2:$G$52,6,FALSE)</f>
        <v>5.4718722045389043</v>
      </c>
    </row>
    <row r="1021" spans="1:7" x14ac:dyDescent="0.25">
      <c r="A1021" s="88">
        <v>21</v>
      </c>
      <c r="B1021" s="88">
        <v>53</v>
      </c>
      <c r="C1021" s="97">
        <f>SUMIFS(Input!$C$115:$C$3257,Input!$A$115:$A$3257,"="&amp;'Output - County'!A1021,Input!$B$115:$B$3257,"="&amp;'Output - County'!B1021)*VLOOKUP(A1021,'Output - State'!$B$2:$G$52,2,FALSE)</f>
        <v>1.8353346319643256</v>
      </c>
      <c r="D1021" s="98">
        <f>SUMIFS(Input!$C$115:$C$3257,Input!$A$115:$A$3257,"="&amp;'Output - County'!A1021,Input!$B$115:$B$3257,"="&amp;'Output - County'!B1021)*VLOOKUP(A1021,'Output - State'!$B$2:$G$52,3,FALSE)</f>
        <v>0.44037595717921563</v>
      </c>
      <c r="E1021" s="98">
        <f>SUMIFS(Input!$C$115:$C$3257,Input!$A$115:$A$3257,"="&amp;'Output - County'!A1021,Input!$B$115:$B$3257,"="&amp;'Output - County'!B1021)*VLOOKUP(A1021,'Output - State'!$B$2:$G$52,4,FALSE)</f>
        <v>2.1505174832317024</v>
      </c>
      <c r="F1021" s="98">
        <f>SUMIFS(Input!$C$115:$C$3257,Input!$A$115:$A$3257,"="&amp;'Output - County'!A1021,Input!$B$115:$B$3257,"="&amp;'Output - County'!B1021)*VLOOKUP(A1021,'Output - State'!$B$2:$G$52,5,FALSE)</f>
        <v>7.0509352947234891</v>
      </c>
      <c r="G1021" s="99">
        <f>SUMIFS(Input!$D$115:$D$3257,Input!$A$115:$A$3257,"="&amp;'Output - County'!A1021,Input!$B$115:$B$3257,"="&amp;'Output - County'!B1021)*VLOOKUP(A1021,'Output - State'!$B$2:$G$52,6,FALSE)</f>
        <v>2.7767709694675036</v>
      </c>
    </row>
    <row r="1022" spans="1:7" x14ac:dyDescent="0.25">
      <c r="A1022" s="88">
        <v>21</v>
      </c>
      <c r="B1022" s="88">
        <v>55</v>
      </c>
      <c r="C1022" s="97">
        <f>SUMIFS(Input!$C$115:$C$3257,Input!$A$115:$A$3257,"="&amp;'Output - County'!A1022,Input!$B$115:$B$3257,"="&amp;'Output - County'!B1022)*VLOOKUP(A1022,'Output - State'!$B$2:$G$52,2,FALSE)</f>
        <v>1.4369815284265544</v>
      </c>
      <c r="D1022" s="98">
        <f>SUMIFS(Input!$C$115:$C$3257,Input!$A$115:$A$3257,"="&amp;'Output - County'!A1022,Input!$B$115:$B$3257,"="&amp;'Output - County'!B1022)*VLOOKUP(A1022,'Output - State'!$B$2:$G$52,3,FALSE)</f>
        <v>0.34479386211571061</v>
      </c>
      <c r="E1022" s="98">
        <f>SUMIFS(Input!$C$115:$C$3257,Input!$A$115:$A$3257,"="&amp;'Output - County'!A1022,Input!$B$115:$B$3257,"="&amp;'Output - County'!B1022)*VLOOKUP(A1022,'Output - State'!$B$2:$G$52,4,FALSE)</f>
        <v>1.6837550200068288</v>
      </c>
      <c r="F1022" s="98">
        <f>SUMIFS(Input!$C$115:$C$3257,Input!$A$115:$A$3257,"="&amp;'Output - County'!A1022,Input!$B$115:$B$3257,"="&amp;'Output - County'!B1022)*VLOOKUP(A1022,'Output - State'!$B$2:$G$52,5,FALSE)</f>
        <v>5.5205539089099691</v>
      </c>
      <c r="G1022" s="99">
        <f>SUMIFS(Input!$D$115:$D$3257,Input!$A$115:$A$3257,"="&amp;'Output - County'!A1022,Input!$B$115:$B$3257,"="&amp;'Output - County'!B1022)*VLOOKUP(A1022,'Output - State'!$B$2:$G$52,6,FALSE)</f>
        <v>2.4228687870843904</v>
      </c>
    </row>
    <row r="1023" spans="1:7" x14ac:dyDescent="0.25">
      <c r="A1023" s="88">
        <v>21</v>
      </c>
      <c r="B1023" s="88">
        <v>57</v>
      </c>
      <c r="C1023" s="97">
        <f>SUMIFS(Input!$C$115:$C$3257,Input!$A$115:$A$3257,"="&amp;'Output - County'!A1023,Input!$B$115:$B$3257,"="&amp;'Output - County'!B1023)*VLOOKUP(A1023,'Output - State'!$B$2:$G$52,2,FALSE)</f>
        <v>1.2922977683260128</v>
      </c>
      <c r="D1023" s="98">
        <f>SUMIFS(Input!$C$115:$C$3257,Input!$A$115:$A$3257,"="&amp;'Output - County'!A1023,Input!$B$115:$B$3257,"="&amp;'Output - County'!B1023)*VLOOKUP(A1023,'Output - State'!$B$2:$G$52,3,FALSE)</f>
        <v>0.31007798620246052</v>
      </c>
      <c r="E1023" s="98">
        <f>SUMIFS(Input!$C$115:$C$3257,Input!$A$115:$A$3257,"="&amp;'Output - County'!A1023,Input!$B$115:$B$3257,"="&amp;'Output - County'!B1023)*VLOOKUP(A1023,'Output - State'!$B$2:$G$52,4,FALSE)</f>
        <v>1.514224651965496</v>
      </c>
      <c r="F1023" s="98">
        <f>SUMIFS(Input!$C$115:$C$3257,Input!$A$115:$A$3257,"="&amp;'Output - County'!A1023,Input!$B$115:$B$3257,"="&amp;'Output - County'!B1023)*VLOOKUP(A1023,'Output - State'!$B$2:$G$52,5,FALSE)</f>
        <v>4.9647120406756402</v>
      </c>
      <c r="G1023" s="99">
        <f>SUMIFS(Input!$D$115:$D$3257,Input!$A$115:$A$3257,"="&amp;'Output - County'!A1023,Input!$B$115:$B$3257,"="&amp;'Output - County'!B1023)*VLOOKUP(A1023,'Output - State'!$B$2:$G$52,6,FALSE)</f>
        <v>1.8212350770330981</v>
      </c>
    </row>
    <row r="1024" spans="1:7" x14ac:dyDescent="0.25">
      <c r="A1024" s="88">
        <v>21</v>
      </c>
      <c r="B1024" s="88">
        <v>59</v>
      </c>
      <c r="C1024" s="97">
        <f>SUMIFS(Input!$C$115:$C$3257,Input!$A$115:$A$3257,"="&amp;'Output - County'!A1024,Input!$B$115:$B$3257,"="&amp;'Output - County'!B1024)*VLOOKUP(A1024,'Output - State'!$B$2:$G$52,2,FALSE)</f>
        <v>20.604088189447552</v>
      </c>
      <c r="D1024" s="98">
        <f>SUMIFS(Input!$C$115:$C$3257,Input!$A$115:$A$3257,"="&amp;'Output - County'!A1024,Input!$B$115:$B$3257,"="&amp;'Output - County'!B1024)*VLOOKUP(A1024,'Output - State'!$B$2:$G$52,3,FALSE)</f>
        <v>4.9438096465938122</v>
      </c>
      <c r="E1024" s="98">
        <f>SUMIFS(Input!$C$115:$C$3257,Input!$A$115:$A$3257,"="&amp;'Output - County'!A1024,Input!$B$115:$B$3257,"="&amp;'Output - County'!B1024)*VLOOKUP(A1024,'Output - State'!$B$2:$G$52,4,FALSE)</f>
        <v>24.142437627317687</v>
      </c>
      <c r="F1024" s="98">
        <f>SUMIFS(Input!$C$115:$C$3257,Input!$A$115:$A$3257,"="&amp;'Output - County'!A1024,Input!$B$115:$B$3257,"="&amp;'Output - County'!B1024)*VLOOKUP(A1024,'Output - State'!$B$2:$G$52,5,FALSE)</f>
        <v>79.156187705716974</v>
      </c>
      <c r="G1024" s="99">
        <f>SUMIFS(Input!$D$115:$D$3257,Input!$A$115:$A$3257,"="&amp;'Output - County'!A1024,Input!$B$115:$B$3257,"="&amp;'Output - County'!B1024)*VLOOKUP(A1024,'Output - State'!$B$2:$G$52,6,FALSE)</f>
        <v>27.495477246688026</v>
      </c>
    </row>
    <row r="1025" spans="1:7" x14ac:dyDescent="0.25">
      <c r="A1025" s="88">
        <v>21</v>
      </c>
      <c r="B1025" s="88">
        <v>61</v>
      </c>
      <c r="C1025" s="97">
        <f>SUMIFS(Input!$C$115:$C$3257,Input!$A$115:$A$3257,"="&amp;'Output - County'!A1025,Input!$B$115:$B$3257,"="&amp;'Output - County'!B1025)*VLOOKUP(A1025,'Output - State'!$B$2:$G$52,2,FALSE)</f>
        <v>2.7538475443475332</v>
      </c>
      <c r="D1025" s="98">
        <f>SUMIFS(Input!$C$115:$C$3257,Input!$A$115:$A$3257,"="&amp;'Output - County'!A1025,Input!$B$115:$B$3257,"="&amp;'Output - County'!B1025)*VLOOKUP(A1025,'Output - State'!$B$2:$G$52,3,FALSE)</f>
        <v>0.66076683082567689</v>
      </c>
      <c r="E1025" s="98">
        <f>SUMIFS(Input!$C$115:$C$3257,Input!$A$115:$A$3257,"="&amp;'Output - County'!A1025,Input!$B$115:$B$3257,"="&amp;'Output - County'!B1025)*VLOOKUP(A1025,'Output - State'!$B$2:$G$52,4,FALSE)</f>
        <v>3.2267670359032237</v>
      </c>
      <c r="F1025" s="98">
        <f>SUMIFS(Input!$C$115:$C$3257,Input!$A$115:$A$3257,"="&amp;'Output - County'!A1025,Input!$B$115:$B$3257,"="&amp;'Output - County'!B1025)*VLOOKUP(A1025,'Output - State'!$B$2:$G$52,5,FALSE)</f>
        <v>10.57965152978438</v>
      </c>
      <c r="G1025" s="99">
        <f>SUMIFS(Input!$D$115:$D$3257,Input!$A$115:$A$3257,"="&amp;'Output - County'!A1025,Input!$B$115:$B$3257,"="&amp;'Output - County'!B1025)*VLOOKUP(A1025,'Output - State'!$B$2:$G$52,6,FALSE)</f>
        <v>3.3212358654415244</v>
      </c>
    </row>
    <row r="1026" spans="1:7" x14ac:dyDescent="0.25">
      <c r="A1026" s="88">
        <v>21</v>
      </c>
      <c r="B1026" s="88">
        <v>63</v>
      </c>
      <c r="C1026" s="97">
        <f>SUMIFS(Input!$C$115:$C$3257,Input!$A$115:$A$3257,"="&amp;'Output - County'!A1026,Input!$B$115:$B$3257,"="&amp;'Output - County'!B1026)*VLOOKUP(A1026,'Output - State'!$B$2:$G$52,2,FALSE)</f>
        <v>0.76606998320972908</v>
      </c>
      <c r="D1026" s="98">
        <f>SUMIFS(Input!$C$115:$C$3257,Input!$A$115:$A$3257,"="&amp;'Output - County'!A1026,Input!$B$115:$B$3257,"="&amp;'Output - County'!B1026)*VLOOKUP(A1026,'Output - State'!$B$2:$G$52,3,FALSE)</f>
        <v>0.18381323833092009</v>
      </c>
      <c r="E1026" s="98">
        <f>SUMIFS(Input!$C$115:$C$3257,Input!$A$115:$A$3257,"="&amp;'Output - County'!A1026,Input!$B$115:$B$3257,"="&amp;'Output - County'!B1026)*VLOOKUP(A1026,'Output - State'!$B$2:$G$52,4,FALSE)</f>
        <v>0.89762752992259853</v>
      </c>
      <c r="F1026" s="98">
        <f>SUMIFS(Input!$C$115:$C$3257,Input!$A$115:$A$3257,"="&amp;'Output - County'!A1026,Input!$B$115:$B$3257,"="&amp;'Output - County'!B1026)*VLOOKUP(A1026,'Output - State'!$B$2:$G$52,5,FALSE)</f>
        <v>2.9430654163925247</v>
      </c>
      <c r="G1026" s="99">
        <f>SUMIFS(Input!$D$115:$D$3257,Input!$A$115:$A$3257,"="&amp;'Output - County'!A1026,Input!$B$115:$B$3257,"="&amp;'Output - County'!B1026)*VLOOKUP(A1026,'Output - State'!$B$2:$G$52,6,FALSE)</f>
        <v>2.0417433599025765</v>
      </c>
    </row>
    <row r="1027" spans="1:7" x14ac:dyDescent="0.25">
      <c r="A1027" s="88">
        <v>21</v>
      </c>
      <c r="B1027" s="88">
        <v>65</v>
      </c>
      <c r="C1027" s="97">
        <f>SUMIFS(Input!$C$115:$C$3257,Input!$A$115:$A$3257,"="&amp;'Output - County'!A1027,Input!$B$115:$B$3257,"="&amp;'Output - County'!B1027)*VLOOKUP(A1027,'Output - State'!$B$2:$G$52,2,FALSE)</f>
        <v>2.064707680907977</v>
      </c>
      <c r="D1027" s="98">
        <f>SUMIFS(Input!$C$115:$C$3257,Input!$A$115:$A$3257,"="&amp;'Output - County'!A1027,Input!$B$115:$B$3257,"="&amp;'Output - County'!B1027)*VLOOKUP(A1027,'Output - State'!$B$2:$G$52,3,FALSE)</f>
        <v>0.49541244710343502</v>
      </c>
      <c r="E1027" s="98">
        <f>SUMIFS(Input!$C$115:$C$3257,Input!$A$115:$A$3257,"="&amp;'Output - County'!A1027,Input!$B$115:$B$3257,"="&amp;'Output - County'!B1027)*VLOOKUP(A1027,'Output - State'!$B$2:$G$52,4,FALSE)</f>
        <v>2.4192808702155486</v>
      </c>
      <c r="F1027" s="98">
        <f>SUMIFS(Input!$C$115:$C$3257,Input!$A$115:$A$3257,"="&amp;'Output - County'!A1027,Input!$B$115:$B$3257,"="&amp;'Output - County'!B1027)*VLOOKUP(A1027,'Output - State'!$B$2:$G$52,5,FALSE)</f>
        <v>7.9321340136318597</v>
      </c>
      <c r="G1027" s="99">
        <f>SUMIFS(Input!$D$115:$D$3257,Input!$A$115:$A$3257,"="&amp;'Output - County'!A1027,Input!$B$115:$B$3257,"="&amp;'Output - County'!B1027)*VLOOKUP(A1027,'Output - State'!$B$2:$G$52,6,FALSE)</f>
        <v>3.8657007614155448</v>
      </c>
    </row>
    <row r="1028" spans="1:7" x14ac:dyDescent="0.25">
      <c r="A1028" s="88">
        <v>21</v>
      </c>
      <c r="B1028" s="88">
        <v>67</v>
      </c>
      <c r="C1028" s="97">
        <f>SUMIFS(Input!$C$115:$C$3257,Input!$A$115:$A$3257,"="&amp;'Output - County'!A1028,Input!$B$115:$B$3257,"="&amp;'Output - County'!B1028)*VLOOKUP(A1028,'Output - State'!$B$2:$G$52,2,FALSE)</f>
        <v>77.21048988243912</v>
      </c>
      <c r="D1028" s="98">
        <f>SUMIFS(Input!$C$115:$C$3257,Input!$A$115:$A$3257,"="&amp;'Output - County'!A1028,Input!$B$115:$B$3257,"="&amp;'Output - County'!B1028)*VLOOKUP(A1028,'Output - State'!$B$2:$G$52,3,FALSE)</f>
        <v>18.526127494180134</v>
      </c>
      <c r="E1028" s="98">
        <f>SUMIFS(Input!$C$115:$C$3257,Input!$A$115:$A$3257,"="&amp;'Output - County'!A1028,Input!$B$115:$B$3257,"="&amp;'Output - County'!B1028)*VLOOKUP(A1028,'Output - State'!$B$2:$G$52,4,FALSE)</f>
        <v>90.469882434113657</v>
      </c>
      <c r="F1028" s="98">
        <f>SUMIFS(Input!$C$115:$C$3257,Input!$A$115:$A$3257,"="&amp;'Output - County'!A1028,Input!$B$115:$B$3257,"="&amp;'Output - County'!B1028)*VLOOKUP(A1028,'Output - State'!$B$2:$G$52,5,FALSE)</f>
        <v>296.62501799593502</v>
      </c>
      <c r="G1028" s="99">
        <f>SUMIFS(Input!$D$115:$D$3257,Input!$A$115:$A$3257,"="&amp;'Output - County'!A1028,Input!$B$115:$B$3257,"="&amp;'Output - County'!B1028)*VLOOKUP(A1028,'Output - State'!$B$2:$G$52,6,FALSE)</f>
        <v>87.658848251817275</v>
      </c>
    </row>
    <row r="1029" spans="1:7" x14ac:dyDescent="0.25">
      <c r="A1029" s="88">
        <v>21</v>
      </c>
      <c r="B1029" s="88">
        <v>69</v>
      </c>
      <c r="C1029" s="97">
        <f>SUMIFS(Input!$C$115:$C$3257,Input!$A$115:$A$3257,"="&amp;'Output - County'!A1029,Input!$B$115:$B$3257,"="&amp;'Output - County'!B1029)*VLOOKUP(A1029,'Output - State'!$B$2:$G$52,2,FALSE)</f>
        <v>2.6722376121592837</v>
      </c>
      <c r="D1029" s="98">
        <f>SUMIFS(Input!$C$115:$C$3257,Input!$A$115:$A$3257,"="&amp;'Output - County'!A1029,Input!$B$115:$B$3257,"="&amp;'Output - County'!B1029)*VLOOKUP(A1029,'Output - State'!$B$2:$G$52,3,FALSE)</f>
        <v>0.64118508732407553</v>
      </c>
      <c r="E1029" s="98">
        <f>SUMIFS(Input!$C$115:$C$3257,Input!$A$115:$A$3257,"="&amp;'Output - County'!A1029,Input!$B$115:$B$3257,"="&amp;'Output - County'!B1029)*VLOOKUP(A1029,'Output - State'!$B$2:$G$52,4,FALSE)</f>
        <v>3.1311421929347532</v>
      </c>
      <c r="F1029" s="98">
        <f>SUMIFS(Input!$C$115:$C$3257,Input!$A$115:$A$3257,"="&amp;'Output - County'!A1029,Input!$B$115:$B$3257,"="&amp;'Output - County'!B1029)*VLOOKUP(A1029,'Output - State'!$B$2:$G$52,5,FALSE)</f>
        <v>10.266124862088773</v>
      </c>
      <c r="G1029" s="99">
        <f>SUMIFS(Input!$D$115:$D$3257,Input!$A$115:$A$3257,"="&amp;'Output - County'!A1029,Input!$B$115:$B$3257,"="&amp;'Output - County'!B1029)*VLOOKUP(A1029,'Output - State'!$B$2:$G$52,6,FALSE)</f>
        <v>3.947370495811648</v>
      </c>
    </row>
    <row r="1030" spans="1:7" x14ac:dyDescent="0.25">
      <c r="A1030" s="88">
        <v>21</v>
      </c>
      <c r="B1030" s="88">
        <v>71</v>
      </c>
      <c r="C1030" s="97">
        <f>SUMIFS(Input!$C$115:$C$3257,Input!$A$115:$A$3257,"="&amp;'Output - County'!A1030,Input!$B$115:$B$3257,"="&amp;'Output - County'!B1030)*VLOOKUP(A1030,'Output - State'!$B$2:$G$52,2,FALSE)</f>
        <v>9.0605344731976718</v>
      </c>
      <c r="D1030" s="98">
        <f>SUMIFS(Input!$C$115:$C$3257,Input!$A$115:$A$3257,"="&amp;'Output - County'!A1030,Input!$B$115:$B$3257,"="&amp;'Output - County'!B1030)*VLOOKUP(A1030,'Output - State'!$B$2:$G$52,3,FALSE)</f>
        <v>2.1740131045853124</v>
      </c>
      <c r="E1030" s="98">
        <f>SUMIFS(Input!$C$115:$C$3257,Input!$A$115:$A$3257,"="&amp;'Output - County'!A1030,Input!$B$115:$B$3257,"="&amp;'Output - County'!B1030)*VLOOKUP(A1030,'Output - State'!$B$2:$G$52,4,FALSE)</f>
        <v>10.616504180047462</v>
      </c>
      <c r="F1030" s="98">
        <f>SUMIFS(Input!$C$115:$C$3257,Input!$A$115:$A$3257,"="&amp;'Output - County'!A1030,Input!$B$115:$B$3257,"="&amp;'Output - County'!B1030)*VLOOKUP(A1030,'Output - State'!$B$2:$G$52,5,FALSE)</f>
        <v>34.80849823977502</v>
      </c>
      <c r="G1030" s="99">
        <f>SUMIFS(Input!$D$115:$D$3257,Input!$A$115:$A$3257,"="&amp;'Output - County'!A1030,Input!$B$115:$B$3257,"="&amp;'Output - County'!B1030)*VLOOKUP(A1030,'Output - State'!$B$2:$G$52,6,FALSE)</f>
        <v>9.7731448827336642</v>
      </c>
    </row>
    <row r="1031" spans="1:7" x14ac:dyDescent="0.25">
      <c r="A1031" s="88">
        <v>21</v>
      </c>
      <c r="B1031" s="88">
        <v>73</v>
      </c>
      <c r="C1031" s="97">
        <f>SUMIFS(Input!$C$115:$C$3257,Input!$A$115:$A$3257,"="&amp;'Output - County'!A1031,Input!$B$115:$B$3257,"="&amp;'Output - County'!B1031)*VLOOKUP(A1031,'Output - State'!$B$2:$G$52,2,FALSE)</f>
        <v>12.886595161822985</v>
      </c>
      <c r="D1031" s="98">
        <f>SUMIFS(Input!$C$115:$C$3257,Input!$A$115:$A$3257,"="&amp;'Output - County'!A1031,Input!$B$115:$B$3257,"="&amp;'Output - County'!B1031)*VLOOKUP(A1031,'Output - State'!$B$2:$G$52,3,FALSE)</f>
        <v>3.092050125537626</v>
      </c>
      <c r="E1031" s="98">
        <f>SUMIFS(Input!$C$115:$C$3257,Input!$A$115:$A$3257,"="&amp;'Output - County'!A1031,Input!$B$115:$B$3257,"="&amp;'Output - County'!B1031)*VLOOKUP(A1031,'Output - State'!$B$2:$G$52,4,FALSE)</f>
        <v>15.099616011260483</v>
      </c>
      <c r="F1031" s="98">
        <f>SUMIFS(Input!$C$115:$C$3257,Input!$A$115:$A$3257,"="&amp;'Output - County'!A1031,Input!$B$115:$B$3257,"="&amp;'Output - County'!B1031)*VLOOKUP(A1031,'Output - State'!$B$2:$G$52,5,FALSE)</f>
        <v>49.50734709237306</v>
      </c>
      <c r="G1031" s="99">
        <f>SUMIFS(Input!$D$115:$D$3257,Input!$A$115:$A$3257,"="&amp;'Output - County'!A1031,Input!$B$115:$B$3257,"="&amp;'Output - County'!B1031)*VLOOKUP(A1031,'Output - State'!$B$2:$G$52,6,FALSE)</f>
        <v>13.829408357740117</v>
      </c>
    </row>
    <row r="1032" spans="1:7" x14ac:dyDescent="0.25">
      <c r="A1032" s="88">
        <v>21</v>
      </c>
      <c r="B1032" s="88">
        <v>75</v>
      </c>
      <c r="C1032" s="97">
        <f>SUMIFS(Input!$C$115:$C$3257,Input!$A$115:$A$3257,"="&amp;'Output - County'!A1032,Input!$B$115:$B$3257,"="&amp;'Output - County'!B1032)*VLOOKUP(A1032,'Output - State'!$B$2:$G$52,2,FALSE)</f>
        <v>1.3643406820341233</v>
      </c>
      <c r="D1032" s="98">
        <f>SUMIFS(Input!$C$115:$C$3257,Input!$A$115:$A$3257,"="&amp;'Output - County'!A1032,Input!$B$115:$B$3257,"="&amp;'Output - County'!B1032)*VLOOKUP(A1032,'Output - State'!$B$2:$G$52,3,FALSE)</f>
        <v>0.3273641892357641</v>
      </c>
      <c r="E1032" s="98">
        <f>SUMIFS(Input!$C$115:$C$3257,Input!$A$115:$A$3257,"="&amp;'Output - County'!A1032,Input!$B$115:$B$3257,"="&amp;'Output - County'!B1032)*VLOOKUP(A1032,'Output - State'!$B$2:$G$52,4,FALSE)</f>
        <v>1.5986395280180588</v>
      </c>
      <c r="F1032" s="98">
        <f>SUMIFS(Input!$C$115:$C$3257,Input!$A$115:$A$3257,"="&amp;'Output - County'!A1032,Input!$B$115:$B$3257,"="&amp;'Output - County'!B1032)*VLOOKUP(A1032,'Output - State'!$B$2:$G$52,5,FALSE)</f>
        <v>5.2414844145808637</v>
      </c>
      <c r="G1032" s="99">
        <f>SUMIFS(Input!$D$115:$D$3257,Input!$A$115:$A$3257,"="&amp;'Output - County'!A1032,Input!$B$115:$B$3257,"="&amp;'Output - County'!B1032)*VLOOKUP(A1032,'Output - State'!$B$2:$G$52,6,FALSE)</f>
        <v>1.6524509592811518</v>
      </c>
    </row>
    <row r="1033" spans="1:7" x14ac:dyDescent="0.25">
      <c r="A1033" s="88">
        <v>21</v>
      </c>
      <c r="B1033" s="88">
        <v>77</v>
      </c>
      <c r="C1033" s="97">
        <f>SUMIFS(Input!$C$115:$C$3257,Input!$A$115:$A$3257,"="&amp;'Output - County'!A1033,Input!$B$115:$B$3257,"="&amp;'Output - County'!B1033)*VLOOKUP(A1033,'Output - State'!$B$2:$G$52,2,FALSE)</f>
        <v>6.9091861218718469</v>
      </c>
      <c r="D1033" s="98">
        <f>SUMIFS(Input!$C$115:$C$3257,Input!$A$115:$A$3257,"="&amp;'Output - County'!A1033,Input!$B$115:$B$3257,"="&amp;'Output - County'!B1033)*VLOOKUP(A1033,'Output - State'!$B$2:$G$52,3,FALSE)</f>
        <v>1.6578118228457255</v>
      </c>
      <c r="E1033" s="98">
        <f>SUMIFS(Input!$C$115:$C$3257,Input!$A$115:$A$3257,"="&amp;'Output - County'!A1033,Input!$B$115:$B$3257,"="&amp;'Output - County'!B1033)*VLOOKUP(A1033,'Output - State'!$B$2:$G$52,4,FALSE)</f>
        <v>8.0957037976691222</v>
      </c>
      <c r="F1033" s="98">
        <f>SUMIFS(Input!$C$115:$C$3257,Input!$A$115:$A$3257,"="&amp;'Output - County'!A1033,Input!$B$115:$B$3257,"="&amp;'Output - County'!B1033)*VLOOKUP(A1033,'Output - State'!$B$2:$G$52,5,FALSE)</f>
        <v>26.543510614399409</v>
      </c>
      <c r="G1033" s="99">
        <f>SUMIFS(Input!$D$115:$D$3257,Input!$A$115:$A$3257,"="&amp;'Output - County'!A1033,Input!$B$115:$B$3257,"="&amp;'Output - County'!B1033)*VLOOKUP(A1033,'Output - State'!$B$2:$G$52,6,FALSE)</f>
        <v>2.3874785688460793</v>
      </c>
    </row>
    <row r="1034" spans="1:7" x14ac:dyDescent="0.25">
      <c r="A1034" s="88">
        <v>21</v>
      </c>
      <c r="B1034" s="88">
        <v>79</v>
      </c>
      <c r="C1034" s="97">
        <f>SUMIFS(Input!$C$115:$C$3257,Input!$A$115:$A$3257,"="&amp;'Output - County'!A1034,Input!$B$115:$B$3257,"="&amp;'Output - County'!B1034)*VLOOKUP(A1034,'Output - State'!$B$2:$G$52,2,FALSE)</f>
        <v>3.3019997247722084</v>
      </c>
      <c r="D1034" s="98">
        <f>SUMIFS(Input!$C$115:$C$3257,Input!$A$115:$A$3257,"="&amp;'Output - County'!A1034,Input!$B$115:$B$3257,"="&amp;'Output - County'!B1034)*VLOOKUP(A1034,'Output - State'!$B$2:$G$52,3,FALSE)</f>
        <v>0.79229218698159043</v>
      </c>
      <c r="E1034" s="98">
        <f>SUMIFS(Input!$C$115:$C$3257,Input!$A$115:$A$3257,"="&amp;'Output - County'!A1034,Input!$B$115:$B$3257,"="&amp;'Output - County'!B1034)*VLOOKUP(A1034,'Output - State'!$B$2:$G$52,4,FALSE)</f>
        <v>3.8690536396345458</v>
      </c>
      <c r="F1034" s="98">
        <f>SUMIFS(Input!$C$115:$C$3257,Input!$A$115:$A$3257,"="&amp;'Output - County'!A1034,Input!$B$115:$B$3257,"="&amp;'Output - County'!B1034)*VLOOKUP(A1034,'Output - State'!$B$2:$G$52,5,FALSE)</f>
        <v>12.685526659323759</v>
      </c>
      <c r="G1034" s="99">
        <f>SUMIFS(Input!$D$115:$D$3257,Input!$A$115:$A$3257,"="&amp;'Output - County'!A1034,Input!$B$115:$B$3257,"="&amp;'Output - County'!B1034)*VLOOKUP(A1034,'Output - State'!$B$2:$G$52,6,FALSE)</f>
        <v>4.7640678397726779</v>
      </c>
    </row>
    <row r="1035" spans="1:7" x14ac:dyDescent="0.25">
      <c r="A1035" s="88">
        <v>21</v>
      </c>
      <c r="B1035" s="88">
        <v>81</v>
      </c>
      <c r="C1035" s="97">
        <f>SUMIFS(Input!$C$115:$C$3257,Input!$A$115:$A$3257,"="&amp;'Output - County'!A1035,Input!$B$115:$B$3257,"="&amp;'Output - County'!B1035)*VLOOKUP(A1035,'Output - State'!$B$2:$G$52,2,FALSE)</f>
        <v>11.548827901170938</v>
      </c>
      <c r="D1035" s="98">
        <f>SUMIFS(Input!$C$115:$C$3257,Input!$A$115:$A$3257,"="&amp;'Output - County'!A1035,Input!$B$115:$B$3257,"="&amp;'Output - County'!B1035)*VLOOKUP(A1035,'Output - State'!$B$2:$G$52,3,FALSE)</f>
        <v>2.7710620465069717</v>
      </c>
      <c r="E1035" s="98">
        <f>SUMIFS(Input!$C$115:$C$3257,Input!$A$115:$A$3257,"="&amp;'Output - County'!A1035,Input!$B$115:$B$3257,"="&amp;'Output - County'!B1035)*VLOOKUP(A1035,'Output - State'!$B$2:$G$52,4,FALSE)</f>
        <v>13.532113370367078</v>
      </c>
      <c r="F1035" s="98">
        <f>SUMIFS(Input!$C$115:$C$3257,Input!$A$115:$A$3257,"="&amp;'Output - County'!A1035,Input!$B$115:$B$3257,"="&amp;'Output - County'!B1035)*VLOOKUP(A1035,'Output - State'!$B$2:$G$52,5,FALSE)</f>
        <v>44.367951676420155</v>
      </c>
      <c r="G1035" s="99">
        <f>SUMIFS(Input!$D$115:$D$3257,Input!$A$115:$A$3257,"="&amp;'Output - County'!A1035,Input!$B$115:$B$3257,"="&amp;'Output - County'!B1035)*VLOOKUP(A1035,'Output - State'!$B$2:$G$52,6,FALSE)</f>
        <v>6.833034444473955</v>
      </c>
    </row>
    <row r="1036" spans="1:7" x14ac:dyDescent="0.25">
      <c r="A1036" s="88">
        <v>21</v>
      </c>
      <c r="B1036" s="88">
        <v>83</v>
      </c>
      <c r="C1036" s="97">
        <f>SUMIFS(Input!$C$115:$C$3257,Input!$A$115:$A$3257,"="&amp;'Output - County'!A1036,Input!$B$115:$B$3257,"="&amp;'Output - County'!B1036)*VLOOKUP(A1036,'Output - State'!$B$2:$G$52,2,FALSE)</f>
        <v>9.1113322778955546</v>
      </c>
      <c r="D1036" s="98">
        <f>SUMIFS(Input!$C$115:$C$3257,Input!$A$115:$A$3257,"="&amp;'Output - County'!A1036,Input!$B$115:$B$3257,"="&amp;'Output - County'!B1036)*VLOOKUP(A1036,'Output - State'!$B$2:$G$52,3,FALSE)</f>
        <v>2.1862016894225582</v>
      </c>
      <c r="E1036" s="98">
        <f>SUMIFS(Input!$C$115:$C$3257,Input!$A$115:$A$3257,"="&amp;'Output - County'!A1036,Input!$B$115:$B$3257,"="&amp;'Output - County'!B1036)*VLOOKUP(A1036,'Output - State'!$B$2:$G$52,4,FALSE)</f>
        <v>10.676025514854766</v>
      </c>
      <c r="F1036" s="98">
        <f>SUMIFS(Input!$C$115:$C$3257,Input!$A$115:$A$3257,"="&amp;'Output - County'!A1036,Input!$B$115:$B$3257,"="&amp;'Output - County'!B1036)*VLOOKUP(A1036,'Output - State'!$B$2:$G$52,5,FALSE)</f>
        <v>35.003651770799181</v>
      </c>
      <c r="G1036" s="99">
        <f>SUMIFS(Input!$D$115:$D$3257,Input!$A$115:$A$3257,"="&amp;'Output - County'!A1036,Input!$B$115:$B$3257,"="&amp;'Output - County'!B1036)*VLOOKUP(A1036,'Output - State'!$B$2:$G$52,6,FALSE)</f>
        <v>10.154270309915479</v>
      </c>
    </row>
    <row r="1037" spans="1:7" x14ac:dyDescent="0.25">
      <c r="A1037" s="88">
        <v>21</v>
      </c>
      <c r="B1037" s="88">
        <v>85</v>
      </c>
      <c r="C1037" s="97">
        <f>SUMIFS(Input!$C$115:$C$3257,Input!$A$115:$A$3257,"="&amp;'Output - County'!A1037,Input!$B$115:$B$3257,"="&amp;'Output - County'!B1037)*VLOOKUP(A1037,'Output - State'!$B$2:$G$52,2,FALSE)</f>
        <v>7.161930105991968</v>
      </c>
      <c r="D1037" s="98">
        <f>SUMIFS(Input!$C$115:$C$3257,Input!$A$115:$A$3257,"="&amp;'Output - County'!A1037,Input!$B$115:$B$3257,"="&amp;'Output - County'!B1037)*VLOOKUP(A1037,'Output - State'!$B$2:$G$52,3,FALSE)</f>
        <v>1.7184560083744767</v>
      </c>
      <c r="E1037" s="98">
        <f>SUMIFS(Input!$C$115:$C$3257,Input!$A$115:$A$3257,"="&amp;'Output - County'!A1037,Input!$B$115:$B$3257,"="&amp;'Output - County'!B1037)*VLOOKUP(A1037,'Output - State'!$B$2:$G$52,4,FALSE)</f>
        <v>8.3918516211590664</v>
      </c>
      <c r="F1037" s="98">
        <f>SUMIFS(Input!$C$115:$C$3257,Input!$A$115:$A$3257,"="&amp;'Output - County'!A1037,Input!$B$115:$B$3257,"="&amp;'Output - County'!B1037)*VLOOKUP(A1037,'Output - State'!$B$2:$G$52,5,FALSE)</f>
        <v>27.514495113424672</v>
      </c>
      <c r="G1037" s="99">
        <f>SUMIFS(Input!$D$115:$D$3257,Input!$A$115:$A$3257,"="&amp;'Output - County'!A1037,Input!$B$115:$B$3257,"="&amp;'Output - County'!B1037)*VLOOKUP(A1037,'Output - State'!$B$2:$G$52,6,FALSE)</f>
        <v>7.159713382058368</v>
      </c>
    </row>
    <row r="1038" spans="1:7" x14ac:dyDescent="0.25">
      <c r="A1038" s="88">
        <v>21</v>
      </c>
      <c r="B1038" s="88">
        <v>87</v>
      </c>
      <c r="C1038" s="97">
        <f>SUMIFS(Input!$C$115:$C$3257,Input!$A$115:$A$3257,"="&amp;'Output - County'!A1038,Input!$B$115:$B$3257,"="&amp;'Output - County'!B1038)*VLOOKUP(A1038,'Output - State'!$B$2:$G$52,2,FALSE)</f>
        <v>1.7489976893576704</v>
      </c>
      <c r="D1038" s="98">
        <f>SUMIFS(Input!$C$115:$C$3257,Input!$A$115:$A$3257,"="&amp;'Output - County'!A1038,Input!$B$115:$B$3257,"="&amp;'Output - County'!B1038)*VLOOKUP(A1038,'Output - State'!$B$2:$G$52,3,FALSE)</f>
        <v>0.41965999994822289</v>
      </c>
      <c r="E1038" s="98">
        <f>SUMIFS(Input!$C$115:$C$3257,Input!$A$115:$A$3257,"="&amp;'Output - County'!A1038,Input!$B$115:$B$3257,"="&amp;'Output - County'!B1038)*VLOOKUP(A1038,'Output - State'!$B$2:$G$52,4,FALSE)</f>
        <v>2.0493538581952881</v>
      </c>
      <c r="F1038" s="98">
        <f>SUMIFS(Input!$C$115:$C$3257,Input!$A$115:$A$3257,"="&amp;'Output - County'!A1038,Input!$B$115:$B$3257,"="&amp;'Output - County'!B1038)*VLOOKUP(A1038,'Output - State'!$B$2:$G$52,5,FALSE)</f>
        <v>6.7192485356651481</v>
      </c>
      <c r="G1038" s="99">
        <f>SUMIFS(Input!$D$115:$D$3257,Input!$A$115:$A$3257,"="&amp;'Output - County'!A1038,Input!$B$115:$B$3257,"="&amp;'Output - County'!B1038)*VLOOKUP(A1038,'Output - State'!$B$2:$G$52,6,FALSE)</f>
        <v>2.9945569278571118</v>
      </c>
    </row>
    <row r="1039" spans="1:7" x14ac:dyDescent="0.25">
      <c r="A1039" s="88">
        <v>21</v>
      </c>
      <c r="B1039" s="88">
        <v>89</v>
      </c>
      <c r="C1039" s="97">
        <f>SUMIFS(Input!$C$115:$C$3257,Input!$A$115:$A$3257,"="&amp;'Output - County'!A1039,Input!$B$115:$B$3257,"="&amp;'Output - County'!B1039)*VLOOKUP(A1039,'Output - State'!$B$2:$G$52,2,FALSE)</f>
        <v>7.1147398032958664</v>
      </c>
      <c r="D1039" s="98">
        <f>SUMIFS(Input!$C$115:$C$3257,Input!$A$115:$A$3257,"="&amp;'Output - County'!A1039,Input!$B$115:$B$3257,"="&amp;'Output - County'!B1039)*VLOOKUP(A1039,'Output - State'!$B$2:$G$52,3,FALSE)</f>
        <v>1.7071330189002736</v>
      </c>
      <c r="E1039" s="98">
        <f>SUMIFS(Input!$C$115:$C$3257,Input!$A$115:$A$3257,"="&amp;'Output - County'!A1039,Input!$B$115:$B$3257,"="&amp;'Output - County'!B1039)*VLOOKUP(A1039,'Output - State'!$B$2:$G$52,4,FALSE)</f>
        <v>8.3365573063134164</v>
      </c>
      <c r="F1039" s="98">
        <f>SUMIFS(Input!$C$115:$C$3257,Input!$A$115:$A$3257,"="&amp;'Output - County'!A1039,Input!$B$115:$B$3257,"="&amp;'Output - County'!B1039)*VLOOKUP(A1039,'Output - State'!$B$2:$G$52,5,FALSE)</f>
        <v>27.333200778836485</v>
      </c>
      <c r="G1039" s="99">
        <f>SUMIFS(Input!$D$115:$D$3257,Input!$A$115:$A$3257,"="&amp;'Output - County'!A1039,Input!$B$115:$B$3257,"="&amp;'Output - County'!B1039)*VLOOKUP(A1039,'Output - State'!$B$2:$G$52,6,FALSE)</f>
        <v>9.6098054139414586</v>
      </c>
    </row>
    <row r="1040" spans="1:7" x14ac:dyDescent="0.25">
      <c r="A1040" s="88">
        <v>21</v>
      </c>
      <c r="B1040" s="88">
        <v>91</v>
      </c>
      <c r="C1040" s="97">
        <f>SUMIFS(Input!$C$115:$C$3257,Input!$A$115:$A$3257,"="&amp;'Output - County'!A1040,Input!$B$115:$B$3257,"="&amp;'Output - County'!B1040)*VLOOKUP(A1040,'Output - State'!$B$2:$G$52,2,FALSE)</f>
        <v>1.7791128630733715</v>
      </c>
      <c r="D1040" s="98">
        <f>SUMIFS(Input!$C$115:$C$3257,Input!$A$115:$A$3257,"="&amp;'Output - County'!A1040,Input!$B$115:$B$3257,"="&amp;'Output - County'!B1040)*VLOOKUP(A1040,'Output - State'!$B$2:$G$52,3,FALSE)</f>
        <v>0.42688592933444935</v>
      </c>
      <c r="E1040" s="98">
        <f>SUMIFS(Input!$C$115:$C$3257,Input!$A$115:$A$3257,"="&amp;'Output - County'!A1040,Input!$B$115:$B$3257,"="&amp;'Output - County'!B1040)*VLOOKUP(A1040,'Output - State'!$B$2:$G$52,4,FALSE)</f>
        <v>2.0846407243930125</v>
      </c>
      <c r="F1040" s="98">
        <f>SUMIFS(Input!$C$115:$C$3257,Input!$A$115:$A$3257,"="&amp;'Output - County'!A1040,Input!$B$115:$B$3257,"="&amp;'Output - County'!B1040)*VLOOKUP(A1040,'Output - State'!$B$2:$G$52,5,FALSE)</f>
        <v>6.8349441355631892</v>
      </c>
      <c r="G1040" s="99">
        <f>SUMIFS(Input!$D$115:$D$3257,Input!$A$115:$A$3257,"="&amp;'Output - County'!A1040,Input!$B$115:$B$3257,"="&amp;'Output - County'!B1040)*VLOOKUP(A1040,'Output - State'!$B$2:$G$52,6,FALSE)</f>
        <v>2.379311595406469</v>
      </c>
    </row>
    <row r="1041" spans="1:7" x14ac:dyDescent="0.25">
      <c r="A1041" s="88">
        <v>21</v>
      </c>
      <c r="B1041" s="88">
        <v>93</v>
      </c>
      <c r="C1041" s="97">
        <f>SUMIFS(Input!$C$115:$C$3257,Input!$A$115:$A$3257,"="&amp;'Output - County'!A1041,Input!$B$115:$B$3257,"="&amp;'Output - County'!B1041)*VLOOKUP(A1041,'Output - State'!$B$2:$G$52,2,FALSE)</f>
        <v>34.011733246212344</v>
      </c>
      <c r="D1041" s="98">
        <f>SUMIFS(Input!$C$115:$C$3257,Input!$A$115:$A$3257,"="&amp;'Output - County'!A1041,Input!$B$115:$B$3257,"="&amp;'Output - County'!B1041)*VLOOKUP(A1041,'Output - State'!$B$2:$G$52,3,FALSE)</f>
        <v>8.1608821207685072</v>
      </c>
      <c r="E1041" s="98">
        <f>SUMIFS(Input!$C$115:$C$3257,Input!$A$115:$A$3257,"="&amp;'Output - County'!A1041,Input!$B$115:$B$3257,"="&amp;'Output - County'!B1041)*VLOOKUP(A1041,'Output - State'!$B$2:$G$52,4,FALSE)</f>
        <v>39.852583669011437</v>
      </c>
      <c r="F1041" s="98">
        <f>SUMIFS(Input!$C$115:$C$3257,Input!$A$115:$A$3257,"="&amp;'Output - County'!A1041,Input!$B$115:$B$3257,"="&amp;'Output - County'!B1041)*VLOOKUP(A1041,'Output - State'!$B$2:$G$52,5,FALSE)</f>
        <v>130.66528915425619</v>
      </c>
      <c r="G1041" s="99">
        <f>SUMIFS(Input!$D$115:$D$3257,Input!$A$115:$A$3257,"="&amp;'Output - County'!A1041,Input!$B$115:$B$3257,"="&amp;'Output - County'!B1041)*VLOOKUP(A1041,'Output - State'!$B$2:$G$52,6,FALSE)</f>
        <v>29.945569278571121</v>
      </c>
    </row>
    <row r="1042" spans="1:7" x14ac:dyDescent="0.25">
      <c r="A1042" s="88">
        <v>21</v>
      </c>
      <c r="B1042" s="88">
        <v>95</v>
      </c>
      <c r="C1042" s="97">
        <f>SUMIFS(Input!$C$115:$C$3257,Input!$A$115:$A$3257,"="&amp;'Output - County'!A1042,Input!$B$115:$B$3257,"="&amp;'Output - County'!B1042)*VLOOKUP(A1042,'Output - State'!$B$2:$G$52,2,FALSE)</f>
        <v>4.5555940590603941</v>
      </c>
      <c r="D1042" s="98">
        <f>SUMIFS(Input!$C$115:$C$3257,Input!$A$115:$A$3257,"="&amp;'Output - County'!A1042,Input!$B$115:$B$3257,"="&amp;'Output - County'!B1042)*VLOOKUP(A1042,'Output - State'!$B$2:$G$52,3,FALSE)</f>
        <v>1.093083549636666</v>
      </c>
      <c r="E1042" s="98">
        <f>SUMIFS(Input!$C$115:$C$3257,Input!$A$115:$A$3257,"="&amp;'Output - County'!A1042,Input!$B$115:$B$3257,"="&amp;'Output - County'!B1042)*VLOOKUP(A1042,'Output - State'!$B$2:$G$52,4,FALSE)</f>
        <v>5.3379282992281496</v>
      </c>
      <c r="F1042" s="98">
        <f>SUMIFS(Input!$C$115:$C$3257,Input!$A$115:$A$3257,"="&amp;'Output - County'!A1042,Input!$B$115:$B$3257,"="&amp;'Output - County'!B1042)*VLOOKUP(A1042,'Output - State'!$B$2:$G$52,5,FALSE)</f>
        <v>17.501548970981293</v>
      </c>
      <c r="G1042" s="99">
        <f>SUMIFS(Input!$D$115:$D$3257,Input!$A$115:$A$3257,"="&amp;'Output - County'!A1042,Input!$B$115:$B$3257,"="&amp;'Output - County'!B1042)*VLOOKUP(A1042,'Output - State'!$B$2:$G$52,6,FALSE)</f>
        <v>7.159713382058368</v>
      </c>
    </row>
    <row r="1043" spans="1:7" x14ac:dyDescent="0.25">
      <c r="A1043" s="88">
        <v>21</v>
      </c>
      <c r="B1043" s="88">
        <v>97</v>
      </c>
      <c r="C1043" s="97">
        <f>SUMIFS(Input!$C$115:$C$3257,Input!$A$115:$A$3257,"="&amp;'Output - County'!A1043,Input!$B$115:$B$3257,"="&amp;'Output - County'!B1043)*VLOOKUP(A1043,'Output - State'!$B$2:$G$52,2,FALSE)</f>
        <v>2.9702134293620999</v>
      </c>
      <c r="D1043" s="98">
        <f>SUMIFS(Input!$C$115:$C$3257,Input!$A$115:$A$3257,"="&amp;'Output - County'!A1043,Input!$B$115:$B$3257,"="&amp;'Output - County'!B1043)*VLOOKUP(A1043,'Output - State'!$B$2:$G$52,3,FALSE)</f>
        <v>0.71268234097558281</v>
      </c>
      <c r="E1043" s="98">
        <f>SUMIFS(Input!$C$115:$C$3257,Input!$A$115:$A$3257,"="&amp;'Output - County'!A1043,Input!$B$115:$B$3257,"="&amp;'Output - County'!B1043)*VLOOKUP(A1043,'Output - State'!$B$2:$G$52,4,FALSE)</f>
        <v>3.4802895327792975</v>
      </c>
      <c r="F1043" s="98">
        <f>SUMIFS(Input!$C$115:$C$3257,Input!$A$115:$A$3257,"="&amp;'Output - County'!A1043,Input!$B$115:$B$3257,"="&amp;'Output - County'!B1043)*VLOOKUP(A1043,'Output - State'!$B$2:$G$52,5,FALSE)</f>
        <v>11.410879704011382</v>
      </c>
      <c r="G1043" s="99">
        <f>SUMIFS(Input!$D$115:$D$3257,Input!$A$115:$A$3257,"="&amp;'Output - County'!A1043,Input!$B$115:$B$3257,"="&amp;'Output - County'!B1043)*VLOOKUP(A1043,'Output - State'!$B$2:$G$52,6,FALSE)</f>
        <v>5.1179700221557907</v>
      </c>
    </row>
    <row r="1044" spans="1:7" x14ac:dyDescent="0.25">
      <c r="A1044" s="88">
        <v>21</v>
      </c>
      <c r="B1044" s="88">
        <v>99</v>
      </c>
      <c r="C1044" s="97">
        <f>SUMIFS(Input!$C$115:$C$3257,Input!$A$115:$A$3257,"="&amp;'Output - County'!A1044,Input!$B$115:$B$3257,"="&amp;'Output - County'!B1044)*VLOOKUP(A1044,'Output - State'!$B$2:$G$52,2,FALSE)</f>
        <v>10.128936690751017</v>
      </c>
      <c r="D1044" s="98">
        <f>SUMIFS(Input!$C$115:$C$3257,Input!$A$115:$A$3257,"="&amp;'Output - County'!A1044,Input!$B$115:$B$3257,"="&amp;'Output - County'!B1044)*VLOOKUP(A1044,'Output - State'!$B$2:$G$52,3,FALSE)</f>
        <v>2.4303688889819073</v>
      </c>
      <c r="E1044" s="98">
        <f>SUMIFS(Input!$C$115:$C$3257,Input!$A$115:$A$3257,"="&amp;'Output - County'!A1044,Input!$B$115:$B$3257,"="&amp;'Output - County'!B1044)*VLOOKUP(A1044,'Output - State'!$B$2:$G$52,4,FALSE)</f>
        <v>11.868383596452791</v>
      </c>
      <c r="F1044" s="98">
        <f>SUMIFS(Input!$C$115:$C$3257,Input!$A$115:$A$3257,"="&amp;'Output - County'!A1044,Input!$B$115:$B$3257,"="&amp;'Output - County'!B1044)*VLOOKUP(A1044,'Output - State'!$B$2:$G$52,5,FALSE)</f>
        <v>38.913054854960244</v>
      </c>
      <c r="G1044" s="99">
        <f>SUMIFS(Input!$D$115:$D$3257,Input!$A$115:$A$3257,"="&amp;'Output - County'!A1044,Input!$B$115:$B$3257,"="&amp;'Output - County'!B1044)*VLOOKUP(A1044,'Output - State'!$B$2:$G$52,6,FALSE)</f>
        <v>5.1451932669544931</v>
      </c>
    </row>
    <row r="1045" spans="1:7" x14ac:dyDescent="0.25">
      <c r="A1045" s="88">
        <v>21</v>
      </c>
      <c r="B1045" s="88">
        <v>101</v>
      </c>
      <c r="C1045" s="97">
        <f>SUMIFS(Input!$C$115:$C$3257,Input!$A$115:$A$3257,"="&amp;'Output - County'!A1045,Input!$B$115:$B$3257,"="&amp;'Output - County'!B1045)*VLOOKUP(A1045,'Output - State'!$B$2:$G$52,2,FALSE)</f>
        <v>12.39380040386656</v>
      </c>
      <c r="D1045" s="98">
        <f>SUMIFS(Input!$C$115:$C$3257,Input!$A$115:$A$3257,"="&amp;'Output - County'!A1045,Input!$B$115:$B$3257,"="&amp;'Output - County'!B1045)*VLOOKUP(A1045,'Output - State'!$B$2:$G$52,3,FALSE)</f>
        <v>2.9738074032305271</v>
      </c>
      <c r="E1045" s="98">
        <f>SUMIFS(Input!$C$115:$C$3257,Input!$A$115:$A$3257,"="&amp;'Output - County'!A1045,Input!$B$115:$B$3257,"="&amp;'Output - County'!B1045)*VLOOKUP(A1045,'Output - State'!$B$2:$G$52,4,FALSE)</f>
        <v>14.522193385340774</v>
      </c>
      <c r="F1045" s="98">
        <f>SUMIFS(Input!$C$115:$C$3257,Input!$A$115:$A$3257,"="&amp;'Output - County'!A1045,Input!$B$115:$B$3257,"="&amp;'Output - County'!B1045)*VLOOKUP(A1045,'Output - State'!$B$2:$G$52,5,FALSE)</f>
        <v>47.614142501006093</v>
      </c>
      <c r="G1045" s="99">
        <f>SUMIFS(Input!$D$115:$D$3257,Input!$A$115:$A$3257,"="&amp;'Output - County'!A1045,Input!$B$115:$B$3257,"="&amp;'Output - County'!B1045)*VLOOKUP(A1045,'Output - State'!$B$2:$G$52,6,FALSE)</f>
        <v>12.386576383408963</v>
      </c>
    </row>
    <row r="1046" spans="1:7" x14ac:dyDescent="0.25">
      <c r="A1046" s="88">
        <v>21</v>
      </c>
      <c r="B1046" s="88">
        <v>103</v>
      </c>
      <c r="C1046" s="97">
        <f>SUMIFS(Input!$C$115:$C$3257,Input!$A$115:$A$3257,"="&amp;'Output - County'!A1046,Input!$B$115:$B$3257,"="&amp;'Output - County'!B1046)*VLOOKUP(A1046,'Output - State'!$B$2:$G$52,2,FALSE)</f>
        <v>7.236092788915002</v>
      </c>
      <c r="D1046" s="98">
        <f>SUMIFS(Input!$C$115:$C$3257,Input!$A$115:$A$3257,"="&amp;'Output - County'!A1046,Input!$B$115:$B$3257,"="&amp;'Output - County'!B1046)*VLOOKUP(A1046,'Output - State'!$B$2:$G$52,3,FALSE)</f>
        <v>1.7362508354923276</v>
      </c>
      <c r="E1046" s="98">
        <f>SUMIFS(Input!$C$115:$C$3257,Input!$A$115:$A$3257,"="&amp;'Output - County'!A1046,Input!$B$115:$B$3257,"="&amp;'Output - County'!B1046)*VLOOKUP(A1046,'Output - State'!$B$2:$G$52,4,FALSE)</f>
        <v>8.4787502953581448</v>
      </c>
      <c r="F1046" s="98">
        <f>SUMIFS(Input!$C$115:$C$3257,Input!$A$115:$A$3257,"="&amp;'Output - County'!A1046,Input!$B$115:$B$3257,"="&amp;'Output - County'!B1046)*VLOOKUP(A1046,'Output - State'!$B$2:$G$52,5,FALSE)</f>
        <v>27.799411155146032</v>
      </c>
      <c r="G1046" s="99">
        <f>SUMIFS(Input!$D$115:$D$3257,Input!$A$115:$A$3257,"="&amp;'Output - County'!A1046,Input!$B$115:$B$3257,"="&amp;'Output - County'!B1046)*VLOOKUP(A1046,'Output - State'!$B$2:$G$52,6,FALSE)</f>
        <v>4.3829424125908645</v>
      </c>
    </row>
    <row r="1047" spans="1:7" x14ac:dyDescent="0.25">
      <c r="A1047" s="88">
        <v>21</v>
      </c>
      <c r="B1047" s="88">
        <v>105</v>
      </c>
      <c r="C1047" s="97">
        <f>SUMIFS(Input!$C$115:$C$3257,Input!$A$115:$A$3257,"="&amp;'Output - County'!A1047,Input!$B$115:$B$3257,"="&amp;'Output - County'!B1047)*VLOOKUP(A1047,'Output - State'!$B$2:$G$52,2,FALSE)</f>
        <v>1.1731302220830124</v>
      </c>
      <c r="D1047" s="98">
        <f>SUMIFS(Input!$C$115:$C$3257,Input!$A$115:$A$3257,"="&amp;'Output - County'!A1047,Input!$B$115:$B$3257,"="&amp;'Output - County'!B1047)*VLOOKUP(A1047,'Output - State'!$B$2:$G$52,3,FALSE)</f>
        <v>0.2814845507997335</v>
      </c>
      <c r="E1047" s="98">
        <f>SUMIFS(Input!$C$115:$C$3257,Input!$A$115:$A$3257,"="&amp;'Output - County'!A1047,Input!$B$115:$B$3257,"="&amp;'Output - County'!B1047)*VLOOKUP(A1047,'Output - State'!$B$2:$G$52,4,FALSE)</f>
        <v>1.3745924087951529</v>
      </c>
      <c r="F1047" s="98">
        <f>SUMIFS(Input!$C$115:$C$3257,Input!$A$115:$A$3257,"="&amp;'Output - County'!A1047,Input!$B$115:$B$3257,"="&amp;'Output - County'!B1047)*VLOOKUP(A1047,'Output - State'!$B$2:$G$52,5,FALSE)</f>
        <v>4.506897621900646</v>
      </c>
      <c r="G1047" s="99">
        <f>SUMIFS(Input!$D$115:$D$3257,Input!$A$115:$A$3257,"="&amp;'Output - County'!A1047,Input!$B$115:$B$3257,"="&amp;'Output - County'!B1047)*VLOOKUP(A1047,'Output - State'!$B$2:$G$52,6,FALSE)</f>
        <v>1.2059897445824552</v>
      </c>
    </row>
    <row r="1048" spans="1:7" x14ac:dyDescent="0.25">
      <c r="A1048" s="88">
        <v>21</v>
      </c>
      <c r="B1048" s="88">
        <v>107</v>
      </c>
      <c r="C1048" s="97">
        <f>SUMIFS(Input!$C$115:$C$3257,Input!$A$115:$A$3257,"="&amp;'Output - County'!A1048,Input!$B$115:$B$3257,"="&amp;'Output - County'!B1048)*VLOOKUP(A1048,'Output - State'!$B$2:$G$52,2,FALSE)</f>
        <v>12.627943016971892</v>
      </c>
      <c r="D1048" s="98">
        <f>SUMIFS(Input!$C$115:$C$3257,Input!$A$115:$A$3257,"="&amp;'Output - County'!A1048,Input!$B$115:$B$3257,"="&amp;'Output - County'!B1048)*VLOOKUP(A1048,'Output - State'!$B$2:$G$52,3,FALSE)</f>
        <v>3.0299883173629789</v>
      </c>
      <c r="E1048" s="98">
        <f>SUMIFS(Input!$C$115:$C$3257,Input!$A$115:$A$3257,"="&amp;'Output - County'!A1048,Input!$B$115:$B$3257,"="&amp;'Output - County'!B1048)*VLOOKUP(A1048,'Output - State'!$B$2:$G$52,4,FALSE)</f>
        <v>14.796545415909529</v>
      </c>
      <c r="F1048" s="98">
        <f>SUMIFS(Input!$C$115:$C$3257,Input!$A$115:$A$3257,"="&amp;'Output - County'!A1048,Input!$B$115:$B$3257,"="&amp;'Output - County'!B1048)*VLOOKUP(A1048,'Output - State'!$B$2:$G$52,5,FALSE)</f>
        <v>48.513664793012438</v>
      </c>
      <c r="G1048" s="99">
        <f>SUMIFS(Input!$D$115:$D$3257,Input!$A$115:$A$3257,"="&amp;'Output - County'!A1048,Input!$B$115:$B$3257,"="&amp;'Output - County'!B1048)*VLOOKUP(A1048,'Output - State'!$B$2:$G$52,6,FALSE)</f>
        <v>12.250460159415457</v>
      </c>
    </row>
    <row r="1049" spans="1:7" x14ac:dyDescent="0.25">
      <c r="A1049" s="88">
        <v>21</v>
      </c>
      <c r="B1049" s="88">
        <v>109</v>
      </c>
      <c r="C1049" s="97">
        <f>SUMIFS(Input!$C$115:$C$3257,Input!$A$115:$A$3257,"="&amp;'Output - County'!A1049,Input!$B$115:$B$3257,"="&amp;'Output - County'!B1049)*VLOOKUP(A1049,'Output - State'!$B$2:$G$52,2,FALSE)</f>
        <v>1.8173506942935735</v>
      </c>
      <c r="D1049" s="98">
        <f>SUMIFS(Input!$C$115:$C$3257,Input!$A$115:$A$3257,"="&amp;'Output - County'!A1049,Input!$B$115:$B$3257,"="&amp;'Output - County'!B1049)*VLOOKUP(A1049,'Output - State'!$B$2:$G$52,3,FALSE)</f>
        <v>0.43606083467911194</v>
      </c>
      <c r="E1049" s="98">
        <f>SUMIFS(Input!$C$115:$C$3257,Input!$A$115:$A$3257,"="&amp;'Output - County'!A1049,Input!$B$115:$B$3257,"="&amp;'Output - County'!B1049)*VLOOKUP(A1049,'Output - State'!$B$2:$G$52,4,FALSE)</f>
        <v>2.1294451557635998</v>
      </c>
      <c r="F1049" s="98">
        <f>SUMIFS(Input!$C$115:$C$3257,Input!$A$115:$A$3257,"="&amp;'Output - County'!A1049,Input!$B$115:$B$3257,"="&amp;'Output - County'!B1049)*VLOOKUP(A1049,'Output - State'!$B$2:$G$52,5,FALSE)</f>
        <v>6.9818451251966938</v>
      </c>
      <c r="G1049" s="99">
        <f>SUMIFS(Input!$D$115:$D$3257,Input!$A$115:$A$3257,"="&amp;'Output - County'!A1049,Input!$B$115:$B$3257,"="&amp;'Output - County'!B1049)*VLOOKUP(A1049,'Output - State'!$B$2:$G$52,6,FALSE)</f>
        <v>3.6479148030259365</v>
      </c>
    </row>
    <row r="1050" spans="1:7" x14ac:dyDescent="0.25">
      <c r="A1050" s="88">
        <v>21</v>
      </c>
      <c r="B1050" s="88">
        <v>111</v>
      </c>
      <c r="C1050" s="97">
        <f>SUMIFS(Input!$C$115:$C$3257,Input!$A$115:$A$3257,"="&amp;'Output - County'!A1050,Input!$B$115:$B$3257,"="&amp;'Output - County'!B1050)*VLOOKUP(A1050,'Output - State'!$B$2:$G$52,2,FALSE)</f>
        <v>188.25758396988428</v>
      </c>
      <c r="D1050" s="98">
        <f>SUMIFS(Input!$C$115:$C$3257,Input!$A$115:$A$3257,"="&amp;'Output - County'!A1050,Input!$B$115:$B$3257,"="&amp;'Output - County'!B1050)*VLOOKUP(A1050,'Output - State'!$B$2:$G$52,3,FALSE)</f>
        <v>45.171116096825116</v>
      </c>
      <c r="E1050" s="98">
        <f>SUMIFS(Input!$C$115:$C$3257,Input!$A$115:$A$3257,"="&amp;'Output - County'!A1050,Input!$B$115:$B$3257,"="&amp;'Output - County'!B1050)*VLOOKUP(A1050,'Output - State'!$B$2:$G$52,4,FALSE)</f>
        <v>220.58714450611734</v>
      </c>
      <c r="F1050" s="98">
        <f>SUMIFS(Input!$C$115:$C$3257,Input!$A$115:$A$3257,"="&amp;'Output - County'!A1050,Input!$B$115:$B$3257,"="&amp;'Output - County'!B1050)*VLOOKUP(A1050,'Output - State'!$B$2:$G$52,5,FALSE)</f>
        <v>723.24251948100834</v>
      </c>
      <c r="G1050" s="99">
        <f>SUMIFS(Input!$D$115:$D$3257,Input!$A$115:$A$3257,"="&amp;'Output - County'!A1050,Input!$B$115:$B$3257,"="&amp;'Output - County'!B1050)*VLOOKUP(A1050,'Output - State'!$B$2:$G$52,6,FALSE)</f>
        <v>209.07452005402382</v>
      </c>
    </row>
    <row r="1051" spans="1:7" x14ac:dyDescent="0.25">
      <c r="A1051" s="88">
        <v>21</v>
      </c>
      <c r="B1051" s="88">
        <v>113</v>
      </c>
      <c r="C1051" s="97">
        <f>SUMIFS(Input!$C$115:$C$3257,Input!$A$115:$A$3257,"="&amp;'Output - County'!A1051,Input!$B$115:$B$3257,"="&amp;'Output - County'!B1051)*VLOOKUP(A1051,'Output - State'!$B$2:$G$52,2,FALSE)</f>
        <v>9.5974747869086716</v>
      </c>
      <c r="D1051" s="98">
        <f>SUMIFS(Input!$C$115:$C$3257,Input!$A$115:$A$3257,"="&amp;'Output - County'!A1051,Input!$B$115:$B$3257,"="&amp;'Output - County'!B1051)*VLOOKUP(A1051,'Output - State'!$B$2:$G$52,3,FALSE)</f>
        <v>2.3028482502205883</v>
      </c>
      <c r="E1051" s="98">
        <f>SUMIFS(Input!$C$115:$C$3257,Input!$A$115:$A$3257,"="&amp;'Output - County'!A1051,Input!$B$115:$B$3257,"="&amp;'Output - County'!B1051)*VLOOKUP(A1051,'Output - State'!$B$2:$G$52,4,FALSE)</f>
        <v>11.24565349809393</v>
      </c>
      <c r="F1051" s="98">
        <f>SUMIFS(Input!$C$115:$C$3257,Input!$A$115:$A$3257,"="&amp;'Output - County'!A1051,Input!$B$115:$B$3257,"="&amp;'Output - County'!B1051)*VLOOKUP(A1051,'Output - State'!$B$2:$G$52,5,FALSE)</f>
        <v>36.871299945343431</v>
      </c>
      <c r="G1051" s="99">
        <f>SUMIFS(Input!$D$115:$D$3257,Input!$A$115:$A$3257,"="&amp;'Output - County'!A1051,Input!$B$115:$B$3257,"="&amp;'Output - County'!B1051)*VLOOKUP(A1051,'Output - State'!$B$2:$G$52,6,FALSE)</f>
        <v>14.646105701701147</v>
      </c>
    </row>
    <row r="1052" spans="1:7" x14ac:dyDescent="0.25">
      <c r="A1052" s="88">
        <v>21</v>
      </c>
      <c r="B1052" s="88">
        <v>115</v>
      </c>
      <c r="C1052" s="97">
        <f>SUMIFS(Input!$C$115:$C$3257,Input!$A$115:$A$3257,"="&amp;'Output - County'!A1052,Input!$B$115:$B$3257,"="&amp;'Output - County'!B1052)*VLOOKUP(A1052,'Output - State'!$B$2:$G$52,2,FALSE)</f>
        <v>4.1658992564426951</v>
      </c>
      <c r="D1052" s="98">
        <f>SUMIFS(Input!$C$115:$C$3257,Input!$A$115:$A$3257,"="&amp;'Output - County'!A1052,Input!$B$115:$B$3257,"="&amp;'Output - County'!B1052)*VLOOKUP(A1052,'Output - State'!$B$2:$G$52,3,FALSE)</f>
        <v>0.99957895449541867</v>
      </c>
      <c r="E1052" s="98">
        <f>SUMIFS(Input!$C$115:$C$3257,Input!$A$115:$A$3257,"="&amp;'Output - County'!A1052,Input!$B$115:$B$3257,"="&amp;'Output - County'!B1052)*VLOOKUP(A1052,'Output - State'!$B$2:$G$52,4,FALSE)</f>
        <v>4.8813110308791376</v>
      </c>
      <c r="F1052" s="98">
        <f>SUMIFS(Input!$C$115:$C$3257,Input!$A$115:$A$3257,"="&amp;'Output - County'!A1052,Input!$B$115:$B$3257,"="&amp;'Output - County'!B1052)*VLOOKUP(A1052,'Output - State'!$B$2:$G$52,5,FALSE)</f>
        <v>16.00443079422319</v>
      </c>
      <c r="G1052" s="99">
        <f>SUMIFS(Input!$D$115:$D$3257,Input!$A$115:$A$3257,"="&amp;'Output - County'!A1052,Input!$B$115:$B$3257,"="&amp;'Output - County'!B1052)*VLOOKUP(A1052,'Output - State'!$B$2:$G$52,6,FALSE)</f>
        <v>6.098006834909028</v>
      </c>
    </row>
    <row r="1053" spans="1:7" x14ac:dyDescent="0.25">
      <c r="A1053" s="88">
        <v>21</v>
      </c>
      <c r="B1053" s="88">
        <v>117</v>
      </c>
      <c r="C1053" s="97">
        <f>SUMIFS(Input!$C$115:$C$3257,Input!$A$115:$A$3257,"="&amp;'Output - County'!A1053,Input!$B$115:$B$3257,"="&amp;'Output - County'!B1053)*VLOOKUP(A1053,'Output - State'!$B$2:$G$52,2,FALSE)</f>
        <v>38.993237157636955</v>
      </c>
      <c r="D1053" s="98">
        <f>SUMIFS(Input!$C$115:$C$3257,Input!$A$115:$A$3257,"="&amp;'Output - County'!A1053,Input!$B$115:$B$3257,"="&amp;'Output - County'!B1053)*VLOOKUP(A1053,'Output - State'!$B$2:$G$52,3,FALSE)</f>
        <v>9.35615981834985</v>
      </c>
      <c r="E1053" s="98">
        <f>SUMIFS(Input!$C$115:$C$3257,Input!$A$115:$A$3257,"="&amp;'Output - County'!A1053,Input!$B$115:$B$3257,"="&amp;'Output - County'!B1053)*VLOOKUP(A1053,'Output - State'!$B$2:$G$52,4,FALSE)</f>
        <v>45.689563513302829</v>
      </c>
      <c r="F1053" s="98">
        <f>SUMIFS(Input!$C$115:$C$3257,Input!$A$115:$A$3257,"="&amp;'Output - County'!A1053,Input!$B$115:$B$3257,"="&amp;'Output - County'!B1053)*VLOOKUP(A1053,'Output - State'!$B$2:$G$52,5,FALSE)</f>
        <v>149.80308622850089</v>
      </c>
      <c r="G1053" s="99">
        <f>SUMIFS(Input!$D$115:$D$3257,Input!$A$115:$A$3257,"="&amp;'Output - County'!A1053,Input!$B$115:$B$3257,"="&amp;'Output - County'!B1053)*VLOOKUP(A1053,'Output - State'!$B$2:$G$52,6,FALSE)</f>
        <v>45.190586365843693</v>
      </c>
    </row>
    <row r="1054" spans="1:7" x14ac:dyDescent="0.25">
      <c r="A1054" s="88">
        <v>21</v>
      </c>
      <c r="B1054" s="88">
        <v>119</v>
      </c>
      <c r="C1054" s="97">
        <f>SUMIFS(Input!$C$115:$C$3257,Input!$A$115:$A$3257,"="&amp;'Output - County'!A1054,Input!$B$115:$B$3257,"="&amp;'Output - County'!B1054)*VLOOKUP(A1054,'Output - State'!$B$2:$G$52,2,FALSE)</f>
        <v>2.7950704809245481</v>
      </c>
      <c r="D1054" s="98">
        <f>SUMIFS(Input!$C$115:$C$3257,Input!$A$115:$A$3257,"="&amp;'Output - County'!A1054,Input!$B$115:$B$3257,"="&amp;'Output - County'!B1054)*VLOOKUP(A1054,'Output - State'!$B$2:$G$52,3,FALSE)</f>
        <v>0.67065799172716956</v>
      </c>
      <c r="E1054" s="98">
        <f>SUMIFS(Input!$C$115:$C$3257,Input!$A$115:$A$3257,"="&amp;'Output - County'!A1054,Input!$B$115:$B$3257,"="&amp;'Output - County'!B1054)*VLOOKUP(A1054,'Output - State'!$B$2:$G$52,4,FALSE)</f>
        <v>3.2750692061315165</v>
      </c>
      <c r="F1054" s="98">
        <f>SUMIFS(Input!$C$115:$C$3257,Input!$A$115:$A$3257,"="&amp;'Output - County'!A1054,Input!$B$115:$B$3257,"="&amp;'Output - County'!B1054)*VLOOKUP(A1054,'Output - State'!$B$2:$G$52,5,FALSE)</f>
        <v>10.738020610496346</v>
      </c>
      <c r="G1054" s="99">
        <f>SUMIFS(Input!$D$115:$D$3257,Input!$A$115:$A$3257,"="&amp;'Output - County'!A1054,Input!$B$115:$B$3257,"="&amp;'Output - County'!B1054)*VLOOKUP(A1054,'Output - State'!$B$2:$G$52,6,FALSE)</f>
        <v>4.1107099646038536</v>
      </c>
    </row>
    <row r="1055" spans="1:7" x14ac:dyDescent="0.25">
      <c r="A1055" s="88">
        <v>21</v>
      </c>
      <c r="B1055" s="88">
        <v>121</v>
      </c>
      <c r="C1055" s="97">
        <f>SUMIFS(Input!$C$115:$C$3257,Input!$A$115:$A$3257,"="&amp;'Output - County'!A1055,Input!$B$115:$B$3257,"="&amp;'Output - County'!B1055)*VLOOKUP(A1055,'Output - State'!$B$2:$G$52,2,FALSE)</f>
        <v>6.0613433604724287</v>
      </c>
      <c r="D1055" s="98">
        <f>SUMIFS(Input!$C$115:$C$3257,Input!$A$115:$A$3257,"="&amp;'Output - County'!A1055,Input!$B$115:$B$3257,"="&amp;'Output - County'!B1055)*VLOOKUP(A1055,'Output - State'!$B$2:$G$52,3,FALSE)</f>
        <v>1.4543777672320484</v>
      </c>
      <c r="E1055" s="98">
        <f>SUMIFS(Input!$C$115:$C$3257,Input!$A$115:$A$3257,"="&amp;'Output - County'!A1055,Input!$B$115:$B$3257,"="&amp;'Output - County'!B1055)*VLOOKUP(A1055,'Output - State'!$B$2:$G$52,4,FALSE)</f>
        <v>7.1022606131587045</v>
      </c>
      <c r="F1055" s="98">
        <f>SUMIFS(Input!$C$115:$C$3257,Input!$A$115:$A$3257,"="&amp;'Output - County'!A1055,Input!$B$115:$B$3257,"="&amp;'Output - County'!B1055)*VLOOKUP(A1055,'Output - State'!$B$2:$G$52,5,FALSE)</f>
        <v>23.286292913271662</v>
      </c>
      <c r="G1055" s="99">
        <f>SUMIFS(Input!$D$115:$D$3257,Input!$A$115:$A$3257,"="&amp;'Output - County'!A1055,Input!$B$115:$B$3257,"="&amp;'Output - County'!B1055)*VLOOKUP(A1055,'Output - State'!$B$2:$G$52,6,FALSE)</f>
        <v>8.5208756219934187</v>
      </c>
    </row>
    <row r="1056" spans="1:7" x14ac:dyDescent="0.25">
      <c r="A1056" s="88">
        <v>21</v>
      </c>
      <c r="B1056" s="88">
        <v>123</v>
      </c>
      <c r="C1056" s="97">
        <f>SUMIFS(Input!$C$115:$C$3257,Input!$A$115:$A$3257,"="&amp;'Output - County'!A1056,Input!$B$115:$B$3257,"="&amp;'Output - County'!B1056)*VLOOKUP(A1056,'Output - State'!$B$2:$G$52,2,FALSE)</f>
        <v>4.0512185118697763</v>
      </c>
      <c r="D1056" s="98">
        <f>SUMIFS(Input!$C$115:$C$3257,Input!$A$115:$A$3257,"="&amp;'Output - County'!A1056,Input!$B$115:$B$3257,"="&amp;'Output - County'!B1056)*VLOOKUP(A1056,'Output - State'!$B$2:$G$52,3,FALSE)</f>
        <v>0.97206209638040986</v>
      </c>
      <c r="E1056" s="98">
        <f>SUMIFS(Input!$C$115:$C$3257,Input!$A$115:$A$3257,"="&amp;'Output - County'!A1056,Input!$B$115:$B$3257,"="&amp;'Output - County'!B1056)*VLOOKUP(A1056,'Output - State'!$B$2:$G$52,4,FALSE)</f>
        <v>4.7469361098707896</v>
      </c>
      <c r="F1056" s="98">
        <f>SUMIFS(Input!$C$115:$C$3257,Input!$A$115:$A$3257,"="&amp;'Output - County'!A1056,Input!$B$115:$B$3257,"="&amp;'Output - County'!B1056)*VLOOKUP(A1056,'Output - State'!$B$2:$G$52,5,FALSE)</f>
        <v>15.56385363981679</v>
      </c>
      <c r="G1056" s="99">
        <f>SUMIFS(Input!$D$115:$D$3257,Input!$A$115:$A$3257,"="&amp;'Output - County'!A1056,Input!$B$115:$B$3257,"="&amp;'Output - County'!B1056)*VLOOKUP(A1056,'Output - State'!$B$2:$G$52,6,FALSE)</f>
        <v>3.8929240062142454</v>
      </c>
    </row>
    <row r="1057" spans="1:7" x14ac:dyDescent="0.25">
      <c r="A1057" s="88">
        <v>21</v>
      </c>
      <c r="B1057" s="88">
        <v>125</v>
      </c>
      <c r="C1057" s="97">
        <f>SUMIFS(Input!$C$115:$C$3257,Input!$A$115:$A$3257,"="&amp;'Output - County'!A1057,Input!$B$115:$B$3257,"="&amp;'Output - County'!B1057)*VLOOKUP(A1057,'Output - State'!$B$2:$G$52,2,FALSE)</f>
        <v>20.895120590815576</v>
      </c>
      <c r="D1057" s="98">
        <f>SUMIFS(Input!$C$115:$C$3257,Input!$A$115:$A$3257,"="&amp;'Output - County'!A1057,Input!$B$115:$B$3257,"="&amp;'Output - County'!B1057)*VLOOKUP(A1057,'Output - State'!$B$2:$G$52,3,FALSE)</f>
        <v>5.013640875237626</v>
      </c>
      <c r="E1057" s="98">
        <f>SUMIFS(Input!$C$115:$C$3257,Input!$A$115:$A$3257,"="&amp;'Output - County'!A1057,Input!$B$115:$B$3257,"="&amp;'Output - County'!B1057)*VLOOKUP(A1057,'Output - State'!$B$2:$G$52,4,FALSE)</f>
        <v>24.48344915536747</v>
      </c>
      <c r="F1057" s="98">
        <f>SUMIFS(Input!$C$115:$C$3257,Input!$A$115:$A$3257,"="&amp;'Output - County'!A1057,Input!$B$115:$B$3257,"="&amp;'Output - County'!B1057)*VLOOKUP(A1057,'Output - State'!$B$2:$G$52,5,FALSE)</f>
        <v>80.274267534308052</v>
      </c>
      <c r="G1057" s="99">
        <f>SUMIFS(Input!$D$115:$D$3257,Input!$A$115:$A$3257,"="&amp;'Output - County'!A1057,Input!$B$115:$B$3257,"="&amp;'Output - County'!B1057)*VLOOKUP(A1057,'Output - State'!$B$2:$G$52,6,FALSE)</f>
        <v>16.524509592811516</v>
      </c>
    </row>
    <row r="1058" spans="1:7" x14ac:dyDescent="0.25">
      <c r="A1058" s="88">
        <v>21</v>
      </c>
      <c r="B1058" s="88">
        <v>127</v>
      </c>
      <c r="C1058" s="97">
        <f>SUMIFS(Input!$C$115:$C$3257,Input!$A$115:$A$3257,"="&amp;'Output - County'!A1058,Input!$B$115:$B$3257,"="&amp;'Output - County'!B1058)*VLOOKUP(A1058,'Output - State'!$B$2:$G$52,2,FALSE)</f>
        <v>3.6418996466387243</v>
      </c>
      <c r="D1058" s="98">
        <f>SUMIFS(Input!$C$115:$C$3257,Input!$A$115:$A$3257,"="&amp;'Output - County'!A1058,Input!$B$115:$B$3257,"="&amp;'Output - County'!B1058)*VLOOKUP(A1058,'Output - State'!$B$2:$G$52,3,FALSE)</f>
        <v>0.87384884200798396</v>
      </c>
      <c r="E1058" s="98">
        <f>SUMIFS(Input!$C$115:$C$3257,Input!$A$115:$A$3257,"="&amp;'Output - County'!A1058,Input!$B$115:$B$3257,"="&amp;'Output - County'!B1058)*VLOOKUP(A1058,'Output - State'!$B$2:$G$52,4,FALSE)</f>
        <v>4.267324729708565</v>
      </c>
      <c r="F1058" s="98">
        <f>SUMIFS(Input!$C$115:$C$3257,Input!$A$115:$A$3257,"="&amp;'Output - County'!A1058,Input!$B$115:$B$3257,"="&amp;'Output - County'!B1058)*VLOOKUP(A1058,'Output - State'!$B$2:$G$52,5,FALSE)</f>
        <v>13.991344309153273</v>
      </c>
      <c r="G1058" s="99">
        <f>SUMIFS(Input!$D$115:$D$3257,Input!$A$115:$A$3257,"="&amp;'Output - County'!A1058,Input!$B$115:$B$3257,"="&amp;'Output - County'!B1058)*VLOOKUP(A1058,'Output - State'!$B$2:$G$52,6,FALSE)</f>
        <v>4.2468261885973586</v>
      </c>
    </row>
    <row r="1059" spans="1:7" x14ac:dyDescent="0.25">
      <c r="A1059" s="88">
        <v>21</v>
      </c>
      <c r="B1059" s="88">
        <v>129</v>
      </c>
      <c r="C1059" s="97">
        <f>SUMIFS(Input!$C$115:$C$3257,Input!$A$115:$A$3257,"="&amp;'Output - County'!A1059,Input!$B$115:$B$3257,"="&amp;'Output - County'!B1059)*VLOOKUP(A1059,'Output - State'!$B$2:$G$52,2,FALSE)</f>
        <v>1.0941962724721668</v>
      </c>
      <c r="D1059" s="98">
        <f>SUMIFS(Input!$C$115:$C$3257,Input!$A$115:$A$3257,"="&amp;'Output - County'!A1059,Input!$B$115:$B$3257,"="&amp;'Output - County'!B1059)*VLOOKUP(A1059,'Output - State'!$B$2:$G$52,3,FALSE)</f>
        <v>0.26254489096418165</v>
      </c>
      <c r="E1059" s="98">
        <f>SUMIFS(Input!$C$115:$C$3257,Input!$A$115:$A$3257,"="&amp;'Output - County'!A1059,Input!$B$115:$B$3257,"="&amp;'Output - County'!B1059)*VLOOKUP(A1059,'Output - State'!$B$2:$G$52,4,FALSE)</f>
        <v>1.2821030961094468</v>
      </c>
      <c r="F1059" s="98">
        <f>SUMIFS(Input!$C$115:$C$3257,Input!$A$115:$A$3257,"="&amp;'Output - County'!A1059,Input!$B$115:$B$3257,"="&amp;'Output - County'!B1059)*VLOOKUP(A1059,'Output - State'!$B$2:$G$52,5,FALSE)</f>
        <v>4.2036514663658586</v>
      </c>
      <c r="G1059" s="99">
        <f>SUMIFS(Input!$D$115:$D$3257,Input!$A$115:$A$3257,"="&amp;'Output - County'!A1059,Input!$B$115:$B$3257,"="&amp;'Output - County'!B1059)*VLOOKUP(A1059,'Output - State'!$B$2:$G$52,6,FALSE)</f>
        <v>1.9192387583084218</v>
      </c>
    </row>
    <row r="1060" spans="1:7" x14ac:dyDescent="0.25">
      <c r="A1060" s="88">
        <v>21</v>
      </c>
      <c r="B1060" s="88">
        <v>131</v>
      </c>
      <c r="C1060" s="97">
        <f>SUMIFS(Input!$C$115:$C$3257,Input!$A$115:$A$3257,"="&amp;'Output - County'!A1060,Input!$B$115:$B$3257,"="&amp;'Output - County'!B1060)*VLOOKUP(A1060,'Output - State'!$B$2:$G$52,2,FALSE)</f>
        <v>2.0902573567179252</v>
      </c>
      <c r="D1060" s="98">
        <f>SUMIFS(Input!$C$115:$C$3257,Input!$A$115:$A$3257,"="&amp;'Output - County'!A1060,Input!$B$115:$B$3257,"="&amp;'Output - County'!B1060)*VLOOKUP(A1060,'Output - State'!$B$2:$G$52,3,FALSE)</f>
        <v>0.50154291657993721</v>
      </c>
      <c r="E1060" s="98">
        <f>SUMIFS(Input!$C$115:$C$3257,Input!$A$115:$A$3257,"="&amp;'Output - County'!A1060,Input!$B$115:$B$3257,"="&amp;'Output - County'!B1060)*VLOOKUP(A1060,'Output - State'!$B$2:$G$52,4,FALSE)</f>
        <v>2.4492182034752545</v>
      </c>
      <c r="F1060" s="98">
        <f>SUMIFS(Input!$C$115:$C$3257,Input!$A$115:$A$3257,"="&amp;'Output - County'!A1060,Input!$B$115:$B$3257,"="&amp;'Output - County'!B1060)*VLOOKUP(A1060,'Output - State'!$B$2:$G$52,5,FALSE)</f>
        <v>8.0302900162482853</v>
      </c>
      <c r="G1060" s="99">
        <f>SUMIFS(Input!$D$115:$D$3257,Input!$A$115:$A$3257,"="&amp;'Output - County'!A1060,Input!$B$115:$B$3257,"="&amp;'Output - County'!B1060)*VLOOKUP(A1060,'Output - State'!$B$2:$G$52,6,FALSE)</f>
        <v>2.7767709694675036</v>
      </c>
    </row>
    <row r="1061" spans="1:7" x14ac:dyDescent="0.25">
      <c r="A1061" s="88">
        <v>21</v>
      </c>
      <c r="B1061" s="88">
        <v>133</v>
      </c>
      <c r="C1061" s="97">
        <f>SUMIFS(Input!$C$115:$C$3257,Input!$A$115:$A$3257,"="&amp;'Output - County'!A1061,Input!$B$115:$B$3257,"="&amp;'Output - County'!B1061)*VLOOKUP(A1061,'Output - State'!$B$2:$G$52,2,FALSE)</f>
        <v>3.9035150663647711</v>
      </c>
      <c r="D1061" s="98">
        <f>SUMIFS(Input!$C$115:$C$3257,Input!$A$115:$A$3257,"="&amp;'Output - County'!A1061,Input!$B$115:$B$3257,"="&amp;'Output - County'!B1061)*VLOOKUP(A1061,'Output - State'!$B$2:$G$52,3,FALSE)</f>
        <v>0.93662166766506527</v>
      </c>
      <c r="E1061" s="98">
        <f>SUMIFS(Input!$C$115:$C$3257,Input!$A$115:$A$3257,"="&amp;'Output - County'!A1061,Input!$B$115:$B$3257,"="&amp;'Output - County'!B1061)*VLOOKUP(A1061,'Output - State'!$B$2:$G$52,4,FALSE)</f>
        <v>4.5738674844767866</v>
      </c>
      <c r="F1061" s="98">
        <f>SUMIFS(Input!$C$115:$C$3257,Input!$A$115:$A$3257,"="&amp;'Output - County'!A1061,Input!$B$115:$B$3257,"="&amp;'Output - County'!B1061)*VLOOKUP(A1061,'Output - State'!$B$2:$G$52,5,FALSE)</f>
        <v>14.99641083188107</v>
      </c>
      <c r="G1061" s="99">
        <f>SUMIFS(Input!$D$115:$D$3257,Input!$A$115:$A$3257,"="&amp;'Output - County'!A1061,Input!$B$115:$B$3257,"="&amp;'Output - County'!B1061)*VLOOKUP(A1061,'Output - State'!$B$2:$G$52,6,FALSE)</f>
        <v>5.9346673661168223</v>
      </c>
    </row>
    <row r="1062" spans="1:7" x14ac:dyDescent="0.25">
      <c r="A1062" s="88">
        <v>21</v>
      </c>
      <c r="B1062" s="88">
        <v>135</v>
      </c>
      <c r="C1062" s="97">
        <f>SUMIFS(Input!$C$115:$C$3257,Input!$A$115:$A$3257,"="&amp;'Output - County'!A1062,Input!$B$115:$B$3257,"="&amp;'Output - County'!B1062)*VLOOKUP(A1062,'Output - State'!$B$2:$G$52,2,FALSE)</f>
        <v>2.5021610610407214</v>
      </c>
      <c r="D1062" s="98">
        <f>SUMIFS(Input!$C$115:$C$3257,Input!$A$115:$A$3257,"="&amp;'Output - County'!A1062,Input!$B$115:$B$3257,"="&amp;'Output - County'!B1062)*VLOOKUP(A1062,'Output - State'!$B$2:$G$52,3,FALSE)</f>
        <v>0.60037638536414195</v>
      </c>
      <c r="E1062" s="98">
        <f>SUMIFS(Input!$C$115:$C$3257,Input!$A$115:$A$3257,"="&amp;'Output - County'!A1062,Input!$B$115:$B$3257,"="&amp;'Output - County'!B1062)*VLOOKUP(A1062,'Output - State'!$B$2:$G$52,4,FALSE)</f>
        <v>2.931858318322329</v>
      </c>
      <c r="F1062" s="98">
        <f>SUMIFS(Input!$C$115:$C$3257,Input!$A$115:$A$3257,"="&amp;'Output - County'!A1062,Input!$B$115:$B$3257,"="&amp;'Output - County'!B1062)*VLOOKUP(A1062,'Output - State'!$B$2:$G$52,5,FALSE)</f>
        <v>9.6127297066760331</v>
      </c>
      <c r="G1062" s="99">
        <f>SUMIFS(Input!$D$115:$D$3257,Input!$A$115:$A$3257,"="&amp;'Output - County'!A1062,Input!$B$115:$B$3257,"="&amp;'Output - County'!B1062)*VLOOKUP(A1062,'Output - State'!$B$2:$G$52,6,FALSE)</f>
        <v>3.6206915582272354</v>
      </c>
    </row>
    <row r="1063" spans="1:7" x14ac:dyDescent="0.25">
      <c r="A1063" s="88">
        <v>21</v>
      </c>
      <c r="B1063" s="88">
        <v>137</v>
      </c>
      <c r="C1063" s="97">
        <f>SUMIFS(Input!$C$115:$C$3257,Input!$A$115:$A$3257,"="&amp;'Output - County'!A1063,Input!$B$115:$B$3257,"="&amp;'Output - County'!B1063)*VLOOKUP(A1063,'Output - State'!$B$2:$G$52,2,FALSE)</f>
        <v>4.6253760735059615</v>
      </c>
      <c r="D1063" s="98">
        <f>SUMIFS(Input!$C$115:$C$3257,Input!$A$115:$A$3257,"="&amp;'Output - County'!A1063,Input!$B$115:$B$3257,"="&amp;'Output - County'!B1063)*VLOOKUP(A1063,'Output - State'!$B$2:$G$52,3,FALSE)</f>
        <v>1.1098272653984453</v>
      </c>
      <c r="E1063" s="98">
        <f>SUMIFS(Input!$C$115:$C$3257,Input!$A$115:$A$3257,"="&amp;'Output - County'!A1063,Input!$B$115:$B$3257,"="&amp;'Output - County'!B1063)*VLOOKUP(A1063,'Output - State'!$B$2:$G$52,4,FALSE)</f>
        <v>5.4196940107592964</v>
      </c>
      <c r="F1063" s="98">
        <f>SUMIFS(Input!$C$115:$C$3257,Input!$A$115:$A$3257,"="&amp;'Output - County'!A1063,Input!$B$115:$B$3257,"="&amp;'Output - County'!B1063)*VLOOKUP(A1063,'Output - State'!$B$2:$G$52,5,FALSE)</f>
        <v>17.769635487751561</v>
      </c>
      <c r="G1063" s="99">
        <f>SUMIFS(Input!$D$115:$D$3257,Input!$A$115:$A$3257,"="&amp;'Output - County'!A1063,Input!$B$115:$B$3257,"="&amp;'Output - County'!B1063)*VLOOKUP(A1063,'Output - State'!$B$2:$G$52,6,FALSE)</f>
        <v>6.6969182204804509</v>
      </c>
    </row>
    <row r="1064" spans="1:7" x14ac:dyDescent="0.25">
      <c r="A1064" s="88">
        <v>21</v>
      </c>
      <c r="B1064" s="88">
        <v>139</v>
      </c>
      <c r="C1064" s="97">
        <f>SUMIFS(Input!$C$115:$C$3257,Input!$A$115:$A$3257,"="&amp;'Output - County'!A1064,Input!$B$115:$B$3257,"="&amp;'Output - County'!B1064)*VLOOKUP(A1064,'Output - State'!$B$2:$G$52,2,FALSE)</f>
        <v>2.9645234321149201</v>
      </c>
      <c r="D1064" s="98">
        <f>SUMIFS(Input!$C$115:$C$3257,Input!$A$115:$A$3257,"="&amp;'Output - County'!A1064,Input!$B$115:$B$3257,"="&amp;'Output - County'!B1064)*VLOOKUP(A1064,'Output - State'!$B$2:$G$52,3,FALSE)</f>
        <v>0.71131706516133408</v>
      </c>
      <c r="E1064" s="98">
        <f>SUMIFS(Input!$C$115:$C$3257,Input!$A$115:$A$3257,"="&amp;'Output - County'!A1064,Input!$B$115:$B$3257,"="&amp;'Output - County'!B1064)*VLOOKUP(A1064,'Output - State'!$B$2:$G$52,4,FALSE)</f>
        <v>3.473622389716398</v>
      </c>
      <c r="F1064" s="98">
        <f>SUMIFS(Input!$C$115:$C$3257,Input!$A$115:$A$3257,"="&amp;'Output - County'!A1064,Input!$B$115:$B$3257,"="&amp;'Output - County'!B1064)*VLOOKUP(A1064,'Output - State'!$B$2:$G$52,5,FALSE)</f>
        <v>11.389020037813028</v>
      </c>
      <c r="G1064" s="99">
        <f>SUMIFS(Input!$D$115:$D$3257,Input!$A$115:$A$3257,"="&amp;'Output - County'!A1064,Input!$B$115:$B$3257,"="&amp;'Output - County'!B1064)*VLOOKUP(A1064,'Output - State'!$B$2:$G$52,6,FALSE)</f>
        <v>2.5154278193999744</v>
      </c>
    </row>
    <row r="1065" spans="1:7" x14ac:dyDescent="0.25">
      <c r="A1065" s="88">
        <v>21</v>
      </c>
      <c r="B1065" s="88">
        <v>141</v>
      </c>
      <c r="C1065" s="97">
        <f>SUMIFS(Input!$C$115:$C$3257,Input!$A$115:$A$3257,"="&amp;'Output - County'!A1065,Input!$B$115:$B$3257,"="&amp;'Output - County'!B1065)*VLOOKUP(A1065,'Output - State'!$B$2:$G$52,2,FALSE)</f>
        <v>6.1030219787745281</v>
      </c>
      <c r="D1065" s="98">
        <f>SUMIFS(Input!$C$115:$C$3257,Input!$A$115:$A$3257,"="&amp;'Output - County'!A1065,Input!$B$115:$B$3257,"="&amp;'Output - County'!B1065)*VLOOKUP(A1065,'Output - State'!$B$2:$G$52,3,FALSE)</f>
        <v>1.4643782658381528</v>
      </c>
      <c r="E1065" s="98">
        <f>SUMIFS(Input!$C$115:$C$3257,Input!$A$115:$A$3257,"="&amp;'Output - County'!A1065,Input!$B$115:$B$3257,"="&amp;'Output - County'!B1065)*VLOOKUP(A1065,'Output - State'!$B$2:$G$52,4,FALSE)</f>
        <v>7.1510967195420276</v>
      </c>
      <c r="F1065" s="98">
        <f>SUMIFS(Input!$C$115:$C$3257,Input!$A$115:$A$3257,"="&amp;'Output - County'!A1065,Input!$B$115:$B$3257,"="&amp;'Output - County'!B1065)*VLOOKUP(A1065,'Output - State'!$B$2:$G$52,5,FALSE)</f>
        <v>23.446412618802992</v>
      </c>
      <c r="G1065" s="99">
        <f>SUMIFS(Input!$D$115:$D$3257,Input!$A$115:$A$3257,"="&amp;'Output - County'!A1065,Input!$B$115:$B$3257,"="&amp;'Output - County'!B1065)*VLOOKUP(A1065,'Output - State'!$B$2:$G$52,6,FALSE)</f>
        <v>7.3502760956492743</v>
      </c>
    </row>
    <row r="1066" spans="1:7" x14ac:dyDescent="0.25">
      <c r="A1066" s="88">
        <v>21</v>
      </c>
      <c r="B1066" s="88">
        <v>143</v>
      </c>
      <c r="C1066" s="97">
        <f>SUMIFS(Input!$C$115:$C$3257,Input!$A$115:$A$3257,"="&amp;'Output - County'!A1066,Input!$B$115:$B$3257,"="&amp;'Output - County'!B1066)*VLOOKUP(A1066,'Output - State'!$B$2:$G$52,2,FALSE)</f>
        <v>6.4024076463182986</v>
      </c>
      <c r="D1066" s="98">
        <f>SUMIFS(Input!$C$115:$C$3257,Input!$A$115:$A$3257,"="&amp;'Output - County'!A1066,Input!$B$115:$B$3257,"="&amp;'Output - County'!B1066)*VLOOKUP(A1066,'Output - State'!$B$2:$G$52,3,FALSE)</f>
        <v>1.5362138034094228</v>
      </c>
      <c r="E1066" s="98">
        <f>SUMIFS(Input!$C$115:$C$3257,Input!$A$115:$A$3257,"="&amp;'Output - County'!A1066,Input!$B$115:$B$3257,"="&amp;'Output - County'!B1066)*VLOOKUP(A1066,'Output - State'!$B$2:$G$52,4,FALSE)</f>
        <v>7.5018960239679391</v>
      </c>
      <c r="F1066" s="98">
        <f>SUMIFS(Input!$C$115:$C$3257,Input!$A$115:$A$3257,"="&amp;'Output - County'!A1066,Input!$B$115:$B$3257,"="&amp;'Output - County'!B1066)*VLOOKUP(A1066,'Output - State'!$B$2:$G$52,5,FALSE)</f>
        <v>24.596583782826315</v>
      </c>
      <c r="G1066" s="99">
        <f>SUMIFS(Input!$D$115:$D$3257,Input!$A$115:$A$3257,"="&amp;'Output - County'!A1066,Input!$B$115:$B$3257,"="&amp;'Output - County'!B1066)*VLOOKUP(A1066,'Output - State'!$B$2:$G$52,6,FALSE)</f>
        <v>2.2241391000538733</v>
      </c>
    </row>
    <row r="1067" spans="1:7" x14ac:dyDescent="0.25">
      <c r="A1067" s="88">
        <v>21</v>
      </c>
      <c r="B1067" s="88">
        <v>145</v>
      </c>
      <c r="C1067" s="97">
        <f>SUMIFS(Input!$C$115:$C$3257,Input!$A$115:$A$3257,"="&amp;'Output - County'!A1067,Input!$B$115:$B$3257,"="&amp;'Output - County'!B1067)*VLOOKUP(A1067,'Output - State'!$B$2:$G$52,2,FALSE)</f>
        <v>19.146091751147878</v>
      </c>
      <c r="D1067" s="98">
        <f>SUMIFS(Input!$C$115:$C$3257,Input!$A$115:$A$3257,"="&amp;'Output - County'!A1067,Input!$B$115:$B$3257,"="&amp;'Output - County'!B1067)*VLOOKUP(A1067,'Output - State'!$B$2:$G$52,3,FALSE)</f>
        <v>4.5939734009861581</v>
      </c>
      <c r="E1067" s="98">
        <f>SUMIFS(Input!$C$115:$C$3257,Input!$A$115:$A$3257,"="&amp;'Output - County'!A1067,Input!$B$115:$B$3257,"="&amp;'Output - County'!B1067)*VLOOKUP(A1067,'Output - State'!$B$2:$G$52,4,FALSE)</f>
        <v>22.434058797405243</v>
      </c>
      <c r="F1067" s="98">
        <f>SUMIFS(Input!$C$115:$C$3257,Input!$A$115:$A$3257,"="&amp;'Output - County'!A1067,Input!$B$115:$B$3257,"="&amp;'Output - County'!B1067)*VLOOKUP(A1067,'Output - State'!$B$2:$G$52,5,FALSE)</f>
        <v>73.554899326286375</v>
      </c>
      <c r="G1067" s="99">
        <f>SUMIFS(Input!$D$115:$D$3257,Input!$A$115:$A$3257,"="&amp;'Output - County'!A1067,Input!$B$115:$B$3257,"="&amp;'Output - County'!B1067)*VLOOKUP(A1067,'Output - State'!$B$2:$G$52,6,FALSE)</f>
        <v>17.776778853551765</v>
      </c>
    </row>
    <row r="1068" spans="1:7" x14ac:dyDescent="0.25">
      <c r="A1068" s="88">
        <v>21</v>
      </c>
      <c r="B1068" s="88">
        <v>147</v>
      </c>
      <c r="C1068" s="97">
        <f>SUMIFS(Input!$C$115:$C$3257,Input!$A$115:$A$3257,"="&amp;'Output - County'!A1068,Input!$B$115:$B$3257,"="&amp;'Output - County'!B1068)*VLOOKUP(A1068,'Output - State'!$B$2:$G$52,2,FALSE)</f>
        <v>2.5777575502311643</v>
      </c>
      <c r="D1068" s="98">
        <f>SUMIFS(Input!$C$115:$C$3257,Input!$A$115:$A$3257,"="&amp;'Output - County'!A1068,Input!$B$115:$B$3257,"="&amp;'Output - County'!B1068)*VLOOKUP(A1068,'Output - State'!$B$2:$G$52,3,FALSE)</f>
        <v>0.61851524446200501</v>
      </c>
      <c r="E1068" s="98">
        <f>SUMIFS(Input!$C$115:$C$3257,Input!$A$115:$A$3257,"="&amp;'Output - County'!A1068,Input!$B$115:$B$3257,"="&amp;'Output - County'!B1068)*VLOOKUP(A1068,'Output - State'!$B$2:$G$52,4,FALSE)</f>
        <v>3.0204370269913774</v>
      </c>
      <c r="F1068" s="98">
        <f>SUMIFS(Input!$C$115:$C$3257,Input!$A$115:$A$3257,"="&amp;'Output - County'!A1068,Input!$B$115:$B$3257,"="&amp;'Output - County'!B1068)*VLOOKUP(A1068,'Output - State'!$B$2:$G$52,5,FALSE)</f>
        <v>9.9031541036807305</v>
      </c>
      <c r="G1068" s="99">
        <f>SUMIFS(Input!$D$115:$D$3257,Input!$A$115:$A$3257,"="&amp;'Output - County'!A1068,Input!$B$115:$B$3257,"="&amp;'Output - County'!B1068)*VLOOKUP(A1068,'Output - State'!$B$2:$G$52,6,FALSE)</f>
        <v>4.7096213501752757</v>
      </c>
    </row>
    <row r="1069" spans="1:7" x14ac:dyDescent="0.25">
      <c r="A1069" s="88">
        <v>21</v>
      </c>
      <c r="B1069" s="88">
        <v>149</v>
      </c>
      <c r="C1069" s="97">
        <f>SUMIFS(Input!$C$115:$C$3257,Input!$A$115:$A$3257,"="&amp;'Output - County'!A1069,Input!$B$115:$B$3257,"="&amp;'Output - County'!B1069)*VLOOKUP(A1069,'Output - State'!$B$2:$G$52,2,FALSE)</f>
        <v>1.9027301367125353</v>
      </c>
      <c r="D1069" s="98">
        <f>SUMIFS(Input!$C$115:$C$3257,Input!$A$115:$A$3257,"="&amp;'Output - County'!A1069,Input!$B$115:$B$3257,"="&amp;'Output - County'!B1069)*VLOOKUP(A1069,'Output - State'!$B$2:$G$52,3,FALSE)</f>
        <v>0.45654704630714427</v>
      </c>
      <c r="E1069" s="98">
        <f>SUMIFS(Input!$C$115:$C$3257,Input!$A$115:$A$3257,"="&amp;'Output - County'!A1069,Input!$B$115:$B$3257,"="&amp;'Output - County'!B1069)*VLOOKUP(A1069,'Output - State'!$B$2:$G$52,4,FALSE)</f>
        <v>2.2294868486695076</v>
      </c>
      <c r="F1069" s="98">
        <f>SUMIFS(Input!$C$115:$C$3257,Input!$A$115:$A$3257,"="&amp;'Output - County'!A1069,Input!$B$115:$B$3257,"="&amp;'Output - County'!B1069)*VLOOKUP(A1069,'Output - State'!$B$2:$G$52,5,FALSE)</f>
        <v>7.3098533878377987</v>
      </c>
      <c r="G1069" s="99">
        <f>SUMIFS(Input!$D$115:$D$3257,Input!$A$115:$A$3257,"="&amp;'Output - County'!A1069,Input!$B$115:$B$3257,"="&amp;'Output - County'!B1069)*VLOOKUP(A1069,'Output - State'!$B$2:$G$52,6,FALSE)</f>
        <v>2.5208724683597143</v>
      </c>
    </row>
    <row r="1070" spans="1:7" x14ac:dyDescent="0.25">
      <c r="A1070" s="88">
        <v>21</v>
      </c>
      <c r="B1070" s="88">
        <v>151</v>
      </c>
      <c r="C1070" s="97">
        <f>SUMIFS(Input!$C$115:$C$3257,Input!$A$115:$A$3257,"="&amp;'Output - County'!A1070,Input!$B$115:$B$3257,"="&amp;'Output - County'!B1070)*VLOOKUP(A1070,'Output - State'!$B$2:$G$52,2,FALSE)</f>
        <v>26.062002433335579</v>
      </c>
      <c r="D1070" s="98">
        <f>SUMIFS(Input!$C$115:$C$3257,Input!$A$115:$A$3257,"="&amp;'Output - County'!A1070,Input!$B$115:$B$3257,"="&amp;'Output - County'!B1070)*VLOOKUP(A1070,'Output - State'!$B$2:$G$52,3,FALSE)</f>
        <v>6.253398735958843</v>
      </c>
      <c r="E1070" s="98">
        <f>SUMIFS(Input!$C$115:$C$3257,Input!$A$115:$A$3257,"="&amp;'Output - County'!A1070,Input!$B$115:$B$3257,"="&amp;'Output - County'!B1070)*VLOOKUP(A1070,'Output - State'!$B$2:$G$52,4,FALSE)</f>
        <v>30.537641967192357</v>
      </c>
      <c r="F1070" s="98">
        <f>SUMIFS(Input!$C$115:$C$3257,Input!$A$115:$A$3257,"="&amp;'Output - County'!A1070,Input!$B$115:$B$3257,"="&amp;'Output - County'!B1070)*VLOOKUP(A1070,'Output - State'!$B$2:$G$52,5,FALSE)</f>
        <v>100.12424416123977</v>
      </c>
      <c r="G1070" s="99">
        <f>SUMIFS(Input!$D$115:$D$3257,Input!$A$115:$A$3257,"="&amp;'Output - County'!A1070,Input!$B$115:$B$3257,"="&amp;'Output - County'!B1070)*VLOOKUP(A1070,'Output - State'!$B$2:$G$52,6,FALSE)</f>
        <v>25.072608459603639</v>
      </c>
    </row>
    <row r="1071" spans="1:7" x14ac:dyDescent="0.25">
      <c r="A1071" s="88">
        <v>21</v>
      </c>
      <c r="B1071" s="88">
        <v>153</v>
      </c>
      <c r="C1071" s="97">
        <f>SUMIFS(Input!$C$115:$C$3257,Input!$A$115:$A$3257,"="&amp;'Output - County'!A1071,Input!$B$115:$B$3257,"="&amp;'Output - County'!B1071)*VLOOKUP(A1071,'Output - State'!$B$2:$G$52,2,FALSE)</f>
        <v>2.5967193889967244</v>
      </c>
      <c r="D1071" s="98">
        <f>SUMIFS(Input!$C$115:$C$3257,Input!$A$115:$A$3257,"="&amp;'Output - County'!A1071,Input!$B$115:$B$3257,"="&amp;'Output - County'!B1071)*VLOOKUP(A1071,'Output - State'!$B$2:$G$52,3,FALSE)</f>
        <v>0.62306500762281036</v>
      </c>
      <c r="E1071" s="98">
        <f>SUMIFS(Input!$C$115:$C$3257,Input!$A$115:$A$3257,"="&amp;'Output - County'!A1071,Input!$B$115:$B$3257,"="&amp;'Output - County'!B1071)*VLOOKUP(A1071,'Output - State'!$B$2:$G$52,4,FALSE)</f>
        <v>3.0426551909541608</v>
      </c>
      <c r="F1071" s="98">
        <f>SUMIFS(Input!$C$115:$C$3257,Input!$A$115:$A$3257,"="&amp;'Output - County'!A1071,Input!$B$115:$B$3257,"="&amp;'Output - County'!B1071)*VLOOKUP(A1071,'Output - State'!$B$2:$G$52,5,FALSE)</f>
        <v>9.9760011452373138</v>
      </c>
      <c r="G1071" s="99">
        <f>SUMIFS(Input!$D$115:$D$3257,Input!$A$115:$A$3257,"="&amp;'Output - County'!A1071,Input!$B$115:$B$3257,"="&amp;'Output - County'!B1071)*VLOOKUP(A1071,'Output - State'!$B$2:$G$52,6,FALSE)</f>
        <v>3.3484591102402255</v>
      </c>
    </row>
    <row r="1072" spans="1:7" x14ac:dyDescent="0.25">
      <c r="A1072" s="88">
        <v>21</v>
      </c>
      <c r="B1072" s="88">
        <v>155</v>
      </c>
      <c r="C1072" s="97">
        <f>SUMIFS(Input!$C$115:$C$3257,Input!$A$115:$A$3257,"="&amp;'Output - County'!A1072,Input!$B$115:$B$3257,"="&amp;'Output - County'!B1072)*VLOOKUP(A1072,'Output - State'!$B$2:$G$52,2,FALSE)</f>
        <v>3.5628051489964867</v>
      </c>
      <c r="D1072" s="98">
        <f>SUMIFS(Input!$C$115:$C$3257,Input!$A$115:$A$3257,"="&amp;'Output - County'!A1072,Input!$B$115:$B$3257,"="&amp;'Output - County'!B1072)*VLOOKUP(A1072,'Output - State'!$B$2:$G$52,3,FALSE)</f>
        <v>0.85487065977342858</v>
      </c>
      <c r="E1072" s="98">
        <f>SUMIFS(Input!$C$115:$C$3257,Input!$A$115:$A$3257,"="&amp;'Output - County'!A1072,Input!$B$115:$B$3257,"="&amp;'Output - County'!B1072)*VLOOKUP(A1072,'Output - State'!$B$2:$G$52,4,FALSE)</f>
        <v>4.1746472980050013</v>
      </c>
      <c r="F1072" s="98">
        <f>SUMIFS(Input!$C$115:$C$3257,Input!$A$115:$A$3257,"="&amp;'Output - County'!A1072,Input!$B$115:$B$3257,"="&amp;'Output - County'!B1072)*VLOOKUP(A1072,'Output - State'!$B$2:$G$52,5,FALSE)</f>
        <v>13.68748136485347</v>
      </c>
      <c r="G1072" s="99">
        <f>SUMIFS(Input!$D$115:$D$3257,Input!$A$115:$A$3257,"="&amp;'Output - County'!A1072,Input!$B$115:$B$3257,"="&amp;'Output - County'!B1072)*VLOOKUP(A1072,'Output - State'!$B$2:$G$52,6,FALSE)</f>
        <v>5.2540862461492965</v>
      </c>
    </row>
    <row r="1073" spans="1:7" x14ac:dyDescent="0.25">
      <c r="A1073" s="88">
        <v>21</v>
      </c>
      <c r="B1073" s="88">
        <v>157</v>
      </c>
      <c r="C1073" s="97">
        <f>SUMIFS(Input!$C$115:$C$3257,Input!$A$115:$A$3257,"="&amp;'Output - County'!A1073,Input!$B$115:$B$3257,"="&amp;'Output - County'!B1073)*VLOOKUP(A1073,'Output - State'!$B$2:$G$52,2,FALSE)</f>
        <v>11.38368457329249</v>
      </c>
      <c r="D1073" s="98">
        <f>SUMIFS(Input!$C$115:$C$3257,Input!$A$115:$A$3257,"="&amp;'Output - County'!A1073,Input!$B$115:$B$3257,"="&amp;'Output - County'!B1073)*VLOOKUP(A1073,'Output - State'!$B$2:$G$52,3,FALSE)</f>
        <v>2.7314370376286745</v>
      </c>
      <c r="E1073" s="98">
        <f>SUMIFS(Input!$C$115:$C$3257,Input!$A$115:$A$3257,"="&amp;'Output - County'!A1073,Input!$B$115:$B$3257,"="&amp;'Output - County'!B1073)*VLOOKUP(A1073,'Output - State'!$B$2:$G$52,4,FALSE)</f>
        <v>13.338609903665985</v>
      </c>
      <c r="F1073" s="98">
        <f>SUMIFS(Input!$C$115:$C$3257,Input!$A$115:$A$3257,"="&amp;'Output - County'!A1073,Input!$B$115:$B$3257,"="&amp;'Output - County'!B1073)*VLOOKUP(A1073,'Output - State'!$B$2:$G$52,5,FALSE)</f>
        <v>43.733508834800588</v>
      </c>
      <c r="G1073" s="99">
        <f>SUMIFS(Input!$D$115:$D$3257,Input!$A$115:$A$3257,"="&amp;'Output - County'!A1073,Input!$B$115:$B$3257,"="&amp;'Output - County'!B1073)*VLOOKUP(A1073,'Output - State'!$B$2:$G$52,6,FALSE)</f>
        <v>8.4936523771947172</v>
      </c>
    </row>
    <row r="1074" spans="1:7" x14ac:dyDescent="0.25">
      <c r="A1074" s="88">
        <v>21</v>
      </c>
      <c r="B1074" s="88">
        <v>159</v>
      </c>
      <c r="C1074" s="97">
        <f>SUMIFS(Input!$C$115:$C$3257,Input!$A$115:$A$3257,"="&amp;'Output - County'!A1074,Input!$B$115:$B$3257,"="&amp;'Output - County'!B1074)*VLOOKUP(A1074,'Output - State'!$B$2:$G$52,2,FALSE)</f>
        <v>1.6895988600827394</v>
      </c>
      <c r="D1074" s="98">
        <f>SUMIFS(Input!$C$115:$C$3257,Input!$A$115:$A$3257,"="&amp;'Output - County'!A1074,Input!$B$115:$B$3257,"="&amp;'Output - County'!B1074)*VLOOKUP(A1074,'Output - State'!$B$2:$G$52,3,FALSE)</f>
        <v>0.4054076582543944</v>
      </c>
      <c r="E1074" s="98">
        <f>SUMIFS(Input!$C$115:$C$3257,Input!$A$115:$A$3257,"="&amp;'Output - County'!A1074,Input!$B$115:$B$3257,"="&amp;'Output - County'!B1074)*VLOOKUP(A1074,'Output - State'!$B$2:$G$52,4,FALSE)</f>
        <v>1.9797544409475909</v>
      </c>
      <c r="F1074" s="98">
        <f>SUMIFS(Input!$C$115:$C$3257,Input!$A$115:$A$3257,"="&amp;'Output - County'!A1074,Input!$B$115:$B$3257,"="&amp;'Output - County'!B1074)*VLOOKUP(A1074,'Output - State'!$B$2:$G$52,5,FALSE)</f>
        <v>6.4910518381770101</v>
      </c>
      <c r="G1074" s="99">
        <f>SUMIFS(Input!$D$115:$D$3257,Input!$A$115:$A$3257,"="&amp;'Output - County'!A1074,Input!$B$115:$B$3257,"="&amp;'Output - County'!B1074)*VLOOKUP(A1074,'Output - State'!$B$2:$G$52,6,FALSE)</f>
        <v>3.0762266622532146</v>
      </c>
    </row>
    <row r="1075" spans="1:7" x14ac:dyDescent="0.25">
      <c r="A1075" s="88">
        <v>21</v>
      </c>
      <c r="B1075" s="88">
        <v>161</v>
      </c>
      <c r="C1075" s="97">
        <f>SUMIFS(Input!$C$115:$C$3257,Input!$A$115:$A$3257,"="&amp;'Output - County'!A1075,Input!$B$115:$B$3257,"="&amp;'Output - County'!B1075)*VLOOKUP(A1075,'Output - State'!$B$2:$G$52,2,FALSE)</f>
        <v>4.3120818323265135</v>
      </c>
      <c r="D1075" s="98">
        <f>SUMIFS(Input!$C$115:$C$3257,Input!$A$115:$A$3257,"="&amp;'Output - County'!A1075,Input!$B$115:$B$3257,"="&amp;'Output - County'!B1075)*VLOOKUP(A1075,'Output - State'!$B$2:$G$52,3,FALSE)</f>
        <v>1.0346544609761417</v>
      </c>
      <c r="E1075" s="98">
        <f>SUMIFS(Input!$C$115:$C$3257,Input!$A$115:$A$3257,"="&amp;'Output - County'!A1075,Input!$B$115:$B$3257,"="&amp;'Output - County'!B1075)*VLOOKUP(A1075,'Output - State'!$B$2:$G$52,4,FALSE)</f>
        <v>5.0525976070200427</v>
      </c>
      <c r="F1075" s="98">
        <f>SUMIFS(Input!$C$115:$C$3257,Input!$A$115:$A$3257,"="&amp;'Output - County'!A1075,Input!$B$115:$B$3257,"="&amp;'Output - County'!B1075)*VLOOKUP(A1075,'Output - State'!$B$2:$G$52,5,FALSE)</f>
        <v>16.566030769411174</v>
      </c>
      <c r="G1075" s="99">
        <f>SUMIFS(Input!$D$115:$D$3257,Input!$A$115:$A$3257,"="&amp;'Output - County'!A1075,Input!$B$115:$B$3257,"="&amp;'Output - County'!B1075)*VLOOKUP(A1075,'Output - State'!$B$2:$G$52,6,FALSE)</f>
        <v>4.6551748605778744</v>
      </c>
    </row>
    <row r="1076" spans="1:7" x14ac:dyDescent="0.25">
      <c r="A1076" s="88">
        <v>21</v>
      </c>
      <c r="B1076" s="88">
        <v>163</v>
      </c>
      <c r="C1076" s="97">
        <f>SUMIFS(Input!$C$115:$C$3257,Input!$A$115:$A$3257,"="&amp;'Output - County'!A1076,Input!$B$115:$B$3257,"="&amp;'Output - County'!B1076)*VLOOKUP(A1076,'Output - State'!$B$2:$G$52,2,FALSE)</f>
        <v>5.3879523852707942</v>
      </c>
      <c r="D1076" s="98">
        <f>SUMIFS(Input!$C$115:$C$3257,Input!$A$115:$A$3257,"="&amp;'Output - County'!A1076,Input!$B$115:$B$3257,"="&amp;'Output - County'!B1076)*VLOOKUP(A1076,'Output - State'!$B$2:$G$52,3,FALSE)</f>
        <v>1.292802221227733</v>
      </c>
      <c r="E1076" s="98">
        <f>SUMIFS(Input!$C$115:$C$3257,Input!$A$115:$A$3257,"="&amp;'Output - County'!A1076,Input!$B$115:$B$3257,"="&amp;'Output - County'!B1076)*VLOOKUP(A1076,'Output - State'!$B$2:$G$52,4,FALSE)</f>
        <v>6.3132278994504452</v>
      </c>
      <c r="F1076" s="98">
        <f>SUMIFS(Input!$C$115:$C$3257,Input!$A$115:$A$3257,"="&amp;'Output - County'!A1076,Input!$B$115:$B$3257,"="&amp;'Output - County'!B1076)*VLOOKUP(A1076,'Output - State'!$B$2:$G$52,5,FALSE)</f>
        <v>20.699279018636144</v>
      </c>
      <c r="G1076" s="99">
        <f>SUMIFS(Input!$D$115:$D$3257,Input!$A$115:$A$3257,"="&amp;'Output - County'!A1076,Input!$B$115:$B$3257,"="&amp;'Output - County'!B1076)*VLOOKUP(A1076,'Output - State'!$B$2:$G$52,6,FALSE)</f>
        <v>7.7858480124284908</v>
      </c>
    </row>
    <row r="1077" spans="1:7" x14ac:dyDescent="0.25">
      <c r="A1077" s="88">
        <v>21</v>
      </c>
      <c r="B1077" s="88">
        <v>165</v>
      </c>
      <c r="C1077" s="97">
        <f>SUMIFS(Input!$C$115:$C$3257,Input!$A$115:$A$3257,"="&amp;'Output - County'!A1077,Input!$B$115:$B$3257,"="&amp;'Output - County'!B1077)*VLOOKUP(A1077,'Output - State'!$B$2:$G$52,2,FALSE)</f>
        <v>1.0200395053848894</v>
      </c>
      <c r="D1077" s="98">
        <f>SUMIFS(Input!$C$115:$C$3257,Input!$A$115:$A$3257,"="&amp;'Output - County'!A1077,Input!$B$115:$B$3257,"="&amp;'Output - County'!B1077)*VLOOKUP(A1077,'Output - State'!$B$2:$G$52,3,FALSE)</f>
        <v>0.24475148331054636</v>
      </c>
      <c r="E1077" s="98">
        <f>SUMIFS(Input!$C$115:$C$3257,Input!$A$115:$A$3257,"="&amp;'Output - County'!A1077,Input!$B$115:$B$3257,"="&amp;'Output - County'!B1077)*VLOOKUP(A1077,'Output - State'!$B$2:$G$52,4,FALSE)</f>
        <v>1.1952113536752906</v>
      </c>
      <c r="F1077" s="98">
        <f>SUMIFS(Input!$C$115:$C$3257,Input!$A$115:$A$3257,"="&amp;'Output - County'!A1077,Input!$B$115:$B$3257,"="&amp;'Output - County'!B1077)*VLOOKUP(A1077,'Output - State'!$B$2:$G$52,5,FALSE)</f>
        <v>3.9187581519305232</v>
      </c>
      <c r="G1077" s="99">
        <f>SUMIFS(Input!$D$115:$D$3257,Input!$A$115:$A$3257,"="&amp;'Output - County'!A1077,Input!$B$115:$B$3257,"="&amp;'Output - County'!B1077)*VLOOKUP(A1077,'Output - State'!$B$2:$G$52,6,FALSE)</f>
        <v>1.7531769650363456</v>
      </c>
    </row>
    <row r="1078" spans="1:7" x14ac:dyDescent="0.25">
      <c r="A1078" s="88">
        <v>21</v>
      </c>
      <c r="B1078" s="88">
        <v>167</v>
      </c>
      <c r="C1078" s="97">
        <f>SUMIFS(Input!$C$115:$C$3257,Input!$A$115:$A$3257,"="&amp;'Output - County'!A1078,Input!$B$115:$B$3257,"="&amp;'Output - County'!B1078)*VLOOKUP(A1078,'Output - State'!$B$2:$G$52,2,FALSE)</f>
        <v>4.604280946423267</v>
      </c>
      <c r="D1078" s="98">
        <f>SUMIFS(Input!$C$115:$C$3257,Input!$A$115:$A$3257,"="&amp;'Output - County'!A1078,Input!$B$115:$B$3257,"="&amp;'Output - County'!B1078)*VLOOKUP(A1078,'Output - State'!$B$2:$G$52,3,FALSE)</f>
        <v>1.104765634337239</v>
      </c>
      <c r="E1078" s="98">
        <f>SUMIFS(Input!$C$115:$C$3257,Input!$A$115:$A$3257,"="&amp;'Output - County'!A1078,Input!$B$115:$B$3257,"="&amp;'Output - County'!B1078)*VLOOKUP(A1078,'Output - State'!$B$2:$G$52,4,FALSE)</f>
        <v>5.3949762079062147</v>
      </c>
      <c r="F1078" s="98">
        <f>SUMIFS(Input!$C$115:$C$3257,Input!$A$115:$A$3257,"="&amp;'Output - County'!A1078,Input!$B$115:$B$3257,"="&amp;'Output - County'!B1078)*VLOOKUP(A1078,'Output - State'!$B$2:$G$52,5,FALSE)</f>
        <v>17.688592841084532</v>
      </c>
      <c r="G1078" s="99">
        <f>SUMIFS(Input!$D$115:$D$3257,Input!$A$115:$A$3257,"="&amp;'Output - County'!A1078,Input!$B$115:$B$3257,"="&amp;'Output - County'!B1078)*VLOOKUP(A1078,'Output - State'!$B$2:$G$52,6,FALSE)</f>
        <v>5.9074441213181217</v>
      </c>
    </row>
    <row r="1079" spans="1:7" x14ac:dyDescent="0.25">
      <c r="A1079" s="88">
        <v>21</v>
      </c>
      <c r="B1079" s="88">
        <v>169</v>
      </c>
      <c r="C1079" s="97">
        <f>SUMIFS(Input!$C$115:$C$3257,Input!$A$115:$A$3257,"="&amp;'Output - County'!A1079,Input!$B$115:$B$3257,"="&amp;'Output - County'!B1079)*VLOOKUP(A1079,'Output - State'!$B$2:$G$52,2,FALSE)</f>
        <v>2.1948206352067667</v>
      </c>
      <c r="D1079" s="98">
        <f>SUMIFS(Input!$C$115:$C$3257,Input!$A$115:$A$3257,"="&amp;'Output - County'!A1079,Input!$B$115:$B$3257,"="&amp;'Output - County'!B1079)*VLOOKUP(A1079,'Output - State'!$B$2:$G$52,3,FALSE)</f>
        <v>0.52663215809936359</v>
      </c>
      <c r="E1079" s="98">
        <f>SUMIFS(Input!$C$115:$C$3257,Input!$A$115:$A$3257,"="&amp;'Output - County'!A1079,Input!$B$115:$B$3257,"="&amp;'Output - County'!B1079)*VLOOKUP(A1079,'Output - State'!$B$2:$G$52,4,FALSE)</f>
        <v>2.5717381813463254</v>
      </c>
      <c r="F1079" s="98">
        <f>SUMIFS(Input!$C$115:$C$3257,Input!$A$115:$A$3257,"="&amp;'Output - County'!A1079,Input!$B$115:$B$3257,"="&amp;'Output - County'!B1079)*VLOOKUP(A1079,'Output - State'!$B$2:$G$52,5,FALSE)</f>
        <v>8.4319981832433637</v>
      </c>
      <c r="G1079" s="99">
        <f>SUMIFS(Input!$D$115:$D$3257,Input!$A$115:$A$3257,"="&amp;'Output - County'!A1079,Input!$B$115:$B$3257,"="&amp;'Output - County'!B1079)*VLOOKUP(A1079,'Output - State'!$B$2:$G$52,6,FALSE)</f>
        <v>2.7495477246688029</v>
      </c>
    </row>
    <row r="1080" spans="1:7" x14ac:dyDescent="0.25">
      <c r="A1080" s="88">
        <v>21</v>
      </c>
      <c r="B1080" s="88">
        <v>171</v>
      </c>
      <c r="C1080" s="97">
        <f>SUMIFS(Input!$C$115:$C$3257,Input!$A$115:$A$3257,"="&amp;'Output - County'!A1080,Input!$B$115:$B$3257,"="&amp;'Output - County'!B1080)*VLOOKUP(A1080,'Output - State'!$B$2:$G$52,2,FALSE)</f>
        <v>1.5947509212941948</v>
      </c>
      <c r="D1080" s="98">
        <f>SUMIFS(Input!$C$115:$C$3257,Input!$A$115:$A$3257,"="&amp;'Output - County'!A1080,Input!$B$115:$B$3257,"="&amp;'Output - County'!B1080)*VLOOKUP(A1080,'Output - State'!$B$2:$G$52,3,FALSE)</f>
        <v>0.382649545862772</v>
      </c>
      <c r="E1080" s="98">
        <f>SUMIFS(Input!$C$115:$C$3257,Input!$A$115:$A$3257,"="&amp;'Output - County'!A1080,Input!$B$115:$B$3257,"="&amp;'Output - County'!B1080)*VLOOKUP(A1080,'Output - State'!$B$2:$G$52,4,FALSE)</f>
        <v>1.8686182224831969</v>
      </c>
      <c r="F1080" s="98">
        <f>SUMIFS(Input!$C$115:$C$3257,Input!$A$115:$A$3257,"="&amp;'Output - County'!A1080,Input!$B$115:$B$3257,"="&amp;'Output - County'!B1080)*VLOOKUP(A1080,'Output - State'!$B$2:$G$52,5,FALSE)</f>
        <v>6.1266677811289751</v>
      </c>
      <c r="G1080" s="99">
        <f>SUMIFS(Input!$D$115:$D$3257,Input!$A$115:$A$3257,"="&amp;'Output - County'!A1080,Input!$B$115:$B$3257,"="&amp;'Output - County'!B1080)*VLOOKUP(A1080,'Output - State'!$B$2:$G$52,6,FALSE)</f>
        <v>2.912887193461009</v>
      </c>
    </row>
    <row r="1081" spans="1:7" x14ac:dyDescent="0.25">
      <c r="A1081" s="88">
        <v>21</v>
      </c>
      <c r="B1081" s="88">
        <v>173</v>
      </c>
      <c r="C1081" s="97">
        <f>SUMIFS(Input!$C$115:$C$3257,Input!$A$115:$A$3257,"="&amp;'Output - County'!A1081,Input!$B$115:$B$3257,"="&amp;'Output - County'!B1081)*VLOOKUP(A1081,'Output - State'!$B$2:$G$52,2,FALSE)</f>
        <v>7.1512176166183128</v>
      </c>
      <c r="D1081" s="98">
        <f>SUMIFS(Input!$C$115:$C$3257,Input!$A$115:$A$3257,"="&amp;'Output - County'!A1081,Input!$B$115:$B$3257,"="&amp;'Output - County'!B1081)*VLOOKUP(A1081,'Output - State'!$B$2:$G$52,3,FALSE)</f>
        <v>1.7158856200215655</v>
      </c>
      <c r="E1081" s="98">
        <f>SUMIFS(Input!$C$115:$C$3257,Input!$A$115:$A$3257,"="&amp;'Output - County'!A1081,Input!$B$115:$B$3257,"="&amp;'Output - County'!B1081)*VLOOKUP(A1081,'Output - State'!$B$2:$G$52,4,FALSE)</f>
        <v>8.3792994711120077</v>
      </c>
      <c r="F1081" s="98">
        <f>SUMIFS(Input!$C$115:$C$3257,Input!$A$115:$A$3257,"="&amp;'Output - County'!A1081,Input!$B$115:$B$3257,"="&amp;'Output - County'!B1081)*VLOOKUP(A1081,'Output - State'!$B$2:$G$52,5,FALSE)</f>
        <v>27.473340182817704</v>
      </c>
      <c r="G1081" s="99">
        <f>SUMIFS(Input!$D$115:$D$3257,Input!$A$115:$A$3257,"="&amp;'Output - County'!A1081,Input!$B$115:$B$3257,"="&amp;'Output - County'!B1081)*VLOOKUP(A1081,'Output - State'!$B$2:$G$52,6,FALSE)</f>
        <v>7.6497317884349867</v>
      </c>
    </row>
    <row r="1082" spans="1:7" x14ac:dyDescent="0.25">
      <c r="A1082" s="88">
        <v>21</v>
      </c>
      <c r="B1082" s="88">
        <v>175</v>
      </c>
      <c r="C1082" s="97">
        <f>SUMIFS(Input!$C$115:$C$3257,Input!$A$115:$A$3257,"="&amp;'Output - County'!A1082,Input!$B$115:$B$3257,"="&amp;'Output - County'!B1082)*VLOOKUP(A1082,'Output - State'!$B$2:$G$52,2,FALSE)</f>
        <v>2.4827377805812842</v>
      </c>
      <c r="D1082" s="98">
        <f>SUMIFS(Input!$C$115:$C$3257,Input!$A$115:$A$3257,"="&amp;'Output - County'!A1082,Input!$B$115:$B$3257,"="&amp;'Output - County'!B1082)*VLOOKUP(A1082,'Output - State'!$B$2:$G$52,3,FALSE)</f>
        <v>0.5957159024337183</v>
      </c>
      <c r="E1082" s="98">
        <f>SUMIFS(Input!$C$115:$C$3257,Input!$A$115:$A$3257,"="&amp;'Output - County'!A1082,Input!$B$115:$B$3257,"="&amp;'Output - County'!B1082)*VLOOKUP(A1082,'Output - State'!$B$2:$G$52,4,FALSE)</f>
        <v>2.9090994690736629</v>
      </c>
      <c r="F1082" s="98">
        <f>SUMIFS(Input!$C$115:$C$3257,Input!$A$115:$A$3257,"="&amp;'Output - County'!A1082,Input!$B$115:$B$3257,"="&amp;'Output - County'!B1082)*VLOOKUP(A1082,'Output - State'!$B$2:$G$52,5,FALSE)</f>
        <v>9.5381099118192338</v>
      </c>
      <c r="G1082" s="99">
        <f>SUMIFS(Input!$D$115:$D$3257,Input!$A$115:$A$3257,"="&amp;'Output - County'!A1082,Input!$B$115:$B$3257,"="&amp;'Output - County'!B1082)*VLOOKUP(A1082,'Output - State'!$B$2:$G$52,6,FALSE)</f>
        <v>3.6479148030259365</v>
      </c>
    </row>
    <row r="1083" spans="1:7" x14ac:dyDescent="0.25">
      <c r="A1083" s="88">
        <v>21</v>
      </c>
      <c r="B1083" s="88">
        <v>177</v>
      </c>
      <c r="C1083" s="97">
        <f>SUMIFS(Input!$C$115:$C$3257,Input!$A$115:$A$3257,"="&amp;'Output - County'!A1083,Input!$B$115:$B$3257,"="&amp;'Output - County'!B1083)*VLOOKUP(A1083,'Output - State'!$B$2:$G$52,2,FALSE)</f>
        <v>7.1064380659548458</v>
      </c>
      <c r="D1083" s="98">
        <f>SUMIFS(Input!$C$115:$C$3257,Input!$A$115:$A$3257,"="&amp;'Output - County'!A1083,Input!$B$115:$B$3257,"="&amp;'Output - County'!B1083)*VLOOKUP(A1083,'Output - State'!$B$2:$G$52,3,FALSE)</f>
        <v>1.7051410739632953</v>
      </c>
      <c r="E1083" s="98">
        <f>SUMIFS(Input!$C$115:$C$3257,Input!$A$115:$A$3257,"="&amp;'Output - County'!A1083,Input!$B$115:$B$3257,"="&amp;'Output - County'!B1083)*VLOOKUP(A1083,'Output - State'!$B$2:$G$52,4,FALSE)</f>
        <v>8.3268299078422423</v>
      </c>
      <c r="F1083" s="98">
        <f>SUMIFS(Input!$C$115:$C$3257,Input!$A$115:$A$3257,"="&amp;'Output - County'!A1083,Input!$B$115:$B$3257,"="&amp;'Output - County'!B1083)*VLOOKUP(A1083,'Output - State'!$B$2:$G$52,5,FALSE)</f>
        <v>27.301307405385195</v>
      </c>
      <c r="G1083" s="99">
        <f>SUMIFS(Input!$D$115:$D$3257,Input!$A$115:$A$3257,"="&amp;'Output - County'!A1083,Input!$B$115:$B$3257,"="&amp;'Output - County'!B1083)*VLOOKUP(A1083,'Output - State'!$B$2:$G$52,6,FALSE)</f>
        <v>8.3847593979999129</v>
      </c>
    </row>
    <row r="1084" spans="1:7" x14ac:dyDescent="0.25">
      <c r="A1084" s="88">
        <v>21</v>
      </c>
      <c r="B1084" s="88">
        <v>179</v>
      </c>
      <c r="C1084" s="97">
        <f>SUMIFS(Input!$C$115:$C$3257,Input!$A$115:$A$3257,"="&amp;'Output - County'!A1084,Input!$B$115:$B$3257,"="&amp;'Output - County'!B1084)*VLOOKUP(A1084,'Output - State'!$B$2:$G$52,2,FALSE)</f>
        <v>12.188727611723376</v>
      </c>
      <c r="D1084" s="98">
        <f>SUMIFS(Input!$C$115:$C$3257,Input!$A$115:$A$3257,"="&amp;'Output - County'!A1084,Input!$B$115:$B$3257,"="&amp;'Output - County'!B1084)*VLOOKUP(A1084,'Output - State'!$B$2:$G$52,3,FALSE)</f>
        <v>2.924601593260705</v>
      </c>
      <c r="E1084" s="98">
        <f>SUMIFS(Input!$C$115:$C$3257,Input!$A$115:$A$3257,"="&amp;'Output - County'!A1084,Input!$B$115:$B$3257,"="&amp;'Output - County'!B1084)*VLOOKUP(A1084,'Output - State'!$B$2:$G$52,4,FALSE)</f>
        <v>14.281903349312273</v>
      </c>
      <c r="F1084" s="98">
        <f>SUMIFS(Input!$C$115:$C$3257,Input!$A$115:$A$3257,"="&amp;'Output - County'!A1084,Input!$B$115:$B$3257,"="&amp;'Output - County'!B1084)*VLOOKUP(A1084,'Output - State'!$B$2:$G$52,5,FALSE)</f>
        <v>46.82629980304408</v>
      </c>
      <c r="G1084" s="99">
        <f>SUMIFS(Input!$D$115:$D$3257,Input!$A$115:$A$3257,"="&amp;'Output - County'!A1084,Input!$B$115:$B$3257,"="&amp;'Output - County'!B1084)*VLOOKUP(A1084,'Output - State'!$B$2:$G$52,6,FALSE)</f>
        <v>12.468246117805066</v>
      </c>
    </row>
    <row r="1085" spans="1:7" x14ac:dyDescent="0.25">
      <c r="A1085" s="88">
        <v>21</v>
      </c>
      <c r="B1085" s="88">
        <v>181</v>
      </c>
      <c r="C1085" s="97">
        <f>SUMIFS(Input!$C$115:$C$3257,Input!$A$115:$A$3257,"="&amp;'Output - County'!A1085,Input!$B$115:$B$3257,"="&amp;'Output - County'!B1085)*VLOOKUP(A1085,'Output - State'!$B$2:$G$52,2,FALSE)</f>
        <v>1.337566487077765</v>
      </c>
      <c r="D1085" s="98">
        <f>SUMIFS(Input!$C$115:$C$3257,Input!$A$115:$A$3257,"="&amp;'Output - County'!A1085,Input!$B$115:$B$3257,"="&amp;'Output - County'!B1085)*VLOOKUP(A1085,'Output - State'!$B$2:$G$52,3,FALSE)</f>
        <v>0.32093990478852419</v>
      </c>
      <c r="E1085" s="98">
        <f>SUMIFS(Input!$C$115:$C$3257,Input!$A$115:$A$3257,"="&amp;'Output - County'!A1085,Input!$B$115:$B$3257,"="&amp;'Output - County'!B1085)*VLOOKUP(A1085,'Output - State'!$B$2:$G$52,4,FALSE)</f>
        <v>1.5672673883818784</v>
      </c>
      <c r="F1085" s="98">
        <f>SUMIFS(Input!$C$115:$C$3257,Input!$A$115:$A$3257,"="&amp;'Output - County'!A1085,Input!$B$115:$B$3257,"="&amp;'Output - County'!B1085)*VLOOKUP(A1085,'Output - State'!$B$2:$G$52,5,FALSE)</f>
        <v>5.1386240898652868</v>
      </c>
      <c r="G1085" s="99">
        <f>SUMIFS(Input!$D$115:$D$3257,Input!$A$115:$A$3257,"="&amp;'Output - County'!A1085,Input!$B$115:$B$3257,"="&amp;'Output - County'!B1085)*VLOOKUP(A1085,'Output - State'!$B$2:$G$52,6,FALSE)</f>
        <v>1.9600736255064732</v>
      </c>
    </row>
    <row r="1086" spans="1:7" x14ac:dyDescent="0.25">
      <c r="A1086" s="88">
        <v>21</v>
      </c>
      <c r="B1086" s="88">
        <v>183</v>
      </c>
      <c r="C1086" s="97">
        <f>SUMIFS(Input!$C$115:$C$3257,Input!$A$115:$A$3257,"="&amp;'Output - County'!A1086,Input!$B$115:$B$3257,"="&amp;'Output - County'!B1086)*VLOOKUP(A1086,'Output - State'!$B$2:$G$52,2,FALSE)</f>
        <v>7.3962952021536728</v>
      </c>
      <c r="D1086" s="98">
        <f>SUMIFS(Input!$C$115:$C$3257,Input!$A$115:$A$3257,"="&amp;'Output - County'!A1086,Input!$B$115:$B$3257,"="&amp;'Output - County'!B1086)*VLOOKUP(A1086,'Output - State'!$B$2:$G$52,3,FALSE)</f>
        <v>1.7746903057903911</v>
      </c>
      <c r="E1086" s="98">
        <f>SUMIFS(Input!$C$115:$C$3257,Input!$A$115:$A$3257,"="&amp;'Output - County'!A1086,Input!$B$115:$B$3257,"="&amp;'Output - County'!B1086)*VLOOKUP(A1086,'Output - State'!$B$2:$G$52,4,FALSE)</f>
        <v>8.6664643419006779</v>
      </c>
      <c r="F1086" s="98">
        <f>SUMIFS(Input!$C$115:$C$3257,Input!$A$115:$A$3257,"="&amp;'Output - County'!A1086,Input!$B$115:$B$3257,"="&amp;'Output - County'!B1086)*VLOOKUP(A1086,'Output - State'!$B$2:$G$52,5,FALSE)</f>
        <v>28.414872134376541</v>
      </c>
      <c r="G1086" s="99">
        <f>SUMIFS(Input!$D$115:$D$3257,Input!$A$115:$A$3257,"="&amp;'Output - County'!A1086,Input!$B$115:$B$3257,"="&amp;'Output - County'!B1086)*VLOOKUP(A1086,'Output - State'!$B$2:$G$52,6,FALSE)</f>
        <v>6.5608019964869451</v>
      </c>
    </row>
    <row r="1087" spans="1:7" x14ac:dyDescent="0.25">
      <c r="A1087" s="88">
        <v>21</v>
      </c>
      <c r="B1087" s="88">
        <v>185</v>
      </c>
      <c r="C1087" s="97">
        <f>SUMIFS(Input!$C$115:$C$3257,Input!$A$115:$A$3257,"="&amp;'Output - County'!A1087,Input!$B$115:$B$3257,"="&amp;'Output - County'!B1087)*VLOOKUP(A1087,'Output - State'!$B$2:$G$52,2,FALSE)</f>
        <v>15.210973399428568</v>
      </c>
      <c r="D1087" s="98">
        <f>SUMIFS(Input!$C$115:$C$3257,Input!$A$115:$A$3257,"="&amp;'Output - County'!A1087,Input!$B$115:$B$3257,"="&amp;'Output - County'!B1087)*VLOOKUP(A1087,'Output - State'!$B$2:$G$52,3,FALSE)</f>
        <v>3.6497687417534364</v>
      </c>
      <c r="E1087" s="98">
        <f>SUMIFS(Input!$C$115:$C$3257,Input!$A$115:$A$3257,"="&amp;'Output - County'!A1087,Input!$B$115:$B$3257,"="&amp;'Output - County'!B1087)*VLOOKUP(A1087,'Output - State'!$B$2:$G$52,4,FALSE)</f>
        <v>17.823160781003192</v>
      </c>
      <c r="F1087" s="98">
        <f>SUMIFS(Input!$C$115:$C$3257,Input!$A$115:$A$3257,"="&amp;'Output - County'!A1087,Input!$B$115:$B$3257,"="&amp;'Output - County'!B1087)*VLOOKUP(A1087,'Output - State'!$B$2:$G$52,5,FALSE)</f>
        <v>58.437075910424888</v>
      </c>
      <c r="G1087" s="99">
        <f>SUMIFS(Input!$D$115:$D$3257,Input!$A$115:$A$3257,"="&amp;'Output - County'!A1087,Input!$B$115:$B$3257,"="&amp;'Output - County'!B1087)*VLOOKUP(A1087,'Output - State'!$B$2:$G$52,6,FALSE)</f>
        <v>18.103457791136179</v>
      </c>
    </row>
    <row r="1088" spans="1:7" x14ac:dyDescent="0.25">
      <c r="A1088" s="88">
        <v>21</v>
      </c>
      <c r="B1088" s="88">
        <v>187</v>
      </c>
      <c r="C1088" s="97">
        <f>SUMIFS(Input!$C$115:$C$3257,Input!$A$115:$A$3257,"="&amp;'Output - County'!A1088,Input!$B$115:$B$3257,"="&amp;'Output - County'!B1088)*VLOOKUP(A1088,'Output - State'!$B$2:$G$52,2,FALSE)</f>
        <v>1.8555529806767468</v>
      </c>
      <c r="D1088" s="98">
        <f>SUMIFS(Input!$C$115:$C$3257,Input!$A$115:$A$3257,"="&amp;'Output - County'!A1088,Input!$B$115:$B$3257,"="&amp;'Output - County'!B1088)*VLOOKUP(A1088,'Output - State'!$B$2:$G$52,3,FALSE)</f>
        <v>0.44522721128391601</v>
      </c>
      <c r="E1088" s="98">
        <f>SUMIFS(Input!$C$115:$C$3257,Input!$A$115:$A$3257,"="&amp;'Output - County'!A1088,Input!$B$115:$B$3257,"="&amp;'Output - County'!B1088)*VLOOKUP(A1088,'Output - State'!$B$2:$G$52,4,FALSE)</f>
        <v>2.1742079381661257</v>
      </c>
      <c r="F1088" s="98">
        <f>SUMIFS(Input!$C$115:$C$3257,Input!$A$115:$A$3257,"="&amp;'Output - County'!A1088,Input!$B$115:$B$3257,"="&amp;'Output - County'!B1088)*VLOOKUP(A1088,'Output - State'!$B$2:$G$52,5,FALSE)</f>
        <v>7.1286095597074501</v>
      </c>
      <c r="G1088" s="99">
        <f>SUMIFS(Input!$D$115:$D$3257,Input!$A$115:$A$3257,"="&amp;'Output - County'!A1088,Input!$B$115:$B$3257,"="&amp;'Output - County'!B1088)*VLOOKUP(A1088,'Output - State'!$B$2:$G$52,6,FALSE)</f>
        <v>2.9673336830584112</v>
      </c>
    </row>
    <row r="1089" spans="1:7" x14ac:dyDescent="0.25">
      <c r="A1089" s="88">
        <v>21</v>
      </c>
      <c r="B1089" s="88">
        <v>189</v>
      </c>
      <c r="C1089" s="97">
        <f>SUMIFS(Input!$C$115:$C$3257,Input!$A$115:$A$3257,"="&amp;'Output - County'!A1089,Input!$B$115:$B$3257,"="&amp;'Output - County'!B1089)*VLOOKUP(A1089,'Output - State'!$B$2:$G$52,2,FALSE)</f>
        <v>0.65024626288878706</v>
      </c>
      <c r="D1089" s="98">
        <f>SUMIFS(Input!$C$115:$C$3257,Input!$A$115:$A$3257,"="&amp;'Output - County'!A1089,Input!$B$115:$B$3257,"="&amp;'Output - County'!B1089)*VLOOKUP(A1089,'Output - State'!$B$2:$G$52,3,FALSE)</f>
        <v>0.15602213102434578</v>
      </c>
      <c r="E1089" s="98">
        <f>SUMIFS(Input!$C$115:$C$3257,Input!$A$115:$A$3257,"="&amp;'Output - County'!A1089,Input!$B$115:$B$3257,"="&amp;'Output - County'!B1089)*VLOOKUP(A1089,'Output - State'!$B$2:$G$52,4,FALSE)</f>
        <v>0.76191334942106348</v>
      </c>
      <c r="F1089" s="98">
        <f>SUMIFS(Input!$C$115:$C$3257,Input!$A$115:$A$3257,"="&amp;'Output - County'!A1089,Input!$B$115:$B$3257,"="&amp;'Output - County'!B1089)*VLOOKUP(A1089,'Output - State'!$B$2:$G$52,5,FALSE)</f>
        <v>2.4980972109470416</v>
      </c>
      <c r="G1089" s="99">
        <f>SUMIFS(Input!$D$115:$D$3257,Input!$A$115:$A$3257,"="&amp;'Output - County'!A1089,Input!$B$115:$B$3257,"="&amp;'Output - County'!B1089)*VLOOKUP(A1089,'Output - State'!$B$2:$G$52,6,FALSE)</f>
        <v>1.2168790425019356</v>
      </c>
    </row>
    <row r="1090" spans="1:7" x14ac:dyDescent="0.25">
      <c r="A1090" s="88">
        <v>21</v>
      </c>
      <c r="B1090" s="88">
        <v>191</v>
      </c>
      <c r="C1090" s="97">
        <f>SUMIFS(Input!$C$115:$C$3257,Input!$A$115:$A$3257,"="&amp;'Output - County'!A1090,Input!$B$115:$B$3257,"="&amp;'Output - County'!B1090)*VLOOKUP(A1090,'Output - State'!$B$2:$G$52,2,FALSE)</f>
        <v>2.0350228460232134</v>
      </c>
      <c r="D1090" s="98">
        <f>SUMIFS(Input!$C$115:$C$3257,Input!$A$115:$A$3257,"="&amp;'Output - County'!A1090,Input!$B$115:$B$3257,"="&amp;'Output - County'!B1090)*VLOOKUP(A1090,'Output - State'!$B$2:$G$52,3,FALSE)</f>
        <v>0.48828977456818545</v>
      </c>
      <c r="E1090" s="98">
        <f>SUMIFS(Input!$C$115:$C$3257,Input!$A$115:$A$3257,"="&amp;'Output - County'!A1090,Input!$B$115:$B$3257,"="&amp;'Output - County'!B1090)*VLOOKUP(A1090,'Output - State'!$B$2:$G$52,4,FALSE)</f>
        <v>2.3844982451319661</v>
      </c>
      <c r="F1090" s="98">
        <f>SUMIFS(Input!$C$115:$C$3257,Input!$A$115:$A$3257,"="&amp;'Output - County'!A1090,Input!$B$115:$B$3257,"="&amp;'Output - County'!B1090)*VLOOKUP(A1090,'Output - State'!$B$2:$G$52,5,FALSE)</f>
        <v>7.8180916769583551</v>
      </c>
      <c r="G1090" s="99">
        <f>SUMIFS(Input!$D$115:$D$3257,Input!$A$115:$A$3257,"="&amp;'Output - County'!A1090,Input!$B$115:$B$3257,"="&amp;'Output - County'!B1090)*VLOOKUP(A1090,'Output - State'!$B$2:$G$52,6,FALSE)</f>
        <v>3.9745937406103486</v>
      </c>
    </row>
    <row r="1091" spans="1:7" x14ac:dyDescent="0.25">
      <c r="A1091" s="88">
        <v>21</v>
      </c>
      <c r="B1091" s="88">
        <v>193</v>
      </c>
      <c r="C1091" s="97">
        <f>SUMIFS(Input!$C$115:$C$3257,Input!$A$115:$A$3257,"="&amp;'Output - County'!A1091,Input!$B$115:$B$3257,"="&amp;'Output - County'!B1091)*VLOOKUP(A1091,'Output - State'!$B$2:$G$52,2,FALSE)</f>
        <v>6.7780993951703277</v>
      </c>
      <c r="D1091" s="98">
        <f>SUMIFS(Input!$C$115:$C$3257,Input!$A$115:$A$3257,"="&amp;'Output - County'!A1091,Input!$B$115:$B$3257,"="&amp;'Output - County'!B1091)*VLOOKUP(A1091,'Output - State'!$B$2:$G$52,3,FALSE)</f>
        <v>1.6263584618404427</v>
      </c>
      <c r="E1091" s="98">
        <f>SUMIFS(Input!$C$115:$C$3257,Input!$A$115:$A$3257,"="&amp;'Output - County'!A1091,Input!$B$115:$B$3257,"="&amp;'Output - County'!B1091)*VLOOKUP(A1091,'Output - State'!$B$2:$G$52,4,FALSE)</f>
        <v>7.9421054877579111</v>
      </c>
      <c r="F1091" s="98">
        <f>SUMIFS(Input!$C$115:$C$3257,Input!$A$115:$A$3257,"="&amp;'Output - County'!A1091,Input!$B$115:$B$3257,"="&amp;'Output - County'!B1091)*VLOOKUP(A1091,'Output - State'!$B$2:$G$52,5,FALSE)</f>
        <v>26.039905434247455</v>
      </c>
      <c r="G1091" s="99">
        <f>SUMIFS(Input!$D$115:$D$3257,Input!$A$115:$A$3257,"="&amp;'Output - County'!A1091,Input!$B$115:$B$3257,"="&amp;'Output - County'!B1091)*VLOOKUP(A1091,'Output - State'!$B$2:$G$52,6,FALSE)</f>
        <v>7.1324901372596674</v>
      </c>
    </row>
    <row r="1092" spans="1:7" x14ac:dyDescent="0.25">
      <c r="A1092" s="88">
        <v>21</v>
      </c>
      <c r="B1092" s="88">
        <v>195</v>
      </c>
      <c r="C1092" s="97">
        <f>SUMIFS(Input!$C$115:$C$3257,Input!$A$115:$A$3257,"="&amp;'Output - County'!A1092,Input!$B$115:$B$3257,"="&amp;'Output - County'!B1092)*VLOOKUP(A1092,'Output - State'!$B$2:$G$52,2,FALSE)</f>
        <v>13.801448848673997</v>
      </c>
      <c r="D1092" s="98">
        <f>SUMIFS(Input!$C$115:$C$3257,Input!$A$115:$A$3257,"="&amp;'Output - County'!A1092,Input!$B$115:$B$3257,"="&amp;'Output - County'!B1092)*VLOOKUP(A1092,'Output - State'!$B$2:$G$52,3,FALSE)</f>
        <v>3.3115629931146713</v>
      </c>
      <c r="E1092" s="98">
        <f>SUMIFS(Input!$C$115:$C$3257,Input!$A$115:$A$3257,"="&amp;'Output - County'!A1092,Input!$B$115:$B$3257,"="&amp;'Output - County'!B1092)*VLOOKUP(A1092,'Output - State'!$B$2:$G$52,4,FALSE)</f>
        <v>16.171577937934533</v>
      </c>
      <c r="F1092" s="98">
        <f>SUMIFS(Input!$C$115:$C$3257,Input!$A$115:$A$3257,"="&amp;'Output - County'!A1092,Input!$B$115:$B$3257,"="&amp;'Output - County'!B1092)*VLOOKUP(A1092,'Output - State'!$B$2:$G$52,5,FALSE)</f>
        <v>53.022005421040781</v>
      </c>
      <c r="G1092" s="99">
        <f>SUMIFS(Input!$D$115:$D$3257,Input!$A$115:$A$3257,"="&amp;'Output - County'!A1092,Input!$B$115:$B$3257,"="&amp;'Output - County'!B1092)*VLOOKUP(A1092,'Output - State'!$B$2:$G$52,6,FALSE)</f>
        <v>15.925598207240096</v>
      </c>
    </row>
    <row r="1093" spans="1:7" x14ac:dyDescent="0.25">
      <c r="A1093" s="88">
        <v>21</v>
      </c>
      <c r="B1093" s="88">
        <v>197</v>
      </c>
      <c r="C1093" s="97">
        <f>SUMIFS(Input!$C$115:$C$3257,Input!$A$115:$A$3257,"="&amp;'Output - County'!A1093,Input!$B$115:$B$3257,"="&amp;'Output - County'!B1093)*VLOOKUP(A1093,'Output - State'!$B$2:$G$52,2,FALSE)</f>
        <v>3.7725719803576099</v>
      </c>
      <c r="D1093" s="98">
        <f>SUMIFS(Input!$C$115:$C$3257,Input!$A$115:$A$3257,"="&amp;'Output - County'!A1093,Input!$B$115:$B$3257,"="&amp;'Output - County'!B1093)*VLOOKUP(A1093,'Output - State'!$B$2:$G$52,3,FALSE)</f>
        <v>0.90520277225922474</v>
      </c>
      <c r="E1093" s="98">
        <f>SUMIFS(Input!$C$115:$C$3257,Input!$A$115:$A$3257,"="&amp;'Output - County'!A1093,Input!$B$115:$B$3257,"="&amp;'Output - County'!B1093)*VLOOKUP(A1093,'Output - State'!$B$2:$G$52,4,FALSE)</f>
        <v>4.420437482741721</v>
      </c>
      <c r="F1093" s="98">
        <f>SUMIFS(Input!$C$115:$C$3257,Input!$A$115:$A$3257,"="&amp;'Output - County'!A1093,Input!$B$115:$B$3257,"="&amp;'Output - County'!B1093)*VLOOKUP(A1093,'Output - State'!$B$2:$G$52,5,FALSE)</f>
        <v>14.493357486377668</v>
      </c>
      <c r="G1093" s="99">
        <f>SUMIFS(Input!$D$115:$D$3257,Input!$A$115:$A$3257,"="&amp;'Output - County'!A1093,Input!$B$115:$B$3257,"="&amp;'Output - County'!B1093)*VLOOKUP(A1093,'Output - State'!$B$2:$G$52,6,FALSE)</f>
        <v>3.3756823550389261</v>
      </c>
    </row>
    <row r="1094" spans="1:7" x14ac:dyDescent="0.25">
      <c r="A1094" s="88">
        <v>21</v>
      </c>
      <c r="B1094" s="88">
        <v>199</v>
      </c>
      <c r="C1094" s="97">
        <f>SUMIFS(Input!$C$115:$C$3257,Input!$A$115:$A$3257,"="&amp;'Output - County'!A1094,Input!$B$115:$B$3257,"="&amp;'Output - County'!B1094)*VLOOKUP(A1094,'Output - State'!$B$2:$G$52,2,FALSE)</f>
        <v>14.600537489658553</v>
      </c>
      <c r="D1094" s="98">
        <f>SUMIFS(Input!$C$115:$C$3257,Input!$A$115:$A$3257,"="&amp;'Output - County'!A1094,Input!$B$115:$B$3257,"="&amp;'Output - County'!B1094)*VLOOKUP(A1094,'Output - State'!$B$2:$G$52,3,FALSE)</f>
        <v>3.5032988319180727</v>
      </c>
      <c r="E1094" s="98">
        <f>SUMIFS(Input!$C$115:$C$3257,Input!$A$115:$A$3257,"="&amp;'Output - County'!A1094,Input!$B$115:$B$3257,"="&amp;'Output - County'!B1094)*VLOOKUP(A1094,'Output - State'!$B$2:$G$52,4,FALSE)</f>
        <v>17.107894434752289</v>
      </c>
      <c r="F1094" s="98">
        <f>SUMIFS(Input!$C$115:$C$3257,Input!$A$115:$A$3257,"="&amp;'Output - County'!A1094,Input!$B$115:$B$3257,"="&amp;'Output - County'!B1094)*VLOOKUP(A1094,'Output - State'!$B$2:$G$52,5,FALSE)</f>
        <v>56.091920958078468</v>
      </c>
      <c r="G1094" s="99">
        <f>SUMIFS(Input!$D$115:$D$3257,Input!$A$115:$A$3257,"="&amp;'Output - County'!A1094,Input!$B$115:$B$3257,"="&amp;'Output - County'!B1094)*VLOOKUP(A1094,'Output - State'!$B$2:$G$52,6,FALSE)</f>
        <v>17.586216139960857</v>
      </c>
    </row>
    <row r="1095" spans="1:7" x14ac:dyDescent="0.25">
      <c r="A1095" s="88">
        <v>21</v>
      </c>
      <c r="B1095" s="88">
        <v>201</v>
      </c>
      <c r="C1095" s="97">
        <f>SUMIFS(Input!$C$115:$C$3257,Input!$A$115:$A$3257,"="&amp;'Output - County'!A1095,Input!$B$115:$B$3257,"="&amp;'Output - County'!B1095)*VLOOKUP(A1095,'Output - State'!$B$2:$G$52,2,FALSE)</f>
        <v>0.288794539388052</v>
      </c>
      <c r="D1095" s="98">
        <f>SUMIFS(Input!$C$115:$C$3257,Input!$A$115:$A$3257,"="&amp;'Output - County'!A1095,Input!$B$115:$B$3257,"="&amp;'Output - County'!B1095)*VLOOKUP(A1095,'Output - State'!$B$2:$G$52,3,FALSE)</f>
        <v>6.9294269010239065E-2</v>
      </c>
      <c r="E1095" s="98">
        <f>SUMIFS(Input!$C$115:$C$3257,Input!$A$115:$A$3257,"="&amp;'Output - County'!A1095,Input!$B$115:$B$3257,"="&amp;'Output - County'!B1095)*VLOOKUP(A1095,'Output - State'!$B$2:$G$52,4,FALSE)</f>
        <v>0.33838935701395523</v>
      </c>
      <c r="F1095" s="98">
        <f>SUMIFS(Input!$C$115:$C$3257,Input!$A$115:$A$3257,"="&amp;'Output - County'!A1095,Input!$B$115:$B$3257,"="&amp;'Output - County'!B1095)*VLOOKUP(A1095,'Output - State'!$B$2:$G$52,5,FALSE)</f>
        <v>1.1094824754193429</v>
      </c>
      <c r="G1095" s="99">
        <f>SUMIFS(Input!$D$115:$D$3257,Input!$A$115:$A$3257,"="&amp;'Output - County'!A1095,Input!$B$115:$B$3257,"="&amp;'Output - County'!B1095)*VLOOKUP(A1095,'Output - State'!$B$2:$G$52,6,FALSE)</f>
        <v>0.57985511421233171</v>
      </c>
    </row>
    <row r="1096" spans="1:7" x14ac:dyDescent="0.25">
      <c r="A1096" s="88">
        <v>21</v>
      </c>
      <c r="B1096" s="88">
        <v>203</v>
      </c>
      <c r="C1096" s="97">
        <f>SUMIFS(Input!$C$115:$C$3257,Input!$A$115:$A$3257,"="&amp;'Output - County'!A1096,Input!$B$115:$B$3257,"="&amp;'Output - County'!B1096)*VLOOKUP(A1096,'Output - State'!$B$2:$G$52,2,FALSE)</f>
        <v>11.156275256631135</v>
      </c>
      <c r="D1096" s="98">
        <f>SUMIFS(Input!$C$115:$C$3257,Input!$A$115:$A$3257,"="&amp;'Output - County'!A1096,Input!$B$115:$B$3257,"="&amp;'Output - County'!B1096)*VLOOKUP(A1096,'Output - State'!$B$2:$G$52,3,FALSE)</f>
        <v>2.6768717317972079</v>
      </c>
      <c r="E1096" s="98">
        <f>SUMIFS(Input!$C$115:$C$3257,Input!$A$115:$A$3257,"="&amp;'Output - County'!A1096,Input!$B$115:$B$3257,"="&amp;'Output - County'!B1096)*VLOOKUP(A1096,'Output - State'!$B$2:$G$52,4,FALSE)</f>
        <v>13.072147481602606</v>
      </c>
      <c r="F1096" s="98">
        <f>SUMIFS(Input!$C$115:$C$3257,Input!$A$115:$A$3257,"="&amp;'Output - County'!A1096,Input!$B$115:$B$3257,"="&amp;'Output - County'!B1096)*VLOOKUP(A1096,'Output - State'!$B$2:$G$52,5,FALSE)</f>
        <v>42.859854325551581</v>
      </c>
      <c r="G1096" s="99">
        <f>SUMIFS(Input!$D$115:$D$3257,Input!$A$115:$A$3257,"="&amp;'Output - County'!A1096,Input!$B$115:$B$3257,"="&amp;'Output - County'!B1096)*VLOOKUP(A1096,'Output - State'!$B$2:$G$52,6,FALSE)</f>
        <v>4.5735051261817707</v>
      </c>
    </row>
    <row r="1097" spans="1:7" x14ac:dyDescent="0.25">
      <c r="A1097" s="88">
        <v>21</v>
      </c>
      <c r="B1097" s="88">
        <v>205</v>
      </c>
      <c r="C1097" s="97">
        <f>SUMIFS(Input!$C$115:$C$3257,Input!$A$115:$A$3257,"="&amp;'Output - County'!A1097,Input!$B$115:$B$3257,"="&amp;'Output - County'!B1097)*VLOOKUP(A1097,'Output - State'!$B$2:$G$52,2,FALSE)</f>
        <v>6.5867258046296442</v>
      </c>
      <c r="D1097" s="98">
        <f>SUMIFS(Input!$C$115:$C$3257,Input!$A$115:$A$3257,"="&amp;'Output - County'!A1097,Input!$B$115:$B$3257,"="&amp;'Output - County'!B1097)*VLOOKUP(A1097,'Output - State'!$B$2:$G$52,3,FALSE)</f>
        <v>1.5804396813382857</v>
      </c>
      <c r="E1097" s="98">
        <f>SUMIFS(Input!$C$115:$C$3257,Input!$A$115:$A$3257,"="&amp;'Output - County'!A1097,Input!$B$115:$B$3257,"="&amp;'Output - County'!B1097)*VLOOKUP(A1097,'Output - State'!$B$2:$G$52,4,FALSE)</f>
        <v>7.7178672234550749</v>
      </c>
      <c r="F1097" s="98">
        <f>SUMIFS(Input!$C$115:$C$3257,Input!$A$115:$A$3257,"="&amp;'Output - County'!A1097,Input!$B$115:$B$3257,"="&amp;'Output - County'!B1097)*VLOOKUP(A1097,'Output - State'!$B$2:$G$52,5,FALSE)</f>
        <v>25.304691931205195</v>
      </c>
      <c r="G1097" s="99">
        <f>SUMIFS(Input!$D$115:$D$3257,Input!$A$115:$A$3257,"="&amp;'Output - County'!A1097,Input!$B$115:$B$3257,"="&amp;'Output - County'!B1097)*VLOOKUP(A1097,'Output - State'!$B$2:$G$52,6,FALSE)</f>
        <v>6.6696949756817494</v>
      </c>
    </row>
    <row r="1098" spans="1:7" x14ac:dyDescent="0.25">
      <c r="A1098" s="88">
        <v>21</v>
      </c>
      <c r="B1098" s="88">
        <v>207</v>
      </c>
      <c r="C1098" s="97">
        <f>SUMIFS(Input!$C$115:$C$3257,Input!$A$115:$A$3257,"="&amp;'Output - County'!A1098,Input!$B$115:$B$3257,"="&amp;'Output - County'!B1098)*VLOOKUP(A1098,'Output - State'!$B$2:$G$52,2,FALSE)</f>
        <v>3.3134017309217674</v>
      </c>
      <c r="D1098" s="98">
        <f>SUMIFS(Input!$C$115:$C$3257,Input!$A$115:$A$3257,"="&amp;'Output - County'!A1098,Input!$B$115:$B$3257,"="&amp;'Output - County'!B1098)*VLOOKUP(A1098,'Output - State'!$B$2:$G$52,3,FALSE)</f>
        <v>0.79502802015578455</v>
      </c>
      <c r="E1098" s="98">
        <f>SUMIFS(Input!$C$115:$C$3257,Input!$A$115:$A$3257,"="&amp;'Output - County'!A1098,Input!$B$115:$B$3257,"="&amp;'Output - County'!B1098)*VLOOKUP(A1098,'Output - State'!$B$2:$G$52,4,FALSE)</f>
        <v>3.8824137174871054</v>
      </c>
      <c r="F1098" s="98">
        <f>SUMIFS(Input!$C$115:$C$3257,Input!$A$115:$A$3257,"="&amp;'Output - County'!A1098,Input!$B$115:$B$3257,"="&amp;'Output - County'!B1098)*VLOOKUP(A1098,'Output - State'!$B$2:$G$52,5,FALSE)</f>
        <v>12.729330555458239</v>
      </c>
      <c r="G1098" s="99">
        <f>SUMIFS(Input!$D$115:$D$3257,Input!$A$115:$A$3257,"="&amp;'Output - County'!A1098,Input!$B$115:$B$3257,"="&amp;'Output - County'!B1098)*VLOOKUP(A1098,'Output - State'!$B$2:$G$52,6,FALSE)</f>
        <v>4.8457375741687807</v>
      </c>
    </row>
    <row r="1099" spans="1:7" x14ac:dyDescent="0.25">
      <c r="A1099" s="88">
        <v>21</v>
      </c>
      <c r="B1099" s="88">
        <v>209</v>
      </c>
      <c r="C1099" s="97">
        <f>SUMIFS(Input!$C$115:$C$3257,Input!$A$115:$A$3257,"="&amp;'Output - County'!A1099,Input!$B$115:$B$3257,"="&amp;'Output - County'!B1099)*VLOOKUP(A1099,'Output - State'!$B$2:$G$52,2,FALSE)</f>
        <v>18.700855109656871</v>
      </c>
      <c r="D1099" s="98">
        <f>SUMIFS(Input!$C$115:$C$3257,Input!$A$115:$A$3257,"="&amp;'Output - County'!A1099,Input!$B$115:$B$3257,"="&amp;'Output - County'!B1099)*VLOOKUP(A1099,'Output - State'!$B$2:$G$52,3,FALSE)</f>
        <v>4.4871419225445353</v>
      </c>
      <c r="E1099" s="98">
        <f>SUMIFS(Input!$C$115:$C$3257,Input!$A$115:$A$3257,"="&amp;'Output - County'!A1099,Input!$B$115:$B$3257,"="&amp;'Output - County'!B1099)*VLOOKUP(A1099,'Output - State'!$B$2:$G$52,4,FALSE)</f>
        <v>21.912361464926427</v>
      </c>
      <c r="F1099" s="98">
        <f>SUMIFS(Input!$C$115:$C$3257,Input!$A$115:$A$3257,"="&amp;'Output - County'!A1099,Input!$B$115:$B$3257,"="&amp;'Output - County'!B1099)*VLOOKUP(A1099,'Output - State'!$B$2:$G$52,5,FALSE)</f>
        <v>71.844402125765995</v>
      </c>
      <c r="G1099" s="99">
        <f>SUMIFS(Input!$D$115:$D$3257,Input!$A$115:$A$3257,"="&amp;'Output - County'!A1099,Input!$B$115:$B$3257,"="&amp;'Output - County'!B1099)*VLOOKUP(A1099,'Output - State'!$B$2:$G$52,6,FALSE)</f>
        <v>15.245017087272569</v>
      </c>
    </row>
    <row r="1100" spans="1:7" x14ac:dyDescent="0.25">
      <c r="A1100" s="88">
        <v>21</v>
      </c>
      <c r="B1100" s="88">
        <v>211</v>
      </c>
      <c r="C1100" s="97">
        <f>SUMIFS(Input!$C$115:$C$3257,Input!$A$115:$A$3257,"="&amp;'Output - County'!A1100,Input!$B$115:$B$3257,"="&amp;'Output - County'!B1100)*VLOOKUP(A1100,'Output - State'!$B$2:$G$52,2,FALSE)</f>
        <v>16.698602630524412</v>
      </c>
      <c r="D1100" s="98">
        <f>SUMIFS(Input!$C$115:$C$3257,Input!$A$115:$A$3257,"="&amp;'Output - County'!A1100,Input!$B$115:$B$3257,"="&amp;'Output - County'!B1100)*VLOOKUP(A1100,'Output - State'!$B$2:$G$52,3,FALSE)</f>
        <v>4.0067151727541166</v>
      </c>
      <c r="E1100" s="98">
        <f>SUMIFS(Input!$C$115:$C$3257,Input!$A$115:$A$3257,"="&amp;'Output - County'!A1100,Input!$B$115:$B$3257,"="&amp;'Output - County'!B1100)*VLOOKUP(A1100,'Output - State'!$B$2:$G$52,4,FALSE)</f>
        <v>19.566261256699075</v>
      </c>
      <c r="F1100" s="98">
        <f>SUMIFS(Input!$C$115:$C$3257,Input!$A$115:$A$3257,"="&amp;'Output - County'!A1100,Input!$B$115:$B$3257,"="&amp;'Output - County'!B1100)*VLOOKUP(A1100,'Output - State'!$B$2:$G$52,5,FALSE)</f>
        <v>64.15220669274423</v>
      </c>
      <c r="G1100" s="99">
        <f>SUMIFS(Input!$D$115:$D$3257,Input!$A$115:$A$3257,"="&amp;'Output - County'!A1100,Input!$B$115:$B$3257,"="&amp;'Output - County'!B1100)*VLOOKUP(A1100,'Output - State'!$B$2:$G$52,6,FALSE)</f>
        <v>13.094380748175189</v>
      </c>
    </row>
    <row r="1101" spans="1:7" x14ac:dyDescent="0.25">
      <c r="A1101" s="88">
        <v>21</v>
      </c>
      <c r="B1101" s="88">
        <v>213</v>
      </c>
      <c r="C1101" s="97">
        <f>SUMIFS(Input!$C$115:$C$3257,Input!$A$115:$A$3257,"="&amp;'Output - County'!A1101,Input!$B$115:$B$3257,"="&amp;'Output - County'!B1101)*VLOOKUP(A1101,'Output - State'!$B$2:$G$52,2,FALSE)</f>
        <v>9.0039719915087861</v>
      </c>
      <c r="D1101" s="98">
        <f>SUMIFS(Input!$C$115:$C$3257,Input!$A$115:$A$3257,"="&amp;'Output - County'!A1101,Input!$B$115:$B$3257,"="&amp;'Output - County'!B1101)*VLOOKUP(A1101,'Output - State'!$B$2:$G$52,3,FALSE)</f>
        <v>2.1604413250414827</v>
      </c>
      <c r="E1101" s="98">
        <f>SUMIFS(Input!$C$115:$C$3257,Input!$A$115:$A$3257,"="&amp;'Output - County'!A1101,Input!$B$115:$B$3257,"="&amp;'Output - County'!B1101)*VLOOKUP(A1101,'Output - State'!$B$2:$G$52,4,FALSE)</f>
        <v>10.550228197647057</v>
      </c>
      <c r="F1101" s="98">
        <f>SUMIFS(Input!$C$115:$C$3257,Input!$A$115:$A$3257,"="&amp;'Output - County'!A1101,Input!$B$115:$B$3257,"="&amp;'Output - County'!B1101)*VLOOKUP(A1101,'Output - State'!$B$2:$G$52,5,FALSE)</f>
        <v>34.591198140081225</v>
      </c>
      <c r="G1101" s="99">
        <f>SUMIFS(Input!$D$115:$D$3257,Input!$A$115:$A$3257,"="&amp;'Output - County'!A1101,Input!$B$115:$B$3257,"="&amp;'Output - County'!B1101)*VLOOKUP(A1101,'Output - State'!$B$2:$G$52,6,FALSE)</f>
        <v>5.0090770429609872</v>
      </c>
    </row>
    <row r="1102" spans="1:7" x14ac:dyDescent="0.25">
      <c r="A1102" s="88">
        <v>21</v>
      </c>
      <c r="B1102" s="88">
        <v>215</v>
      </c>
      <c r="C1102" s="97">
        <f>SUMIFS(Input!$C$115:$C$3257,Input!$A$115:$A$3257,"="&amp;'Output - County'!A1102,Input!$B$115:$B$3257,"="&amp;'Output - County'!B1102)*VLOOKUP(A1102,'Output - State'!$B$2:$G$52,2,FALSE)</f>
        <v>2.7838654303800086</v>
      </c>
      <c r="D1102" s="98">
        <f>SUMIFS(Input!$C$115:$C$3257,Input!$A$115:$A$3257,"="&amp;'Output - County'!A1102,Input!$B$115:$B$3257,"="&amp;'Output - County'!B1102)*VLOOKUP(A1102,'Output - State'!$B$2:$G$52,3,FALSE)</f>
        <v>0.66796941669956722</v>
      </c>
      <c r="E1102" s="98">
        <f>SUMIFS(Input!$C$115:$C$3257,Input!$A$115:$A$3257,"="&amp;'Output - County'!A1102,Input!$B$115:$B$3257,"="&amp;'Output - County'!B1102)*VLOOKUP(A1102,'Output - State'!$B$2:$G$52,4,FALSE)</f>
        <v>3.2619399071596247</v>
      </c>
      <c r="F1102" s="98">
        <f>SUMIFS(Input!$C$115:$C$3257,Input!$A$115:$A$3257,"="&amp;'Output - County'!A1102,Input!$B$115:$B$3257,"="&amp;'Output - County'!B1102)*VLOOKUP(A1102,'Output - State'!$B$2:$G$52,5,FALSE)</f>
        <v>10.694973372686043</v>
      </c>
      <c r="G1102" s="99">
        <f>SUMIFS(Input!$D$115:$D$3257,Input!$A$115:$A$3257,"="&amp;'Output - County'!A1102,Input!$B$115:$B$3257,"="&amp;'Output - County'!B1102)*VLOOKUP(A1102,'Output - State'!$B$2:$G$52,6,FALSE)</f>
        <v>5.1724165117531937</v>
      </c>
    </row>
    <row r="1103" spans="1:7" x14ac:dyDescent="0.25">
      <c r="A1103" s="88">
        <v>21</v>
      </c>
      <c r="B1103" s="88">
        <v>217</v>
      </c>
      <c r="C1103" s="97">
        <f>SUMIFS(Input!$C$115:$C$3257,Input!$A$115:$A$3257,"="&amp;'Output - County'!A1103,Input!$B$115:$B$3257,"="&amp;'Output - County'!B1103)*VLOOKUP(A1103,'Output - State'!$B$2:$G$52,2,FALSE)</f>
        <v>5.0010697902874623</v>
      </c>
      <c r="D1103" s="98">
        <f>SUMIFS(Input!$C$115:$C$3257,Input!$A$115:$A$3257,"="&amp;'Output - County'!A1103,Input!$B$115:$B$3257,"="&amp;'Output - County'!B1103)*VLOOKUP(A1103,'Output - State'!$B$2:$G$52,3,FALSE)</f>
        <v>1.199972396020645</v>
      </c>
      <c r="E1103" s="98">
        <f>SUMIFS(Input!$C$115:$C$3257,Input!$A$115:$A$3257,"="&amp;'Output - County'!A1103,Input!$B$115:$B$3257,"="&amp;'Output - County'!B1103)*VLOOKUP(A1103,'Output - State'!$B$2:$G$52,4,FALSE)</f>
        <v>5.8599057804321646</v>
      </c>
      <c r="F1103" s="98">
        <f>SUMIFS(Input!$C$115:$C$3257,Input!$A$115:$A$3257,"="&amp;'Output - County'!A1103,Input!$B$115:$B$3257,"="&amp;'Output - County'!B1103)*VLOOKUP(A1103,'Output - State'!$B$2:$G$52,5,FALSE)</f>
        <v>19.212964699507005</v>
      </c>
      <c r="G1103" s="99">
        <f>SUMIFS(Input!$D$115:$D$3257,Input!$A$115:$A$3257,"="&amp;'Output - County'!A1103,Input!$B$115:$B$3257,"="&amp;'Output - County'!B1103)*VLOOKUP(A1103,'Output - State'!$B$2:$G$52,6,FALSE)</f>
        <v>6.9419274236687603</v>
      </c>
    </row>
    <row r="1104" spans="1:7" x14ac:dyDescent="0.25">
      <c r="A1104" s="88">
        <v>21</v>
      </c>
      <c r="B1104" s="88">
        <v>219</v>
      </c>
      <c r="C1104" s="97">
        <f>SUMIFS(Input!$C$115:$C$3257,Input!$A$115:$A$3257,"="&amp;'Output - County'!A1104,Input!$B$115:$B$3257,"="&amp;'Output - County'!B1104)*VLOOKUP(A1104,'Output - State'!$B$2:$G$52,2,FALSE)</f>
        <v>2.4923101820198608</v>
      </c>
      <c r="D1104" s="98">
        <f>SUMIFS(Input!$C$115:$C$3257,Input!$A$115:$A$3257,"="&amp;'Output - County'!A1104,Input!$B$115:$B$3257,"="&amp;'Output - County'!B1104)*VLOOKUP(A1104,'Output - State'!$B$2:$G$52,3,FALSE)</f>
        <v>0.5980127345059737</v>
      </c>
      <c r="E1104" s="98">
        <f>SUMIFS(Input!$C$115:$C$3257,Input!$A$115:$A$3257,"="&amp;'Output - County'!A1104,Input!$B$115:$B$3257,"="&amp;'Output - County'!B1104)*VLOOKUP(A1104,'Output - State'!$B$2:$G$52,4,FALSE)</f>
        <v>2.9203157433659093</v>
      </c>
      <c r="F1104" s="98">
        <f>SUMIFS(Input!$C$115:$C$3257,Input!$A$115:$A$3257,"="&amp;'Output - County'!A1104,Input!$B$115:$B$3257,"="&amp;'Output - County'!B1104)*VLOOKUP(A1104,'Output - State'!$B$2:$G$52,5,FALSE)</f>
        <v>9.5748848857030335</v>
      </c>
      <c r="G1104" s="99">
        <f>SUMIFS(Input!$D$115:$D$3257,Input!$A$115:$A$3257,"="&amp;'Output - County'!A1104,Input!$B$115:$B$3257,"="&amp;'Output - County'!B1104)*VLOOKUP(A1104,'Output - State'!$B$2:$G$52,6,FALSE)</f>
        <v>3.3484591102402255</v>
      </c>
    </row>
    <row r="1105" spans="1:7" x14ac:dyDescent="0.25">
      <c r="A1105" s="88">
        <v>21</v>
      </c>
      <c r="B1105" s="88">
        <v>221</v>
      </c>
      <c r="C1105" s="97">
        <f>SUMIFS(Input!$C$115:$C$3257,Input!$A$115:$A$3257,"="&amp;'Output - County'!A1105,Input!$B$115:$B$3257,"="&amp;'Output - County'!B1105)*VLOOKUP(A1105,'Output - State'!$B$2:$G$52,2,FALSE)</f>
        <v>4.9815933426885461</v>
      </c>
      <c r="D1105" s="98">
        <f>SUMIFS(Input!$C$115:$C$3257,Input!$A$115:$A$3257,"="&amp;'Output - County'!A1105,Input!$B$115:$B$3257,"="&amp;'Output - County'!B1105)*VLOOKUP(A1105,'Output - State'!$B$2:$G$52,3,FALSE)</f>
        <v>1.1952991559997537</v>
      </c>
      <c r="E1105" s="98">
        <f>SUMIFS(Input!$C$115:$C$3257,Input!$A$115:$A$3257,"="&amp;'Output - County'!A1105,Input!$B$115:$B$3257,"="&amp;'Output - County'!B1105)*VLOOKUP(A1105,'Output - State'!$B$2:$G$52,4,FALSE)</f>
        <v>5.8370846336269704</v>
      </c>
      <c r="F1105" s="98">
        <f>SUMIFS(Input!$C$115:$C$3257,Input!$A$115:$A$3257,"="&amp;'Output - County'!A1105,Input!$B$115:$B$3257,"="&amp;'Output - County'!B1105)*VLOOKUP(A1105,'Output - State'!$B$2:$G$52,5,FALSE)</f>
        <v>19.13814064867762</v>
      </c>
      <c r="G1105" s="99">
        <f>SUMIFS(Input!$D$115:$D$3257,Input!$A$115:$A$3257,"="&amp;'Output - County'!A1105,Input!$B$115:$B$3257,"="&amp;'Output - County'!B1105)*VLOOKUP(A1105,'Output - State'!$B$2:$G$52,6,FALSE)</f>
        <v>4.0018169854090493</v>
      </c>
    </row>
    <row r="1106" spans="1:7" x14ac:dyDescent="0.25">
      <c r="A1106" s="88">
        <v>21</v>
      </c>
      <c r="B1106" s="88">
        <v>223</v>
      </c>
      <c r="C1106" s="97">
        <f>SUMIFS(Input!$C$115:$C$3257,Input!$A$115:$A$3257,"="&amp;'Output - County'!A1106,Input!$B$115:$B$3257,"="&amp;'Output - County'!B1106)*VLOOKUP(A1106,'Output - State'!$B$2:$G$52,2,FALSE)</f>
        <v>1.6869883008154578</v>
      </c>
      <c r="D1106" s="98">
        <f>SUMIFS(Input!$C$115:$C$3257,Input!$A$115:$A$3257,"="&amp;'Output - County'!A1106,Input!$B$115:$B$3257,"="&amp;'Output - County'!B1106)*VLOOKUP(A1106,'Output - State'!$B$2:$G$52,3,FALSE)</f>
        <v>0.4047812724628988</v>
      </c>
      <c r="E1106" s="98">
        <f>SUMIFS(Input!$C$115:$C$3257,Input!$A$115:$A$3257,"="&amp;'Output - County'!A1106,Input!$B$115:$B$3257,"="&amp;'Output - County'!B1106)*VLOOKUP(A1106,'Output - State'!$B$2:$G$52,4,FALSE)</f>
        <v>1.9766955691497581</v>
      </c>
      <c r="F1106" s="98">
        <f>SUMIFS(Input!$C$115:$C$3257,Input!$A$115:$A$3257,"="&amp;'Output - County'!A1106,Input!$B$115:$B$3257,"="&amp;'Output - County'!B1106)*VLOOKUP(A1106,'Output - State'!$B$2:$G$52,5,FALSE)</f>
        <v>6.4810226673892597</v>
      </c>
      <c r="G1106" s="99">
        <f>SUMIFS(Input!$D$115:$D$3257,Input!$A$115:$A$3257,"="&amp;'Output - County'!A1106,Input!$B$115:$B$3257,"="&amp;'Output - County'!B1106)*VLOOKUP(A1106,'Output - State'!$B$2:$G$52,6,FALSE)</f>
        <v>2.3058088344499761</v>
      </c>
    </row>
    <row r="1107" spans="1:7" x14ac:dyDescent="0.25">
      <c r="A1107" s="88">
        <v>21</v>
      </c>
      <c r="B1107" s="88">
        <v>225</v>
      </c>
      <c r="C1107" s="97">
        <f>SUMIFS(Input!$C$115:$C$3257,Input!$A$115:$A$3257,"="&amp;'Output - County'!A1107,Input!$B$115:$B$3257,"="&amp;'Output - County'!B1107)*VLOOKUP(A1107,'Output - State'!$B$2:$G$52,2,FALSE)</f>
        <v>2.4899921134729746</v>
      </c>
      <c r="D1107" s="98">
        <f>SUMIFS(Input!$C$115:$C$3257,Input!$A$115:$A$3257,"="&amp;'Output - County'!A1107,Input!$B$115:$B$3257,"="&amp;'Output - County'!B1107)*VLOOKUP(A1107,'Output - State'!$B$2:$G$52,3,FALSE)</f>
        <v>0.59745652985677056</v>
      </c>
      <c r="E1107" s="98">
        <f>SUMIFS(Input!$C$115:$C$3257,Input!$A$115:$A$3257,"="&amp;'Output - County'!A1107,Input!$B$115:$B$3257,"="&amp;'Output - County'!B1107)*VLOOKUP(A1107,'Output - State'!$B$2:$G$52,4,FALSE)</f>
        <v>2.9175995918529432</v>
      </c>
      <c r="F1107" s="98">
        <f>SUMIFS(Input!$C$115:$C$3257,Input!$A$115:$A$3257,"="&amp;'Output - County'!A1107,Input!$B$115:$B$3257,"="&amp;'Output - County'!B1107)*VLOOKUP(A1107,'Output - State'!$B$2:$G$52,5,FALSE)</f>
        <v>9.5659793972715654</v>
      </c>
      <c r="G1107" s="99">
        <f>SUMIFS(Input!$D$115:$D$3257,Input!$A$115:$A$3257,"="&amp;'Output - County'!A1107,Input!$B$115:$B$3257,"="&amp;'Output - County'!B1107)*VLOOKUP(A1107,'Output - State'!$B$2:$G$52,6,FALSE)</f>
        <v>3.947370495811648</v>
      </c>
    </row>
    <row r="1108" spans="1:7" x14ac:dyDescent="0.25">
      <c r="A1108" s="88">
        <v>21</v>
      </c>
      <c r="B1108" s="88">
        <v>227</v>
      </c>
      <c r="C1108" s="97">
        <f>SUMIFS(Input!$C$115:$C$3257,Input!$A$115:$A$3257,"="&amp;'Output - County'!A1108,Input!$B$115:$B$3257,"="&amp;'Output - County'!B1108)*VLOOKUP(A1108,'Output - State'!$B$2:$G$52,2,FALSE)</f>
        <v>38.342061385341935</v>
      </c>
      <c r="D1108" s="98">
        <f>SUMIFS(Input!$C$115:$C$3257,Input!$A$115:$A$3257,"="&amp;'Output - County'!A1108,Input!$B$115:$B$3257,"="&amp;'Output - County'!B1108)*VLOOKUP(A1108,'Output - State'!$B$2:$G$52,3,FALSE)</f>
        <v>9.199914657918578</v>
      </c>
      <c r="E1108" s="98">
        <f>SUMIFS(Input!$C$115:$C$3257,Input!$A$115:$A$3257,"="&amp;'Output - County'!A1108,Input!$B$115:$B$3257,"="&amp;'Output - County'!B1108)*VLOOKUP(A1108,'Output - State'!$B$2:$G$52,4,FALSE)</f>
        <v>44.92656102940235</v>
      </c>
      <c r="F1108" s="98">
        <f>SUMIFS(Input!$C$115:$C$3257,Input!$A$115:$A$3257,"="&amp;'Output - County'!A1108,Input!$B$115:$B$3257,"="&amp;'Output - County'!B1108)*VLOOKUP(A1108,'Output - State'!$B$2:$G$52,5,FALSE)</f>
        <v>147.30141805530803</v>
      </c>
      <c r="G1108" s="99">
        <f>SUMIFS(Input!$D$115:$D$3257,Input!$A$115:$A$3257,"="&amp;'Output - County'!A1108,Input!$B$115:$B$3257,"="&amp;'Output - County'!B1108)*VLOOKUP(A1108,'Output - State'!$B$2:$G$52,6,FALSE)</f>
        <v>35.662450686298335</v>
      </c>
    </row>
    <row r="1109" spans="1:7" x14ac:dyDescent="0.25">
      <c r="A1109" s="88">
        <v>21</v>
      </c>
      <c r="B1109" s="88">
        <v>229</v>
      </c>
      <c r="C1109" s="97">
        <f>SUMIFS(Input!$C$115:$C$3257,Input!$A$115:$A$3257,"="&amp;'Output - County'!A1109,Input!$B$115:$B$3257,"="&amp;'Output - County'!B1109)*VLOOKUP(A1109,'Output - State'!$B$2:$G$52,2,FALSE)</f>
        <v>3.4854243149559556</v>
      </c>
      <c r="D1109" s="98">
        <f>SUMIFS(Input!$C$115:$C$3257,Input!$A$115:$A$3257,"="&amp;'Output - County'!A1109,Input!$B$115:$B$3257,"="&amp;'Output - County'!B1109)*VLOOKUP(A1109,'Output - State'!$B$2:$G$52,3,FALSE)</f>
        <v>0.83630365936683071</v>
      </c>
      <c r="E1109" s="98">
        <f>SUMIFS(Input!$C$115:$C$3257,Input!$A$115:$A$3257,"="&amp;'Output - County'!A1109,Input!$B$115:$B$3257,"="&amp;'Output - County'!B1109)*VLOOKUP(A1109,'Output - State'!$B$2:$G$52,4,FALSE)</f>
        <v>4.0839778181330342</v>
      </c>
      <c r="F1109" s="98">
        <f>SUMIFS(Input!$C$115:$C$3257,Input!$A$115:$A$3257,"="&amp;'Output - County'!A1109,Input!$B$115:$B$3257,"="&amp;'Output - County'!B1109)*VLOOKUP(A1109,'Output - State'!$B$2:$G$52,5,FALSE)</f>
        <v>13.390201923617422</v>
      </c>
      <c r="G1109" s="99">
        <f>SUMIFS(Input!$D$115:$D$3257,Input!$A$115:$A$3257,"="&amp;'Output - County'!A1109,Input!$B$115:$B$3257,"="&amp;'Output - County'!B1109)*VLOOKUP(A1109,'Output - State'!$B$2:$G$52,6,FALSE)</f>
        <v>3.2667893758441222</v>
      </c>
    </row>
    <row r="1110" spans="1:7" x14ac:dyDescent="0.25">
      <c r="A1110" s="88">
        <v>21</v>
      </c>
      <c r="B1110" s="88">
        <v>231</v>
      </c>
      <c r="C1110" s="97">
        <f>SUMIFS(Input!$C$115:$C$3257,Input!$A$115:$A$3257,"="&amp;'Output - County'!A1110,Input!$B$115:$B$3257,"="&amp;'Output - County'!B1110)*VLOOKUP(A1110,'Output - State'!$B$2:$G$52,2,FALSE)</f>
        <v>3.5740559858954386</v>
      </c>
      <c r="D1110" s="98">
        <f>SUMIFS(Input!$C$115:$C$3257,Input!$A$115:$A$3257,"="&amp;'Output - County'!A1110,Input!$B$115:$B$3257,"="&amp;'Output - County'!B1110)*VLOOKUP(A1110,'Output - State'!$B$2:$G$52,3,FALSE)</f>
        <v>0.8575702209227436</v>
      </c>
      <c r="E1110" s="98">
        <f>SUMIFS(Input!$C$115:$C$3257,Input!$A$115:$A$3257,"="&amp;'Output - County'!A1110,Input!$B$115:$B$3257,"="&amp;'Output - County'!B1110)*VLOOKUP(A1110,'Output - State'!$B$2:$G$52,4,FALSE)</f>
        <v>4.1878302462427772</v>
      </c>
      <c r="F1110" s="98">
        <f>SUMIFS(Input!$C$115:$C$3257,Input!$A$115:$A$3257,"="&amp;'Output - County'!A1110,Input!$B$115:$B$3257,"="&amp;'Output - County'!B1110)*VLOOKUP(A1110,'Output - State'!$B$2:$G$52,5,FALSE)</f>
        <v>13.730704503350612</v>
      </c>
      <c r="G1110" s="99">
        <f>SUMIFS(Input!$D$115:$D$3257,Input!$A$115:$A$3257,"="&amp;'Output - County'!A1110,Input!$B$115:$B$3257,"="&amp;'Output - County'!B1110)*VLOOKUP(A1110,'Output - State'!$B$2:$G$52,6,FALSE)</f>
        <v>5.5535419389350071</v>
      </c>
    </row>
    <row r="1111" spans="1:7" x14ac:dyDescent="0.25">
      <c r="A1111" s="88">
        <v>21</v>
      </c>
      <c r="B1111" s="88">
        <v>233</v>
      </c>
      <c r="C1111" s="97">
        <f>SUMIFS(Input!$C$115:$C$3257,Input!$A$115:$A$3257,"="&amp;'Output - County'!A1111,Input!$B$115:$B$3257,"="&amp;'Output - County'!B1111)*VLOOKUP(A1111,'Output - State'!$B$2:$G$52,2,FALSE)</f>
        <v>3.0991349821098173</v>
      </c>
      <c r="D1111" s="98">
        <f>SUMIFS(Input!$C$115:$C$3257,Input!$A$115:$A$3257,"="&amp;'Output - County'!A1111,Input!$B$115:$B$3257,"="&amp;'Output - County'!B1111)*VLOOKUP(A1111,'Output - State'!$B$2:$G$52,3,FALSE)</f>
        <v>0.74361618334063573</v>
      </c>
      <c r="E1111" s="98">
        <f>SUMIFS(Input!$C$115:$C$3257,Input!$A$115:$A$3257,"="&amp;'Output - County'!A1111,Input!$B$115:$B$3257,"="&amp;'Output - County'!B1111)*VLOOKUP(A1111,'Output - State'!$B$2:$G$52,4,FALSE)</f>
        <v>3.6313508424286507</v>
      </c>
      <c r="F1111" s="98">
        <f>SUMIFS(Input!$C$115:$C$3257,Input!$A$115:$A$3257,"="&amp;'Output - County'!A1111,Input!$B$115:$B$3257,"="&amp;'Output - County'!B1111)*VLOOKUP(A1111,'Output - State'!$B$2:$G$52,5,FALSE)</f>
        <v>11.906166781739834</v>
      </c>
      <c r="G1111" s="99">
        <f>SUMIFS(Input!$D$115:$D$3257,Input!$A$115:$A$3257,"="&amp;'Output - County'!A1111,Input!$B$115:$B$3257,"="&amp;'Output - County'!B1111)*VLOOKUP(A1111,'Output - State'!$B$2:$G$52,6,FALSE)</f>
        <v>3.5662450686298337</v>
      </c>
    </row>
    <row r="1112" spans="1:7" x14ac:dyDescent="0.25">
      <c r="A1112" s="88">
        <v>21</v>
      </c>
      <c r="B1112" s="88">
        <v>235</v>
      </c>
      <c r="C1112" s="97">
        <f>SUMIFS(Input!$C$115:$C$3257,Input!$A$115:$A$3257,"="&amp;'Output - County'!A1112,Input!$B$115:$B$3257,"="&amp;'Output - County'!B1112)*VLOOKUP(A1112,'Output - State'!$B$2:$G$52,2,FALSE)</f>
        <v>13.497305671842387</v>
      </c>
      <c r="D1112" s="98">
        <f>SUMIFS(Input!$C$115:$C$3257,Input!$A$115:$A$3257,"="&amp;'Output - County'!A1112,Input!$B$115:$B$3257,"="&amp;'Output - County'!B1112)*VLOOKUP(A1112,'Output - State'!$B$2:$G$52,3,FALSE)</f>
        <v>3.2385859238194667</v>
      </c>
      <c r="E1112" s="98">
        <f>SUMIFS(Input!$C$115:$C$3257,Input!$A$115:$A$3257,"="&amp;'Output - County'!A1112,Input!$B$115:$B$3257,"="&amp;'Output - County'!B1112)*VLOOKUP(A1112,'Output - State'!$B$2:$G$52,4,FALSE)</f>
        <v>15.815204114986518</v>
      </c>
      <c r="F1112" s="98">
        <f>SUMIFS(Input!$C$115:$C$3257,Input!$A$115:$A$3257,"="&amp;'Output - County'!A1112,Input!$B$115:$B$3257,"="&amp;'Output - County'!B1112)*VLOOKUP(A1112,'Output - State'!$B$2:$G$52,5,FALSE)</f>
        <v>51.853556995983752</v>
      </c>
      <c r="G1112" s="99">
        <f>SUMIFS(Input!$D$115:$D$3257,Input!$A$115:$A$3257,"="&amp;'Output - County'!A1112,Input!$B$115:$B$3257,"="&amp;'Output - County'!B1112)*VLOOKUP(A1112,'Output - State'!$B$2:$G$52,6,FALSE)</f>
        <v>9.8275913723310691</v>
      </c>
    </row>
    <row r="1113" spans="1:7" x14ac:dyDescent="0.25">
      <c r="A1113" s="88">
        <v>21</v>
      </c>
      <c r="B1113" s="88">
        <v>237</v>
      </c>
      <c r="C1113" s="97">
        <f>SUMIFS(Input!$C$115:$C$3257,Input!$A$115:$A$3257,"="&amp;'Output - County'!A1113,Input!$B$115:$B$3257,"="&amp;'Output - County'!B1113)*VLOOKUP(A1113,'Output - State'!$B$2:$G$52,2,FALSE)</f>
        <v>2.269668883379409</v>
      </c>
      <c r="D1113" s="98">
        <f>SUMIFS(Input!$C$115:$C$3257,Input!$A$115:$A$3257,"="&amp;'Output - County'!A1113,Input!$B$115:$B$3257,"="&amp;'Output - County'!B1113)*VLOOKUP(A1113,'Output - State'!$B$2:$G$52,3,FALSE)</f>
        <v>0.54459148189686457</v>
      </c>
      <c r="E1113" s="98">
        <f>SUMIFS(Input!$C$115:$C$3257,Input!$A$115:$A$3257,"="&amp;'Output - County'!A1113,Input!$B$115:$B$3257,"="&amp;'Output - County'!B1113)*VLOOKUP(A1113,'Output - State'!$B$2:$G$52,4,FALSE)</f>
        <v>2.6594401532272007</v>
      </c>
      <c r="F1113" s="98">
        <f>SUMIFS(Input!$C$115:$C$3257,Input!$A$115:$A$3257,"="&amp;'Output - County'!A1113,Input!$B$115:$B$3257,"="&amp;'Output - County'!B1113)*VLOOKUP(A1113,'Output - State'!$B$2:$G$52,5,FALSE)</f>
        <v>8.7195480096332592</v>
      </c>
      <c r="G1113" s="99">
        <f>SUMIFS(Input!$D$115:$D$3257,Input!$A$115:$A$3257,"="&amp;'Output - County'!A1113,Input!$B$115:$B$3257,"="&amp;'Output - County'!B1113)*VLOOKUP(A1113,'Output - State'!$B$2:$G$52,6,FALSE)</f>
        <v>1.9600736255064732</v>
      </c>
    </row>
    <row r="1114" spans="1:7" x14ac:dyDescent="0.25">
      <c r="A1114" s="88">
        <v>21</v>
      </c>
      <c r="B1114" s="88">
        <v>239</v>
      </c>
      <c r="C1114" s="97">
        <f>SUMIFS(Input!$C$115:$C$3257,Input!$A$115:$A$3257,"="&amp;'Output - County'!A1114,Input!$B$115:$B$3257,"="&amp;'Output - County'!B1114)*VLOOKUP(A1114,'Output - State'!$B$2:$G$52,2,FALSE)</f>
        <v>8.7533921965203891</v>
      </c>
      <c r="D1114" s="98">
        <f>SUMIFS(Input!$C$115:$C$3257,Input!$A$115:$A$3257,"="&amp;'Output - County'!A1114,Input!$B$115:$B$3257,"="&amp;'Output - County'!B1114)*VLOOKUP(A1114,'Output - State'!$B$2:$G$52,3,FALSE)</f>
        <v>2.1003164218516588</v>
      </c>
      <c r="E1114" s="98">
        <f>SUMIFS(Input!$C$115:$C$3257,Input!$A$115:$A$3257,"="&amp;'Output - County'!A1114,Input!$B$115:$B$3257,"="&amp;'Output - County'!B1114)*VLOOKUP(A1114,'Output - State'!$B$2:$G$52,4,FALSE)</f>
        <v>10.256616220472949</v>
      </c>
      <c r="F1114" s="98">
        <f>SUMIFS(Input!$C$115:$C$3257,Input!$A$115:$A$3257,"="&amp;'Output - County'!A1114,Input!$B$115:$B$3257,"="&amp;'Output - County'!B1114)*VLOOKUP(A1114,'Output - State'!$B$2:$G$52,5,FALSE)</f>
        <v>33.628527960018609</v>
      </c>
      <c r="G1114" s="99">
        <f>SUMIFS(Input!$D$115:$D$3257,Input!$A$115:$A$3257,"="&amp;'Output - County'!A1114,Input!$B$115:$B$3257,"="&amp;'Output - County'!B1114)*VLOOKUP(A1114,'Output - State'!$B$2:$G$52,6,FALSE)</f>
        <v>7.2141598716557702</v>
      </c>
    </row>
    <row r="1115" spans="1:7" x14ac:dyDescent="0.25">
      <c r="A1115" s="88">
        <v>22</v>
      </c>
      <c r="B1115" s="88">
        <v>1</v>
      </c>
      <c r="C1115" s="97">
        <f>SUMIFS(Input!$C$115:$C$3257,Input!$A$115:$A$3257,"="&amp;'Output - County'!A1115,Input!$B$115:$B$3257,"="&amp;'Output - County'!B1115)*VLOOKUP(A1115,'Output - State'!$B$2:$G$52,2,FALSE)</f>
        <v>4.3032256301416822</v>
      </c>
      <c r="D1115" s="98">
        <f>SUMIFS(Input!$C$115:$C$3257,Input!$A$115:$A$3257,"="&amp;'Output - County'!A1115,Input!$B$115:$B$3257,"="&amp;'Output - County'!B1115)*VLOOKUP(A1115,'Output - State'!$B$2:$G$52,3,FALSE)</f>
        <v>10.66086683972812</v>
      </c>
      <c r="E1115" s="98">
        <f>SUMIFS(Input!$C$115:$C$3257,Input!$A$115:$A$3257,"="&amp;'Output - County'!A1115,Input!$B$115:$B$3257,"="&amp;'Output - County'!B1115)*VLOOKUP(A1115,'Output - State'!$B$2:$G$52,4,FALSE)</f>
        <v>4.1598006257697131</v>
      </c>
      <c r="F1115" s="98">
        <f>SUMIFS(Input!$C$115:$C$3257,Input!$A$115:$A$3257,"="&amp;'Output - County'!A1115,Input!$B$115:$B$3257,"="&amp;'Output - County'!B1115)*VLOOKUP(A1115,'Output - State'!$B$2:$G$52,5,FALSE)</f>
        <v>75.099684521849113</v>
      </c>
      <c r="G1115" s="99">
        <f>SUMIFS(Input!$D$115:$D$3257,Input!$A$115:$A$3257,"="&amp;'Output - County'!A1115,Input!$B$115:$B$3257,"="&amp;'Output - County'!B1115)*VLOOKUP(A1115,'Output - State'!$B$2:$G$52,6,FALSE)</f>
        <v>55.790711254443394</v>
      </c>
    </row>
    <row r="1116" spans="1:7" x14ac:dyDescent="0.25">
      <c r="A1116" s="88">
        <v>22</v>
      </c>
      <c r="B1116" s="88">
        <v>3</v>
      </c>
      <c r="C1116" s="97">
        <f>SUMIFS(Input!$C$115:$C$3257,Input!$A$115:$A$3257,"="&amp;'Output - County'!A1116,Input!$B$115:$B$3257,"="&amp;'Output - County'!B1116)*VLOOKUP(A1116,'Output - State'!$B$2:$G$52,2,FALSE)</f>
        <v>0.95524031078000149</v>
      </c>
      <c r="D1116" s="98">
        <f>SUMIFS(Input!$C$115:$C$3257,Input!$A$115:$A$3257,"="&amp;'Output - County'!A1116,Input!$B$115:$B$3257,"="&amp;'Output - County'!B1116)*VLOOKUP(A1116,'Output - State'!$B$2:$G$52,3,FALSE)</f>
        <v>2.3665247022687046</v>
      </c>
      <c r="E1116" s="98">
        <f>SUMIFS(Input!$C$115:$C$3257,Input!$A$115:$A$3257,"="&amp;'Output - County'!A1116,Input!$B$115:$B$3257,"="&amp;'Output - County'!B1116)*VLOOKUP(A1116,'Output - State'!$B$2:$G$52,4,FALSE)</f>
        <v>0.92340248550069071</v>
      </c>
      <c r="F1116" s="98">
        <f>SUMIFS(Input!$C$115:$C$3257,Input!$A$115:$A$3257,"="&amp;'Output - County'!A1116,Input!$B$115:$B$3257,"="&amp;'Output - County'!B1116)*VLOOKUP(A1116,'Output - State'!$B$2:$G$52,5,FALSE)</f>
        <v>16.670807470480991</v>
      </c>
      <c r="G1116" s="99">
        <f>SUMIFS(Input!$D$115:$D$3257,Input!$A$115:$A$3257,"="&amp;'Output - County'!A1116,Input!$B$115:$B$3257,"="&amp;'Output - County'!B1116)*VLOOKUP(A1116,'Output - State'!$B$2:$G$52,6,FALSE)</f>
        <v>22.962093378034581</v>
      </c>
    </row>
    <row r="1117" spans="1:7" x14ac:dyDescent="0.25">
      <c r="A1117" s="88">
        <v>22</v>
      </c>
      <c r="B1117" s="88">
        <v>5</v>
      </c>
      <c r="C1117" s="97">
        <f>SUMIFS(Input!$C$115:$C$3257,Input!$A$115:$A$3257,"="&amp;'Output - County'!A1117,Input!$B$115:$B$3257,"="&amp;'Output - County'!B1117)*VLOOKUP(A1117,'Output - State'!$B$2:$G$52,2,FALSE)</f>
        <v>6.4970393290843482</v>
      </c>
      <c r="D1117" s="98">
        <f>SUMIFS(Input!$C$115:$C$3257,Input!$A$115:$A$3257,"="&amp;'Output - County'!A1117,Input!$B$115:$B$3257,"="&amp;'Output - County'!B1117)*VLOOKUP(A1117,'Output - State'!$B$2:$G$52,3,FALSE)</f>
        <v>16.09584927517832</v>
      </c>
      <c r="E1117" s="98">
        <f>SUMIFS(Input!$C$115:$C$3257,Input!$A$115:$A$3257,"="&amp;'Output - County'!A1117,Input!$B$115:$B$3257,"="&amp;'Output - County'!B1117)*VLOOKUP(A1117,'Output - State'!$B$2:$G$52,4,FALSE)</f>
        <v>6.2804952818348205</v>
      </c>
      <c r="F1117" s="98">
        <f>SUMIFS(Input!$C$115:$C$3257,Input!$A$115:$A$3257,"="&amp;'Output - County'!A1117,Input!$B$115:$B$3257,"="&amp;'Output - County'!B1117)*VLOOKUP(A1117,'Output - State'!$B$2:$G$52,5,FALSE)</f>
        <v>113.3860145567631</v>
      </c>
      <c r="G1117" s="99">
        <f>SUMIFS(Input!$D$115:$D$3257,Input!$A$115:$A$3257,"="&amp;'Output - County'!A1117,Input!$B$115:$B$3257,"="&amp;'Output - County'!B1117)*VLOOKUP(A1117,'Output - State'!$B$2:$G$52,6,FALSE)</f>
        <v>112.11959657243447</v>
      </c>
    </row>
    <row r="1118" spans="1:7" x14ac:dyDescent="0.25">
      <c r="A1118" s="88">
        <v>22</v>
      </c>
      <c r="B1118" s="88">
        <v>7</v>
      </c>
      <c r="C1118" s="97">
        <f>SUMIFS(Input!$C$115:$C$3257,Input!$A$115:$A$3257,"="&amp;'Output - County'!A1118,Input!$B$115:$B$3257,"="&amp;'Output - County'!B1118)*VLOOKUP(A1118,'Output - State'!$B$2:$G$52,2,FALSE)</f>
        <v>1.2716304637218145</v>
      </c>
      <c r="D1118" s="98">
        <f>SUMIFS(Input!$C$115:$C$3257,Input!$A$115:$A$3257,"="&amp;'Output - County'!A1118,Input!$B$115:$B$3257,"="&amp;'Output - County'!B1118)*VLOOKUP(A1118,'Output - State'!$B$2:$G$52,3,FALSE)</f>
        <v>3.1503537597756961</v>
      </c>
      <c r="E1118" s="98">
        <f>SUMIFS(Input!$C$115:$C$3257,Input!$A$115:$A$3257,"="&amp;'Output - County'!A1118,Input!$B$115:$B$3257,"="&amp;'Output - County'!B1118)*VLOOKUP(A1118,'Output - State'!$B$2:$G$52,4,FALSE)</f>
        <v>1.2292474653632495</v>
      </c>
      <c r="F1118" s="98">
        <f>SUMIFS(Input!$C$115:$C$3257,Input!$A$115:$A$3257,"="&amp;'Output - County'!A1118,Input!$B$115:$B$3257,"="&amp;'Output - County'!B1118)*VLOOKUP(A1118,'Output - State'!$B$2:$G$52,5,FALSE)</f>
        <v>22.192433040220742</v>
      </c>
      <c r="G1118" s="99">
        <f>SUMIFS(Input!$D$115:$D$3257,Input!$A$115:$A$3257,"="&amp;'Output - County'!A1118,Input!$B$115:$B$3257,"="&amp;'Output - County'!B1118)*VLOOKUP(A1118,'Output - State'!$B$2:$G$52,6,FALSE)</f>
        <v>20.002136028522308</v>
      </c>
    </row>
    <row r="1119" spans="1:7" x14ac:dyDescent="0.25">
      <c r="A1119" s="88">
        <v>22</v>
      </c>
      <c r="B1119" s="88">
        <v>9</v>
      </c>
      <c r="C1119" s="97">
        <f>SUMIFS(Input!$C$115:$C$3257,Input!$A$115:$A$3257,"="&amp;'Output - County'!A1119,Input!$B$115:$B$3257,"="&amp;'Output - County'!B1119)*VLOOKUP(A1119,'Output - State'!$B$2:$G$52,2,FALSE)</f>
        <v>1.5835114657895641</v>
      </c>
      <c r="D1119" s="98">
        <f>SUMIFS(Input!$C$115:$C$3257,Input!$A$115:$A$3257,"="&amp;'Output - County'!A1119,Input!$B$115:$B$3257,"="&amp;'Output - County'!B1119)*VLOOKUP(A1119,'Output - State'!$B$2:$G$52,3,FALSE)</f>
        <v>3.9230117885799576</v>
      </c>
      <c r="E1119" s="98">
        <f>SUMIFS(Input!$C$115:$C$3257,Input!$A$115:$A$3257,"="&amp;'Output - County'!A1119,Input!$B$115:$B$3257,"="&amp;'Output - County'!B1119)*VLOOKUP(A1119,'Output - State'!$B$2:$G$52,4,FALSE)</f>
        <v>1.5307335827724347</v>
      </c>
      <c r="F1119" s="98">
        <f>SUMIFS(Input!$C$115:$C$3257,Input!$A$115:$A$3257,"="&amp;'Output - County'!A1119,Input!$B$115:$B$3257,"="&amp;'Output - County'!B1119)*VLOOKUP(A1119,'Output - State'!$B$2:$G$52,5,FALSE)</f>
        <v>27.635365128091532</v>
      </c>
      <c r="G1119" s="99">
        <f>SUMIFS(Input!$D$115:$D$3257,Input!$A$115:$A$3257,"="&amp;'Output - County'!A1119,Input!$B$115:$B$3257,"="&amp;'Output - County'!B1119)*VLOOKUP(A1119,'Output - State'!$B$2:$G$52,6,FALSE)</f>
        <v>36.237053612210822</v>
      </c>
    </row>
    <row r="1120" spans="1:7" x14ac:dyDescent="0.25">
      <c r="A1120" s="88">
        <v>22</v>
      </c>
      <c r="B1120" s="88">
        <v>11</v>
      </c>
      <c r="C1120" s="97">
        <f>SUMIFS(Input!$C$115:$C$3257,Input!$A$115:$A$3257,"="&amp;'Output - County'!A1120,Input!$B$115:$B$3257,"="&amp;'Output - County'!B1120)*VLOOKUP(A1120,'Output - State'!$B$2:$G$52,2,FALSE)</f>
        <v>1.7995614767474499</v>
      </c>
      <c r="D1120" s="98">
        <f>SUMIFS(Input!$C$115:$C$3257,Input!$A$115:$A$3257,"="&amp;'Output - County'!A1120,Input!$B$115:$B$3257,"="&amp;'Output - County'!B1120)*VLOOKUP(A1120,'Output - State'!$B$2:$G$52,3,FALSE)</f>
        <v>4.4582568804037823</v>
      </c>
      <c r="E1120" s="98">
        <f>SUMIFS(Input!$C$115:$C$3257,Input!$A$115:$A$3257,"="&amp;'Output - County'!A1120,Input!$B$115:$B$3257,"="&amp;'Output - County'!B1120)*VLOOKUP(A1120,'Output - State'!$B$2:$G$52,4,FALSE)</f>
        <v>1.7395827224701306</v>
      </c>
      <c r="F1120" s="98">
        <f>SUMIFS(Input!$C$115:$C$3257,Input!$A$115:$A$3257,"="&amp;'Output - County'!A1120,Input!$B$115:$B$3257,"="&amp;'Output - County'!B1120)*VLOOKUP(A1120,'Output - State'!$B$2:$G$52,5,FALSE)</f>
        <v>31.405859417359149</v>
      </c>
      <c r="G1120" s="99">
        <f>SUMIFS(Input!$D$115:$D$3257,Input!$A$115:$A$3257,"="&amp;'Output - County'!A1120,Input!$B$115:$B$3257,"="&amp;'Output - County'!B1120)*VLOOKUP(A1120,'Output - State'!$B$2:$G$52,6,FALSE)</f>
        <v>33.546183294472399</v>
      </c>
    </row>
    <row r="1121" spans="1:7" x14ac:dyDescent="0.25">
      <c r="A1121" s="88">
        <v>22</v>
      </c>
      <c r="B1121" s="88">
        <v>13</v>
      </c>
      <c r="C1121" s="97">
        <f>SUMIFS(Input!$C$115:$C$3257,Input!$A$115:$A$3257,"="&amp;'Output - County'!A1121,Input!$B$115:$B$3257,"="&amp;'Output - County'!B1121)*VLOOKUP(A1121,'Output - State'!$B$2:$G$52,2,FALSE)</f>
        <v>1.5965602348377237</v>
      </c>
      <c r="D1121" s="98">
        <f>SUMIFS(Input!$C$115:$C$3257,Input!$A$115:$A$3257,"="&amp;'Output - County'!A1121,Input!$B$115:$B$3257,"="&amp;'Output - County'!B1121)*VLOOKUP(A1121,'Output - State'!$B$2:$G$52,3,FALSE)</f>
        <v>3.9553389778099155</v>
      </c>
      <c r="E1121" s="98">
        <f>SUMIFS(Input!$C$115:$C$3257,Input!$A$115:$A$3257,"="&amp;'Output - County'!A1121,Input!$B$115:$B$3257,"="&amp;'Output - County'!B1121)*VLOOKUP(A1121,'Output - State'!$B$2:$G$52,4,FALSE)</f>
        <v>1.5433474409145351</v>
      </c>
      <c r="F1121" s="98">
        <f>SUMIFS(Input!$C$115:$C$3257,Input!$A$115:$A$3257,"="&amp;'Output - County'!A1121,Input!$B$115:$B$3257,"="&amp;'Output - County'!B1121)*VLOOKUP(A1121,'Output - State'!$B$2:$G$52,5,FALSE)</f>
        <v>27.863091611232736</v>
      </c>
      <c r="G1121" s="99">
        <f>SUMIFS(Input!$D$115:$D$3257,Input!$A$115:$A$3257,"="&amp;'Output - County'!A1121,Input!$B$115:$B$3257,"="&amp;'Output - County'!B1121)*VLOOKUP(A1121,'Output - State'!$B$2:$G$52,6,FALSE)</f>
        <v>11.929525075307028</v>
      </c>
    </row>
    <row r="1122" spans="1:7" x14ac:dyDescent="0.25">
      <c r="A1122" s="88">
        <v>22</v>
      </c>
      <c r="B1122" s="88">
        <v>15</v>
      </c>
      <c r="C1122" s="97">
        <f>SUMIFS(Input!$C$115:$C$3257,Input!$A$115:$A$3257,"="&amp;'Output - County'!A1122,Input!$B$115:$B$3257,"="&amp;'Output - County'!B1122)*VLOOKUP(A1122,'Output - State'!$B$2:$G$52,2,FALSE)</f>
        <v>6.2364085580319353</v>
      </c>
      <c r="D1122" s="98">
        <f>SUMIFS(Input!$C$115:$C$3257,Input!$A$115:$A$3257,"="&amp;'Output - County'!A1122,Input!$B$115:$B$3257,"="&amp;'Output - County'!B1122)*VLOOKUP(A1122,'Output - State'!$B$2:$G$52,3,FALSE)</f>
        <v>15.450159231629765</v>
      </c>
      <c r="E1122" s="98">
        <f>SUMIFS(Input!$C$115:$C$3257,Input!$A$115:$A$3257,"="&amp;'Output - County'!A1122,Input!$B$115:$B$3257,"="&amp;'Output - County'!B1122)*VLOOKUP(A1122,'Output - State'!$B$2:$G$52,4,FALSE)</f>
        <v>6.0285512431758548</v>
      </c>
      <c r="F1122" s="98">
        <f>SUMIFS(Input!$C$115:$C$3257,Input!$A$115:$A$3257,"="&amp;'Output - County'!A1122,Input!$B$115:$B$3257,"="&amp;'Output - County'!B1122)*VLOOKUP(A1122,'Output - State'!$B$2:$G$52,5,FALSE)</f>
        <v>108.83749900935081</v>
      </c>
      <c r="G1122" s="99">
        <f>SUMIFS(Input!$D$115:$D$3257,Input!$A$115:$A$3257,"="&amp;'Output - County'!A1122,Input!$B$115:$B$3257,"="&amp;'Output - County'!B1122)*VLOOKUP(A1122,'Output - State'!$B$2:$G$52,6,FALSE)</f>
        <v>113.91351011759343</v>
      </c>
    </row>
    <row r="1123" spans="1:7" x14ac:dyDescent="0.25">
      <c r="A1123" s="88">
        <v>22</v>
      </c>
      <c r="B1123" s="88">
        <v>17</v>
      </c>
      <c r="C1123" s="97">
        <f>SUMIFS(Input!$C$115:$C$3257,Input!$A$115:$A$3257,"="&amp;'Output - County'!A1123,Input!$B$115:$B$3257,"="&amp;'Output - County'!B1123)*VLOOKUP(A1123,'Output - State'!$B$2:$G$52,2,FALSE)</f>
        <v>18.432502027823059</v>
      </c>
      <c r="D1123" s="98">
        <f>SUMIFS(Input!$C$115:$C$3257,Input!$A$115:$A$3257,"="&amp;'Output - County'!A1123,Input!$B$115:$B$3257,"="&amp;'Output - County'!B1123)*VLOOKUP(A1123,'Output - State'!$B$2:$G$52,3,FALSE)</f>
        <v>45.664918954103342</v>
      </c>
      <c r="E1123" s="98">
        <f>SUMIFS(Input!$C$115:$C$3257,Input!$A$115:$A$3257,"="&amp;'Output - County'!A1123,Input!$B$115:$B$3257,"="&amp;'Output - County'!B1123)*VLOOKUP(A1123,'Output - State'!$B$2:$G$52,4,FALSE)</f>
        <v>17.818153185547779</v>
      </c>
      <c r="F1123" s="98">
        <f>SUMIFS(Input!$C$115:$C$3257,Input!$A$115:$A$3257,"="&amp;'Output - County'!A1123,Input!$B$115:$B$3257,"="&amp;'Output - County'!B1123)*VLOOKUP(A1123,'Output - State'!$B$2:$G$52,5,FALSE)</f>
        <v>321.68312940455303</v>
      </c>
      <c r="G1123" s="99">
        <f>SUMIFS(Input!$D$115:$D$3257,Input!$A$115:$A$3257,"="&amp;'Output - County'!A1123,Input!$B$115:$B$3257,"="&amp;'Output - County'!B1123)*VLOOKUP(A1123,'Output - State'!$B$2:$G$52,6,FALSE)</f>
        <v>217.96049573681262</v>
      </c>
    </row>
    <row r="1124" spans="1:7" x14ac:dyDescent="0.25">
      <c r="A1124" s="88">
        <v>22</v>
      </c>
      <c r="B1124" s="88">
        <v>19</v>
      </c>
      <c r="C1124" s="97">
        <f>SUMIFS(Input!$C$115:$C$3257,Input!$A$115:$A$3257,"="&amp;'Output - County'!A1124,Input!$B$115:$B$3257,"="&amp;'Output - County'!B1124)*VLOOKUP(A1124,'Output - State'!$B$2:$G$52,2,FALSE)</f>
        <v>15.223616150870464</v>
      </c>
      <c r="D1124" s="98">
        <f>SUMIFS(Input!$C$115:$C$3257,Input!$A$115:$A$3257,"="&amp;'Output - County'!A1124,Input!$B$115:$B$3257,"="&amp;'Output - County'!B1124)*VLOOKUP(A1124,'Output - State'!$B$2:$G$52,3,FALSE)</f>
        <v>37.715183574564463</v>
      </c>
      <c r="E1124" s="98">
        <f>SUMIFS(Input!$C$115:$C$3257,Input!$A$115:$A$3257,"="&amp;'Output - County'!A1124,Input!$B$115:$B$3257,"="&amp;'Output - County'!B1124)*VLOOKUP(A1124,'Output - State'!$B$2:$G$52,4,FALSE)</f>
        <v>14.716218351949125</v>
      </c>
      <c r="F1124" s="98">
        <f>SUMIFS(Input!$C$115:$C$3257,Input!$A$115:$A$3257,"="&amp;'Output - County'!A1124,Input!$B$115:$B$3257,"="&amp;'Output - County'!B1124)*VLOOKUP(A1124,'Output - State'!$B$2:$G$52,5,FALSE)</f>
        <v>265.68180906062707</v>
      </c>
      <c r="G1124" s="99">
        <f>SUMIFS(Input!$D$115:$D$3257,Input!$A$115:$A$3257,"="&amp;'Output - County'!A1124,Input!$B$115:$B$3257,"="&amp;'Output - County'!B1124)*VLOOKUP(A1124,'Output - State'!$B$2:$G$52,6,FALSE)</f>
        <v>182.08222483363357</v>
      </c>
    </row>
    <row r="1125" spans="1:7" x14ac:dyDescent="0.25">
      <c r="A1125" s="88">
        <v>22</v>
      </c>
      <c r="B1125" s="88">
        <v>21</v>
      </c>
      <c r="C1125" s="97">
        <f>SUMIFS(Input!$C$115:$C$3257,Input!$A$115:$A$3257,"="&amp;'Output - County'!A1125,Input!$B$115:$B$3257,"="&amp;'Output - County'!B1125)*VLOOKUP(A1125,'Output - State'!$B$2:$G$52,2,FALSE)</f>
        <v>0.58100967971615103</v>
      </c>
      <c r="D1125" s="98">
        <f>SUMIFS(Input!$C$115:$C$3257,Input!$A$115:$A$3257,"="&amp;'Output - County'!A1125,Input!$B$115:$B$3257,"="&amp;'Output - County'!B1125)*VLOOKUP(A1125,'Output - State'!$B$2:$G$52,3,FALSE)</f>
        <v>1.4394008960768885</v>
      </c>
      <c r="E1125" s="98">
        <f>SUMIFS(Input!$C$115:$C$3257,Input!$A$115:$A$3257,"="&amp;'Output - County'!A1125,Input!$B$115:$B$3257,"="&amp;'Output - County'!B1125)*VLOOKUP(A1125,'Output - State'!$B$2:$G$52,4,FALSE)</f>
        <v>0.56164483041107249</v>
      </c>
      <c r="F1125" s="98">
        <f>SUMIFS(Input!$C$115:$C$3257,Input!$A$115:$A$3257,"="&amp;'Output - County'!A1125,Input!$B$115:$B$3257,"="&amp;'Output - County'!B1125)*VLOOKUP(A1125,'Output - State'!$B$2:$G$52,5,FALSE)</f>
        <v>10.139752688121751</v>
      </c>
      <c r="G1125" s="99">
        <f>SUMIFS(Input!$D$115:$D$3257,Input!$A$115:$A$3257,"="&amp;'Output - County'!A1125,Input!$B$115:$B$3257,"="&amp;'Output - County'!B1125)*VLOOKUP(A1125,'Output - State'!$B$2:$G$52,6,FALSE)</f>
        <v>8.9336894548915797</v>
      </c>
    </row>
    <row r="1126" spans="1:7" x14ac:dyDescent="0.25">
      <c r="A1126" s="88">
        <v>22</v>
      </c>
      <c r="B1126" s="88">
        <v>23</v>
      </c>
      <c r="C1126" s="97">
        <f>SUMIFS(Input!$C$115:$C$3257,Input!$A$115:$A$3257,"="&amp;'Output - County'!A1126,Input!$B$115:$B$3257,"="&amp;'Output - County'!B1126)*VLOOKUP(A1126,'Output - State'!$B$2:$G$52,2,FALSE)</f>
        <v>0.69103749328053321</v>
      </c>
      <c r="D1126" s="98">
        <f>SUMIFS(Input!$C$115:$C$3257,Input!$A$115:$A$3257,"="&amp;'Output - County'!A1126,Input!$B$115:$B$3257,"="&amp;'Output - County'!B1126)*VLOOKUP(A1126,'Output - State'!$B$2:$G$52,3,FALSE)</f>
        <v>1.7119852246466385</v>
      </c>
      <c r="E1126" s="98">
        <f>SUMIFS(Input!$C$115:$C$3257,Input!$A$115:$A$3257,"="&amp;'Output - County'!A1126,Input!$B$115:$B$3257,"="&amp;'Output - County'!B1126)*VLOOKUP(A1126,'Output - State'!$B$2:$G$52,4,FALSE)</f>
        <v>0.66800545545273937</v>
      </c>
      <c r="F1126" s="98">
        <f>SUMIFS(Input!$C$115:$C$3257,Input!$A$115:$A$3257,"="&amp;'Output - County'!A1126,Input!$B$115:$B$3257,"="&amp;'Output - County'!B1126)*VLOOKUP(A1126,'Output - State'!$B$2:$G$52,5,FALSE)</f>
        <v>12.059952742108202</v>
      </c>
      <c r="G1126" s="99">
        <f>SUMIFS(Input!$D$115:$D$3257,Input!$A$115:$A$3257,"="&amp;'Output - County'!A1126,Input!$B$115:$B$3257,"="&amp;'Output - County'!B1126)*VLOOKUP(A1126,'Output - State'!$B$2:$G$52,6,FALSE)</f>
        <v>6.2876669757821251</v>
      </c>
    </row>
    <row r="1127" spans="1:7" x14ac:dyDescent="0.25">
      <c r="A1127" s="88">
        <v>22</v>
      </c>
      <c r="B1127" s="88">
        <v>25</v>
      </c>
      <c r="C1127" s="97">
        <f>SUMIFS(Input!$C$115:$C$3257,Input!$A$115:$A$3257,"="&amp;'Output - County'!A1127,Input!$B$115:$B$3257,"="&amp;'Output - County'!B1127)*VLOOKUP(A1127,'Output - State'!$B$2:$G$52,2,FALSE)</f>
        <v>0.69982633225245561</v>
      </c>
      <c r="D1127" s="98">
        <f>SUMIFS(Input!$C$115:$C$3257,Input!$A$115:$A$3257,"="&amp;'Output - County'!A1127,Input!$B$115:$B$3257,"="&amp;'Output - County'!B1127)*VLOOKUP(A1127,'Output - State'!$B$2:$G$52,3,FALSE)</f>
        <v>1.7337588080021535</v>
      </c>
      <c r="E1127" s="98">
        <f>SUMIFS(Input!$C$115:$C$3257,Input!$A$115:$A$3257,"="&amp;'Output - County'!A1127,Input!$B$115:$B$3257,"="&amp;'Output - County'!B1127)*VLOOKUP(A1127,'Output - State'!$B$2:$G$52,4,FALSE)</f>
        <v>0.6765013654973141</v>
      </c>
      <c r="F1127" s="98">
        <f>SUMIFS(Input!$C$115:$C$3257,Input!$A$115:$A$3257,"="&amp;'Output - County'!A1127,Input!$B$115:$B$3257,"="&amp;'Output - County'!B1127)*VLOOKUP(A1127,'Output - State'!$B$2:$G$52,5,FALSE)</f>
        <v>12.213335132629746</v>
      </c>
      <c r="G1127" s="99">
        <f>SUMIFS(Input!$D$115:$D$3257,Input!$A$115:$A$3257,"="&amp;'Output - County'!A1127,Input!$B$115:$B$3257,"="&amp;'Output - County'!B1127)*VLOOKUP(A1127,'Output - State'!$B$2:$G$52,6,FALSE)</f>
        <v>8.6197545844887618</v>
      </c>
    </row>
    <row r="1128" spans="1:7" x14ac:dyDescent="0.25">
      <c r="A1128" s="88">
        <v>22</v>
      </c>
      <c r="B1128" s="88">
        <v>27</v>
      </c>
      <c r="C1128" s="97">
        <f>SUMIFS(Input!$C$115:$C$3257,Input!$A$115:$A$3257,"="&amp;'Output - County'!A1128,Input!$B$115:$B$3257,"="&amp;'Output - County'!B1128)*VLOOKUP(A1128,'Output - State'!$B$2:$G$52,2,FALSE)</f>
        <v>0.64204623239101022</v>
      </c>
      <c r="D1128" s="98">
        <f>SUMIFS(Input!$C$115:$C$3257,Input!$A$115:$A$3257,"="&amp;'Output - County'!A1128,Input!$B$115:$B$3257,"="&amp;'Output - County'!B1128)*VLOOKUP(A1128,'Output - State'!$B$2:$G$52,3,FALSE)</f>
        <v>1.5906136412011318</v>
      </c>
      <c r="E1128" s="98">
        <f>SUMIFS(Input!$C$115:$C$3257,Input!$A$115:$A$3257,"="&amp;'Output - County'!A1128,Input!$B$115:$B$3257,"="&amp;'Output - County'!B1128)*VLOOKUP(A1128,'Output - State'!$B$2:$G$52,4,FALSE)</f>
        <v>0.62064705614454996</v>
      </c>
      <c r="F1128" s="98">
        <f>SUMIFS(Input!$C$115:$C$3257,Input!$A$115:$A$3257,"="&amp;'Output - County'!A1128,Input!$B$115:$B$3257,"="&amp;'Output - County'!B1128)*VLOOKUP(A1128,'Output - State'!$B$2:$G$52,5,FALSE)</f>
        <v>11.204959638479181</v>
      </c>
      <c r="G1128" s="99">
        <f>SUMIFS(Input!$D$115:$D$3257,Input!$A$115:$A$3257,"="&amp;'Output - County'!A1128,Input!$B$115:$B$3257,"="&amp;'Output - County'!B1128)*VLOOKUP(A1128,'Output - State'!$B$2:$G$52,6,FALSE)</f>
        <v>14.261612684013667</v>
      </c>
    </row>
    <row r="1129" spans="1:7" x14ac:dyDescent="0.25">
      <c r="A1129" s="88">
        <v>22</v>
      </c>
      <c r="B1129" s="88">
        <v>29</v>
      </c>
      <c r="C1129" s="97">
        <f>SUMIFS(Input!$C$115:$C$3257,Input!$A$115:$A$3257,"="&amp;'Output - County'!A1129,Input!$B$115:$B$3257,"="&amp;'Output - County'!B1129)*VLOOKUP(A1129,'Output - State'!$B$2:$G$52,2,FALSE)</f>
        <v>0.79120646021979224</v>
      </c>
      <c r="D1129" s="98">
        <f>SUMIFS(Input!$C$115:$C$3257,Input!$A$115:$A$3257,"="&amp;'Output - County'!A1129,Input!$B$115:$B$3257,"="&amp;'Output - County'!B1129)*VLOOKUP(A1129,'Output - State'!$B$2:$G$52,3,FALSE)</f>
        <v>1.9601451190599393</v>
      </c>
      <c r="E1129" s="98">
        <f>SUMIFS(Input!$C$115:$C$3257,Input!$A$115:$A$3257,"="&amp;'Output - County'!A1129,Input!$B$115:$B$3257,"="&amp;'Output - County'!B1129)*VLOOKUP(A1129,'Output - State'!$B$2:$G$52,4,FALSE)</f>
        <v>0.76483582577727116</v>
      </c>
      <c r="F1129" s="98">
        <f>SUMIFS(Input!$C$115:$C$3257,Input!$A$115:$A$3257,"="&amp;'Output - County'!A1129,Input!$B$115:$B$3257,"="&amp;'Output - County'!B1129)*VLOOKUP(A1129,'Output - State'!$B$2:$G$52,5,FALSE)</f>
        <v>13.808096684021425</v>
      </c>
      <c r="G1129" s="99">
        <f>SUMIFS(Input!$D$115:$D$3257,Input!$A$115:$A$3257,"="&amp;'Output - County'!A1129,Input!$B$115:$B$3257,"="&amp;'Output - County'!B1129)*VLOOKUP(A1129,'Output - State'!$B$2:$G$52,6,FALSE)</f>
        <v>17.580352742557725</v>
      </c>
    </row>
    <row r="1130" spans="1:7" x14ac:dyDescent="0.25">
      <c r="A1130" s="88">
        <v>22</v>
      </c>
      <c r="B1130" s="88">
        <v>31</v>
      </c>
      <c r="C1130" s="97">
        <f>SUMIFS(Input!$C$115:$C$3257,Input!$A$115:$A$3257,"="&amp;'Output - County'!A1130,Input!$B$115:$B$3257,"="&amp;'Output - County'!B1130)*VLOOKUP(A1130,'Output - State'!$B$2:$G$52,2,FALSE)</f>
        <v>3.0828377486232474</v>
      </c>
      <c r="D1130" s="98">
        <f>SUMIFS(Input!$C$115:$C$3257,Input!$A$115:$A$3257,"="&amp;'Output - County'!A1130,Input!$B$115:$B$3257,"="&amp;'Output - County'!B1130)*VLOOKUP(A1130,'Output - State'!$B$2:$G$52,3,FALSE)</f>
        <v>7.6374621159424496</v>
      </c>
      <c r="E1130" s="98">
        <f>SUMIFS(Input!$C$115:$C$3257,Input!$A$115:$A$3257,"="&amp;'Output - County'!A1130,Input!$B$115:$B$3257,"="&amp;'Output - County'!B1130)*VLOOKUP(A1130,'Output - State'!$B$2:$G$52,4,FALSE)</f>
        <v>2.9800878452769517</v>
      </c>
      <c r="F1130" s="98">
        <f>SUMIFS(Input!$C$115:$C$3257,Input!$A$115:$A$3257,"="&amp;'Output - County'!A1130,Input!$B$115:$B$3257,"="&amp;'Output - County'!B1130)*VLOOKUP(A1130,'Output - State'!$B$2:$G$52,5,FALSE)</f>
        <v>53.801534535392413</v>
      </c>
      <c r="G1130" s="99">
        <f>SUMIFS(Input!$D$115:$D$3257,Input!$A$115:$A$3257,"="&amp;'Output - County'!A1130,Input!$B$115:$B$3257,"="&amp;'Output - County'!B1130)*VLOOKUP(A1130,'Output - State'!$B$2:$G$52,6,FALSE)</f>
        <v>24.576615568677639</v>
      </c>
    </row>
    <row r="1131" spans="1:7" x14ac:dyDescent="0.25">
      <c r="A1131" s="88">
        <v>22</v>
      </c>
      <c r="B1131" s="88">
        <v>33</v>
      </c>
      <c r="C1131" s="97">
        <f>SUMIFS(Input!$C$115:$C$3257,Input!$A$115:$A$3257,"="&amp;'Output - County'!A1131,Input!$B$115:$B$3257,"="&amp;'Output - County'!B1131)*VLOOKUP(A1131,'Output - State'!$B$2:$G$52,2,FALSE)</f>
        <v>21.994632762209637</v>
      </c>
      <c r="D1131" s="98">
        <f>SUMIFS(Input!$C$115:$C$3257,Input!$A$115:$A$3257,"="&amp;'Output - County'!A1131,Input!$B$115:$B$3257,"="&amp;'Output - County'!B1131)*VLOOKUP(A1131,'Output - State'!$B$2:$G$52,3,FALSE)</f>
        <v>54.489787712785628</v>
      </c>
      <c r="E1131" s="98">
        <f>SUMIFS(Input!$C$115:$C$3257,Input!$A$115:$A$3257,"="&amp;'Output - County'!A1131,Input!$B$115:$B$3257,"="&amp;'Output - County'!B1131)*VLOOKUP(A1131,'Output - State'!$B$2:$G$52,4,FALSE)</f>
        <v>21.261559349097457</v>
      </c>
      <c r="F1131" s="98">
        <f>SUMIFS(Input!$C$115:$C$3257,Input!$A$115:$A$3257,"="&amp;'Output - County'!A1131,Input!$B$115:$B$3257,"="&amp;'Output - County'!B1131)*VLOOKUP(A1131,'Output - State'!$B$2:$G$52,5,FALSE)</f>
        <v>383.84926182954672</v>
      </c>
      <c r="G1131" s="99">
        <f>SUMIFS(Input!$D$115:$D$3257,Input!$A$115:$A$3257,"="&amp;'Output - County'!A1131,Input!$B$115:$B$3257,"="&amp;'Output - County'!B1131)*VLOOKUP(A1131,'Output - State'!$B$2:$G$52,6,FALSE)</f>
        <v>396.45489348012831</v>
      </c>
    </row>
    <row r="1132" spans="1:7" x14ac:dyDescent="0.25">
      <c r="A1132" s="88">
        <v>22</v>
      </c>
      <c r="B1132" s="88">
        <v>35</v>
      </c>
      <c r="C1132" s="97">
        <f>SUMIFS(Input!$C$115:$C$3257,Input!$A$115:$A$3257,"="&amp;'Output - County'!A1132,Input!$B$115:$B$3257,"="&amp;'Output - County'!B1132)*VLOOKUP(A1132,'Output - State'!$B$2:$G$52,2,FALSE)</f>
        <v>0.28661610797767278</v>
      </c>
      <c r="D1132" s="98">
        <f>SUMIFS(Input!$C$115:$C$3257,Input!$A$115:$A$3257,"="&amp;'Output - County'!A1132,Input!$B$115:$B$3257,"="&amp;'Output - County'!B1132)*VLOOKUP(A1132,'Output - State'!$B$2:$G$52,3,FALSE)</f>
        <v>0.71006645337593022</v>
      </c>
      <c r="E1132" s="98">
        <f>SUMIFS(Input!$C$115:$C$3257,Input!$A$115:$A$3257,"="&amp;'Output - County'!A1132,Input!$B$115:$B$3257,"="&amp;'Output - County'!B1132)*VLOOKUP(A1132,'Output - State'!$B$2:$G$52,4,FALSE)</f>
        <v>0.27706329339787561</v>
      </c>
      <c r="F1132" s="98">
        <f>SUMIFS(Input!$C$115:$C$3257,Input!$A$115:$A$3257,"="&amp;'Output - County'!A1132,Input!$B$115:$B$3257,"="&amp;'Output - County'!B1132)*VLOOKUP(A1132,'Output - State'!$B$2:$G$52,5,FALSE)</f>
        <v>5.0020103843113555</v>
      </c>
      <c r="G1132" s="99">
        <f>SUMIFS(Input!$D$115:$D$3257,Input!$A$115:$A$3257,"="&amp;'Output - County'!A1132,Input!$B$115:$B$3257,"="&amp;'Output - County'!B1132)*VLOOKUP(A1132,'Output - State'!$B$2:$G$52,6,FALSE)</f>
        <v>6.2697278403305354</v>
      </c>
    </row>
    <row r="1133" spans="1:7" x14ac:dyDescent="0.25">
      <c r="A1133" s="88">
        <v>22</v>
      </c>
      <c r="B1133" s="88">
        <v>37</v>
      </c>
      <c r="C1133" s="97">
        <f>SUMIFS(Input!$C$115:$C$3257,Input!$A$115:$A$3257,"="&amp;'Output - County'!A1133,Input!$B$115:$B$3257,"="&amp;'Output - County'!B1133)*VLOOKUP(A1133,'Output - State'!$B$2:$G$52,2,FALSE)</f>
        <v>0.69519490547769147</v>
      </c>
      <c r="D1133" s="98">
        <f>SUMIFS(Input!$C$115:$C$3257,Input!$A$115:$A$3257,"="&amp;'Output - County'!A1133,Input!$B$115:$B$3257,"="&amp;'Output - County'!B1133)*VLOOKUP(A1133,'Output - State'!$B$2:$G$52,3,FALSE)</f>
        <v>1.7222848514013496</v>
      </c>
      <c r="E1133" s="98">
        <f>SUMIFS(Input!$C$115:$C$3257,Input!$A$115:$A$3257,"="&amp;'Output - County'!A1133,Input!$B$115:$B$3257,"="&amp;'Output - County'!B1133)*VLOOKUP(A1133,'Output - State'!$B$2:$G$52,4,FALSE)</f>
        <v>0.6720243025562207</v>
      </c>
      <c r="F1133" s="98">
        <f>SUMIFS(Input!$C$115:$C$3257,Input!$A$115:$A$3257,"="&amp;'Output - County'!A1133,Input!$B$115:$B$3257,"="&amp;'Output - County'!B1133)*VLOOKUP(A1133,'Output - State'!$B$2:$G$52,5,FALSE)</f>
        <v>12.132507697685465</v>
      </c>
      <c r="G1133" s="99">
        <f>SUMIFS(Input!$D$115:$D$3257,Input!$A$115:$A$3257,"="&amp;'Output - County'!A1133,Input!$B$115:$B$3257,"="&amp;'Output - County'!B1133)*VLOOKUP(A1133,'Output - State'!$B$2:$G$52,6,FALSE)</f>
        <v>17.311265710783882</v>
      </c>
    </row>
    <row r="1134" spans="1:7" x14ac:dyDescent="0.25">
      <c r="A1134" s="88">
        <v>22</v>
      </c>
      <c r="B1134" s="88">
        <v>39</v>
      </c>
      <c r="C1134" s="97">
        <f>SUMIFS(Input!$C$115:$C$3257,Input!$A$115:$A$3257,"="&amp;'Output - County'!A1134,Input!$B$115:$B$3257,"="&amp;'Output - County'!B1134)*VLOOKUP(A1134,'Output - State'!$B$2:$G$52,2,FALSE)</f>
        <v>1.2324111370182216</v>
      </c>
      <c r="D1134" s="98">
        <f>SUMIFS(Input!$C$115:$C$3257,Input!$A$115:$A$3257,"="&amp;'Output - County'!A1134,Input!$B$115:$B$3257,"="&amp;'Output - County'!B1134)*VLOOKUP(A1134,'Output - State'!$B$2:$G$52,3,FALSE)</f>
        <v>3.0531912924855407</v>
      </c>
      <c r="E1134" s="98">
        <f>SUMIFS(Input!$C$115:$C$3257,Input!$A$115:$A$3257,"="&amp;'Output - County'!A1134,Input!$B$115:$B$3257,"="&amp;'Output - County'!B1134)*VLOOKUP(A1134,'Output - State'!$B$2:$G$52,4,FALSE)</f>
        <v>1.1913353050941859</v>
      </c>
      <c r="F1134" s="98">
        <f>SUMIFS(Input!$C$115:$C$3257,Input!$A$115:$A$3257,"="&amp;'Output - County'!A1134,Input!$B$115:$B$3257,"="&amp;'Output - County'!B1134)*VLOOKUP(A1134,'Output - State'!$B$2:$G$52,5,FALSE)</f>
        <v>21.507979257000873</v>
      </c>
      <c r="G1134" s="99">
        <f>SUMIFS(Input!$D$115:$D$3257,Input!$A$115:$A$3257,"="&amp;'Output - County'!A1134,Input!$B$115:$B$3257,"="&amp;'Output - County'!B1134)*VLOOKUP(A1134,'Output - State'!$B$2:$G$52,6,FALSE)</f>
        <v>30.048051881412441</v>
      </c>
    </row>
    <row r="1135" spans="1:7" x14ac:dyDescent="0.25">
      <c r="A1135" s="88">
        <v>22</v>
      </c>
      <c r="B1135" s="88">
        <v>41</v>
      </c>
      <c r="C1135" s="97">
        <f>SUMIFS(Input!$C$115:$C$3257,Input!$A$115:$A$3257,"="&amp;'Output - County'!A1135,Input!$B$115:$B$3257,"="&amp;'Output - County'!B1135)*VLOOKUP(A1135,'Output - State'!$B$2:$G$52,2,FALSE)</f>
        <v>1.0445316005281371</v>
      </c>
      <c r="D1135" s="98">
        <f>SUMIFS(Input!$C$115:$C$3257,Input!$A$115:$A$3257,"="&amp;'Output - County'!A1135,Input!$B$115:$B$3257,"="&amp;'Output - County'!B1135)*VLOOKUP(A1135,'Output - State'!$B$2:$G$52,3,FALSE)</f>
        <v>2.5877360985024436</v>
      </c>
      <c r="E1135" s="98">
        <f>SUMIFS(Input!$C$115:$C$3257,Input!$A$115:$A$3257,"="&amp;'Output - County'!A1135,Input!$B$115:$B$3257,"="&amp;'Output - County'!B1135)*VLOOKUP(A1135,'Output - State'!$B$2:$G$52,4,FALSE)</f>
        <v>1.0097177278083198</v>
      </c>
      <c r="F1135" s="98">
        <f>SUMIFS(Input!$C$115:$C$3257,Input!$A$115:$A$3257,"="&amp;'Output - County'!A1135,Input!$B$115:$B$3257,"="&amp;'Output - County'!B1135)*VLOOKUP(A1135,'Output - State'!$B$2:$G$52,5,FALSE)</f>
        <v>18.229114718807455</v>
      </c>
      <c r="G1135" s="99">
        <f>SUMIFS(Input!$D$115:$D$3257,Input!$A$115:$A$3257,"="&amp;'Output - County'!A1135,Input!$B$115:$B$3257,"="&amp;'Output - County'!B1135)*VLOOKUP(A1135,'Output - State'!$B$2:$G$52,6,FALSE)</f>
        <v>18.118526806105411</v>
      </c>
    </row>
    <row r="1136" spans="1:7" x14ac:dyDescent="0.25">
      <c r="A1136" s="88">
        <v>22</v>
      </c>
      <c r="B1136" s="88">
        <v>43</v>
      </c>
      <c r="C1136" s="97">
        <f>SUMIFS(Input!$C$115:$C$3257,Input!$A$115:$A$3257,"="&amp;'Output - County'!A1136,Input!$B$115:$B$3257,"="&amp;'Output - County'!B1136)*VLOOKUP(A1136,'Output - State'!$B$2:$G$52,2,FALSE)</f>
        <v>0.87258020490669808</v>
      </c>
      <c r="D1136" s="98">
        <f>SUMIFS(Input!$C$115:$C$3257,Input!$A$115:$A$3257,"="&amp;'Output - County'!A1136,Input!$B$115:$B$3257,"="&amp;'Output - County'!B1136)*VLOOKUP(A1136,'Output - State'!$B$2:$G$52,3,FALSE)</f>
        <v>2.1617414867429825</v>
      </c>
      <c r="E1136" s="98">
        <f>SUMIFS(Input!$C$115:$C$3257,Input!$A$115:$A$3257,"="&amp;'Output - County'!A1136,Input!$B$115:$B$3257,"="&amp;'Output - County'!B1136)*VLOOKUP(A1136,'Output - State'!$B$2:$G$52,4,FALSE)</f>
        <v>0.84349741202987738</v>
      </c>
      <c r="F1136" s="98">
        <f>SUMIFS(Input!$C$115:$C$3257,Input!$A$115:$A$3257,"="&amp;'Output - County'!A1136,Input!$B$115:$B$3257,"="&amp;'Output - County'!B1136)*VLOOKUP(A1136,'Output - State'!$B$2:$G$52,5,FALSE)</f>
        <v>15.228227320803052</v>
      </c>
      <c r="G1136" s="99">
        <f>SUMIFS(Input!$D$115:$D$3257,Input!$A$115:$A$3257,"="&amp;'Output - County'!A1136,Input!$B$115:$B$3257,"="&amp;'Output - County'!B1136)*VLOOKUP(A1136,'Output - State'!$B$2:$G$52,6,FALSE)</f>
        <v>20.091831705780258</v>
      </c>
    </row>
    <row r="1137" spans="1:7" x14ac:dyDescent="0.25">
      <c r="A1137" s="88">
        <v>22</v>
      </c>
      <c r="B1137" s="88">
        <v>45</v>
      </c>
      <c r="C1137" s="97">
        <f>SUMIFS(Input!$C$115:$C$3257,Input!$A$115:$A$3257,"="&amp;'Output - County'!A1137,Input!$B$115:$B$3257,"="&amp;'Output - County'!B1137)*VLOOKUP(A1137,'Output - State'!$B$2:$G$52,2,FALSE)</f>
        <v>3.5555780979437919</v>
      </c>
      <c r="D1137" s="98">
        <f>SUMIFS(Input!$C$115:$C$3257,Input!$A$115:$A$3257,"="&amp;'Output - County'!A1137,Input!$B$115:$B$3257,"="&amp;'Output - County'!B1137)*VLOOKUP(A1137,'Output - State'!$B$2:$G$52,3,FALSE)</f>
        <v>8.8086351723984606</v>
      </c>
      <c r="E1137" s="98">
        <f>SUMIFS(Input!$C$115:$C$3257,Input!$A$115:$A$3257,"="&amp;'Output - County'!A1137,Input!$B$115:$B$3257,"="&amp;'Output - County'!B1137)*VLOOKUP(A1137,'Output - State'!$B$2:$G$52,4,FALSE)</f>
        <v>3.4370719241864851</v>
      </c>
      <c r="F1137" s="98">
        <f>SUMIFS(Input!$C$115:$C$3257,Input!$A$115:$A$3257,"="&amp;'Output - County'!A1137,Input!$B$115:$B$3257,"="&amp;'Output - County'!B1137)*VLOOKUP(A1137,'Output - State'!$B$2:$G$52,5,FALSE)</f>
        <v>62.051776132311119</v>
      </c>
      <c r="G1137" s="99">
        <f>SUMIFS(Input!$D$115:$D$3257,Input!$A$115:$A$3257,"="&amp;'Output - County'!A1137,Input!$B$115:$B$3257,"="&amp;'Output - County'!B1137)*VLOOKUP(A1137,'Output - State'!$B$2:$G$52,6,FALSE)</f>
        <v>63.594235175884833</v>
      </c>
    </row>
    <row r="1138" spans="1:7" x14ac:dyDescent="0.25">
      <c r="A1138" s="88">
        <v>22</v>
      </c>
      <c r="B1138" s="88">
        <v>47</v>
      </c>
      <c r="C1138" s="97">
        <f>SUMIFS(Input!$C$115:$C$3257,Input!$A$115:$A$3257,"="&amp;'Output - County'!A1138,Input!$B$115:$B$3257,"="&amp;'Output - County'!B1138)*VLOOKUP(A1138,'Output - State'!$B$2:$G$52,2,FALSE)</f>
        <v>2.8542939888672967</v>
      </c>
      <c r="D1138" s="98">
        <f>SUMIFS(Input!$C$115:$C$3257,Input!$A$115:$A$3257,"="&amp;'Output - County'!A1138,Input!$B$115:$B$3257,"="&amp;'Output - County'!B1138)*VLOOKUP(A1138,'Output - State'!$B$2:$G$52,3,FALSE)</f>
        <v>7.071264849235618</v>
      </c>
      <c r="E1138" s="98">
        <f>SUMIFS(Input!$C$115:$C$3257,Input!$A$115:$A$3257,"="&amp;'Output - County'!A1138,Input!$B$115:$B$3257,"="&amp;'Output - County'!B1138)*VLOOKUP(A1138,'Output - State'!$B$2:$G$52,4,FALSE)</f>
        <v>2.7591613690565389</v>
      </c>
      <c r="F1138" s="98">
        <f>SUMIFS(Input!$C$115:$C$3257,Input!$A$115:$A$3257,"="&amp;'Output - County'!A1138,Input!$B$115:$B$3257,"="&amp;'Output - County'!B1138)*VLOOKUP(A1138,'Output - State'!$B$2:$G$52,5,FALSE)</f>
        <v>49.812999949409274</v>
      </c>
      <c r="G1138" s="99">
        <f>SUMIFS(Input!$D$115:$D$3257,Input!$A$115:$A$3257,"="&amp;'Output - County'!A1138,Input!$B$115:$B$3257,"="&amp;'Output - County'!B1138)*VLOOKUP(A1138,'Output - State'!$B$2:$G$52,6,FALSE)</f>
        <v>29.330486463348858</v>
      </c>
    </row>
    <row r="1139" spans="1:7" x14ac:dyDescent="0.25">
      <c r="A1139" s="88">
        <v>22</v>
      </c>
      <c r="B1139" s="88">
        <v>49</v>
      </c>
      <c r="C1139" s="97">
        <f>SUMIFS(Input!$C$115:$C$3257,Input!$A$115:$A$3257,"="&amp;'Output - County'!A1139,Input!$B$115:$B$3257,"="&amp;'Output - County'!B1139)*VLOOKUP(A1139,'Output - State'!$B$2:$G$52,2,FALSE)</f>
        <v>0.75840247771471092</v>
      </c>
      <c r="D1139" s="98">
        <f>SUMIFS(Input!$C$115:$C$3257,Input!$A$115:$A$3257,"="&amp;'Output - County'!A1139,Input!$B$115:$B$3257,"="&amp;'Output - County'!B1139)*VLOOKUP(A1139,'Output - State'!$B$2:$G$52,3,FALSE)</f>
        <v>1.8788761084717289</v>
      </c>
      <c r="E1139" s="98">
        <f>SUMIFS(Input!$C$115:$C$3257,Input!$A$115:$A$3257,"="&amp;'Output - County'!A1139,Input!$B$115:$B$3257,"="&amp;'Output - County'!B1139)*VLOOKUP(A1139,'Output - State'!$B$2:$G$52,4,FALSE)</f>
        <v>0.7331251885295833</v>
      </c>
      <c r="F1139" s="98">
        <f>SUMIFS(Input!$C$115:$C$3257,Input!$A$115:$A$3257,"="&amp;'Output - County'!A1139,Input!$B$115:$B$3257,"="&amp;'Output - County'!B1139)*VLOOKUP(A1139,'Output - State'!$B$2:$G$52,5,FALSE)</f>
        <v>13.235603175910684</v>
      </c>
      <c r="G1139" s="99">
        <f>SUMIFS(Input!$D$115:$D$3257,Input!$A$115:$A$3257,"="&amp;'Output - County'!A1139,Input!$B$115:$B$3257,"="&amp;'Output - County'!B1139)*VLOOKUP(A1139,'Output - State'!$B$2:$G$52,6,FALSE)</f>
        <v>14.261612684013667</v>
      </c>
    </row>
    <row r="1140" spans="1:7" x14ac:dyDescent="0.25">
      <c r="A1140" s="88">
        <v>22</v>
      </c>
      <c r="B1140" s="88">
        <v>51</v>
      </c>
      <c r="C1140" s="97">
        <f>SUMIFS(Input!$C$115:$C$3257,Input!$A$115:$A$3257,"="&amp;'Output - County'!A1140,Input!$B$115:$B$3257,"="&amp;'Output - County'!B1140)*VLOOKUP(A1140,'Output - State'!$B$2:$G$52,2,FALSE)</f>
        <v>15.828910343517759</v>
      </c>
      <c r="D1140" s="98">
        <f>SUMIFS(Input!$C$115:$C$3257,Input!$A$115:$A$3257,"="&amp;'Output - County'!A1140,Input!$B$115:$B$3257,"="&amp;'Output - County'!B1140)*VLOOKUP(A1140,'Output - State'!$B$2:$G$52,3,FALSE)</f>
        <v>39.214747237104994</v>
      </c>
      <c r="E1140" s="98">
        <f>SUMIFS(Input!$C$115:$C$3257,Input!$A$115:$A$3257,"="&amp;'Output - County'!A1140,Input!$B$115:$B$3257,"="&amp;'Output - County'!B1140)*VLOOKUP(A1140,'Output - State'!$B$2:$G$52,4,FALSE)</f>
        <v>15.301338300973526</v>
      </c>
      <c r="F1140" s="98">
        <f>SUMIFS(Input!$C$115:$C$3257,Input!$A$115:$A$3257,"="&amp;'Output - County'!A1140,Input!$B$115:$B$3257,"="&amp;'Output - County'!B1140)*VLOOKUP(A1140,'Output - State'!$B$2:$G$52,5,FALSE)</f>
        <v>276.24537388797785</v>
      </c>
      <c r="G1140" s="99">
        <f>SUMIFS(Input!$D$115:$D$3257,Input!$A$115:$A$3257,"="&amp;'Output - County'!A1140,Input!$B$115:$B$3257,"="&amp;'Output - County'!B1140)*VLOOKUP(A1140,'Output - State'!$B$2:$G$52,6,FALSE)</f>
        <v>389.27923929949247</v>
      </c>
    </row>
    <row r="1141" spans="1:7" x14ac:dyDescent="0.25">
      <c r="A1141" s="88">
        <v>22</v>
      </c>
      <c r="B1141" s="88">
        <v>53</v>
      </c>
      <c r="C1141" s="97">
        <f>SUMIFS(Input!$C$115:$C$3257,Input!$A$115:$A$3257,"="&amp;'Output - County'!A1141,Input!$B$115:$B$3257,"="&amp;'Output - County'!B1141)*VLOOKUP(A1141,'Output - State'!$B$2:$G$52,2,FALSE)</f>
        <v>3.4958979160246093</v>
      </c>
      <c r="D1141" s="98">
        <f>SUMIFS(Input!$C$115:$C$3257,Input!$A$115:$A$3257,"="&amp;'Output - County'!A1141,Input!$B$115:$B$3257,"="&amp;'Output - County'!B1141)*VLOOKUP(A1141,'Output - State'!$B$2:$G$52,3,FALSE)</f>
        <v>8.6607827177294254</v>
      </c>
      <c r="E1141" s="98">
        <f>SUMIFS(Input!$C$115:$C$3257,Input!$A$115:$A$3257,"="&amp;'Output - County'!A1141,Input!$B$115:$B$3257,"="&amp;'Output - County'!B1141)*VLOOKUP(A1141,'Output - State'!$B$2:$G$52,4,FALSE)</f>
        <v>3.379380861846049</v>
      </c>
      <c r="F1141" s="98">
        <f>SUMIFS(Input!$C$115:$C$3257,Input!$A$115:$A$3257,"="&amp;'Output - County'!A1141,Input!$B$115:$B$3257,"="&amp;'Output - County'!B1141)*VLOOKUP(A1141,'Output - State'!$B$2:$G$52,5,FALSE)</f>
        <v>61.010240498449967</v>
      </c>
      <c r="G1141" s="99">
        <f>SUMIFS(Input!$D$115:$D$3257,Input!$A$115:$A$3257,"="&amp;'Output - County'!A1141,Input!$B$115:$B$3257,"="&amp;'Output - County'!B1141)*VLOOKUP(A1141,'Output - State'!$B$2:$G$52,6,FALSE)</f>
        <v>28.254138336253487</v>
      </c>
    </row>
    <row r="1142" spans="1:7" x14ac:dyDescent="0.25">
      <c r="A1142" s="88">
        <v>22</v>
      </c>
      <c r="B1142" s="88">
        <v>55</v>
      </c>
      <c r="C1142" s="97">
        <f>SUMIFS(Input!$C$115:$C$3257,Input!$A$115:$A$3257,"="&amp;'Output - County'!A1142,Input!$B$115:$B$3257,"="&amp;'Output - County'!B1142)*VLOOKUP(A1142,'Output - State'!$B$2:$G$52,2,FALSE)</f>
        <v>11.771627033339993</v>
      </c>
      <c r="D1142" s="98">
        <f>SUMIFS(Input!$C$115:$C$3257,Input!$A$115:$A$3257,"="&amp;'Output - County'!A1142,Input!$B$115:$B$3257,"="&amp;'Output - County'!B1142)*VLOOKUP(A1142,'Output - State'!$B$2:$G$52,3,FALSE)</f>
        <v>29.163181082198925</v>
      </c>
      <c r="E1142" s="98">
        <f>SUMIFS(Input!$C$115:$C$3257,Input!$A$115:$A$3257,"="&amp;'Output - County'!A1142,Input!$B$115:$B$3257,"="&amp;'Output - County'!B1142)*VLOOKUP(A1142,'Output - State'!$B$2:$G$52,4,FALSE)</f>
        <v>11.379282823708952</v>
      </c>
      <c r="F1142" s="98">
        <f>SUMIFS(Input!$C$115:$C$3257,Input!$A$115:$A$3257,"="&amp;'Output - County'!A1142,Input!$B$115:$B$3257,"="&amp;'Output - County'!B1142)*VLOOKUP(A1142,'Output - State'!$B$2:$G$52,5,FALSE)</f>
        <v>205.43786277913512</v>
      </c>
      <c r="G1142" s="99">
        <f>SUMIFS(Input!$D$115:$D$3257,Input!$A$115:$A$3257,"="&amp;'Output - County'!A1142,Input!$B$115:$B$3257,"="&amp;'Output - County'!B1142)*VLOOKUP(A1142,'Output - State'!$B$2:$G$52,6,FALSE)</f>
        <v>217.96049573681262</v>
      </c>
    </row>
    <row r="1143" spans="1:7" x14ac:dyDescent="0.25">
      <c r="A1143" s="88">
        <v>22</v>
      </c>
      <c r="B1143" s="88">
        <v>57</v>
      </c>
      <c r="C1143" s="97">
        <f>SUMIFS(Input!$C$115:$C$3257,Input!$A$115:$A$3257,"="&amp;'Output - County'!A1143,Input!$B$115:$B$3257,"="&amp;'Output - County'!B1143)*VLOOKUP(A1143,'Output - State'!$B$2:$G$52,2,FALSE)</f>
        <v>5.4448161881395114</v>
      </c>
      <c r="D1143" s="98">
        <f>SUMIFS(Input!$C$115:$C$3257,Input!$A$115:$A$3257,"="&amp;'Output - County'!A1143,Input!$B$115:$B$3257,"="&amp;'Output - County'!B1143)*VLOOKUP(A1143,'Output - State'!$B$2:$G$52,3,FALSE)</f>
        <v>13.489058054954981</v>
      </c>
      <c r="E1143" s="98">
        <f>SUMIFS(Input!$C$115:$C$3257,Input!$A$115:$A$3257,"="&amp;'Output - County'!A1143,Input!$B$115:$B$3257,"="&amp;'Output - County'!B1143)*VLOOKUP(A1143,'Output - State'!$B$2:$G$52,4,FALSE)</f>
        <v>5.2633423699602941</v>
      </c>
      <c r="F1143" s="98">
        <f>SUMIFS(Input!$C$115:$C$3257,Input!$A$115:$A$3257,"="&amp;'Output - County'!A1143,Input!$B$115:$B$3257,"="&amp;'Output - County'!B1143)*VLOOKUP(A1143,'Output - State'!$B$2:$G$52,5,FALSE)</f>
        <v>95.022667448481286</v>
      </c>
      <c r="G1143" s="99">
        <f>SUMIFS(Input!$D$115:$D$3257,Input!$A$115:$A$3257,"="&amp;'Output - County'!A1143,Input!$B$115:$B$3257,"="&amp;'Output - County'!B1143)*VLOOKUP(A1143,'Output - State'!$B$2:$G$52,6,FALSE)</f>
        <v>87.901763712788622</v>
      </c>
    </row>
    <row r="1144" spans="1:7" x14ac:dyDescent="0.25">
      <c r="A1144" s="88">
        <v>22</v>
      </c>
      <c r="B1144" s="88">
        <v>59</v>
      </c>
      <c r="C1144" s="97">
        <f>SUMIFS(Input!$C$115:$C$3257,Input!$A$115:$A$3257,"="&amp;'Output - County'!A1144,Input!$B$115:$B$3257,"="&amp;'Output - County'!B1144)*VLOOKUP(A1144,'Output - State'!$B$2:$G$52,2,FALSE)</f>
        <v>0.47727352607501156</v>
      </c>
      <c r="D1144" s="98">
        <f>SUMIFS(Input!$C$115:$C$3257,Input!$A$115:$A$3257,"="&amp;'Output - County'!A1144,Input!$B$115:$B$3257,"="&amp;'Output - County'!B1144)*VLOOKUP(A1144,'Output - State'!$B$2:$G$52,3,FALSE)</f>
        <v>1.1824036071856359</v>
      </c>
      <c r="E1144" s="98">
        <f>SUMIFS(Input!$C$115:$C$3257,Input!$A$115:$A$3257,"="&amp;'Output - County'!A1144,Input!$B$115:$B$3257,"="&amp;'Output - County'!B1144)*VLOOKUP(A1144,'Output - State'!$B$2:$G$52,4,FALSE)</f>
        <v>0.46136616646912454</v>
      </c>
      <c r="F1144" s="98">
        <f>SUMIFS(Input!$C$115:$C$3257,Input!$A$115:$A$3257,"="&amp;'Output - County'!A1144,Input!$B$115:$B$3257,"="&amp;'Output - County'!B1144)*VLOOKUP(A1144,'Output - State'!$B$2:$G$52,5,FALSE)</f>
        <v>8.3293543772846004</v>
      </c>
      <c r="G1144" s="99">
        <f>SUMIFS(Input!$D$115:$D$3257,Input!$A$115:$A$3257,"="&amp;'Output - County'!A1144,Input!$B$115:$B$3257,"="&amp;'Output - County'!B1144)*VLOOKUP(A1144,'Output - State'!$B$2:$G$52,6,FALSE)</f>
        <v>13.364655911434189</v>
      </c>
    </row>
    <row r="1145" spans="1:7" x14ac:dyDescent="0.25">
      <c r="A1145" s="88">
        <v>22</v>
      </c>
      <c r="B1145" s="88">
        <v>61</v>
      </c>
      <c r="C1145" s="97">
        <f>SUMIFS(Input!$C$115:$C$3257,Input!$A$115:$A$3257,"="&amp;'Output - County'!A1145,Input!$B$115:$B$3257,"="&amp;'Output - County'!B1145)*VLOOKUP(A1145,'Output - State'!$B$2:$G$52,2,FALSE)</f>
        <v>3.5696560376939943</v>
      </c>
      <c r="D1145" s="98">
        <f>SUMIFS(Input!$C$115:$C$3257,Input!$A$115:$A$3257,"="&amp;'Output - County'!A1145,Input!$B$115:$B$3257,"="&amp;'Output - County'!B1145)*VLOOKUP(A1145,'Output - State'!$B$2:$G$52,3,FALSE)</f>
        <v>8.8435120424383165</v>
      </c>
      <c r="E1145" s="98">
        <f>SUMIFS(Input!$C$115:$C$3257,Input!$A$115:$A$3257,"="&amp;'Output - County'!A1145,Input!$B$115:$B$3257,"="&amp;'Output - County'!B1145)*VLOOKUP(A1145,'Output - State'!$B$2:$G$52,4,FALSE)</f>
        <v>3.4506806511312802</v>
      </c>
      <c r="F1145" s="98">
        <f>SUMIFS(Input!$C$115:$C$3257,Input!$A$115:$A$3257,"="&amp;'Output - County'!A1145,Input!$B$115:$B$3257,"="&amp;'Output - County'!B1145)*VLOOKUP(A1145,'Output - State'!$B$2:$G$52,5,FALSE)</f>
        <v>62.29746365251745</v>
      </c>
      <c r="G1145" s="99">
        <f>SUMIFS(Input!$D$115:$D$3257,Input!$A$115:$A$3257,"="&amp;'Output - County'!A1145,Input!$B$115:$B$3257,"="&amp;'Output - County'!B1145)*VLOOKUP(A1145,'Output - State'!$B$2:$G$52,6,FALSE)</f>
        <v>42.24666398849331</v>
      </c>
    </row>
    <row r="1146" spans="1:7" x14ac:dyDescent="0.25">
      <c r="A1146" s="88">
        <v>22</v>
      </c>
      <c r="B1146" s="88">
        <v>63</v>
      </c>
      <c r="C1146" s="97">
        <f>SUMIFS(Input!$C$115:$C$3257,Input!$A$115:$A$3257,"="&amp;'Output - County'!A1146,Input!$B$115:$B$3257,"="&amp;'Output - County'!B1146)*VLOOKUP(A1146,'Output - State'!$B$2:$G$52,2,FALSE)</f>
        <v>9.2888709964118998</v>
      </c>
      <c r="D1146" s="98">
        <f>SUMIFS(Input!$C$115:$C$3257,Input!$A$115:$A$3257,"="&amp;'Output - County'!A1146,Input!$B$115:$B$3257,"="&amp;'Output - County'!B1146)*VLOOKUP(A1146,'Output - State'!$B$2:$G$52,3,FALSE)</f>
        <v>23.012369161061045</v>
      </c>
      <c r="E1146" s="98">
        <f>SUMIFS(Input!$C$115:$C$3257,Input!$A$115:$A$3257,"="&amp;'Output - County'!A1146,Input!$B$115:$B$3257,"="&amp;'Output - County'!B1146)*VLOOKUP(A1146,'Output - State'!$B$2:$G$52,4,FALSE)</f>
        <v>8.9792761766703251</v>
      </c>
      <c r="F1146" s="98">
        <f>SUMIFS(Input!$C$115:$C$3257,Input!$A$115:$A$3257,"="&amp;'Output - County'!A1146,Input!$B$115:$B$3257,"="&amp;'Output - County'!B1146)*VLOOKUP(A1146,'Output - State'!$B$2:$G$52,5,FALSE)</f>
        <v>162.1089251068901</v>
      </c>
      <c r="G1146" s="99">
        <f>SUMIFS(Input!$D$115:$D$3257,Input!$A$115:$A$3257,"="&amp;'Output - County'!A1146,Input!$B$115:$B$3257,"="&amp;'Output - County'!B1146)*VLOOKUP(A1146,'Output - State'!$B$2:$G$52,6,FALSE)</f>
        <v>124.67699138854714</v>
      </c>
    </row>
    <row r="1147" spans="1:7" x14ac:dyDescent="0.25">
      <c r="A1147" s="88">
        <v>22</v>
      </c>
      <c r="B1147" s="88">
        <v>65</v>
      </c>
      <c r="C1147" s="97">
        <f>SUMIFS(Input!$C$115:$C$3257,Input!$A$115:$A$3257,"="&amp;'Output - County'!A1147,Input!$B$115:$B$3257,"="&amp;'Output - County'!B1147)*VLOOKUP(A1147,'Output - State'!$B$2:$G$52,2,FALSE)</f>
        <v>2.603362093652406</v>
      </c>
      <c r="D1147" s="98">
        <f>SUMIFS(Input!$C$115:$C$3257,Input!$A$115:$A$3257,"="&amp;'Output - County'!A1147,Input!$B$115:$B$3257,"="&amp;'Output - County'!B1147)*VLOOKUP(A1147,'Output - State'!$B$2:$G$52,3,FALSE)</f>
        <v>6.4496029261450358</v>
      </c>
      <c r="E1147" s="98">
        <f>SUMIFS(Input!$C$115:$C$3257,Input!$A$115:$A$3257,"="&amp;'Output - County'!A1147,Input!$B$115:$B$3257,"="&amp;'Output - County'!B1147)*VLOOKUP(A1147,'Output - State'!$B$2:$G$52,4,FALSE)</f>
        <v>2.5165929460974774</v>
      </c>
      <c r="F1147" s="98">
        <f>SUMIFS(Input!$C$115:$C$3257,Input!$A$115:$A$3257,"="&amp;'Output - County'!A1147,Input!$B$115:$B$3257,"="&amp;'Output - County'!B1147)*VLOOKUP(A1147,'Output - State'!$B$2:$G$52,5,FALSE)</f>
        <v>45.433748711661018</v>
      </c>
      <c r="G1147" s="99">
        <f>SUMIFS(Input!$D$115:$D$3257,Input!$A$115:$A$3257,"="&amp;'Output - County'!A1147,Input!$B$115:$B$3257,"="&amp;'Output - County'!B1147)*VLOOKUP(A1147,'Output - State'!$B$2:$G$52,6,FALSE)</f>
        <v>10.045915852890129</v>
      </c>
    </row>
    <row r="1148" spans="1:7" x14ac:dyDescent="0.25">
      <c r="A1148" s="88">
        <v>22</v>
      </c>
      <c r="B1148" s="88">
        <v>67</v>
      </c>
      <c r="C1148" s="97">
        <f>SUMIFS(Input!$C$115:$C$3257,Input!$A$115:$A$3257,"="&amp;'Output - County'!A1148,Input!$B$115:$B$3257,"="&amp;'Output - County'!B1148)*VLOOKUP(A1148,'Output - State'!$B$2:$G$52,2,FALSE)</f>
        <v>1.0977707156166789</v>
      </c>
      <c r="D1148" s="98">
        <f>SUMIFS(Input!$C$115:$C$3257,Input!$A$115:$A$3257,"="&amp;'Output - County'!A1148,Input!$B$115:$B$3257,"="&amp;'Output - County'!B1148)*VLOOKUP(A1148,'Output - State'!$B$2:$G$52,3,FALSE)</f>
        <v>2.719631370887968</v>
      </c>
      <c r="E1148" s="98">
        <f>SUMIFS(Input!$C$115:$C$3257,Input!$A$115:$A$3257,"="&amp;'Output - County'!A1148,Input!$B$115:$B$3257,"="&amp;'Output - County'!B1148)*VLOOKUP(A1148,'Output - State'!$B$2:$G$52,4,FALSE)</f>
        <v>1.0611824018215787</v>
      </c>
      <c r="F1148" s="98">
        <f>SUMIFS(Input!$C$115:$C$3257,Input!$A$115:$A$3257,"="&amp;'Output - County'!A1148,Input!$B$115:$B$3257,"="&amp;'Output - County'!B1148)*VLOOKUP(A1148,'Output - State'!$B$2:$G$52,5,FALSE)</f>
        <v>19.158241167433918</v>
      </c>
      <c r="G1148" s="99">
        <f>SUMIFS(Input!$D$115:$D$3257,Input!$A$115:$A$3257,"="&amp;'Output - County'!A1148,Input!$B$115:$B$3257,"="&amp;'Output - County'!B1148)*VLOOKUP(A1148,'Output - State'!$B$2:$G$52,6,FALSE)</f>
        <v>22.693006346260738</v>
      </c>
    </row>
    <row r="1149" spans="1:7" x14ac:dyDescent="0.25">
      <c r="A1149" s="88">
        <v>22</v>
      </c>
      <c r="B1149" s="88">
        <v>69</v>
      </c>
      <c r="C1149" s="97">
        <f>SUMIFS(Input!$C$115:$C$3257,Input!$A$115:$A$3257,"="&amp;'Output - County'!A1149,Input!$B$115:$B$3257,"="&amp;'Output - County'!B1149)*VLOOKUP(A1149,'Output - State'!$B$2:$G$52,2,FALSE)</f>
        <v>3.5838998121177963</v>
      </c>
      <c r="D1149" s="98">
        <f>SUMIFS(Input!$C$115:$C$3257,Input!$A$115:$A$3257,"="&amp;'Output - County'!A1149,Input!$B$115:$B$3257,"="&amp;'Output - County'!B1149)*VLOOKUP(A1149,'Output - State'!$B$2:$G$52,3,FALSE)</f>
        <v>8.8787997534436727</v>
      </c>
      <c r="E1149" s="98">
        <f>SUMIFS(Input!$C$115:$C$3257,Input!$A$115:$A$3257,"="&amp;'Output - County'!A1149,Input!$B$115:$B$3257,"="&amp;'Output - County'!B1149)*VLOOKUP(A1149,'Output - State'!$B$2:$G$52,4,FALSE)</f>
        <v>3.4644496855380358</v>
      </c>
      <c r="F1149" s="98">
        <f>SUMIFS(Input!$C$115:$C$3257,Input!$A$115:$A$3257,"="&amp;'Output - County'!A1149,Input!$B$115:$B$3257,"="&amp;'Output - County'!B1149)*VLOOKUP(A1149,'Output - State'!$B$2:$G$52,5,FALSE)</f>
        <v>62.546045311386379</v>
      </c>
      <c r="G1149" s="99">
        <f>SUMIFS(Input!$D$115:$D$3257,Input!$A$115:$A$3257,"="&amp;'Output - County'!A1149,Input!$B$115:$B$3257,"="&amp;'Output - County'!B1149)*VLOOKUP(A1149,'Output - State'!$B$2:$G$52,6,FALSE)</f>
        <v>34.622531421567764</v>
      </c>
    </row>
    <row r="1150" spans="1:7" x14ac:dyDescent="0.25">
      <c r="A1150" s="88">
        <v>22</v>
      </c>
      <c r="B1150" s="88">
        <v>71</v>
      </c>
      <c r="C1150" s="97">
        <f>SUMIFS(Input!$C$115:$C$3257,Input!$A$115:$A$3257,"="&amp;'Output - County'!A1150,Input!$B$115:$B$3257,"="&amp;'Output - County'!B1150)*VLOOKUP(A1150,'Output - State'!$B$2:$G$52,2,FALSE)</f>
        <v>16.548995720119702</v>
      </c>
      <c r="D1150" s="98">
        <f>SUMIFS(Input!$C$115:$C$3257,Input!$A$115:$A$3257,"="&amp;'Output - County'!A1150,Input!$B$115:$B$3257,"="&amp;'Output - County'!B1150)*VLOOKUP(A1150,'Output - State'!$B$2:$G$52,3,FALSE)</f>
        <v>40.998696063635862</v>
      </c>
      <c r="E1150" s="98">
        <f>SUMIFS(Input!$C$115:$C$3257,Input!$A$115:$A$3257,"="&amp;'Output - County'!A1150,Input!$B$115:$B$3257,"="&amp;'Output - County'!B1150)*VLOOKUP(A1150,'Output - State'!$B$2:$G$52,4,FALSE)</f>
        <v>15.997423483961654</v>
      </c>
      <c r="F1150" s="98">
        <f>SUMIFS(Input!$C$115:$C$3257,Input!$A$115:$A$3257,"="&amp;'Output - County'!A1150,Input!$B$115:$B$3257,"="&amp;'Output - County'!B1150)*VLOOKUP(A1150,'Output - State'!$B$2:$G$52,5,FALSE)</f>
        <v>288.8122688778235</v>
      </c>
      <c r="G1150" s="99">
        <f>SUMIFS(Input!$D$115:$D$3257,Input!$A$115:$A$3257,"="&amp;'Output - County'!A1150,Input!$B$115:$B$3257,"="&amp;'Output - County'!B1150)*VLOOKUP(A1150,'Output - State'!$B$2:$G$52,6,FALSE)</f>
        <v>350.71009807857507</v>
      </c>
    </row>
    <row r="1151" spans="1:7" x14ac:dyDescent="0.25">
      <c r="A1151" s="88">
        <v>22</v>
      </c>
      <c r="B1151" s="88">
        <v>73</v>
      </c>
      <c r="C1151" s="97">
        <f>SUMIFS(Input!$C$115:$C$3257,Input!$A$115:$A$3257,"="&amp;'Output - County'!A1151,Input!$B$115:$B$3257,"="&amp;'Output - County'!B1151)*VLOOKUP(A1151,'Output - State'!$B$2:$G$52,2,FALSE)</f>
        <v>8.3844862023491071</v>
      </c>
      <c r="D1151" s="98">
        <f>SUMIFS(Input!$C$115:$C$3257,Input!$A$115:$A$3257,"="&amp;'Output - County'!A1151,Input!$B$115:$B$3257,"="&amp;'Output - County'!B1151)*VLOOKUP(A1151,'Output - State'!$B$2:$G$52,3,FALSE)</f>
        <v>20.771834573740108</v>
      </c>
      <c r="E1151" s="98">
        <f>SUMIFS(Input!$C$115:$C$3257,Input!$A$115:$A$3257,"="&amp;'Output - County'!A1151,Input!$B$115:$B$3257,"="&amp;'Output - County'!B1151)*VLOOKUP(A1151,'Output - State'!$B$2:$G$52,4,FALSE)</f>
        <v>8.1050342113111551</v>
      </c>
      <c r="F1151" s="98">
        <f>SUMIFS(Input!$C$115:$C$3257,Input!$A$115:$A$3257,"="&amp;'Output - County'!A1151,Input!$B$115:$B$3257,"="&amp;'Output - County'!B1151)*VLOOKUP(A1151,'Output - State'!$B$2:$G$52,5,FALSE)</f>
        <v>146.32564564212333</v>
      </c>
      <c r="G1151" s="99">
        <f>SUMIFS(Input!$D$115:$D$3257,Input!$A$115:$A$3257,"="&amp;'Output - County'!A1151,Input!$B$115:$B$3257,"="&amp;'Output - County'!B1151)*VLOOKUP(A1151,'Output - State'!$B$2:$G$52,6,FALSE)</f>
        <v>139.02829974981876</v>
      </c>
    </row>
    <row r="1152" spans="1:7" x14ac:dyDescent="0.25">
      <c r="A1152" s="88">
        <v>22</v>
      </c>
      <c r="B1152" s="88">
        <v>75</v>
      </c>
      <c r="C1152" s="97">
        <f>SUMIFS(Input!$C$115:$C$3257,Input!$A$115:$A$3257,"="&amp;'Output - County'!A1152,Input!$B$115:$B$3257,"="&amp;'Output - County'!B1152)*VLOOKUP(A1152,'Output - State'!$B$2:$G$52,2,FALSE)</f>
        <v>1.2694095732827273</v>
      </c>
      <c r="D1152" s="98">
        <f>SUMIFS(Input!$C$115:$C$3257,Input!$A$115:$A$3257,"="&amp;'Output - County'!A1152,Input!$B$115:$B$3257,"="&amp;'Output - County'!B1152)*VLOOKUP(A1152,'Output - State'!$B$2:$G$52,3,FALSE)</f>
        <v>3.1448516970739653</v>
      </c>
      <c r="E1152" s="98">
        <f>SUMIFS(Input!$C$115:$C$3257,Input!$A$115:$A$3257,"="&amp;'Output - County'!A1152,Input!$B$115:$B$3257,"="&amp;'Output - County'!B1152)*VLOOKUP(A1152,'Output - State'!$B$2:$G$52,4,FALSE)</f>
        <v>1.2271005964253134</v>
      </c>
      <c r="F1152" s="98">
        <f>SUMIFS(Input!$C$115:$C$3257,Input!$A$115:$A$3257,"="&amp;'Output - County'!A1152,Input!$B$115:$B$3257,"="&amp;'Output - County'!B1152)*VLOOKUP(A1152,'Output - State'!$B$2:$G$52,5,FALSE)</f>
        <v>22.153674168232996</v>
      </c>
      <c r="G1152" s="99">
        <f>SUMIFS(Input!$D$115:$D$3257,Input!$A$115:$A$3257,"="&amp;'Output - County'!A1152,Input!$B$115:$B$3257,"="&amp;'Output - County'!B1152)*VLOOKUP(A1152,'Output - State'!$B$2:$G$52,6,FALSE)</f>
        <v>20.988788478359734</v>
      </c>
    </row>
    <row r="1153" spans="1:7" x14ac:dyDescent="0.25">
      <c r="A1153" s="88">
        <v>22</v>
      </c>
      <c r="B1153" s="88">
        <v>77</v>
      </c>
      <c r="C1153" s="97">
        <f>SUMIFS(Input!$C$115:$C$3257,Input!$A$115:$A$3257,"="&amp;'Output - County'!A1153,Input!$B$115:$B$3257,"="&amp;'Output - County'!B1153)*VLOOKUP(A1153,'Output - State'!$B$2:$G$52,2,FALSE)</f>
        <v>1.2082009725589662</v>
      </c>
      <c r="D1153" s="98">
        <f>SUMIFS(Input!$C$115:$C$3257,Input!$A$115:$A$3257,"="&amp;'Output - County'!A1153,Input!$B$115:$B$3257,"="&amp;'Output - County'!B1153)*VLOOKUP(A1153,'Output - State'!$B$2:$G$52,3,FALSE)</f>
        <v>2.9932127178878751</v>
      </c>
      <c r="E1153" s="98">
        <f>SUMIFS(Input!$C$115:$C$3257,Input!$A$115:$A$3257,"="&amp;'Output - County'!A1153,Input!$B$115:$B$3257,"="&amp;'Output - County'!B1153)*VLOOKUP(A1153,'Output - State'!$B$2:$G$52,4,FALSE)</f>
        <v>1.1679320569441971</v>
      </c>
      <c r="F1153" s="98">
        <f>SUMIFS(Input!$C$115:$C$3257,Input!$A$115:$A$3257,"="&amp;'Output - County'!A1153,Input!$B$115:$B$3257,"="&amp;'Output - County'!B1153)*VLOOKUP(A1153,'Output - State'!$B$2:$G$52,5,FALSE)</f>
        <v>21.085464643689207</v>
      </c>
      <c r="G1153" s="99">
        <f>SUMIFS(Input!$D$115:$D$3257,Input!$A$115:$A$3257,"="&amp;'Output - County'!A1153,Input!$B$115:$B$3257,"="&amp;'Output - County'!B1153)*VLOOKUP(A1153,'Output - State'!$B$2:$G$52,6,FALSE)</f>
        <v>19.643353319490522</v>
      </c>
    </row>
    <row r="1154" spans="1:7" x14ac:dyDescent="0.25">
      <c r="A1154" s="88">
        <v>22</v>
      </c>
      <c r="B1154" s="88">
        <v>79</v>
      </c>
      <c r="C1154" s="97">
        <f>SUMIFS(Input!$C$115:$C$3257,Input!$A$115:$A$3257,"="&amp;'Output - County'!A1154,Input!$B$115:$B$3257,"="&amp;'Output - County'!B1154)*VLOOKUP(A1154,'Output - State'!$B$2:$G$52,2,FALSE)</f>
        <v>8.4844576003612584</v>
      </c>
      <c r="D1154" s="98">
        <f>SUMIFS(Input!$C$115:$C$3257,Input!$A$115:$A$3257,"="&amp;'Output - County'!A1154,Input!$B$115:$B$3257,"="&amp;'Output - County'!B1154)*VLOOKUP(A1154,'Output - State'!$B$2:$G$52,3,FALSE)</f>
        <v>21.019505008337777</v>
      </c>
      <c r="E1154" s="98">
        <f>SUMIFS(Input!$C$115:$C$3257,Input!$A$115:$A$3257,"="&amp;'Output - County'!A1154,Input!$B$115:$B$3257,"="&amp;'Output - County'!B1154)*VLOOKUP(A1154,'Output - State'!$B$2:$G$52,4,FALSE)</f>
        <v>8.2016735976117836</v>
      </c>
      <c r="F1154" s="98">
        <f>SUMIFS(Input!$C$115:$C$3257,Input!$A$115:$A$3257,"="&amp;'Output - County'!A1154,Input!$B$115:$B$3257,"="&amp;'Output - County'!B1154)*VLOOKUP(A1154,'Output - State'!$B$2:$G$52,5,FALSE)</f>
        <v>148.07034162072432</v>
      </c>
      <c r="G1154" s="99">
        <f>SUMIFS(Input!$D$115:$D$3257,Input!$A$115:$A$3257,"="&amp;'Output - County'!A1154,Input!$B$115:$B$3257,"="&amp;'Output - County'!B1154)*VLOOKUP(A1154,'Output - State'!$B$2:$G$52,6,FALSE)</f>
        <v>116.60438043533186</v>
      </c>
    </row>
    <row r="1155" spans="1:7" x14ac:dyDescent="0.25">
      <c r="A1155" s="88">
        <v>22</v>
      </c>
      <c r="B1155" s="88">
        <v>81</v>
      </c>
      <c r="C1155" s="97">
        <f>SUMIFS(Input!$C$115:$C$3257,Input!$A$115:$A$3257,"="&amp;'Output - County'!A1155,Input!$B$115:$B$3257,"="&amp;'Output - County'!B1155)*VLOOKUP(A1155,'Output - State'!$B$2:$G$52,2,FALSE)</f>
        <v>0.44885702070878075</v>
      </c>
      <c r="D1155" s="98">
        <f>SUMIFS(Input!$C$115:$C$3257,Input!$A$115:$A$3257,"="&amp;'Output - County'!A1155,Input!$B$115:$B$3257,"="&amp;'Output - County'!B1155)*VLOOKUP(A1155,'Output - State'!$B$2:$G$52,3,FALSE)</f>
        <v>1.1120041892146491</v>
      </c>
      <c r="E1155" s="98">
        <f>SUMIFS(Input!$C$115:$C$3257,Input!$A$115:$A$3257,"="&amp;'Output - County'!A1155,Input!$B$115:$B$3257,"="&amp;'Output - County'!B1155)*VLOOKUP(A1155,'Output - State'!$B$2:$G$52,4,FALSE)</f>
        <v>0.43389677328261306</v>
      </c>
      <c r="F1155" s="98">
        <f>SUMIFS(Input!$C$115:$C$3257,Input!$A$115:$A$3257,"="&amp;'Output - County'!A1155,Input!$B$115:$B$3257,"="&amp;'Output - County'!B1155)*VLOOKUP(A1155,'Output - State'!$B$2:$G$52,5,FALSE)</f>
        <v>7.8334309069303147</v>
      </c>
      <c r="G1155" s="99">
        <f>SUMIFS(Input!$D$115:$D$3257,Input!$A$115:$A$3257,"="&amp;'Output - County'!A1155,Input!$B$115:$B$3257,"="&amp;'Output - County'!B1155)*VLOOKUP(A1155,'Output - State'!$B$2:$G$52,6,FALSE)</f>
        <v>7.6510412701029278</v>
      </c>
    </row>
    <row r="1156" spans="1:7" x14ac:dyDescent="0.25">
      <c r="A1156" s="88">
        <v>22</v>
      </c>
      <c r="B1156" s="88">
        <v>83</v>
      </c>
      <c r="C1156" s="97">
        <f>SUMIFS(Input!$C$115:$C$3257,Input!$A$115:$A$3257,"="&amp;'Output - County'!A1156,Input!$B$115:$B$3257,"="&amp;'Output - County'!B1156)*VLOOKUP(A1156,'Output - State'!$B$2:$G$52,2,FALSE)</f>
        <v>2.6503366062017095</v>
      </c>
      <c r="D1156" s="98">
        <f>SUMIFS(Input!$C$115:$C$3257,Input!$A$115:$A$3257,"="&amp;'Output - County'!A1156,Input!$B$115:$B$3257,"="&amp;'Output - County'!B1156)*VLOOKUP(A1156,'Output - State'!$B$2:$G$52,3,FALSE)</f>
        <v>6.5659781911651915</v>
      </c>
      <c r="E1156" s="98">
        <f>SUMIFS(Input!$C$115:$C$3257,Input!$A$115:$A$3257,"="&amp;'Output - County'!A1156,Input!$B$115:$B$3257,"="&amp;'Output - County'!B1156)*VLOOKUP(A1156,'Output - State'!$B$2:$G$52,4,FALSE)</f>
        <v>2.562001814581881</v>
      </c>
      <c r="F1156" s="98">
        <f>SUMIFS(Input!$C$115:$C$3257,Input!$A$115:$A$3257,"="&amp;'Output - County'!A1156,Input!$B$115:$B$3257,"="&amp;'Output - County'!B1156)*VLOOKUP(A1156,'Output - State'!$B$2:$G$52,5,FALSE)</f>
        <v>46.253545621288595</v>
      </c>
      <c r="G1156" s="99">
        <f>SUMIFS(Input!$D$115:$D$3257,Input!$A$115:$A$3257,"="&amp;'Output - County'!A1156,Input!$B$115:$B$3257,"="&amp;'Output - County'!B1156)*VLOOKUP(A1156,'Output - State'!$B$2:$G$52,6,FALSE)</f>
        <v>18.118526806105411</v>
      </c>
    </row>
    <row r="1157" spans="1:7" x14ac:dyDescent="0.25">
      <c r="A1157" s="88">
        <v>22</v>
      </c>
      <c r="B1157" s="88">
        <v>85</v>
      </c>
      <c r="C1157" s="97">
        <f>SUMIFS(Input!$C$115:$C$3257,Input!$A$115:$A$3257,"="&amp;'Output - County'!A1157,Input!$B$115:$B$3257,"="&amp;'Output - County'!B1157)*VLOOKUP(A1157,'Output - State'!$B$2:$G$52,2,FALSE)</f>
        <v>0.82039664814545832</v>
      </c>
      <c r="D1157" s="98">
        <f>SUMIFS(Input!$C$115:$C$3257,Input!$A$115:$A$3257,"="&amp;'Output - County'!A1157,Input!$B$115:$B$3257,"="&amp;'Output - County'!B1157)*VLOOKUP(A1157,'Output - State'!$B$2:$G$52,3,FALSE)</f>
        <v>2.0324612682115051</v>
      </c>
      <c r="E1157" s="98">
        <f>SUMIFS(Input!$C$115:$C$3257,Input!$A$115:$A$3257,"="&amp;'Output - County'!A1157,Input!$B$115:$B$3257,"="&amp;'Output - County'!B1157)*VLOOKUP(A1157,'Output - State'!$B$2:$G$52,4,FALSE)</f>
        <v>0.79305311495425612</v>
      </c>
      <c r="F1157" s="98">
        <f>SUMIFS(Input!$C$115:$C$3257,Input!$A$115:$A$3257,"="&amp;'Output - County'!A1157,Input!$B$115:$B$3257,"="&amp;'Output - County'!B1157)*VLOOKUP(A1157,'Output - State'!$B$2:$G$52,5,FALSE)</f>
        <v>14.317522424795058</v>
      </c>
      <c r="G1157" s="99">
        <f>SUMIFS(Input!$D$115:$D$3257,Input!$A$115:$A$3257,"="&amp;'Output - County'!A1157,Input!$B$115:$B$3257,"="&amp;'Output - County'!B1157)*VLOOKUP(A1157,'Output - State'!$B$2:$G$52,6,FALSE)</f>
        <v>21.437266864649473</v>
      </c>
    </row>
    <row r="1158" spans="1:7" x14ac:dyDescent="0.25">
      <c r="A1158" s="88">
        <v>22</v>
      </c>
      <c r="B1158" s="88">
        <v>87</v>
      </c>
      <c r="C1158" s="97">
        <f>SUMIFS(Input!$C$115:$C$3257,Input!$A$115:$A$3257,"="&amp;'Output - County'!A1158,Input!$B$115:$B$3257,"="&amp;'Output - County'!B1158)*VLOOKUP(A1158,'Output - State'!$B$2:$G$52,2,FALSE)</f>
        <v>1.2349694776139151</v>
      </c>
      <c r="D1158" s="98">
        <f>SUMIFS(Input!$C$115:$C$3257,Input!$A$115:$A$3257,"="&amp;'Output - County'!A1158,Input!$B$115:$B$3257,"="&amp;'Output - County'!B1158)*VLOOKUP(A1158,'Output - State'!$B$2:$G$52,3,FALSE)</f>
        <v>3.0595293585702747</v>
      </c>
      <c r="E1158" s="98">
        <f>SUMIFS(Input!$C$115:$C$3257,Input!$A$115:$A$3257,"="&amp;'Output - County'!A1158,Input!$B$115:$B$3257,"="&amp;'Output - County'!B1158)*VLOOKUP(A1158,'Output - State'!$B$2:$G$52,4,FALSE)</f>
        <v>1.1938083770930965</v>
      </c>
      <c r="F1158" s="98">
        <f>SUMIFS(Input!$C$115:$C$3257,Input!$A$115:$A$3257,"="&amp;'Output - County'!A1158,Input!$B$115:$B$3257,"="&amp;'Output - County'!B1158)*VLOOKUP(A1158,'Output - State'!$B$2:$G$52,5,FALSE)</f>
        <v>21.552627292718604</v>
      </c>
      <c r="G1158" s="99">
        <f>SUMIFS(Input!$D$115:$D$3257,Input!$A$115:$A$3257,"="&amp;'Output - County'!A1158,Input!$B$115:$B$3257,"="&amp;'Output - County'!B1158)*VLOOKUP(A1158,'Output - State'!$B$2:$G$52,6,FALSE)</f>
        <v>41.977576956719467</v>
      </c>
    </row>
    <row r="1159" spans="1:7" x14ac:dyDescent="0.25">
      <c r="A1159" s="88">
        <v>22</v>
      </c>
      <c r="B1159" s="88">
        <v>89</v>
      </c>
      <c r="C1159" s="97">
        <f>SUMIFS(Input!$C$115:$C$3257,Input!$A$115:$A$3257,"="&amp;'Output - County'!A1159,Input!$B$115:$B$3257,"="&amp;'Output - County'!B1159)*VLOOKUP(A1159,'Output - State'!$B$2:$G$52,2,FALSE)</f>
        <v>4.2108585009244788</v>
      </c>
      <c r="D1159" s="98">
        <f>SUMIFS(Input!$C$115:$C$3257,Input!$A$115:$A$3257,"="&amp;'Output - County'!A1159,Input!$B$115:$B$3257,"="&amp;'Output - County'!B1159)*VLOOKUP(A1159,'Output - State'!$B$2:$G$52,3,FALSE)</f>
        <v>10.432035319006735</v>
      </c>
      <c r="E1159" s="98">
        <f>SUMIFS(Input!$C$115:$C$3257,Input!$A$115:$A$3257,"="&amp;'Output - County'!A1159,Input!$B$115:$B$3257,"="&amp;'Output - County'!B1159)*VLOOKUP(A1159,'Output - State'!$B$2:$G$52,4,FALSE)</f>
        <v>4.0705120606461538</v>
      </c>
      <c r="F1159" s="98">
        <f>SUMIFS(Input!$C$115:$C$3257,Input!$A$115:$A$3257,"="&amp;'Output - County'!A1159,Input!$B$115:$B$3257,"="&amp;'Output - County'!B1159)*VLOOKUP(A1159,'Output - State'!$B$2:$G$52,5,FALSE)</f>
        <v>73.487697872621894</v>
      </c>
      <c r="G1159" s="99">
        <f>SUMIFS(Input!$D$115:$D$3257,Input!$A$115:$A$3257,"="&amp;'Output - County'!A1159,Input!$B$115:$B$3257,"="&amp;'Output - County'!B1159)*VLOOKUP(A1159,'Output - State'!$B$2:$G$52,6,FALSE)</f>
        <v>47.359317592196327</v>
      </c>
    </row>
    <row r="1160" spans="1:7" x14ac:dyDescent="0.25">
      <c r="A1160" s="88">
        <v>22</v>
      </c>
      <c r="B1160" s="88">
        <v>91</v>
      </c>
      <c r="C1160" s="97">
        <f>SUMIFS(Input!$C$115:$C$3257,Input!$A$115:$A$3257,"="&amp;'Output - County'!A1160,Input!$B$115:$B$3257,"="&amp;'Output - County'!B1160)*VLOOKUP(A1160,'Output - State'!$B$2:$G$52,2,FALSE)</f>
        <v>0.47697154630059491</v>
      </c>
      <c r="D1160" s="98">
        <f>SUMIFS(Input!$C$115:$C$3257,Input!$A$115:$A$3257,"="&amp;'Output - County'!A1160,Input!$B$115:$B$3257,"="&amp;'Output - County'!B1160)*VLOOKUP(A1160,'Output - State'!$B$2:$G$52,3,FALSE)</f>
        <v>1.1816554785862901</v>
      </c>
      <c r="E1160" s="98">
        <f>SUMIFS(Input!$C$115:$C$3257,Input!$A$115:$A$3257,"="&amp;'Output - County'!A1160,Input!$B$115:$B$3257,"="&amp;'Output - County'!B1160)*VLOOKUP(A1160,'Output - State'!$B$2:$G$52,4,FALSE)</f>
        <v>0.46107425157491366</v>
      </c>
      <c r="F1160" s="98">
        <f>SUMIFS(Input!$C$115:$C$3257,Input!$A$115:$A$3257,"="&amp;'Output - County'!A1160,Input!$B$115:$B$3257,"="&amp;'Output - County'!B1160)*VLOOKUP(A1160,'Output - State'!$B$2:$G$52,5,FALSE)</f>
        <v>8.3240842409404081</v>
      </c>
      <c r="G1160" s="99">
        <f>SUMIFS(Input!$D$115:$D$3257,Input!$A$115:$A$3257,"="&amp;'Output - County'!A1160,Input!$B$115:$B$3257,"="&amp;'Output - County'!B1160)*VLOOKUP(A1160,'Output - State'!$B$2:$G$52,6,FALSE)</f>
        <v>9.1489590803106537</v>
      </c>
    </row>
    <row r="1161" spans="1:7" x14ac:dyDescent="0.25">
      <c r="A1161" s="88">
        <v>22</v>
      </c>
      <c r="B1161" s="88">
        <v>93</v>
      </c>
      <c r="C1161" s="97">
        <f>SUMIFS(Input!$C$115:$C$3257,Input!$A$115:$A$3257,"="&amp;'Output - County'!A1161,Input!$B$115:$B$3257,"="&amp;'Output - County'!B1161)*VLOOKUP(A1161,'Output - State'!$B$2:$G$52,2,FALSE)</f>
        <v>2.1876999590324919</v>
      </c>
      <c r="D1161" s="98">
        <f>SUMIFS(Input!$C$115:$C$3257,Input!$A$115:$A$3257,"="&amp;'Output - County'!A1161,Input!$B$115:$B$3257,"="&amp;'Output - County'!B1161)*VLOOKUP(A1161,'Output - State'!$B$2:$G$52,3,FALSE)</f>
        <v>5.4198361771135319</v>
      </c>
      <c r="E1161" s="98">
        <f>SUMIFS(Input!$C$115:$C$3257,Input!$A$115:$A$3257,"="&amp;'Output - County'!A1161,Input!$B$115:$B$3257,"="&amp;'Output - County'!B1161)*VLOOKUP(A1161,'Output - State'!$B$2:$G$52,4,FALSE)</f>
        <v>2.1147846849666836</v>
      </c>
      <c r="F1161" s="98">
        <f>SUMIFS(Input!$C$115:$C$3257,Input!$A$115:$A$3257,"="&amp;'Output - County'!A1161,Input!$B$115:$B$3257,"="&amp;'Output - County'!B1161)*VLOOKUP(A1161,'Output - State'!$B$2:$G$52,5,FALSE)</f>
        <v>38.179633343184243</v>
      </c>
      <c r="G1161" s="99">
        <f>SUMIFS(Input!$D$115:$D$3257,Input!$A$115:$A$3257,"="&amp;'Output - County'!A1161,Input!$B$115:$B$3257,"="&amp;'Output - County'!B1161)*VLOOKUP(A1161,'Output - State'!$B$2:$G$52,6,FALSE)</f>
        <v>19.015483578684886</v>
      </c>
    </row>
    <row r="1162" spans="1:7" x14ac:dyDescent="0.25">
      <c r="A1162" s="88">
        <v>22</v>
      </c>
      <c r="B1162" s="88">
        <v>95</v>
      </c>
      <c r="C1162" s="97">
        <f>SUMIFS(Input!$C$115:$C$3257,Input!$A$115:$A$3257,"="&amp;'Output - County'!A1162,Input!$B$115:$B$3257,"="&amp;'Output - County'!B1162)*VLOOKUP(A1162,'Output - State'!$B$2:$G$52,2,FALSE)</f>
        <v>3.8308217708932006</v>
      </c>
      <c r="D1162" s="98">
        <f>SUMIFS(Input!$C$115:$C$3257,Input!$A$115:$A$3257,"="&amp;'Output - County'!A1162,Input!$B$115:$B$3257,"="&amp;'Output - County'!B1162)*VLOOKUP(A1162,'Output - State'!$B$2:$G$52,3,FALSE)</f>
        <v>9.4905274081292461</v>
      </c>
      <c r="E1162" s="98">
        <f>SUMIFS(Input!$C$115:$C$3257,Input!$A$115:$A$3257,"="&amp;'Output - County'!A1162,Input!$B$115:$B$3257,"="&amp;'Output - County'!B1162)*VLOOKUP(A1162,'Output - State'!$B$2:$G$52,4,FALSE)</f>
        <v>3.7031418218358927</v>
      </c>
      <c r="F1162" s="98">
        <f>SUMIFS(Input!$C$115:$C$3257,Input!$A$115:$A$3257,"="&amp;'Output - County'!A1162,Input!$B$115:$B$3257,"="&amp;'Output - County'!B1162)*VLOOKUP(A1162,'Output - State'!$B$2:$G$52,5,FALSE)</f>
        <v>66.855315333311623</v>
      </c>
      <c r="G1162" s="99">
        <f>SUMIFS(Input!$D$115:$D$3257,Input!$A$115:$A$3257,"="&amp;'Output - County'!A1162,Input!$B$115:$B$3257,"="&amp;'Output - County'!B1162)*VLOOKUP(A1162,'Output - State'!$B$2:$G$52,6,FALSE)</f>
        <v>38.658836898175409</v>
      </c>
    </row>
    <row r="1163" spans="1:7" x14ac:dyDescent="0.25">
      <c r="A1163" s="88">
        <v>22</v>
      </c>
      <c r="B1163" s="88">
        <v>97</v>
      </c>
      <c r="C1163" s="97">
        <f>SUMIFS(Input!$C$115:$C$3257,Input!$A$115:$A$3257,"="&amp;'Output - County'!A1163,Input!$B$115:$B$3257,"="&amp;'Output - County'!B1163)*VLOOKUP(A1163,'Output - State'!$B$2:$G$52,2,FALSE)</f>
        <v>5.3224036718994654</v>
      </c>
      <c r="D1163" s="98">
        <f>SUMIFS(Input!$C$115:$C$3257,Input!$A$115:$A$3257,"="&amp;'Output - County'!A1163,Input!$B$115:$B$3257,"="&amp;'Output - County'!B1163)*VLOOKUP(A1163,'Output - State'!$B$2:$G$52,3,FALSE)</f>
        <v>13.18579170377641</v>
      </c>
      <c r="E1163" s="98">
        <f>SUMIFS(Input!$C$115:$C$3257,Input!$A$115:$A$3257,"="&amp;'Output - County'!A1163,Input!$B$115:$B$3257,"="&amp;'Output - County'!B1163)*VLOOKUP(A1163,'Output - State'!$B$2:$G$52,4,FALSE)</f>
        <v>5.1450098200492125</v>
      </c>
      <c r="F1163" s="98">
        <f>SUMIFS(Input!$C$115:$C$3257,Input!$A$115:$A$3257,"="&amp;'Output - County'!A1163,Input!$B$115:$B$3257,"="&amp;'Output - County'!B1163)*VLOOKUP(A1163,'Output - State'!$B$2:$G$52,5,FALSE)</f>
        <v>92.886330165406847</v>
      </c>
      <c r="G1163" s="99">
        <f>SUMIFS(Input!$D$115:$D$3257,Input!$A$115:$A$3257,"="&amp;'Output - County'!A1163,Input!$B$115:$B$3257,"="&amp;'Output - County'!B1163)*VLOOKUP(A1163,'Output - State'!$B$2:$G$52,6,FALSE)</f>
        <v>74.268020769580602</v>
      </c>
    </row>
    <row r="1164" spans="1:7" x14ac:dyDescent="0.25">
      <c r="A1164" s="88">
        <v>22</v>
      </c>
      <c r="B1164" s="88">
        <v>99</v>
      </c>
      <c r="C1164" s="97">
        <f>SUMIFS(Input!$C$115:$C$3257,Input!$A$115:$A$3257,"="&amp;'Output - County'!A1164,Input!$B$115:$B$3257,"="&amp;'Output - County'!B1164)*VLOOKUP(A1164,'Output - State'!$B$2:$G$52,2,FALSE)</f>
        <v>3.6628498247347188</v>
      </c>
      <c r="D1164" s="98">
        <f>SUMIFS(Input!$C$115:$C$3257,Input!$A$115:$A$3257,"="&amp;'Output - County'!A1164,Input!$B$115:$B$3257,"="&amp;'Output - County'!B1164)*VLOOKUP(A1164,'Output - State'!$B$2:$G$52,3,FALSE)</f>
        <v>9.0743915359447804</v>
      </c>
      <c r="E1164" s="98">
        <f>SUMIFS(Input!$C$115:$C$3257,Input!$A$115:$A$3257,"="&amp;'Output - County'!A1164,Input!$B$115:$B$3257,"="&amp;'Output - County'!B1164)*VLOOKUP(A1164,'Output - State'!$B$2:$G$52,4,FALSE)</f>
        <v>3.5407683218623847</v>
      </c>
      <c r="F1164" s="98">
        <f>SUMIFS(Input!$C$115:$C$3257,Input!$A$115:$A$3257,"="&amp;'Output - County'!A1164,Input!$B$115:$B$3257,"="&amp;'Output - County'!B1164)*VLOOKUP(A1164,'Output - State'!$B$2:$G$52,5,FALSE)</f>
        <v>63.923877093897779</v>
      </c>
      <c r="G1164" s="99">
        <f>SUMIFS(Input!$D$115:$D$3257,Input!$A$115:$A$3257,"="&amp;'Output - County'!A1164,Input!$B$115:$B$3257,"="&amp;'Output - County'!B1164)*VLOOKUP(A1164,'Output - State'!$B$2:$G$52,6,FALSE)</f>
        <v>48.076883010259898</v>
      </c>
    </row>
    <row r="1165" spans="1:7" x14ac:dyDescent="0.25">
      <c r="A1165" s="88">
        <v>22</v>
      </c>
      <c r="B1165" s="88">
        <v>101</v>
      </c>
      <c r="C1165" s="97">
        <f>SUMIFS(Input!$C$115:$C$3257,Input!$A$115:$A$3257,"="&amp;'Output - County'!A1165,Input!$B$115:$B$3257,"="&amp;'Output - County'!B1165)*VLOOKUP(A1165,'Output - State'!$B$2:$G$52,2,FALSE)</f>
        <v>2.5255823561806956</v>
      </c>
      <c r="D1165" s="98">
        <f>SUMIFS(Input!$C$115:$C$3257,Input!$A$115:$A$3257,"="&amp;'Output - County'!A1165,Input!$B$115:$B$3257,"="&amp;'Output - County'!B1165)*VLOOKUP(A1165,'Output - State'!$B$2:$G$52,3,FALSE)</f>
        <v>6.2569103984265642</v>
      </c>
      <c r="E1165" s="98">
        <f>SUMIFS(Input!$C$115:$C$3257,Input!$A$115:$A$3257,"="&amp;'Output - County'!A1165,Input!$B$115:$B$3257,"="&amp;'Output - County'!B1165)*VLOOKUP(A1165,'Output - State'!$B$2:$G$52,4,FALSE)</f>
        <v>2.4414055800572791</v>
      </c>
      <c r="F1165" s="98">
        <f>SUMIFS(Input!$C$115:$C$3257,Input!$A$115:$A$3257,"="&amp;'Output - County'!A1165,Input!$B$115:$B$3257,"="&amp;'Output - County'!B1165)*VLOOKUP(A1165,'Output - State'!$B$2:$G$52,5,FALSE)</f>
        <v>44.076340514097978</v>
      </c>
      <c r="G1165" s="99">
        <f>SUMIFS(Input!$D$115:$D$3257,Input!$A$115:$A$3257,"="&amp;'Output - County'!A1165,Input!$B$115:$B$3257,"="&amp;'Output - County'!B1165)*VLOOKUP(A1165,'Output - State'!$B$2:$G$52,6,FALSE)</f>
        <v>44.668447274457897</v>
      </c>
    </row>
    <row r="1166" spans="1:7" x14ac:dyDescent="0.25">
      <c r="A1166" s="88">
        <v>22</v>
      </c>
      <c r="B1166" s="88">
        <v>103</v>
      </c>
      <c r="C1166" s="97">
        <f>SUMIFS(Input!$C$115:$C$3257,Input!$A$115:$A$3257,"="&amp;'Output - County'!A1166,Input!$B$115:$B$3257,"="&amp;'Output - County'!B1166)*VLOOKUP(A1166,'Output - State'!$B$2:$G$52,2,FALSE)</f>
        <v>17.813466395463536</v>
      </c>
      <c r="D1166" s="98">
        <f>SUMIFS(Input!$C$115:$C$3257,Input!$A$115:$A$3257,"="&amp;'Output - County'!A1166,Input!$B$115:$B$3257,"="&amp;'Output - County'!B1166)*VLOOKUP(A1166,'Output - State'!$B$2:$G$52,3,FALSE)</f>
        <v>44.131312071069765</v>
      </c>
      <c r="E1166" s="98">
        <f>SUMIFS(Input!$C$115:$C$3257,Input!$A$115:$A$3257,"="&amp;'Output - County'!A1166,Input!$B$115:$B$3257,"="&amp;'Output - County'!B1166)*VLOOKUP(A1166,'Output - State'!$B$2:$G$52,4,FALSE)</f>
        <v>17.219749794188051</v>
      </c>
      <c r="F1166" s="98">
        <f>SUMIFS(Input!$C$115:$C$3257,Input!$A$115:$A$3257,"="&amp;'Output - County'!A1166,Input!$B$115:$B$3257,"="&amp;'Output - County'!B1166)*VLOOKUP(A1166,'Output - State'!$B$2:$G$52,5,FALSE)</f>
        <v>310.87974963930168</v>
      </c>
      <c r="G1166" s="99">
        <f>SUMIFS(Input!$D$115:$D$3257,Input!$A$115:$A$3257,"="&amp;'Output - County'!A1166,Input!$B$115:$B$3257,"="&amp;'Output - County'!B1166)*VLOOKUP(A1166,'Output - State'!$B$2:$G$52,6,FALSE)</f>
        <v>231.41484732550475</v>
      </c>
    </row>
    <row r="1167" spans="1:7" x14ac:dyDescent="0.25">
      <c r="A1167" s="88">
        <v>22</v>
      </c>
      <c r="B1167" s="88">
        <v>105</v>
      </c>
      <c r="C1167" s="97">
        <f>SUMIFS(Input!$C$115:$C$3257,Input!$A$115:$A$3257,"="&amp;'Output - County'!A1167,Input!$B$115:$B$3257,"="&amp;'Output - County'!B1167)*VLOOKUP(A1167,'Output - State'!$B$2:$G$52,2,FALSE)</f>
        <v>9.6155518401612774</v>
      </c>
      <c r="D1167" s="98">
        <f>SUMIFS(Input!$C$115:$C$3257,Input!$A$115:$A$3257,"="&amp;'Output - County'!A1167,Input!$B$115:$B$3257,"="&amp;'Output - County'!B1167)*VLOOKUP(A1167,'Output - State'!$B$2:$G$52,3,FALSE)</f>
        <v>23.821692509088109</v>
      </c>
      <c r="E1167" s="98">
        <f>SUMIFS(Input!$C$115:$C$3257,Input!$A$115:$A$3257,"="&amp;'Output - County'!A1167,Input!$B$115:$B$3257,"="&amp;'Output - County'!B1167)*VLOOKUP(A1167,'Output - State'!$B$2:$G$52,4,FALSE)</f>
        <v>9.295068862216981</v>
      </c>
      <c r="F1167" s="98">
        <f>SUMIFS(Input!$C$115:$C$3257,Input!$A$115:$A$3257,"="&amp;'Output - County'!A1167,Input!$B$115:$B$3257,"="&amp;'Output - County'!B1167)*VLOOKUP(A1167,'Output - State'!$B$2:$G$52,5,FALSE)</f>
        <v>167.81014331238356</v>
      </c>
      <c r="G1167" s="99">
        <f>SUMIFS(Input!$D$115:$D$3257,Input!$A$115:$A$3257,"="&amp;'Output - County'!A1167,Input!$B$115:$B$3257,"="&amp;'Output - County'!B1167)*VLOOKUP(A1167,'Output - State'!$B$2:$G$52,6,FALSE)</f>
        <v>120.19220752564976</v>
      </c>
    </row>
    <row r="1168" spans="1:7" x14ac:dyDescent="0.25">
      <c r="A1168" s="88">
        <v>22</v>
      </c>
      <c r="B1168" s="88">
        <v>107</v>
      </c>
      <c r="C1168" s="97">
        <f>SUMIFS(Input!$C$115:$C$3257,Input!$A$115:$A$3257,"="&amp;'Output - County'!A1168,Input!$B$115:$B$3257,"="&amp;'Output - County'!B1168)*VLOOKUP(A1168,'Output - State'!$B$2:$G$52,2,FALSE)</f>
        <v>0.15719481608138791</v>
      </c>
      <c r="D1168" s="98">
        <f>SUMIFS(Input!$C$115:$C$3257,Input!$A$115:$A$3257,"="&amp;'Output - County'!A1168,Input!$B$115:$B$3257,"="&amp;'Output - County'!B1168)*VLOOKUP(A1168,'Output - State'!$B$2:$G$52,3,FALSE)</f>
        <v>0.38943647072581061</v>
      </c>
      <c r="E1168" s="98">
        <f>SUMIFS(Input!$C$115:$C$3257,Input!$A$115:$A$3257,"="&amp;'Output - County'!A1168,Input!$B$115:$B$3257,"="&amp;'Output - County'!B1168)*VLOOKUP(A1168,'Output - State'!$B$2:$G$52,4,FALSE)</f>
        <v>0.15195556787050996</v>
      </c>
      <c r="F1168" s="98">
        <f>SUMIFS(Input!$C$115:$C$3257,Input!$A$115:$A$3257,"="&amp;'Output - County'!A1168,Input!$B$115:$B$3257,"="&amp;'Output - County'!B1168)*VLOOKUP(A1168,'Output - State'!$B$2:$G$52,5,FALSE)</f>
        <v>2.7433562891736267</v>
      </c>
      <c r="G1168" s="99">
        <f>SUMIFS(Input!$D$115:$D$3257,Input!$A$115:$A$3257,"="&amp;'Output - County'!A1168,Input!$B$115:$B$3257,"="&amp;'Output - County'!B1168)*VLOOKUP(A1168,'Output - State'!$B$2:$G$52,6,FALSE)</f>
        <v>4.0093967734302565</v>
      </c>
    </row>
    <row r="1169" spans="1:7" x14ac:dyDescent="0.25">
      <c r="A1169" s="88">
        <v>22</v>
      </c>
      <c r="B1169" s="88">
        <v>109</v>
      </c>
      <c r="C1169" s="97">
        <f>SUMIFS(Input!$C$115:$C$3257,Input!$A$115:$A$3257,"="&amp;'Output - County'!A1169,Input!$B$115:$B$3257,"="&amp;'Output - County'!B1169)*VLOOKUP(A1169,'Output - State'!$B$2:$G$52,2,FALSE)</f>
        <v>4.5954112074302556</v>
      </c>
      <c r="D1169" s="98">
        <f>SUMIFS(Input!$C$115:$C$3257,Input!$A$115:$A$3257,"="&amp;'Output - County'!A1169,Input!$B$115:$B$3257,"="&amp;'Output - County'!B1169)*VLOOKUP(A1169,'Output - State'!$B$2:$G$52,3,FALSE)</f>
        <v>11.384731168417764</v>
      </c>
      <c r="E1169" s="98">
        <f>SUMIFS(Input!$C$115:$C$3257,Input!$A$115:$A$3257,"="&amp;'Output - County'!A1169,Input!$B$115:$B$3257,"="&amp;'Output - County'!B1169)*VLOOKUP(A1169,'Output - State'!$B$2:$G$52,4,FALSE)</f>
        <v>4.4422477600153503</v>
      </c>
      <c r="F1169" s="98">
        <f>SUMIFS(Input!$C$115:$C$3257,Input!$A$115:$A$3257,"="&amp;'Output - County'!A1169,Input!$B$115:$B$3257,"="&amp;'Output - County'!B1169)*VLOOKUP(A1169,'Output - State'!$B$2:$G$52,5,FALSE)</f>
        <v>80.198893013848135</v>
      </c>
      <c r="G1169" s="99">
        <f>SUMIFS(Input!$D$115:$D$3257,Input!$A$115:$A$3257,"="&amp;'Output - County'!A1169,Input!$B$115:$B$3257,"="&amp;'Output - County'!B1169)*VLOOKUP(A1169,'Output - State'!$B$2:$G$52,6,FALSE)</f>
        <v>99.562201756321812</v>
      </c>
    </row>
    <row r="1170" spans="1:7" x14ac:dyDescent="0.25">
      <c r="A1170" s="88">
        <v>22</v>
      </c>
      <c r="B1170" s="88">
        <v>111</v>
      </c>
      <c r="C1170" s="97">
        <f>SUMIFS(Input!$C$115:$C$3257,Input!$A$115:$A$3257,"="&amp;'Output - County'!A1170,Input!$B$115:$B$3257,"="&amp;'Output - County'!B1170)*VLOOKUP(A1170,'Output - State'!$B$2:$G$52,2,FALSE)</f>
        <v>0.80286613085380221</v>
      </c>
      <c r="D1170" s="98">
        <f>SUMIFS(Input!$C$115:$C$3257,Input!$A$115:$A$3257,"="&amp;'Output - County'!A1170,Input!$B$115:$B$3257,"="&amp;'Output - County'!B1170)*VLOOKUP(A1170,'Output - State'!$B$2:$G$52,3,FALSE)</f>
        <v>1.989030937910246</v>
      </c>
      <c r="E1170" s="98">
        <f>SUMIFS(Input!$C$115:$C$3257,Input!$A$115:$A$3257,"="&amp;'Output - County'!A1170,Input!$B$115:$B$3257,"="&amp;'Output - County'!B1170)*VLOOKUP(A1170,'Output - State'!$B$2:$G$52,4,FALSE)</f>
        <v>0.7761068836692615</v>
      </c>
      <c r="F1170" s="98">
        <f>SUMIFS(Input!$C$115:$C$3257,Input!$A$115:$A$3257,"="&amp;'Output - County'!A1170,Input!$B$115:$B$3257,"="&amp;'Output - County'!B1170)*VLOOKUP(A1170,'Output - State'!$B$2:$G$52,5,FALSE)</f>
        <v>14.011580689161539</v>
      </c>
      <c r="G1170" s="99">
        <f>SUMIFS(Input!$D$115:$D$3257,Input!$A$115:$A$3257,"="&amp;'Output - County'!A1170,Input!$B$115:$B$3257,"="&amp;'Output - County'!B1170)*VLOOKUP(A1170,'Output - State'!$B$2:$G$52,6,FALSE)</f>
        <v>19.912440351264362</v>
      </c>
    </row>
    <row r="1171" spans="1:7" x14ac:dyDescent="0.25">
      <c r="A1171" s="88">
        <v>22</v>
      </c>
      <c r="B1171" s="88">
        <v>113</v>
      </c>
      <c r="C1171" s="97">
        <f>SUMIFS(Input!$C$115:$C$3257,Input!$A$115:$A$3257,"="&amp;'Output - County'!A1171,Input!$B$115:$B$3257,"="&amp;'Output - County'!B1171)*VLOOKUP(A1171,'Output - State'!$B$2:$G$52,2,FALSE)</f>
        <v>1.858541678887059</v>
      </c>
      <c r="D1171" s="98">
        <f>SUMIFS(Input!$C$115:$C$3257,Input!$A$115:$A$3257,"="&amp;'Output - County'!A1171,Input!$B$115:$B$3257,"="&amp;'Output - County'!B1171)*VLOOKUP(A1171,'Output - State'!$B$2:$G$52,3,FALSE)</f>
        <v>4.6043751961124375</v>
      </c>
      <c r="E1171" s="98">
        <f>SUMIFS(Input!$C$115:$C$3257,Input!$A$115:$A$3257,"="&amp;'Output - County'!A1171,Input!$B$115:$B$3257,"="&amp;'Output - County'!B1171)*VLOOKUP(A1171,'Output - State'!$B$2:$G$52,4,FALSE)</f>
        <v>1.7965971351120937</v>
      </c>
      <c r="F1171" s="98">
        <f>SUMIFS(Input!$C$115:$C$3257,Input!$A$115:$A$3257,"="&amp;'Output - County'!A1171,Input!$B$115:$B$3257,"="&amp;'Output - County'!B1171)*VLOOKUP(A1171,'Output - State'!$B$2:$G$52,5,FALSE)</f>
        <v>32.435179038132482</v>
      </c>
      <c r="G1171" s="99">
        <f>SUMIFS(Input!$D$115:$D$3257,Input!$A$115:$A$3257,"="&amp;'Output - County'!A1171,Input!$B$115:$B$3257,"="&amp;'Output - County'!B1171)*VLOOKUP(A1171,'Output - State'!$B$2:$G$52,6,FALSE)</f>
        <v>53.727710677510601</v>
      </c>
    </row>
    <row r="1172" spans="1:7" x14ac:dyDescent="0.25">
      <c r="A1172" s="88">
        <v>22</v>
      </c>
      <c r="B1172" s="88">
        <v>115</v>
      </c>
      <c r="C1172" s="97">
        <f>SUMIFS(Input!$C$115:$C$3257,Input!$A$115:$A$3257,"="&amp;'Output - County'!A1172,Input!$B$115:$B$3257,"="&amp;'Output - County'!B1172)*VLOOKUP(A1172,'Output - State'!$B$2:$G$52,2,FALSE)</f>
        <v>1.6859253205655433</v>
      </c>
      <c r="D1172" s="98">
        <f>SUMIFS(Input!$C$115:$C$3257,Input!$A$115:$A$3257,"="&amp;'Output - County'!A1172,Input!$B$115:$B$3257,"="&amp;'Output - County'!B1172)*VLOOKUP(A1172,'Output - State'!$B$2:$G$52,3,FALSE)</f>
        <v>4.176733197158299</v>
      </c>
      <c r="E1172" s="98">
        <f>SUMIFS(Input!$C$115:$C$3257,Input!$A$115:$A$3257,"="&amp;'Output - County'!A1172,Input!$B$115:$B$3257,"="&amp;'Output - County'!B1172)*VLOOKUP(A1172,'Output - State'!$B$2:$G$52,4,FALSE)</f>
        <v>1.6297340196076697</v>
      </c>
      <c r="F1172" s="98">
        <f>SUMIFS(Input!$C$115:$C$3257,Input!$A$115:$A$3257,"="&amp;'Output - County'!A1172,Input!$B$115:$B$3257,"="&amp;'Output - County'!B1172)*VLOOKUP(A1172,'Output - State'!$B$2:$G$52,5,FALSE)</f>
        <v>29.422686743409496</v>
      </c>
      <c r="G1172" s="99">
        <f>SUMIFS(Input!$D$115:$D$3257,Input!$A$115:$A$3257,"="&amp;'Output - County'!A1172,Input!$B$115:$B$3257,"="&amp;'Output - County'!B1172)*VLOOKUP(A1172,'Output - State'!$B$2:$G$52,6,FALSE)</f>
        <v>43.143620761072789</v>
      </c>
    </row>
    <row r="1173" spans="1:7" x14ac:dyDescent="0.25">
      <c r="A1173" s="88">
        <v>22</v>
      </c>
      <c r="B1173" s="88">
        <v>117</v>
      </c>
      <c r="C1173" s="97">
        <f>SUMIFS(Input!$C$115:$C$3257,Input!$A$115:$A$3257,"="&amp;'Output - County'!A1173,Input!$B$115:$B$3257,"="&amp;'Output - County'!B1173)*VLOOKUP(A1173,'Output - State'!$B$2:$G$52,2,FALSE)</f>
        <v>1.6867704647237498</v>
      </c>
      <c r="D1173" s="98">
        <f>SUMIFS(Input!$C$115:$C$3257,Input!$A$115:$A$3257,"="&amp;'Output - County'!A1173,Input!$B$115:$B$3257,"="&amp;'Output - County'!B1173)*VLOOKUP(A1173,'Output - State'!$B$2:$G$52,3,FALSE)</f>
        <v>4.1788269682280523</v>
      </c>
      <c r="E1173" s="98">
        <f>SUMIFS(Input!$C$115:$C$3257,Input!$A$115:$A$3257,"="&amp;'Output - County'!A1173,Input!$B$115:$B$3257,"="&amp;'Output - County'!B1173)*VLOOKUP(A1173,'Output - State'!$B$2:$G$52,4,FALSE)</f>
        <v>1.6305509954068347</v>
      </c>
      <c r="F1173" s="98">
        <f>SUMIFS(Input!$C$115:$C$3257,Input!$A$115:$A$3257,"="&amp;'Output - County'!A1173,Input!$B$115:$B$3257,"="&amp;'Output - County'!B1173)*VLOOKUP(A1173,'Output - State'!$B$2:$G$52,5,FALSE)</f>
        <v>29.437436158176926</v>
      </c>
      <c r="G1173" s="99">
        <f>SUMIFS(Input!$D$115:$D$3257,Input!$A$115:$A$3257,"="&amp;'Output - County'!A1173,Input!$B$115:$B$3257,"="&amp;'Output - County'!B1173)*VLOOKUP(A1173,'Output - State'!$B$2:$G$52,6,FALSE)</f>
        <v>41.798185602203567</v>
      </c>
    </row>
    <row r="1174" spans="1:7" x14ac:dyDescent="0.25">
      <c r="A1174" s="88">
        <v>22</v>
      </c>
      <c r="B1174" s="88">
        <v>119</v>
      </c>
      <c r="C1174" s="97">
        <f>SUMIFS(Input!$C$115:$C$3257,Input!$A$115:$A$3257,"="&amp;'Output - County'!A1174,Input!$B$115:$B$3257,"="&amp;'Output - County'!B1174)*VLOOKUP(A1174,'Output - State'!$B$2:$G$52,2,FALSE)</f>
        <v>2.4185949461670839</v>
      </c>
      <c r="D1174" s="98">
        <f>SUMIFS(Input!$C$115:$C$3257,Input!$A$115:$A$3257,"="&amp;'Output - County'!A1174,Input!$B$115:$B$3257,"="&amp;'Output - County'!B1174)*VLOOKUP(A1174,'Output - State'!$B$2:$G$52,3,FALSE)</f>
        <v>5.9918584049420955</v>
      </c>
      <c r="E1174" s="98">
        <f>SUMIFS(Input!$C$115:$C$3257,Input!$A$115:$A$3257,"="&amp;'Output - County'!A1174,Input!$B$115:$B$3257,"="&amp;'Output - County'!B1174)*VLOOKUP(A1174,'Output - State'!$B$2:$G$52,4,FALSE)</f>
        <v>2.3379840229800011</v>
      </c>
      <c r="F1174" s="98">
        <f>SUMIFS(Input!$C$115:$C$3257,Input!$A$115:$A$3257,"="&amp;'Output - County'!A1174,Input!$B$115:$B$3257,"="&amp;'Output - County'!B1174)*VLOOKUP(A1174,'Output - State'!$B$2:$G$52,5,FALSE)</f>
        <v>42.209201435088673</v>
      </c>
      <c r="G1174" s="99">
        <f>SUMIFS(Input!$D$115:$D$3257,Input!$A$115:$A$3257,"="&amp;'Output - County'!A1174,Input!$B$115:$B$3257,"="&amp;'Output - County'!B1174)*VLOOKUP(A1174,'Output - State'!$B$2:$G$52,6,FALSE)</f>
        <v>34.801922776083664</v>
      </c>
    </row>
    <row r="1175" spans="1:7" x14ac:dyDescent="0.25">
      <c r="A1175" s="88">
        <v>22</v>
      </c>
      <c r="B1175" s="88">
        <v>121</v>
      </c>
      <c r="C1175" s="97">
        <f>SUMIFS(Input!$C$115:$C$3257,Input!$A$115:$A$3257,"="&amp;'Output - County'!A1175,Input!$B$115:$B$3257,"="&amp;'Output - County'!B1175)*VLOOKUP(A1175,'Output - State'!$B$2:$G$52,2,FALSE)</f>
        <v>3.8595282463933769</v>
      </c>
      <c r="D1175" s="98">
        <f>SUMIFS(Input!$C$115:$C$3257,Input!$A$115:$A$3257,"="&amp;'Output - County'!A1175,Input!$B$115:$B$3257,"="&amp;'Output - County'!B1175)*VLOOKUP(A1175,'Output - State'!$B$2:$G$52,3,FALSE)</f>
        <v>9.5616452018609266</v>
      </c>
      <c r="E1175" s="98">
        <f>SUMIFS(Input!$C$115:$C$3257,Input!$A$115:$A$3257,"="&amp;'Output - County'!A1175,Input!$B$115:$B$3257,"="&amp;'Output - County'!B1175)*VLOOKUP(A1175,'Output - State'!$B$2:$G$52,4,FALSE)</f>
        <v>3.730891520553258</v>
      </c>
      <c r="F1175" s="98">
        <f>SUMIFS(Input!$C$115:$C$3257,Input!$A$115:$A$3257,"="&amp;'Output - County'!A1175,Input!$B$115:$B$3257,"="&amp;'Output - County'!B1175)*VLOOKUP(A1175,'Output - State'!$B$2:$G$52,5,FALSE)</f>
        <v>67.356299348348358</v>
      </c>
      <c r="G1175" s="99">
        <f>SUMIFS(Input!$D$115:$D$3257,Input!$A$115:$A$3257,"="&amp;'Output - County'!A1175,Input!$B$115:$B$3257,"="&amp;'Output - County'!B1175)*VLOOKUP(A1175,'Output - State'!$B$2:$G$52,6,FALSE)</f>
        <v>23.679658796098163</v>
      </c>
    </row>
    <row r="1176" spans="1:7" x14ac:dyDescent="0.25">
      <c r="A1176" s="88">
        <v>22</v>
      </c>
      <c r="B1176" s="88">
        <v>123</v>
      </c>
      <c r="C1176" s="97">
        <f>SUMIFS(Input!$C$115:$C$3257,Input!$A$115:$A$3257,"="&amp;'Output - County'!A1176,Input!$B$115:$B$3257,"="&amp;'Output - County'!B1176)*VLOOKUP(A1176,'Output - State'!$B$2:$G$52,2,FALSE)</f>
        <v>0.27603858735024916</v>
      </c>
      <c r="D1176" s="98">
        <f>SUMIFS(Input!$C$115:$C$3257,Input!$A$115:$A$3257,"="&amp;'Output - County'!A1176,Input!$B$115:$B$3257,"="&amp;'Output - County'!B1176)*VLOOKUP(A1176,'Output - State'!$B$2:$G$52,3,FALSE)</f>
        <v>0.68386156694990086</v>
      </c>
      <c r="E1176" s="98">
        <f>SUMIFS(Input!$C$115:$C$3257,Input!$A$115:$A$3257,"="&amp;'Output - County'!A1176,Input!$B$115:$B$3257,"="&amp;'Output - County'!B1176)*VLOOKUP(A1176,'Output - State'!$B$2:$G$52,4,FALSE)</f>
        <v>0.26683831783144213</v>
      </c>
      <c r="F1176" s="98">
        <f>SUMIFS(Input!$C$115:$C$3257,Input!$A$115:$A$3257,"="&amp;'Output - County'!A1176,Input!$B$115:$B$3257,"="&amp;'Output - County'!B1176)*VLOOKUP(A1176,'Output - State'!$B$2:$G$52,5,FALSE)</f>
        <v>4.8174120084839851</v>
      </c>
      <c r="G1176" s="99">
        <f>SUMIFS(Input!$D$115:$D$3257,Input!$A$115:$A$3257,"="&amp;'Output - County'!A1176,Input!$B$115:$B$3257,"="&amp;'Output - County'!B1176)*VLOOKUP(A1176,'Output - State'!$B$2:$G$52,6,FALSE)</f>
        <v>9.8665244983742344</v>
      </c>
    </row>
    <row r="1177" spans="1:7" x14ac:dyDescent="0.25">
      <c r="A1177" s="88">
        <v>22</v>
      </c>
      <c r="B1177" s="88">
        <v>125</v>
      </c>
      <c r="C1177" s="97">
        <f>SUMIFS(Input!$C$115:$C$3257,Input!$A$115:$A$3257,"="&amp;'Output - County'!A1177,Input!$B$115:$B$3257,"="&amp;'Output - County'!B1177)*VLOOKUP(A1177,'Output - State'!$B$2:$G$52,2,FALSE)</f>
        <v>0.56158560627188381</v>
      </c>
      <c r="D1177" s="98">
        <f>SUMIFS(Input!$C$115:$C$3257,Input!$A$115:$A$3257,"="&amp;'Output - County'!A1177,Input!$B$115:$B$3257,"="&amp;'Output - County'!B1177)*VLOOKUP(A1177,'Output - State'!$B$2:$G$52,3,FALSE)</f>
        <v>1.3912794452693895</v>
      </c>
      <c r="E1177" s="98">
        <f>SUMIFS(Input!$C$115:$C$3257,Input!$A$115:$A$3257,"="&amp;'Output - County'!A1177,Input!$B$115:$B$3257,"="&amp;'Output - County'!B1177)*VLOOKUP(A1177,'Output - State'!$B$2:$G$52,4,FALSE)</f>
        <v>0.54286815453739778</v>
      </c>
      <c r="F1177" s="98">
        <f>SUMIFS(Input!$C$115:$C$3257,Input!$A$115:$A$3257,"="&amp;'Output - County'!A1177,Input!$B$115:$B$3257,"="&amp;'Output - County'!B1177)*VLOOKUP(A1177,'Output - State'!$B$2:$G$52,5,FALSE)</f>
        <v>9.800764702556684</v>
      </c>
      <c r="G1177" s="99">
        <f>SUMIFS(Input!$D$115:$D$3257,Input!$A$115:$A$3257,"="&amp;'Output - County'!A1177,Input!$B$115:$B$3257,"="&amp;'Output - County'!B1177)*VLOOKUP(A1177,'Output - State'!$B$2:$G$52,6,FALSE)</f>
        <v>13.902829974981874</v>
      </c>
    </row>
    <row r="1178" spans="1:7" x14ac:dyDescent="0.25">
      <c r="A1178" s="88">
        <v>22</v>
      </c>
      <c r="B1178" s="88">
        <v>127</v>
      </c>
      <c r="C1178" s="97">
        <f>SUMIFS(Input!$C$115:$C$3257,Input!$A$115:$A$3257,"="&amp;'Output - County'!A1178,Input!$B$115:$B$3257,"="&amp;'Output - County'!B1178)*VLOOKUP(A1178,'Output - State'!$B$2:$G$52,2,FALSE)</f>
        <v>0.77897576879886155</v>
      </c>
      <c r="D1178" s="98">
        <f>SUMIFS(Input!$C$115:$C$3257,Input!$A$115:$A$3257,"="&amp;'Output - County'!A1178,Input!$B$115:$B$3257,"="&amp;'Output - County'!B1178)*VLOOKUP(A1178,'Output - State'!$B$2:$G$52,3,FALSE)</f>
        <v>1.9298446459257768</v>
      </c>
      <c r="E1178" s="98">
        <f>SUMIFS(Input!$C$115:$C$3257,Input!$A$115:$A$3257,"="&amp;'Output - County'!A1178,Input!$B$115:$B$3257,"="&amp;'Output - County'!B1178)*VLOOKUP(A1178,'Output - State'!$B$2:$G$52,4,FALSE)</f>
        <v>0.75301277902136377</v>
      </c>
      <c r="F1178" s="98">
        <f>SUMIFS(Input!$C$115:$C$3257,Input!$A$115:$A$3257,"="&amp;'Output - County'!A1178,Input!$B$115:$B$3257,"="&amp;'Output - County'!B1178)*VLOOKUP(A1178,'Output - State'!$B$2:$G$52,5,FALSE)</f>
        <v>13.594647251864705</v>
      </c>
      <c r="G1178" s="99">
        <f>SUMIFS(Input!$D$115:$D$3257,Input!$A$115:$A$3257,"="&amp;'Output - County'!A1178,Input!$B$115:$B$3257,"="&amp;'Output - County'!B1178)*VLOOKUP(A1178,'Output - State'!$B$2:$G$52,6,FALSE)</f>
        <v>12.647090493370609</v>
      </c>
    </row>
    <row r="1179" spans="1:7" x14ac:dyDescent="0.25">
      <c r="A1179" s="88">
        <v>23</v>
      </c>
      <c r="B1179" s="88">
        <v>1</v>
      </c>
      <c r="C1179" s="97">
        <f>SUMIFS(Input!$C$115:$C$3257,Input!$A$115:$A$3257,"="&amp;'Output - County'!A1179,Input!$B$115:$B$3257,"="&amp;'Output - County'!B1179)*VLOOKUP(A1179,'Output - State'!$B$2:$G$52,2,FALSE)</f>
        <v>24.648961465340296</v>
      </c>
      <c r="D1179" s="98">
        <f>SUMIFS(Input!$C$115:$C$3257,Input!$A$115:$A$3257,"="&amp;'Output - County'!A1179,Input!$B$115:$B$3257,"="&amp;'Output - County'!B1179)*VLOOKUP(A1179,'Output - State'!$B$2:$G$52,3,FALSE)</f>
        <v>0</v>
      </c>
      <c r="E1179" s="98">
        <f>SUMIFS(Input!$C$115:$C$3257,Input!$A$115:$A$3257,"="&amp;'Output - County'!A1179,Input!$B$115:$B$3257,"="&amp;'Output - County'!B1179)*VLOOKUP(A1179,'Output - State'!$B$2:$G$52,4,FALSE)</f>
        <v>0</v>
      </c>
      <c r="F1179" s="98">
        <f>SUMIFS(Input!$C$115:$C$3257,Input!$A$115:$A$3257,"="&amp;'Output - County'!A1179,Input!$B$115:$B$3257,"="&amp;'Output - County'!B1179)*VLOOKUP(A1179,'Output - State'!$B$2:$G$52,5,FALSE)</f>
        <v>1.6941615378845392</v>
      </c>
      <c r="G1179" s="99">
        <f>SUMIFS(Input!$D$115:$D$3257,Input!$A$115:$A$3257,"="&amp;'Output - County'!A1179,Input!$B$115:$B$3257,"="&amp;'Output - County'!B1179)*VLOOKUP(A1179,'Output - State'!$B$2:$G$52,6,FALSE)</f>
        <v>0.81317044567307895</v>
      </c>
    </row>
    <row r="1180" spans="1:7" x14ac:dyDescent="0.25">
      <c r="A1180" s="88">
        <v>23</v>
      </c>
      <c r="B1180" s="88">
        <v>3</v>
      </c>
      <c r="C1180" s="97">
        <f>SUMIFS(Input!$C$115:$C$3257,Input!$A$115:$A$3257,"="&amp;'Output - County'!A1180,Input!$B$115:$B$3257,"="&amp;'Output - County'!B1180)*VLOOKUP(A1180,'Output - State'!$B$2:$G$52,2,FALSE)</f>
        <v>15.682463127236593</v>
      </c>
      <c r="D1180" s="98">
        <f>SUMIFS(Input!$C$115:$C$3257,Input!$A$115:$A$3257,"="&amp;'Output - County'!A1180,Input!$B$115:$B$3257,"="&amp;'Output - County'!B1180)*VLOOKUP(A1180,'Output - State'!$B$2:$G$52,3,FALSE)</f>
        <v>0</v>
      </c>
      <c r="E1180" s="98">
        <f>SUMIFS(Input!$C$115:$C$3257,Input!$A$115:$A$3257,"="&amp;'Output - County'!A1180,Input!$B$115:$B$3257,"="&amp;'Output - County'!B1180)*VLOOKUP(A1180,'Output - State'!$B$2:$G$52,4,FALSE)</f>
        <v>0</v>
      </c>
      <c r="F1180" s="98">
        <f>SUMIFS(Input!$C$115:$C$3257,Input!$A$115:$A$3257,"="&amp;'Output - County'!A1180,Input!$B$115:$B$3257,"="&amp;'Output - County'!B1180)*VLOOKUP(A1180,'Output - State'!$B$2:$G$52,5,FALSE)</f>
        <v>1.0778801324678824</v>
      </c>
      <c r="G1180" s="99">
        <f>SUMIFS(Input!$D$115:$D$3257,Input!$A$115:$A$3257,"="&amp;'Output - County'!A1180,Input!$B$115:$B$3257,"="&amp;'Output - County'!B1180)*VLOOKUP(A1180,'Output - State'!$B$2:$G$52,6,FALSE)</f>
        <v>0.50672565734998343</v>
      </c>
    </row>
    <row r="1181" spans="1:7" x14ac:dyDescent="0.25">
      <c r="A1181" s="88">
        <v>23</v>
      </c>
      <c r="B1181" s="88">
        <v>5</v>
      </c>
      <c r="C1181" s="97">
        <f>SUMIFS(Input!$C$115:$C$3257,Input!$A$115:$A$3257,"="&amp;'Output - County'!A1181,Input!$B$115:$B$3257,"="&amp;'Output - County'!B1181)*VLOOKUP(A1181,'Output - State'!$B$2:$G$52,2,FALSE)</f>
        <v>82.83590290982805</v>
      </c>
      <c r="D1181" s="98">
        <f>SUMIFS(Input!$C$115:$C$3257,Input!$A$115:$A$3257,"="&amp;'Output - County'!A1181,Input!$B$115:$B$3257,"="&amp;'Output - County'!B1181)*VLOOKUP(A1181,'Output - State'!$B$2:$G$52,3,FALSE)</f>
        <v>0</v>
      </c>
      <c r="E1181" s="98">
        <f>SUMIFS(Input!$C$115:$C$3257,Input!$A$115:$A$3257,"="&amp;'Output - County'!A1181,Input!$B$115:$B$3257,"="&amp;'Output - County'!B1181)*VLOOKUP(A1181,'Output - State'!$B$2:$G$52,4,FALSE)</f>
        <v>0</v>
      </c>
      <c r="F1181" s="98">
        <f>SUMIFS(Input!$C$115:$C$3257,Input!$A$115:$A$3257,"="&amp;'Output - County'!A1181,Input!$B$115:$B$3257,"="&amp;'Output - County'!B1181)*VLOOKUP(A1181,'Output - State'!$B$2:$G$52,5,FALSE)</f>
        <v>5.6934407099910329</v>
      </c>
      <c r="G1181" s="99">
        <f>SUMIFS(Input!$D$115:$D$3257,Input!$A$115:$A$3257,"="&amp;'Output - County'!A1181,Input!$B$115:$B$3257,"="&amp;'Output - County'!B1181)*VLOOKUP(A1181,'Output - State'!$B$2:$G$52,6,FALSE)</f>
        <v>2.2136306576656035</v>
      </c>
    </row>
    <row r="1182" spans="1:7" x14ac:dyDescent="0.25">
      <c r="A1182" s="88">
        <v>23</v>
      </c>
      <c r="B1182" s="88">
        <v>7</v>
      </c>
      <c r="C1182" s="97">
        <f>SUMIFS(Input!$C$115:$C$3257,Input!$A$115:$A$3257,"="&amp;'Output - County'!A1182,Input!$B$115:$B$3257,"="&amp;'Output - County'!B1182)*VLOOKUP(A1182,'Output - State'!$B$2:$G$52,2,FALSE)</f>
        <v>7.5086669550654621</v>
      </c>
      <c r="D1182" s="98">
        <f>SUMIFS(Input!$C$115:$C$3257,Input!$A$115:$A$3257,"="&amp;'Output - County'!A1182,Input!$B$115:$B$3257,"="&amp;'Output - County'!B1182)*VLOOKUP(A1182,'Output - State'!$B$2:$G$52,3,FALSE)</f>
        <v>0</v>
      </c>
      <c r="E1182" s="98">
        <f>SUMIFS(Input!$C$115:$C$3257,Input!$A$115:$A$3257,"="&amp;'Output - County'!A1182,Input!$B$115:$B$3257,"="&amp;'Output - County'!B1182)*VLOOKUP(A1182,'Output - State'!$B$2:$G$52,4,FALSE)</f>
        <v>0</v>
      </c>
      <c r="F1182" s="98">
        <f>SUMIFS(Input!$C$115:$C$3257,Input!$A$115:$A$3257,"="&amp;'Output - County'!A1182,Input!$B$115:$B$3257,"="&amp;'Output - County'!B1182)*VLOOKUP(A1182,'Output - State'!$B$2:$G$52,5,FALSE)</f>
        <v>0.51608238237313919</v>
      </c>
      <c r="G1182" s="99">
        <f>SUMIFS(Input!$D$115:$D$3257,Input!$A$115:$A$3257,"="&amp;'Output - County'!A1182,Input!$B$115:$B$3257,"="&amp;'Output - County'!B1182)*VLOOKUP(A1182,'Output - State'!$B$2:$G$52,6,FALSE)</f>
        <v>0.22512774375578759</v>
      </c>
    </row>
    <row r="1183" spans="1:7" x14ac:dyDescent="0.25">
      <c r="A1183" s="88">
        <v>23</v>
      </c>
      <c r="B1183" s="88">
        <v>9</v>
      </c>
      <c r="C1183" s="97">
        <f>SUMIFS(Input!$C$115:$C$3257,Input!$A$115:$A$3257,"="&amp;'Output - County'!A1183,Input!$B$115:$B$3257,"="&amp;'Output - County'!B1183)*VLOOKUP(A1183,'Output - State'!$B$2:$G$52,2,FALSE)</f>
        <v>14.240159334019296</v>
      </c>
      <c r="D1183" s="98">
        <f>SUMIFS(Input!$C$115:$C$3257,Input!$A$115:$A$3257,"="&amp;'Output - County'!A1183,Input!$B$115:$B$3257,"="&amp;'Output - County'!B1183)*VLOOKUP(A1183,'Output - State'!$B$2:$G$52,3,FALSE)</f>
        <v>0</v>
      </c>
      <c r="E1183" s="98">
        <f>SUMIFS(Input!$C$115:$C$3257,Input!$A$115:$A$3257,"="&amp;'Output - County'!A1183,Input!$B$115:$B$3257,"="&amp;'Output - County'!B1183)*VLOOKUP(A1183,'Output - State'!$B$2:$G$52,4,FALSE)</f>
        <v>0</v>
      </c>
      <c r="F1183" s="98">
        <f>SUMIFS(Input!$C$115:$C$3257,Input!$A$115:$A$3257,"="&amp;'Output - County'!A1183,Input!$B$115:$B$3257,"="&amp;'Output - County'!B1183)*VLOOKUP(A1183,'Output - State'!$B$2:$G$52,5,FALSE)</f>
        <v>0.97874834487311491</v>
      </c>
      <c r="G1183" s="99">
        <f>SUMIFS(Input!$D$115:$D$3257,Input!$A$115:$A$3257,"="&amp;'Output - County'!A1183,Input!$B$115:$B$3257,"="&amp;'Output - County'!B1183)*VLOOKUP(A1183,'Output - State'!$B$2:$G$52,6,FALSE)</f>
        <v>0.41185577202145751</v>
      </c>
    </row>
    <row r="1184" spans="1:7" x14ac:dyDescent="0.25">
      <c r="A1184" s="88">
        <v>23</v>
      </c>
      <c r="B1184" s="88">
        <v>11</v>
      </c>
      <c r="C1184" s="97">
        <f>SUMIFS(Input!$C$115:$C$3257,Input!$A$115:$A$3257,"="&amp;'Output - County'!A1184,Input!$B$115:$B$3257,"="&amp;'Output - County'!B1184)*VLOOKUP(A1184,'Output - State'!$B$2:$G$52,2,FALSE)</f>
        <v>37.280356527258547</v>
      </c>
      <c r="D1184" s="98">
        <f>SUMIFS(Input!$C$115:$C$3257,Input!$A$115:$A$3257,"="&amp;'Output - County'!A1184,Input!$B$115:$B$3257,"="&amp;'Output - County'!B1184)*VLOOKUP(A1184,'Output - State'!$B$2:$G$52,3,FALSE)</f>
        <v>0</v>
      </c>
      <c r="E1184" s="98">
        <f>SUMIFS(Input!$C$115:$C$3257,Input!$A$115:$A$3257,"="&amp;'Output - County'!A1184,Input!$B$115:$B$3257,"="&amp;'Output - County'!B1184)*VLOOKUP(A1184,'Output - State'!$B$2:$G$52,4,FALSE)</f>
        <v>0</v>
      </c>
      <c r="F1184" s="98">
        <f>SUMIFS(Input!$C$115:$C$3257,Input!$A$115:$A$3257,"="&amp;'Output - County'!A1184,Input!$B$115:$B$3257,"="&amp;'Output - County'!B1184)*VLOOKUP(A1184,'Output - State'!$B$2:$G$52,5,FALSE)</f>
        <v>2.5623370070140319</v>
      </c>
      <c r="G1184" s="99">
        <f>SUMIFS(Input!$D$115:$D$3257,Input!$A$115:$A$3257,"="&amp;'Output - County'!A1184,Input!$B$115:$B$3257,"="&amp;'Output - County'!B1184)*VLOOKUP(A1184,'Output - State'!$B$2:$G$52,6,FALSE)</f>
        <v>0.91858142937144094</v>
      </c>
    </row>
    <row r="1185" spans="1:7" x14ac:dyDescent="0.25">
      <c r="A1185" s="88">
        <v>23</v>
      </c>
      <c r="B1185" s="88">
        <v>13</v>
      </c>
      <c r="C1185" s="97">
        <f>SUMIFS(Input!$C$115:$C$3257,Input!$A$115:$A$3257,"="&amp;'Output - County'!A1185,Input!$B$115:$B$3257,"="&amp;'Output - County'!B1185)*VLOOKUP(A1185,'Output - State'!$B$2:$G$52,2,FALSE)</f>
        <v>7.8580871482007035</v>
      </c>
      <c r="D1185" s="98">
        <f>SUMIFS(Input!$C$115:$C$3257,Input!$A$115:$A$3257,"="&amp;'Output - County'!A1185,Input!$B$115:$B$3257,"="&amp;'Output - County'!B1185)*VLOOKUP(A1185,'Output - State'!$B$2:$G$52,3,FALSE)</f>
        <v>0</v>
      </c>
      <c r="E1185" s="98">
        <f>SUMIFS(Input!$C$115:$C$3257,Input!$A$115:$A$3257,"="&amp;'Output - County'!A1185,Input!$B$115:$B$3257,"="&amp;'Output - County'!B1185)*VLOOKUP(A1185,'Output - State'!$B$2:$G$52,4,FALSE)</f>
        <v>0</v>
      </c>
      <c r="F1185" s="98">
        <f>SUMIFS(Input!$C$115:$C$3257,Input!$A$115:$A$3257,"="&amp;'Output - County'!A1185,Input!$B$115:$B$3257,"="&amp;'Output - County'!B1185)*VLOOKUP(A1185,'Output - State'!$B$2:$G$52,5,FALSE)</f>
        <v>0.54009857683237872</v>
      </c>
      <c r="G1185" s="99">
        <f>SUMIFS(Input!$D$115:$D$3257,Input!$A$115:$A$3257,"="&amp;'Output - County'!A1185,Input!$B$115:$B$3257,"="&amp;'Output - County'!B1185)*VLOOKUP(A1185,'Output - State'!$B$2:$G$52,6,FALSE)</f>
        <v>0.29891543234464102</v>
      </c>
    </row>
    <row r="1186" spans="1:7" x14ac:dyDescent="0.25">
      <c r="A1186" s="88">
        <v>23</v>
      </c>
      <c r="B1186" s="88">
        <v>15</v>
      </c>
      <c r="C1186" s="97">
        <f>SUMIFS(Input!$C$115:$C$3257,Input!$A$115:$A$3257,"="&amp;'Output - County'!A1186,Input!$B$115:$B$3257,"="&amp;'Output - County'!B1186)*VLOOKUP(A1186,'Output - State'!$B$2:$G$52,2,FALSE)</f>
        <v>7.8751565991788031</v>
      </c>
      <c r="D1186" s="98">
        <f>SUMIFS(Input!$C$115:$C$3257,Input!$A$115:$A$3257,"="&amp;'Output - County'!A1186,Input!$B$115:$B$3257,"="&amp;'Output - County'!B1186)*VLOOKUP(A1186,'Output - State'!$B$2:$G$52,3,FALSE)</f>
        <v>0</v>
      </c>
      <c r="E1186" s="98">
        <f>SUMIFS(Input!$C$115:$C$3257,Input!$A$115:$A$3257,"="&amp;'Output - County'!A1186,Input!$B$115:$B$3257,"="&amp;'Output - County'!B1186)*VLOOKUP(A1186,'Output - State'!$B$2:$G$52,4,FALSE)</f>
        <v>0</v>
      </c>
      <c r="F1186" s="98">
        <f>SUMIFS(Input!$C$115:$C$3257,Input!$A$115:$A$3257,"="&amp;'Output - County'!A1186,Input!$B$115:$B$3257,"="&amp;'Output - County'!B1186)*VLOOKUP(A1186,'Output - State'!$B$2:$G$52,5,FALSE)</f>
        <v>0.54127178680151122</v>
      </c>
      <c r="G1186" s="99">
        <f>SUMIFS(Input!$D$115:$D$3257,Input!$A$115:$A$3257,"="&amp;'Output - County'!A1186,Input!$B$115:$B$3257,"="&amp;'Output - County'!B1186)*VLOOKUP(A1186,'Output - State'!$B$2:$G$52,6,FALSE)</f>
        <v>0.25900984565883256</v>
      </c>
    </row>
    <row r="1187" spans="1:7" x14ac:dyDescent="0.25">
      <c r="A1187" s="88">
        <v>23</v>
      </c>
      <c r="B1187" s="88">
        <v>17</v>
      </c>
      <c r="C1187" s="97">
        <f>SUMIFS(Input!$C$115:$C$3257,Input!$A$115:$A$3257,"="&amp;'Output - County'!A1187,Input!$B$115:$B$3257,"="&amp;'Output - County'!B1187)*VLOOKUP(A1187,'Output - State'!$B$2:$G$52,2,FALSE)</f>
        <v>11.163272304412287</v>
      </c>
      <c r="D1187" s="98">
        <f>SUMIFS(Input!$C$115:$C$3257,Input!$A$115:$A$3257,"="&amp;'Output - County'!A1187,Input!$B$115:$B$3257,"="&amp;'Output - County'!B1187)*VLOOKUP(A1187,'Output - State'!$B$2:$G$52,3,FALSE)</f>
        <v>0</v>
      </c>
      <c r="E1187" s="98">
        <f>SUMIFS(Input!$C$115:$C$3257,Input!$A$115:$A$3257,"="&amp;'Output - County'!A1187,Input!$B$115:$B$3257,"="&amp;'Output - County'!B1187)*VLOOKUP(A1187,'Output - State'!$B$2:$G$52,4,FALSE)</f>
        <v>0</v>
      </c>
      <c r="F1187" s="98">
        <f>SUMIFS(Input!$C$115:$C$3257,Input!$A$115:$A$3257,"="&amp;'Output - County'!A1187,Input!$B$115:$B$3257,"="&amp;'Output - County'!B1187)*VLOOKUP(A1187,'Output - State'!$B$2:$G$52,5,FALSE)</f>
        <v>0.76726910387929825</v>
      </c>
      <c r="G1187" s="99">
        <f>SUMIFS(Input!$D$115:$D$3257,Input!$A$115:$A$3257,"="&amp;'Output - County'!A1187,Input!$B$115:$B$3257,"="&amp;'Output - County'!B1187)*VLOOKUP(A1187,'Output - State'!$B$2:$G$52,6,FALSE)</f>
        <v>0.43519677555466624</v>
      </c>
    </row>
    <row r="1188" spans="1:7" x14ac:dyDescent="0.25">
      <c r="A1188" s="88">
        <v>23</v>
      </c>
      <c r="B1188" s="88">
        <v>19</v>
      </c>
      <c r="C1188" s="97">
        <f>SUMIFS(Input!$C$115:$C$3257,Input!$A$115:$A$3257,"="&amp;'Output - County'!A1188,Input!$B$115:$B$3257,"="&amp;'Output - County'!B1188)*VLOOKUP(A1188,'Output - State'!$B$2:$G$52,2,FALSE)</f>
        <v>42.828696944409586</v>
      </c>
      <c r="D1188" s="98">
        <f>SUMIFS(Input!$C$115:$C$3257,Input!$A$115:$A$3257,"="&amp;'Output - County'!A1188,Input!$B$115:$B$3257,"="&amp;'Output - County'!B1188)*VLOOKUP(A1188,'Output - State'!$B$2:$G$52,3,FALSE)</f>
        <v>0</v>
      </c>
      <c r="E1188" s="98">
        <f>SUMIFS(Input!$C$115:$C$3257,Input!$A$115:$A$3257,"="&amp;'Output - County'!A1188,Input!$B$115:$B$3257,"="&amp;'Output - County'!B1188)*VLOOKUP(A1188,'Output - State'!$B$2:$G$52,4,FALSE)</f>
        <v>0</v>
      </c>
      <c r="F1188" s="98">
        <f>SUMIFS(Input!$C$115:$C$3257,Input!$A$115:$A$3257,"="&amp;'Output - County'!A1188,Input!$B$115:$B$3257,"="&amp;'Output - County'!B1188)*VLOOKUP(A1188,'Output - State'!$B$2:$G$52,5,FALSE)</f>
        <v>2.9436830911906369</v>
      </c>
      <c r="G1188" s="99">
        <f>SUMIFS(Input!$D$115:$D$3257,Input!$A$115:$A$3257,"="&amp;'Output - County'!A1188,Input!$B$115:$B$3257,"="&amp;'Output - County'!B1188)*VLOOKUP(A1188,'Output - State'!$B$2:$G$52,6,FALSE)</f>
        <v>1.1444621087250741</v>
      </c>
    </row>
    <row r="1189" spans="1:7" x14ac:dyDescent="0.25">
      <c r="A1189" s="88">
        <v>23</v>
      </c>
      <c r="B1189" s="88">
        <v>21</v>
      </c>
      <c r="C1189" s="97">
        <f>SUMIFS(Input!$C$115:$C$3257,Input!$A$115:$A$3257,"="&amp;'Output - County'!A1189,Input!$B$115:$B$3257,"="&amp;'Output - County'!B1189)*VLOOKUP(A1189,'Output - State'!$B$2:$G$52,2,FALSE)</f>
        <v>3.6769413391192187</v>
      </c>
      <c r="D1189" s="98">
        <f>SUMIFS(Input!$C$115:$C$3257,Input!$A$115:$A$3257,"="&amp;'Output - County'!A1189,Input!$B$115:$B$3257,"="&amp;'Output - County'!B1189)*VLOOKUP(A1189,'Output - State'!$B$2:$G$52,3,FALSE)</f>
        <v>0</v>
      </c>
      <c r="E1189" s="98">
        <f>SUMIFS(Input!$C$115:$C$3257,Input!$A$115:$A$3257,"="&amp;'Output - County'!A1189,Input!$B$115:$B$3257,"="&amp;'Output - County'!B1189)*VLOOKUP(A1189,'Output - State'!$B$2:$G$52,4,FALSE)</f>
        <v>0</v>
      </c>
      <c r="F1189" s="98">
        <f>SUMIFS(Input!$C$115:$C$3257,Input!$A$115:$A$3257,"="&amp;'Output - County'!A1189,Input!$B$115:$B$3257,"="&amp;'Output - County'!B1189)*VLOOKUP(A1189,'Output - State'!$B$2:$G$52,5,FALSE)</f>
        <v>0.25272190889473051</v>
      </c>
      <c r="G1189" s="99">
        <f>SUMIFS(Input!$D$115:$D$3257,Input!$A$115:$A$3257,"="&amp;'Output - County'!A1189,Input!$B$115:$B$3257,"="&amp;'Output - County'!B1189)*VLOOKUP(A1189,'Output - State'!$B$2:$G$52,6,FALSE)</f>
        <v>0.12574024484018906</v>
      </c>
    </row>
    <row r="1190" spans="1:7" x14ac:dyDescent="0.25">
      <c r="A1190" s="88">
        <v>23</v>
      </c>
      <c r="B1190" s="88">
        <v>23</v>
      </c>
      <c r="C1190" s="97">
        <f>SUMIFS(Input!$C$115:$C$3257,Input!$A$115:$A$3257,"="&amp;'Output - County'!A1190,Input!$B$115:$B$3257,"="&amp;'Output - County'!B1190)*VLOOKUP(A1190,'Output - State'!$B$2:$G$52,2,FALSE)</f>
        <v>11.668425421635632</v>
      </c>
      <c r="D1190" s="98">
        <f>SUMIFS(Input!$C$115:$C$3257,Input!$A$115:$A$3257,"="&amp;'Output - County'!A1190,Input!$B$115:$B$3257,"="&amp;'Output - County'!B1190)*VLOOKUP(A1190,'Output - State'!$B$2:$G$52,3,FALSE)</f>
        <v>0</v>
      </c>
      <c r="E1190" s="98">
        <f>SUMIFS(Input!$C$115:$C$3257,Input!$A$115:$A$3257,"="&amp;'Output - County'!A1190,Input!$B$115:$B$3257,"="&amp;'Output - County'!B1190)*VLOOKUP(A1190,'Output - State'!$B$2:$G$52,4,FALSE)</f>
        <v>0</v>
      </c>
      <c r="F1190" s="98">
        <f>SUMIFS(Input!$C$115:$C$3257,Input!$A$115:$A$3257,"="&amp;'Output - County'!A1190,Input!$B$115:$B$3257,"="&amp;'Output - County'!B1190)*VLOOKUP(A1190,'Output - State'!$B$2:$G$52,5,FALSE)</f>
        <v>0.80198906492697386</v>
      </c>
      <c r="G1190" s="99">
        <f>SUMIFS(Input!$D$115:$D$3257,Input!$A$115:$A$3257,"="&amp;'Output - County'!A1190,Input!$B$115:$B$3257,"="&amp;'Output - County'!B1190)*VLOOKUP(A1190,'Output - State'!$B$2:$G$52,6,FALSE)</f>
        <v>0.2687980084308233</v>
      </c>
    </row>
    <row r="1191" spans="1:7" x14ac:dyDescent="0.25">
      <c r="A1191" s="88">
        <v>23</v>
      </c>
      <c r="B1191" s="88">
        <v>25</v>
      </c>
      <c r="C1191" s="97">
        <f>SUMIFS(Input!$C$115:$C$3257,Input!$A$115:$A$3257,"="&amp;'Output - County'!A1191,Input!$B$115:$B$3257,"="&amp;'Output - County'!B1191)*VLOOKUP(A1191,'Output - State'!$B$2:$G$52,2,FALSE)</f>
        <v>15.391835925830561</v>
      </c>
      <c r="D1191" s="98">
        <f>SUMIFS(Input!$C$115:$C$3257,Input!$A$115:$A$3257,"="&amp;'Output - County'!A1191,Input!$B$115:$B$3257,"="&amp;'Output - County'!B1191)*VLOOKUP(A1191,'Output - State'!$B$2:$G$52,3,FALSE)</f>
        <v>0</v>
      </c>
      <c r="E1191" s="98">
        <f>SUMIFS(Input!$C$115:$C$3257,Input!$A$115:$A$3257,"="&amp;'Output - County'!A1191,Input!$B$115:$B$3257,"="&amp;'Output - County'!B1191)*VLOOKUP(A1191,'Output - State'!$B$2:$G$52,4,FALSE)</f>
        <v>0</v>
      </c>
      <c r="F1191" s="98">
        <f>SUMIFS(Input!$C$115:$C$3257,Input!$A$115:$A$3257,"="&amp;'Output - County'!A1191,Input!$B$115:$B$3257,"="&amp;'Output - County'!B1191)*VLOOKUP(A1191,'Output - State'!$B$2:$G$52,5,FALSE)</f>
        <v>1.0579048719613715</v>
      </c>
      <c r="G1191" s="99">
        <f>SUMIFS(Input!$D$115:$D$3257,Input!$A$115:$A$3257,"="&amp;'Output - County'!A1191,Input!$B$115:$B$3257,"="&amp;'Output - County'!B1191)*VLOOKUP(A1191,'Output - State'!$B$2:$G$52,6,FALSE)</f>
        <v>0.38023247691194895</v>
      </c>
    </row>
    <row r="1192" spans="1:7" x14ac:dyDescent="0.25">
      <c r="A1192" s="88">
        <v>23</v>
      </c>
      <c r="B1192" s="88">
        <v>27</v>
      </c>
      <c r="C1192" s="97">
        <f>SUMIFS(Input!$C$115:$C$3257,Input!$A$115:$A$3257,"="&amp;'Output - County'!A1192,Input!$B$115:$B$3257,"="&amp;'Output - County'!B1192)*VLOOKUP(A1192,'Output - State'!$B$2:$G$52,2,FALSE)</f>
        <v>8.2990466108534893</v>
      </c>
      <c r="D1192" s="98">
        <f>SUMIFS(Input!$C$115:$C$3257,Input!$A$115:$A$3257,"="&amp;'Output - County'!A1192,Input!$B$115:$B$3257,"="&amp;'Output - County'!B1192)*VLOOKUP(A1192,'Output - State'!$B$2:$G$52,3,FALSE)</f>
        <v>0</v>
      </c>
      <c r="E1192" s="98">
        <f>SUMIFS(Input!$C$115:$C$3257,Input!$A$115:$A$3257,"="&amp;'Output - County'!A1192,Input!$B$115:$B$3257,"="&amp;'Output - County'!B1192)*VLOOKUP(A1192,'Output - State'!$B$2:$G$52,4,FALSE)</f>
        <v>0</v>
      </c>
      <c r="F1192" s="98">
        <f>SUMIFS(Input!$C$115:$C$3257,Input!$A$115:$A$3257,"="&amp;'Output - County'!A1192,Input!$B$115:$B$3257,"="&amp;'Output - County'!B1192)*VLOOKUP(A1192,'Output - State'!$B$2:$G$52,5,FALSE)</f>
        <v>0.57040640795309527</v>
      </c>
      <c r="G1192" s="99">
        <f>SUMIFS(Input!$D$115:$D$3257,Input!$A$115:$A$3257,"="&amp;'Output - County'!A1192,Input!$B$115:$B$3257,"="&amp;'Output - County'!B1192)*VLOOKUP(A1192,'Output - State'!$B$2:$G$52,6,FALSE)</f>
        <v>0.29891543234464102</v>
      </c>
    </row>
    <row r="1193" spans="1:7" x14ac:dyDescent="0.25">
      <c r="A1193" s="88">
        <v>23</v>
      </c>
      <c r="B1193" s="88">
        <v>29</v>
      </c>
      <c r="C1193" s="97">
        <f>SUMIFS(Input!$C$115:$C$3257,Input!$A$115:$A$3257,"="&amp;'Output - County'!A1193,Input!$B$115:$B$3257,"="&amp;'Output - County'!B1193)*VLOOKUP(A1193,'Output - State'!$B$2:$G$52,2,FALSE)</f>
        <v>7.9050958673885852</v>
      </c>
      <c r="D1193" s="98">
        <f>SUMIFS(Input!$C$115:$C$3257,Input!$A$115:$A$3257,"="&amp;'Output - County'!A1193,Input!$B$115:$B$3257,"="&amp;'Output - County'!B1193)*VLOOKUP(A1193,'Output - State'!$B$2:$G$52,3,FALSE)</f>
        <v>0</v>
      </c>
      <c r="E1193" s="98">
        <f>SUMIFS(Input!$C$115:$C$3257,Input!$A$115:$A$3257,"="&amp;'Output - County'!A1193,Input!$B$115:$B$3257,"="&amp;'Output - County'!B1193)*VLOOKUP(A1193,'Output - State'!$B$2:$G$52,4,FALSE)</f>
        <v>0</v>
      </c>
      <c r="F1193" s="98">
        <f>SUMIFS(Input!$C$115:$C$3257,Input!$A$115:$A$3257,"="&amp;'Output - County'!A1193,Input!$B$115:$B$3257,"="&amp;'Output - County'!B1193)*VLOOKUP(A1193,'Output - State'!$B$2:$G$52,5,FALSE)</f>
        <v>0.54332955936709149</v>
      </c>
      <c r="G1193" s="99">
        <f>SUMIFS(Input!$D$115:$D$3257,Input!$A$115:$A$3257,"="&amp;'Output - County'!A1193,Input!$B$115:$B$3257,"="&amp;'Output - County'!B1193)*VLOOKUP(A1193,'Output - State'!$B$2:$G$52,6,FALSE)</f>
        <v>0.23566884212562381</v>
      </c>
    </row>
    <row r="1194" spans="1:7" x14ac:dyDescent="0.25">
      <c r="A1194" s="88">
        <v>23</v>
      </c>
      <c r="B1194" s="88">
        <v>31</v>
      </c>
      <c r="C1194" s="97">
        <f>SUMIFS(Input!$C$115:$C$3257,Input!$A$115:$A$3257,"="&amp;'Output - County'!A1194,Input!$B$115:$B$3257,"="&amp;'Output - County'!B1194)*VLOOKUP(A1194,'Output - State'!$B$2:$G$52,2,FALSE)</f>
        <v>56.370886972350434</v>
      </c>
      <c r="D1194" s="98">
        <f>SUMIFS(Input!$C$115:$C$3257,Input!$A$115:$A$3257,"="&amp;'Output - County'!A1194,Input!$B$115:$B$3257,"="&amp;'Output - County'!B1194)*VLOOKUP(A1194,'Output - State'!$B$2:$G$52,3,FALSE)</f>
        <v>0</v>
      </c>
      <c r="E1194" s="98">
        <f>SUMIFS(Input!$C$115:$C$3257,Input!$A$115:$A$3257,"="&amp;'Output - County'!A1194,Input!$B$115:$B$3257,"="&amp;'Output - County'!B1194)*VLOOKUP(A1194,'Output - State'!$B$2:$G$52,4,FALSE)</f>
        <v>0</v>
      </c>
      <c r="F1194" s="98">
        <f>SUMIFS(Input!$C$115:$C$3257,Input!$A$115:$A$3257,"="&amp;'Output - County'!A1194,Input!$B$115:$B$3257,"="&amp;'Output - County'!B1194)*VLOOKUP(A1194,'Output - State'!$B$2:$G$52,5,FALSE)</f>
        <v>3.8744589178444837</v>
      </c>
      <c r="G1194" s="99">
        <f>SUMIFS(Input!$D$115:$D$3257,Input!$A$115:$A$3257,"="&amp;'Output - County'!A1194,Input!$B$115:$B$3257,"="&amp;'Output - County'!B1194)*VLOOKUP(A1194,'Output - State'!$B$2:$G$52,6,FALSE)</f>
        <v>1.5510473315616136</v>
      </c>
    </row>
    <row r="1195" spans="1:7" x14ac:dyDescent="0.25">
      <c r="A1195" s="88">
        <v>24</v>
      </c>
      <c r="B1195" s="88">
        <v>1</v>
      </c>
      <c r="C1195" s="97">
        <f>SUMIFS(Input!$C$115:$C$3257,Input!$A$115:$A$3257,"="&amp;'Output - County'!A1195,Input!$B$115:$B$3257,"="&amp;'Output - County'!B1195)*VLOOKUP(A1195,'Output - State'!$B$2:$G$52,2,FALSE)</f>
        <v>9.1362602770594687</v>
      </c>
      <c r="D1195" s="98">
        <f>SUMIFS(Input!$C$115:$C$3257,Input!$A$115:$A$3257,"="&amp;'Output - County'!A1195,Input!$B$115:$B$3257,"="&amp;'Output - County'!B1195)*VLOOKUP(A1195,'Output - State'!$B$2:$G$52,3,FALSE)</f>
        <v>5.1150936476538593</v>
      </c>
      <c r="E1195" s="98">
        <f>SUMIFS(Input!$C$115:$C$3257,Input!$A$115:$A$3257,"="&amp;'Output - County'!A1195,Input!$B$115:$B$3257,"="&amp;'Output - County'!B1195)*VLOOKUP(A1195,'Output - State'!$B$2:$G$52,4,FALSE)</f>
        <v>0.42382731271164398</v>
      </c>
      <c r="F1195" s="98">
        <f>SUMIFS(Input!$C$115:$C$3257,Input!$A$115:$A$3257,"="&amp;'Output - County'!A1195,Input!$B$115:$B$3257,"="&amp;'Output - County'!B1195)*VLOOKUP(A1195,'Output - State'!$B$2:$G$52,5,FALSE)</f>
        <v>26.467304571650594</v>
      </c>
      <c r="G1195" s="99">
        <f>SUMIFS(Input!$D$115:$D$3257,Input!$A$115:$A$3257,"="&amp;'Output - County'!A1195,Input!$B$115:$B$3257,"="&amp;'Output - County'!B1195)*VLOOKUP(A1195,'Output - State'!$B$2:$G$52,6,FALSE)</f>
        <v>11.516803870854185</v>
      </c>
    </row>
    <row r="1196" spans="1:7" x14ac:dyDescent="0.25">
      <c r="A1196" s="88">
        <v>24</v>
      </c>
      <c r="B1196" s="88">
        <v>3</v>
      </c>
      <c r="C1196" s="97">
        <f>SUMIFS(Input!$C$115:$C$3257,Input!$A$115:$A$3257,"="&amp;'Output - County'!A1196,Input!$B$115:$B$3257,"="&amp;'Output - County'!B1196)*VLOOKUP(A1196,'Output - State'!$B$2:$G$52,2,FALSE)</f>
        <v>72.502318672434214</v>
      </c>
      <c r="D1196" s="98">
        <f>SUMIFS(Input!$C$115:$C$3257,Input!$A$115:$A$3257,"="&amp;'Output - County'!A1196,Input!$B$115:$B$3257,"="&amp;'Output - County'!B1196)*VLOOKUP(A1196,'Output - State'!$B$2:$G$52,3,FALSE)</f>
        <v>40.591679575147253</v>
      </c>
      <c r="E1196" s="98">
        <f>SUMIFS(Input!$C$115:$C$3257,Input!$A$115:$A$3257,"="&amp;'Output - County'!A1196,Input!$B$115:$B$3257,"="&amp;'Output - County'!B1196)*VLOOKUP(A1196,'Output - State'!$B$2:$G$52,4,FALSE)</f>
        <v>3.3633523954498243</v>
      </c>
      <c r="F1196" s="98">
        <f>SUMIFS(Input!$C$115:$C$3257,Input!$A$115:$A$3257,"="&amp;'Output - County'!A1196,Input!$B$115:$B$3257,"="&amp;'Output - County'!B1196)*VLOOKUP(A1196,'Output - State'!$B$2:$G$52,5,FALSE)</f>
        <v>210.03571398600772</v>
      </c>
      <c r="G1196" s="99">
        <f>SUMIFS(Input!$D$115:$D$3257,Input!$A$115:$A$3257,"="&amp;'Output - County'!A1196,Input!$B$115:$B$3257,"="&amp;'Output - County'!B1196)*VLOOKUP(A1196,'Output - State'!$B$2:$G$52,6,FALSE)</f>
        <v>93.563879120056555</v>
      </c>
    </row>
    <row r="1197" spans="1:7" x14ac:dyDescent="0.25">
      <c r="A1197" s="88">
        <v>24</v>
      </c>
      <c r="B1197" s="88">
        <v>5</v>
      </c>
      <c r="C1197" s="97">
        <f>SUMIFS(Input!$C$115:$C$3257,Input!$A$115:$A$3257,"="&amp;'Output - County'!A1197,Input!$B$115:$B$3257,"="&amp;'Output - County'!B1197)*VLOOKUP(A1197,'Output - State'!$B$2:$G$52,2,FALSE)</f>
        <v>100.10510587098246</v>
      </c>
      <c r="D1197" s="98">
        <f>SUMIFS(Input!$C$115:$C$3257,Input!$A$115:$A$3257,"="&amp;'Output - County'!A1197,Input!$B$115:$B$3257,"="&amp;'Output - County'!B1197)*VLOOKUP(A1197,'Output - State'!$B$2:$G$52,3,FALSE)</f>
        <v>56.045578345014398</v>
      </c>
      <c r="E1197" s="98">
        <f>SUMIFS(Input!$C$115:$C$3257,Input!$A$115:$A$3257,"="&amp;'Output - County'!A1197,Input!$B$115:$B$3257,"="&amp;'Output - County'!B1197)*VLOOKUP(A1197,'Output - State'!$B$2:$G$52,4,FALSE)</f>
        <v>4.6438342082421986</v>
      </c>
      <c r="F1197" s="98">
        <f>SUMIFS(Input!$C$115:$C$3257,Input!$A$115:$A$3257,"="&amp;'Output - County'!A1197,Input!$B$115:$B$3257,"="&amp;'Output - County'!B1197)*VLOOKUP(A1197,'Output - State'!$B$2:$G$52,5,FALSE)</f>
        <v>289.99965477312054</v>
      </c>
      <c r="G1197" s="99">
        <f>SUMIFS(Input!$D$115:$D$3257,Input!$A$115:$A$3257,"="&amp;'Output - County'!A1197,Input!$B$115:$B$3257,"="&amp;'Output - County'!B1197)*VLOOKUP(A1197,'Output - State'!$B$2:$G$52,6,FALSE)</f>
        <v>134.4980762350813</v>
      </c>
    </row>
    <row r="1198" spans="1:7" x14ac:dyDescent="0.25">
      <c r="A1198" s="88">
        <v>24</v>
      </c>
      <c r="B1198" s="88">
        <v>9</v>
      </c>
      <c r="C1198" s="97">
        <f>SUMIFS(Input!$C$115:$C$3257,Input!$A$115:$A$3257,"="&amp;'Output - County'!A1198,Input!$B$115:$B$3257,"="&amp;'Output - County'!B1198)*VLOOKUP(A1198,'Output - State'!$B$2:$G$52,2,FALSE)</f>
        <v>9.0381566011878167</v>
      </c>
      <c r="D1198" s="98">
        <f>SUMIFS(Input!$C$115:$C$3257,Input!$A$115:$A$3257,"="&amp;'Output - County'!A1198,Input!$B$115:$B$3257,"="&amp;'Output - County'!B1198)*VLOOKUP(A1198,'Output - State'!$B$2:$G$52,3,FALSE)</f>
        <v>5.0601686045787853</v>
      </c>
      <c r="E1198" s="98">
        <f>SUMIFS(Input!$C$115:$C$3257,Input!$A$115:$A$3257,"="&amp;'Output - County'!A1198,Input!$B$115:$B$3257,"="&amp;'Output - County'!B1198)*VLOOKUP(A1198,'Output - State'!$B$2:$G$52,4,FALSE)</f>
        <v>0.41927632400828818</v>
      </c>
      <c r="F1198" s="98">
        <f>SUMIFS(Input!$C$115:$C$3257,Input!$A$115:$A$3257,"="&amp;'Output - County'!A1198,Input!$B$115:$B$3257,"="&amp;'Output - County'!B1198)*VLOOKUP(A1198,'Output - State'!$B$2:$G$52,5,FALSE)</f>
        <v>26.183102962879307</v>
      </c>
      <c r="G1198" s="99">
        <f>SUMIFS(Input!$D$115:$D$3257,Input!$A$115:$A$3257,"="&amp;'Output - County'!A1198,Input!$B$115:$B$3257,"="&amp;'Output - County'!B1198)*VLOOKUP(A1198,'Output - State'!$B$2:$G$52,6,FALSE)</f>
        <v>14.960474421800711</v>
      </c>
    </row>
    <row r="1199" spans="1:7" x14ac:dyDescent="0.25">
      <c r="A1199" s="88">
        <v>24</v>
      </c>
      <c r="B1199" s="88">
        <v>11</v>
      </c>
      <c r="C1199" s="97">
        <f>SUMIFS(Input!$C$115:$C$3257,Input!$A$115:$A$3257,"="&amp;'Output - County'!A1199,Input!$B$115:$B$3257,"="&amp;'Output - County'!B1199)*VLOOKUP(A1199,'Output - State'!$B$2:$G$52,2,FALSE)</f>
        <v>3.9557179570477428</v>
      </c>
      <c r="D1199" s="98">
        <f>SUMIFS(Input!$C$115:$C$3257,Input!$A$115:$A$3257,"="&amp;'Output - County'!A1199,Input!$B$115:$B$3257,"="&amp;'Output - County'!B1199)*VLOOKUP(A1199,'Output - State'!$B$2:$G$52,3,FALSE)</f>
        <v>2.2146772509109756</v>
      </c>
      <c r="E1199" s="98">
        <f>SUMIFS(Input!$C$115:$C$3257,Input!$A$115:$A$3257,"="&amp;'Output - County'!A1199,Input!$B$115:$B$3257,"="&amp;'Output - County'!B1199)*VLOOKUP(A1199,'Output - State'!$B$2:$G$52,4,FALSE)</f>
        <v>0.18350411007777667</v>
      </c>
      <c r="F1199" s="98">
        <f>SUMIFS(Input!$C$115:$C$3257,Input!$A$115:$A$3257,"="&amp;'Output - County'!A1199,Input!$B$115:$B$3257,"="&amp;'Output - County'!B1199)*VLOOKUP(A1199,'Output - State'!$B$2:$G$52,5,FALSE)</f>
        <v>11.459523786950076</v>
      </c>
      <c r="G1199" s="99">
        <f>SUMIFS(Input!$D$115:$D$3257,Input!$A$115:$A$3257,"="&amp;'Output - County'!A1199,Input!$B$115:$B$3257,"="&amp;'Output - County'!B1199)*VLOOKUP(A1199,'Output - State'!$B$2:$G$52,6,FALSE)</f>
        <v>5.4091617616282699</v>
      </c>
    </row>
    <row r="1200" spans="1:7" x14ac:dyDescent="0.25">
      <c r="A1200" s="88">
        <v>24</v>
      </c>
      <c r="B1200" s="88">
        <v>13</v>
      </c>
      <c r="C1200" s="97">
        <f>SUMIFS(Input!$C$115:$C$3257,Input!$A$115:$A$3257,"="&amp;'Output - County'!A1200,Input!$B$115:$B$3257,"="&amp;'Output - County'!B1200)*VLOOKUP(A1200,'Output - State'!$B$2:$G$52,2,FALSE)</f>
        <v>15.035394512931239</v>
      </c>
      <c r="D1200" s="98">
        <f>SUMIFS(Input!$C$115:$C$3257,Input!$A$115:$A$3257,"="&amp;'Output - County'!A1200,Input!$B$115:$B$3257,"="&amp;'Output - County'!B1200)*VLOOKUP(A1200,'Output - State'!$B$2:$G$52,3,FALSE)</f>
        <v>8.4178261817008089</v>
      </c>
      <c r="E1200" s="98">
        <f>SUMIFS(Input!$C$115:$C$3257,Input!$A$115:$A$3257,"="&amp;'Output - County'!A1200,Input!$B$115:$B$3257,"="&amp;'Output - County'!B1200)*VLOOKUP(A1200,'Output - State'!$B$2:$G$52,4,FALSE)</f>
        <v>0.69748569532062665</v>
      </c>
      <c r="F1200" s="98">
        <f>SUMIFS(Input!$C$115:$C$3257,Input!$A$115:$A$3257,"="&amp;'Output - County'!A1200,Input!$B$115:$B$3257,"="&amp;'Output - County'!B1200)*VLOOKUP(A1200,'Output - State'!$B$2:$G$52,5,FALSE)</f>
        <v>43.556811415267099</v>
      </c>
      <c r="G1200" s="99">
        <f>SUMIFS(Input!$D$115:$D$3257,Input!$A$115:$A$3257,"="&amp;'Output - County'!A1200,Input!$B$115:$B$3257,"="&amp;'Output - County'!B1200)*VLOOKUP(A1200,'Output - State'!$B$2:$G$52,6,FALSE)</f>
        <v>27.289464743349832</v>
      </c>
    </row>
    <row r="1201" spans="1:7" x14ac:dyDescent="0.25">
      <c r="A1201" s="88">
        <v>24</v>
      </c>
      <c r="B1201" s="88">
        <v>15</v>
      </c>
      <c r="C1201" s="97">
        <f>SUMIFS(Input!$C$115:$C$3257,Input!$A$115:$A$3257,"="&amp;'Output - County'!A1201,Input!$B$115:$B$3257,"="&amp;'Output - County'!B1201)*VLOOKUP(A1201,'Output - State'!$B$2:$G$52,2,FALSE)</f>
        <v>14.474692944997132</v>
      </c>
      <c r="D1201" s="98">
        <f>SUMIFS(Input!$C$115:$C$3257,Input!$A$115:$A$3257,"="&amp;'Output - County'!A1201,Input!$B$115:$B$3257,"="&amp;'Output - County'!B1201)*VLOOKUP(A1201,'Output - State'!$B$2:$G$52,3,FALSE)</f>
        <v>8.1039076919254285</v>
      </c>
      <c r="E1201" s="98">
        <f>SUMIFS(Input!$C$115:$C$3257,Input!$A$115:$A$3257,"="&amp;'Output - County'!A1201,Input!$B$115:$B$3257,"="&amp;'Output - County'!B1201)*VLOOKUP(A1201,'Output - State'!$B$2:$G$52,4,FALSE)</f>
        <v>0.67147498288860263</v>
      </c>
      <c r="F1201" s="98">
        <f>SUMIFS(Input!$C$115:$C$3257,Input!$A$115:$A$3257,"="&amp;'Output - County'!A1201,Input!$B$115:$B$3257,"="&amp;'Output - County'!B1201)*VLOOKUP(A1201,'Output - State'!$B$2:$G$52,5,FALSE)</f>
        <v>41.932486065257436</v>
      </c>
      <c r="G1201" s="99">
        <f>SUMIFS(Input!$D$115:$D$3257,Input!$A$115:$A$3257,"="&amp;'Output - County'!A1201,Input!$B$115:$B$3257,"="&amp;'Output - County'!B1201)*VLOOKUP(A1201,'Output - State'!$B$2:$G$52,6,FALSE)</f>
        <v>16.731040884315671</v>
      </c>
    </row>
    <row r="1202" spans="1:7" x14ac:dyDescent="0.25">
      <c r="A1202" s="88">
        <v>24</v>
      </c>
      <c r="B1202" s="88">
        <v>17</v>
      </c>
      <c r="C1202" s="97">
        <f>SUMIFS(Input!$C$115:$C$3257,Input!$A$115:$A$3257,"="&amp;'Output - County'!A1202,Input!$B$115:$B$3257,"="&amp;'Output - County'!B1202)*VLOOKUP(A1202,'Output - State'!$B$2:$G$52,2,FALSE)</f>
        <v>14.863966445957756</v>
      </c>
      <c r="D1202" s="98">
        <f>SUMIFS(Input!$C$115:$C$3257,Input!$A$115:$A$3257,"="&amp;'Output - County'!A1202,Input!$B$115:$B$3257,"="&amp;'Output - County'!B1202)*VLOOKUP(A1202,'Output - State'!$B$2:$G$52,3,FALSE)</f>
        <v>8.3218492075544592</v>
      </c>
      <c r="E1202" s="98">
        <f>SUMIFS(Input!$C$115:$C$3257,Input!$A$115:$A$3257,"="&amp;'Output - County'!A1202,Input!$B$115:$B$3257,"="&amp;'Output - County'!B1202)*VLOOKUP(A1202,'Output - State'!$B$2:$G$52,4,FALSE)</f>
        <v>0.6895332186238804</v>
      </c>
      <c r="F1202" s="98">
        <f>SUMIFS(Input!$C$115:$C$3257,Input!$A$115:$A$3257,"="&amp;'Output - County'!A1202,Input!$B$115:$B$3257,"="&amp;'Output - County'!B1202)*VLOOKUP(A1202,'Output - State'!$B$2:$G$52,5,FALSE)</f>
        <v>43.060192588403197</v>
      </c>
      <c r="G1202" s="99">
        <f>SUMIFS(Input!$D$115:$D$3257,Input!$A$115:$A$3257,"="&amp;'Output - County'!A1202,Input!$B$115:$B$3257,"="&amp;'Output - County'!B1202)*VLOOKUP(A1202,'Output - State'!$B$2:$G$52,6,FALSE)</f>
        <v>26.15240371237692</v>
      </c>
    </row>
    <row r="1203" spans="1:7" x14ac:dyDescent="0.25">
      <c r="A1203" s="88">
        <v>24</v>
      </c>
      <c r="B1203" s="88">
        <v>19</v>
      </c>
      <c r="C1203" s="97">
        <f>SUMIFS(Input!$C$115:$C$3257,Input!$A$115:$A$3257,"="&amp;'Output - County'!A1203,Input!$B$115:$B$3257,"="&amp;'Output - County'!B1203)*VLOOKUP(A1203,'Output - State'!$B$2:$G$52,2,FALSE)</f>
        <v>3.6115453317120725</v>
      </c>
      <c r="D1203" s="98">
        <f>SUMIFS(Input!$C$115:$C$3257,Input!$A$115:$A$3257,"="&amp;'Output - County'!A1203,Input!$B$115:$B$3257,"="&amp;'Output - County'!B1203)*VLOOKUP(A1203,'Output - State'!$B$2:$G$52,3,FALSE)</f>
        <v>2.0219862420994956</v>
      </c>
      <c r="E1203" s="98">
        <f>SUMIFS(Input!$C$115:$C$3257,Input!$A$115:$A$3257,"="&amp;'Output - County'!A1203,Input!$B$115:$B$3257,"="&amp;'Output - County'!B1203)*VLOOKUP(A1203,'Output - State'!$B$2:$G$52,4,FALSE)</f>
        <v>0.16753808519654623</v>
      </c>
      <c r="F1203" s="98">
        <f>SUMIFS(Input!$C$115:$C$3257,Input!$A$115:$A$3257,"="&amp;'Output - County'!A1203,Input!$B$115:$B$3257,"="&amp;'Output - County'!B1203)*VLOOKUP(A1203,'Output - State'!$B$2:$G$52,5,FALSE)</f>
        <v>10.462472321280181</v>
      </c>
      <c r="G1203" s="99">
        <f>SUMIFS(Input!$D$115:$D$3257,Input!$A$115:$A$3257,"="&amp;'Output - County'!A1203,Input!$B$115:$B$3257,"="&amp;'Output - County'!B1203)*VLOOKUP(A1203,'Output - State'!$B$2:$G$52,6,FALSE)</f>
        <v>5.1979932844475867</v>
      </c>
    </row>
    <row r="1204" spans="1:7" x14ac:dyDescent="0.25">
      <c r="A1204" s="88">
        <v>24</v>
      </c>
      <c r="B1204" s="88">
        <v>21</v>
      </c>
      <c r="C1204" s="97">
        <f>SUMIFS(Input!$C$115:$C$3257,Input!$A$115:$A$3257,"="&amp;'Output - County'!A1204,Input!$B$115:$B$3257,"="&amp;'Output - County'!B1204)*VLOOKUP(A1204,'Output - State'!$B$2:$G$52,2,FALSE)</f>
        <v>36.422121359129186</v>
      </c>
      <c r="D1204" s="98">
        <f>SUMIFS(Input!$C$115:$C$3257,Input!$A$115:$A$3257,"="&amp;'Output - County'!A1204,Input!$B$115:$B$3257,"="&amp;'Output - County'!B1204)*VLOOKUP(A1204,'Output - State'!$B$2:$G$52,3,FALSE)</f>
        <v>20.391555838875647</v>
      </c>
      <c r="E1204" s="98">
        <f>SUMIFS(Input!$C$115:$C$3257,Input!$A$115:$A$3257,"="&amp;'Output - County'!A1204,Input!$B$115:$B$3257,"="&amp;'Output - County'!B1204)*VLOOKUP(A1204,'Output - State'!$B$2:$G$52,4,FALSE)</f>
        <v>1.6896070548315678</v>
      </c>
      <c r="F1204" s="98">
        <f>SUMIFS(Input!$C$115:$C$3257,Input!$A$115:$A$3257,"="&amp;'Output - County'!A1204,Input!$B$115:$B$3257,"="&amp;'Output - County'!B1204)*VLOOKUP(A1204,'Output - State'!$B$2:$G$52,5,FALSE)</f>
        <v>105.51312571274045</v>
      </c>
      <c r="G1204" s="99">
        <f>SUMIFS(Input!$D$115:$D$3257,Input!$A$115:$A$3257,"="&amp;'Output - County'!A1204,Input!$B$115:$B$3257,"="&amp;'Output - County'!B1204)*VLOOKUP(A1204,'Output - State'!$B$2:$G$52,6,FALSE)</f>
        <v>41.421508985441704</v>
      </c>
    </row>
    <row r="1205" spans="1:7" x14ac:dyDescent="0.25">
      <c r="A1205" s="88">
        <v>24</v>
      </c>
      <c r="B1205" s="88">
        <v>23</v>
      </c>
      <c r="C1205" s="97">
        <f>SUMIFS(Input!$C$115:$C$3257,Input!$A$115:$A$3257,"="&amp;'Output - County'!A1205,Input!$B$115:$B$3257,"="&amp;'Output - County'!B1205)*VLOOKUP(A1205,'Output - State'!$B$2:$G$52,2,FALSE)</f>
        <v>5.0467741454525168</v>
      </c>
      <c r="D1205" s="98">
        <f>SUMIFS(Input!$C$115:$C$3257,Input!$A$115:$A$3257,"="&amp;'Output - County'!A1205,Input!$B$115:$B$3257,"="&amp;'Output - County'!B1205)*VLOOKUP(A1205,'Output - State'!$B$2:$G$52,3,FALSE)</f>
        <v>2.825523966011227</v>
      </c>
      <c r="E1205" s="98">
        <f>SUMIFS(Input!$C$115:$C$3257,Input!$A$115:$A$3257,"="&amp;'Output - County'!A1205,Input!$B$115:$B$3257,"="&amp;'Output - County'!B1205)*VLOOKUP(A1205,'Output - State'!$B$2:$G$52,4,FALSE)</f>
        <v>0.23411775267617202</v>
      </c>
      <c r="F1205" s="98">
        <f>SUMIFS(Input!$C$115:$C$3257,Input!$A$115:$A$3257,"="&amp;'Output - County'!A1205,Input!$B$115:$B$3257,"="&amp;'Output - County'!B1205)*VLOOKUP(A1205,'Output - State'!$B$2:$G$52,5,FALSE)</f>
        <v>14.620260846488794</v>
      </c>
      <c r="G1205" s="99">
        <f>SUMIFS(Input!$D$115:$D$3257,Input!$A$115:$A$3257,"="&amp;'Output - County'!A1205,Input!$B$115:$B$3257,"="&amp;'Output - County'!B1205)*VLOOKUP(A1205,'Output - State'!$B$2:$G$52,6,FALSE)</f>
        <v>4.7269251430445243</v>
      </c>
    </row>
    <row r="1206" spans="1:7" x14ac:dyDescent="0.25">
      <c r="A1206" s="88">
        <v>24</v>
      </c>
      <c r="B1206" s="88">
        <v>25</v>
      </c>
      <c r="C1206" s="97">
        <f>SUMIFS(Input!$C$115:$C$3257,Input!$A$115:$A$3257,"="&amp;'Output - County'!A1206,Input!$B$115:$B$3257,"="&amp;'Output - County'!B1206)*VLOOKUP(A1206,'Output - State'!$B$2:$G$52,2,FALSE)</f>
        <v>30.057767396825309</v>
      </c>
      <c r="D1206" s="98">
        <f>SUMIFS(Input!$C$115:$C$3257,Input!$A$115:$A$3257,"="&amp;'Output - County'!A1206,Input!$B$115:$B$3257,"="&amp;'Output - County'!B1206)*VLOOKUP(A1206,'Output - State'!$B$2:$G$52,3,FALSE)</f>
        <v>16.82836197872011</v>
      </c>
      <c r="E1206" s="98">
        <f>SUMIFS(Input!$C$115:$C$3257,Input!$A$115:$A$3257,"="&amp;'Output - County'!A1206,Input!$B$115:$B$3257,"="&amp;'Output - County'!B1206)*VLOOKUP(A1206,'Output - State'!$B$2:$G$52,4,FALSE)</f>
        <v>1.3943673226884379</v>
      </c>
      <c r="F1206" s="98">
        <f>SUMIFS(Input!$C$115:$C$3257,Input!$A$115:$A$3257,"="&amp;'Output - County'!A1206,Input!$B$115:$B$3257,"="&amp;'Output - County'!B1206)*VLOOKUP(A1206,'Output - State'!$B$2:$G$52,5,FALSE)</f>
        <v>87.075899800399952</v>
      </c>
      <c r="G1206" s="99">
        <f>SUMIFS(Input!$D$115:$D$3257,Input!$A$115:$A$3257,"="&amp;'Output - County'!A1206,Input!$B$115:$B$3257,"="&amp;'Output - County'!B1206)*VLOOKUP(A1206,'Output - State'!$B$2:$G$52,6,FALSE)</f>
        <v>41.259071695302715</v>
      </c>
    </row>
    <row r="1207" spans="1:7" x14ac:dyDescent="0.25">
      <c r="A1207" s="88">
        <v>24</v>
      </c>
      <c r="B1207" s="88">
        <v>27</v>
      </c>
      <c r="C1207" s="97">
        <f>SUMIFS(Input!$C$115:$C$3257,Input!$A$115:$A$3257,"="&amp;'Output - County'!A1207,Input!$B$115:$B$3257,"="&amp;'Output - County'!B1207)*VLOOKUP(A1207,'Output - State'!$B$2:$G$52,2,FALSE)</f>
        <v>48.684440700384613</v>
      </c>
      <c r="D1207" s="98">
        <f>SUMIFS(Input!$C$115:$C$3257,Input!$A$115:$A$3257,"="&amp;'Output - County'!A1207,Input!$B$115:$B$3257,"="&amp;'Output - County'!B1207)*VLOOKUP(A1207,'Output - State'!$B$2:$G$52,3,FALSE)</f>
        <v>27.256827828275039</v>
      </c>
      <c r="E1207" s="98">
        <f>SUMIFS(Input!$C$115:$C$3257,Input!$A$115:$A$3257,"="&amp;'Output - County'!A1207,Input!$B$115:$B$3257,"="&amp;'Output - County'!B1207)*VLOOKUP(A1207,'Output - State'!$B$2:$G$52,4,FALSE)</f>
        <v>2.2584509467975056</v>
      </c>
      <c r="F1207" s="98">
        <f>SUMIFS(Input!$C$115:$C$3257,Input!$A$115:$A$3257,"="&amp;'Output - County'!A1207,Input!$B$115:$B$3257,"="&amp;'Output - County'!B1207)*VLOOKUP(A1207,'Output - State'!$B$2:$G$52,5,FALSE)</f>
        <v>141.03647234667707</v>
      </c>
      <c r="G1207" s="99">
        <f>SUMIFS(Input!$D$115:$D$3257,Input!$A$115:$A$3257,"="&amp;'Output - County'!A1207,Input!$B$115:$B$3257,"="&amp;'Output - County'!B1207)*VLOOKUP(A1207,'Output - State'!$B$2:$G$52,6,FALSE)</f>
        <v>52.467244714892828</v>
      </c>
    </row>
    <row r="1208" spans="1:7" x14ac:dyDescent="0.25">
      <c r="A1208" s="88">
        <v>24</v>
      </c>
      <c r="B1208" s="88">
        <v>29</v>
      </c>
      <c r="C1208" s="97">
        <f>SUMIFS(Input!$C$115:$C$3257,Input!$A$115:$A$3257,"="&amp;'Output - County'!A1208,Input!$B$115:$B$3257,"="&amp;'Output - County'!B1208)*VLOOKUP(A1208,'Output - State'!$B$2:$G$52,2,FALSE)</f>
        <v>1.9638839478915633</v>
      </c>
      <c r="D1208" s="98">
        <f>SUMIFS(Input!$C$115:$C$3257,Input!$A$115:$A$3257,"="&amp;'Output - County'!A1208,Input!$B$115:$B$3257,"="&amp;'Output - County'!B1208)*VLOOKUP(A1208,'Output - State'!$B$2:$G$52,3,FALSE)</f>
        <v>1.0995144623684774</v>
      </c>
      <c r="E1208" s="98">
        <f>SUMIFS(Input!$C$115:$C$3257,Input!$A$115:$A$3257,"="&amp;'Output - County'!A1208,Input!$B$115:$B$3257,"="&amp;'Output - County'!B1208)*VLOOKUP(A1208,'Output - State'!$B$2:$G$52,4,FALSE)</f>
        <v>9.1103759182778993E-2</v>
      </c>
      <c r="F1208" s="98">
        <f>SUMIFS(Input!$C$115:$C$3257,Input!$A$115:$A$3257,"="&amp;'Output - County'!A1208,Input!$B$115:$B$3257,"="&amp;'Output - County'!B1208)*VLOOKUP(A1208,'Output - State'!$B$2:$G$52,5,FALSE)</f>
        <v>5.6892769049866736</v>
      </c>
      <c r="G1208" s="99">
        <f>SUMIFS(Input!$D$115:$D$3257,Input!$A$115:$A$3257,"="&amp;'Output - County'!A1208,Input!$B$115:$B$3257,"="&amp;'Output - County'!B1208)*VLOOKUP(A1208,'Output - State'!$B$2:$G$52,6,FALSE)</f>
        <v>3.1512834286963494</v>
      </c>
    </row>
    <row r="1209" spans="1:7" x14ac:dyDescent="0.25">
      <c r="A1209" s="88">
        <v>24</v>
      </c>
      <c r="B1209" s="88">
        <v>31</v>
      </c>
      <c r="C1209" s="97">
        <f>SUMIFS(Input!$C$115:$C$3257,Input!$A$115:$A$3257,"="&amp;'Output - County'!A1209,Input!$B$115:$B$3257,"="&amp;'Output - County'!B1209)*VLOOKUP(A1209,'Output - State'!$B$2:$G$52,2,FALSE)</f>
        <v>94.979218470576726</v>
      </c>
      <c r="D1209" s="98">
        <f>SUMIFS(Input!$C$115:$C$3257,Input!$A$115:$A$3257,"="&amp;'Output - County'!A1209,Input!$B$115:$B$3257,"="&amp;'Output - County'!B1209)*VLOOKUP(A1209,'Output - State'!$B$2:$G$52,3,FALSE)</f>
        <v>53.175761452183593</v>
      </c>
      <c r="E1209" s="98">
        <f>SUMIFS(Input!$C$115:$C$3257,Input!$A$115:$A$3257,"="&amp;'Output - County'!A1209,Input!$B$115:$B$3257,"="&amp;'Output - County'!B1209)*VLOOKUP(A1209,'Output - State'!$B$2:$G$52,4,FALSE)</f>
        <v>4.4060464245872808</v>
      </c>
      <c r="F1209" s="98">
        <f>SUMIFS(Input!$C$115:$C$3257,Input!$A$115:$A$3257,"="&amp;'Output - County'!A1209,Input!$B$115:$B$3257,"="&amp;'Output - County'!B1209)*VLOOKUP(A1209,'Output - State'!$B$2:$G$52,5,FALSE)</f>
        <v>275.15020664967125</v>
      </c>
      <c r="G1209" s="99">
        <f>SUMIFS(Input!$D$115:$D$3257,Input!$A$115:$A$3257,"="&amp;'Output - County'!A1209,Input!$B$115:$B$3257,"="&amp;'Output - County'!B1209)*VLOOKUP(A1209,'Output - State'!$B$2:$G$52,6,FALSE)</f>
        <v>170.55915464593645</v>
      </c>
    </row>
    <row r="1210" spans="1:7" x14ac:dyDescent="0.25">
      <c r="A1210" s="88">
        <v>24</v>
      </c>
      <c r="B1210" s="88">
        <v>33</v>
      </c>
      <c r="C1210" s="97">
        <f>SUMIFS(Input!$C$115:$C$3257,Input!$A$115:$A$3257,"="&amp;'Output - County'!A1210,Input!$B$115:$B$3257,"="&amp;'Output - County'!B1210)*VLOOKUP(A1210,'Output - State'!$B$2:$G$52,2,FALSE)</f>
        <v>112.19285827238691</v>
      </c>
      <c r="D1210" s="98">
        <f>SUMIFS(Input!$C$115:$C$3257,Input!$A$115:$A$3257,"="&amp;'Output - County'!A1210,Input!$B$115:$B$3257,"="&amp;'Output - County'!B1210)*VLOOKUP(A1210,'Output - State'!$B$2:$G$52,3,FALSE)</f>
        <v>62.813116007890265</v>
      </c>
      <c r="E1210" s="98">
        <f>SUMIFS(Input!$C$115:$C$3257,Input!$A$115:$A$3257,"="&amp;'Output - County'!A1210,Input!$B$115:$B$3257,"="&amp;'Output - County'!B1210)*VLOOKUP(A1210,'Output - State'!$B$2:$G$52,4,FALSE)</f>
        <v>5.2045800125046693</v>
      </c>
      <c r="F1210" s="98">
        <f>SUMIFS(Input!$C$115:$C$3257,Input!$A$115:$A$3257,"="&amp;'Output - County'!A1210,Input!$B$115:$B$3257,"="&amp;'Output - County'!B1210)*VLOOKUP(A1210,'Output - State'!$B$2:$G$52,5,FALSE)</f>
        <v>325.01728941713304</v>
      </c>
      <c r="G1210" s="99">
        <f>SUMIFS(Input!$D$115:$D$3257,Input!$A$115:$A$3257,"="&amp;'Output - County'!A1210,Input!$B$115:$B$3257,"="&amp;'Output - County'!B1210)*VLOOKUP(A1210,'Output - State'!$B$2:$G$52,6,FALSE)</f>
        <v>147.81793402647824</v>
      </c>
    </row>
    <row r="1211" spans="1:7" x14ac:dyDescent="0.25">
      <c r="A1211" s="88">
        <v>24</v>
      </c>
      <c r="B1211" s="88">
        <v>35</v>
      </c>
      <c r="C1211" s="97">
        <f>SUMIFS(Input!$C$115:$C$3257,Input!$A$115:$A$3257,"="&amp;'Output - County'!A1211,Input!$B$115:$B$3257,"="&amp;'Output - County'!B1211)*VLOOKUP(A1211,'Output - State'!$B$2:$G$52,2,FALSE)</f>
        <v>9.9957506850388924</v>
      </c>
      <c r="D1211" s="98">
        <f>SUMIFS(Input!$C$115:$C$3257,Input!$A$115:$A$3257,"="&amp;'Output - County'!A1211,Input!$B$115:$B$3257,"="&amp;'Output - County'!B1211)*VLOOKUP(A1211,'Output - State'!$B$2:$G$52,3,FALSE)</f>
        <v>5.5962942475441633</v>
      </c>
      <c r="E1211" s="98">
        <f>SUMIFS(Input!$C$115:$C$3257,Input!$A$115:$A$3257,"="&amp;'Output - County'!A1211,Input!$B$115:$B$3257,"="&amp;'Output - County'!B1211)*VLOOKUP(A1211,'Output - State'!$B$2:$G$52,4,FALSE)</f>
        <v>0.46369871510919003</v>
      </c>
      <c r="F1211" s="98">
        <f>SUMIFS(Input!$C$115:$C$3257,Input!$A$115:$A$3257,"="&amp;'Output - County'!A1211,Input!$B$115:$B$3257,"="&amp;'Output - County'!B1211)*VLOOKUP(A1211,'Output - State'!$B$2:$G$52,5,FALSE)</f>
        <v>28.9572067542234</v>
      </c>
      <c r="G1211" s="99">
        <f>SUMIFS(Input!$D$115:$D$3257,Input!$A$115:$A$3257,"="&amp;'Output - County'!A1211,Input!$B$115:$B$3257,"="&amp;'Output - County'!B1211)*VLOOKUP(A1211,'Output - State'!$B$2:$G$52,6,FALSE)</f>
        <v>8.1381082359632533</v>
      </c>
    </row>
    <row r="1212" spans="1:7" x14ac:dyDescent="0.25">
      <c r="A1212" s="88">
        <v>24</v>
      </c>
      <c r="B1212" s="88">
        <v>37</v>
      </c>
      <c r="C1212" s="97">
        <f>SUMIFS(Input!$C$115:$C$3257,Input!$A$115:$A$3257,"="&amp;'Output - County'!A1212,Input!$B$115:$B$3257,"="&amp;'Output - County'!B1212)*VLOOKUP(A1212,'Output - State'!$B$2:$G$52,2,FALSE)</f>
        <v>10.004533762112946</v>
      </c>
      <c r="D1212" s="98">
        <f>SUMIFS(Input!$C$115:$C$3257,Input!$A$115:$A$3257,"="&amp;'Output - County'!A1212,Input!$B$115:$B$3257,"="&amp;'Output - County'!B1212)*VLOOKUP(A1212,'Output - State'!$B$2:$G$52,3,FALSE)</f>
        <v>5.6012116054549441</v>
      </c>
      <c r="E1212" s="98">
        <f>SUMIFS(Input!$C$115:$C$3257,Input!$A$115:$A$3257,"="&amp;'Output - County'!A1212,Input!$B$115:$B$3257,"="&amp;'Output - County'!B1212)*VLOOKUP(A1212,'Output - State'!$B$2:$G$52,4,FALSE)</f>
        <v>0.46410615840007158</v>
      </c>
      <c r="F1212" s="98">
        <f>SUMIFS(Input!$C$115:$C$3257,Input!$A$115:$A$3257,"="&amp;'Output - County'!A1212,Input!$B$115:$B$3257,"="&amp;'Output - County'!B1212)*VLOOKUP(A1212,'Output - State'!$B$2:$G$52,5,FALSE)</f>
        <v>28.98265090412125</v>
      </c>
      <c r="G1212" s="99">
        <f>SUMIFS(Input!$D$115:$D$3257,Input!$A$115:$A$3257,"="&amp;'Output - County'!A1212,Input!$B$115:$B$3257,"="&amp;'Output - County'!B1212)*VLOOKUP(A1212,'Output - State'!$B$2:$G$52,6,FALSE)</f>
        <v>18.35541378570554</v>
      </c>
    </row>
    <row r="1213" spans="1:7" x14ac:dyDescent="0.25">
      <c r="A1213" s="88">
        <v>24</v>
      </c>
      <c r="B1213" s="88">
        <v>39</v>
      </c>
      <c r="C1213" s="97">
        <f>SUMIFS(Input!$C$115:$C$3257,Input!$A$115:$A$3257,"="&amp;'Output - County'!A1213,Input!$B$115:$B$3257,"="&amp;'Output - County'!B1213)*VLOOKUP(A1213,'Output - State'!$B$2:$G$52,2,FALSE)</f>
        <v>2.8411960229512681</v>
      </c>
      <c r="D1213" s="98">
        <f>SUMIFS(Input!$C$115:$C$3257,Input!$A$115:$A$3257,"="&amp;'Output - County'!A1213,Input!$B$115:$B$3257,"="&amp;'Output - County'!B1213)*VLOOKUP(A1213,'Output - State'!$B$2:$G$52,3,FALSE)</f>
        <v>1.590692831423463</v>
      </c>
      <c r="E1213" s="98">
        <f>SUMIFS(Input!$C$115:$C$3257,Input!$A$115:$A$3257,"="&amp;'Output - County'!A1213,Input!$B$115:$B$3257,"="&amp;'Output - County'!B1213)*VLOOKUP(A1213,'Output - State'!$B$2:$G$52,4,FALSE)</f>
        <v>0.1318019013006943</v>
      </c>
      <c r="F1213" s="98">
        <f>SUMIFS(Input!$C$115:$C$3257,Input!$A$115:$A$3257,"="&amp;'Output - County'!A1213,Input!$B$115:$B$3257,"="&amp;'Output - County'!B1213)*VLOOKUP(A1213,'Output - State'!$B$2:$G$52,5,FALSE)</f>
        <v>8.2308075959736691</v>
      </c>
      <c r="G1213" s="99">
        <f>SUMIFS(Input!$D$115:$D$3257,Input!$A$115:$A$3257,"="&amp;'Output - County'!A1213,Input!$B$115:$B$3257,"="&amp;'Output - County'!B1213)*VLOOKUP(A1213,'Output - State'!$B$2:$G$52,6,FALSE)</f>
        <v>4.1583946275580699</v>
      </c>
    </row>
    <row r="1214" spans="1:7" x14ac:dyDescent="0.25">
      <c r="A1214" s="88">
        <v>24</v>
      </c>
      <c r="B1214" s="88">
        <v>41</v>
      </c>
      <c r="C1214" s="97">
        <f>SUMIFS(Input!$C$115:$C$3257,Input!$A$115:$A$3257,"="&amp;'Output - County'!A1214,Input!$B$115:$B$3257,"="&amp;'Output - County'!B1214)*VLOOKUP(A1214,'Output - State'!$B$2:$G$52,2,FALSE)</f>
        <v>6.6604108549391325</v>
      </c>
      <c r="D1214" s="98">
        <f>SUMIFS(Input!$C$115:$C$3257,Input!$A$115:$A$3257,"="&amp;'Output - County'!A1214,Input!$B$115:$B$3257,"="&amp;'Output - County'!B1214)*VLOOKUP(A1214,'Output - State'!$B$2:$G$52,3,FALSE)</f>
        <v>3.7289464421682448</v>
      </c>
      <c r="E1214" s="98">
        <f>SUMIFS(Input!$C$115:$C$3257,Input!$A$115:$A$3257,"="&amp;'Output - County'!A1214,Input!$B$115:$B$3257,"="&amp;'Output - County'!B1214)*VLOOKUP(A1214,'Output - State'!$B$2:$G$52,4,FALSE)</f>
        <v>0.30897368820504562</v>
      </c>
      <c r="F1214" s="98">
        <f>SUMIFS(Input!$C$115:$C$3257,Input!$A$115:$A$3257,"="&amp;'Output - County'!A1214,Input!$B$115:$B$3257,"="&amp;'Output - County'!B1214)*VLOOKUP(A1214,'Output - State'!$B$2:$G$52,5,FALSE)</f>
        <v>19.294888425260467</v>
      </c>
      <c r="G1214" s="99">
        <f>SUMIFS(Input!$D$115:$D$3257,Input!$A$115:$A$3257,"="&amp;'Output - County'!A1214,Input!$B$115:$B$3257,"="&amp;'Output - County'!B1214)*VLOOKUP(A1214,'Output - State'!$B$2:$G$52,6,FALSE)</f>
        <v>6.0264234641564212</v>
      </c>
    </row>
    <row r="1215" spans="1:7" x14ac:dyDescent="0.25">
      <c r="A1215" s="88">
        <v>24</v>
      </c>
      <c r="B1215" s="88">
        <v>43</v>
      </c>
      <c r="C1215" s="97">
        <f>SUMIFS(Input!$C$115:$C$3257,Input!$A$115:$A$3257,"="&amp;'Output - County'!A1215,Input!$B$115:$B$3257,"="&amp;'Output - County'!B1215)*VLOOKUP(A1215,'Output - State'!$B$2:$G$52,2,FALSE)</f>
        <v>22.722515705126945</v>
      </c>
      <c r="D1215" s="98">
        <f>SUMIFS(Input!$C$115:$C$3257,Input!$A$115:$A$3257,"="&amp;'Output - County'!A1215,Input!$B$115:$B$3257,"="&amp;'Output - County'!B1215)*VLOOKUP(A1215,'Output - State'!$B$2:$G$52,3,FALSE)</f>
        <v>12.721594199089315</v>
      </c>
      <c r="E1215" s="98">
        <f>SUMIFS(Input!$C$115:$C$3257,Input!$A$115:$A$3257,"="&amp;'Output - County'!A1215,Input!$B$115:$B$3257,"="&amp;'Output - County'!B1215)*VLOOKUP(A1215,'Output - State'!$B$2:$G$52,4,FALSE)</f>
        <v>1.0540880488632114</v>
      </c>
      <c r="F1215" s="98">
        <f>SUMIFS(Input!$C$115:$C$3257,Input!$A$115:$A$3257,"="&amp;'Output - County'!A1215,Input!$B$115:$B$3257,"="&amp;'Output - County'!B1215)*VLOOKUP(A1215,'Output - State'!$B$2:$G$52,5,FALSE)</f>
        <v>65.826030078389167</v>
      </c>
      <c r="G1215" s="99">
        <f>SUMIFS(Input!$D$115:$D$3257,Input!$A$115:$A$3257,"="&amp;'Output - County'!A1215,Input!$B$115:$B$3257,"="&amp;'Output - County'!B1215)*VLOOKUP(A1215,'Output - State'!$B$2:$G$52,6,FALSE)</f>
        <v>24.528030810987051</v>
      </c>
    </row>
    <row r="1216" spans="1:7" x14ac:dyDescent="0.25">
      <c r="A1216" s="88">
        <v>24</v>
      </c>
      <c r="B1216" s="88">
        <v>45</v>
      </c>
      <c r="C1216" s="97">
        <f>SUMIFS(Input!$C$115:$C$3257,Input!$A$115:$A$3257,"="&amp;'Output - County'!A1216,Input!$B$115:$B$3257,"="&amp;'Output - County'!B1216)*VLOOKUP(A1216,'Output - State'!$B$2:$G$52,2,FALSE)</f>
        <v>10.981514035978853</v>
      </c>
      <c r="D1216" s="98">
        <f>SUMIFS(Input!$C$115:$C$3257,Input!$A$115:$A$3257,"="&amp;'Output - County'!A1216,Input!$B$115:$B$3257,"="&amp;'Output - County'!B1216)*VLOOKUP(A1216,'Output - State'!$B$2:$G$52,3,FALSE)</f>
        <v>6.1481909428631196</v>
      </c>
      <c r="E1216" s="98">
        <f>SUMIFS(Input!$C$115:$C$3257,Input!$A$115:$A$3257,"="&amp;'Output - County'!A1216,Input!$B$115:$B$3257,"="&amp;'Output - County'!B1216)*VLOOKUP(A1216,'Output - State'!$B$2:$G$52,4,FALSE)</f>
        <v>0.5094278667892882</v>
      </c>
      <c r="F1216" s="98">
        <f>SUMIFS(Input!$C$115:$C$3257,Input!$A$115:$A$3257,"="&amp;'Output - County'!A1216,Input!$B$115:$B$3257,"="&amp;'Output - County'!B1216)*VLOOKUP(A1216,'Output - State'!$B$2:$G$52,5,FALSE)</f>
        <v>31.812915551225419</v>
      </c>
      <c r="G1216" s="99">
        <f>SUMIFS(Input!$D$115:$D$3257,Input!$A$115:$A$3257,"="&amp;'Output - County'!A1216,Input!$B$115:$B$3257,"="&amp;'Output - County'!B1216)*VLOOKUP(A1216,'Output - State'!$B$2:$G$52,6,FALSE)</f>
        <v>16.731040884315671</v>
      </c>
    </row>
    <row r="1217" spans="1:7" x14ac:dyDescent="0.25">
      <c r="A1217" s="88">
        <v>24</v>
      </c>
      <c r="B1217" s="88">
        <v>47</v>
      </c>
      <c r="C1217" s="97">
        <f>SUMIFS(Input!$C$115:$C$3257,Input!$A$115:$A$3257,"="&amp;'Output - County'!A1217,Input!$B$115:$B$3257,"="&amp;'Output - County'!B1217)*VLOOKUP(A1217,'Output - State'!$B$2:$G$52,2,FALSE)</f>
        <v>9.1898318089997098</v>
      </c>
      <c r="D1217" s="98">
        <f>SUMIFS(Input!$C$115:$C$3257,Input!$A$115:$A$3257,"="&amp;'Output - County'!A1217,Input!$B$115:$B$3257,"="&amp;'Output - County'!B1217)*VLOOKUP(A1217,'Output - State'!$B$2:$G$52,3,FALSE)</f>
        <v>5.1450865982061407</v>
      </c>
      <c r="E1217" s="98">
        <f>SUMIFS(Input!$C$115:$C$3257,Input!$A$115:$A$3257,"="&amp;'Output - County'!A1217,Input!$B$115:$B$3257,"="&amp;'Output - County'!B1217)*VLOOKUP(A1217,'Output - State'!$B$2:$G$52,4,FALSE)</f>
        <v>0.42631247378757015</v>
      </c>
      <c r="F1217" s="98">
        <f>SUMIFS(Input!$C$115:$C$3257,Input!$A$115:$A$3257,"="&amp;'Output - County'!A1217,Input!$B$115:$B$3257,"="&amp;'Output - County'!B1217)*VLOOKUP(A1217,'Output - State'!$B$2:$G$52,5,FALSE)</f>
        <v>26.622498711181898</v>
      </c>
      <c r="G1217" s="99">
        <f>SUMIFS(Input!$D$115:$D$3257,Input!$A$115:$A$3257,"="&amp;'Output - County'!A1217,Input!$B$115:$B$3257,"="&amp;'Output - County'!B1217)*VLOOKUP(A1217,'Output - State'!$B$2:$G$52,6,FALSE)</f>
        <v>8.4467390872273285</v>
      </c>
    </row>
    <row r="1218" spans="1:7" x14ac:dyDescent="0.25">
      <c r="A1218" s="88">
        <v>24</v>
      </c>
      <c r="B1218" s="88">
        <v>510</v>
      </c>
      <c r="C1218" s="97">
        <f>SUMIFS(Input!$C$115:$C$3257,Input!$A$115:$A$3257,"="&amp;'Output - County'!A1218,Input!$B$115:$B$3257,"="&amp;'Output - County'!B1218)*VLOOKUP(A1218,'Output - State'!$B$2:$G$52,2,FALSE)</f>
        <v>44.697760820347192</v>
      </c>
      <c r="D1218" s="98">
        <f>SUMIFS(Input!$C$115:$C$3257,Input!$A$115:$A$3257,"="&amp;'Output - County'!A1218,Input!$B$115:$B$3257,"="&amp;'Output - County'!B1218)*VLOOKUP(A1218,'Output - State'!$B$2:$G$52,3,FALSE)</f>
        <v>25.024816008207651</v>
      </c>
      <c r="E1218" s="98">
        <f>SUMIFS(Input!$C$115:$C$3257,Input!$A$115:$A$3257,"="&amp;'Output - County'!A1218,Input!$B$115:$B$3257,"="&amp;'Output - County'!B1218)*VLOOKUP(A1218,'Output - State'!$B$2:$G$52,4,FALSE)</f>
        <v>2.0735105259953013</v>
      </c>
      <c r="F1218" s="98">
        <f>SUMIFS(Input!$C$115:$C$3257,Input!$A$115:$A$3257,"="&amp;'Output - County'!A1218,Input!$B$115:$B$3257,"="&amp;'Output - County'!B1218)*VLOOKUP(A1218,'Output - State'!$B$2:$G$52,5,FALSE)</f>
        <v>129.4872533648616</v>
      </c>
      <c r="G1218" s="99">
        <f>SUMIFS(Input!$D$115:$D$3257,Input!$A$115:$A$3257,"="&amp;'Output - County'!A1218,Input!$B$115:$B$3257,"="&amp;'Output - County'!B1218)*VLOOKUP(A1218,'Output - State'!$B$2:$G$52,6,FALSE)</f>
        <v>97.78724866367024</v>
      </c>
    </row>
    <row r="1219" spans="1:7" x14ac:dyDescent="0.25">
      <c r="A1219" s="88">
        <v>25</v>
      </c>
      <c r="B1219" s="88">
        <v>1</v>
      </c>
      <c r="C1219" s="97">
        <f>SUMIFS(Input!$C$115:$C$3257,Input!$A$115:$A$3257,"="&amp;'Output - County'!A1219,Input!$B$115:$B$3257,"="&amp;'Output - County'!B1219)*VLOOKUP(A1219,'Output - State'!$B$2:$G$52,2,FALSE)</f>
        <v>41.214146211914127</v>
      </c>
      <c r="D1219" s="98">
        <f>SUMIFS(Input!$C$115:$C$3257,Input!$A$115:$A$3257,"="&amp;'Output - County'!A1219,Input!$B$115:$B$3257,"="&amp;'Output - County'!B1219)*VLOOKUP(A1219,'Output - State'!$B$2:$G$52,3,FALSE)</f>
        <v>13.281226429413774</v>
      </c>
      <c r="E1219" s="98">
        <f>SUMIFS(Input!$C$115:$C$3257,Input!$A$115:$A$3257,"="&amp;'Output - County'!A1219,Input!$B$115:$B$3257,"="&amp;'Output - County'!B1219)*VLOOKUP(A1219,'Output - State'!$B$2:$G$52,4,FALSE)</f>
        <v>0</v>
      </c>
      <c r="F1219" s="98">
        <f>SUMIFS(Input!$C$115:$C$3257,Input!$A$115:$A$3257,"="&amp;'Output - County'!A1219,Input!$B$115:$B$3257,"="&amp;'Output - County'!B1219)*VLOOKUP(A1219,'Output - State'!$B$2:$G$52,5,FALSE)</f>
        <v>4.2820072719853322</v>
      </c>
      <c r="G1219" s="99">
        <f>SUMIFS(Input!$D$115:$D$3257,Input!$A$115:$A$3257,"="&amp;'Output - County'!A1219,Input!$B$115:$B$3257,"="&amp;'Output - County'!B1219)*VLOOKUP(A1219,'Output - State'!$B$2:$G$52,6,FALSE)</f>
        <v>4.2193800774298245</v>
      </c>
    </row>
    <row r="1220" spans="1:7" x14ac:dyDescent="0.25">
      <c r="A1220" s="88">
        <v>25</v>
      </c>
      <c r="B1220" s="88">
        <v>3</v>
      </c>
      <c r="C1220" s="97">
        <f>SUMIFS(Input!$C$115:$C$3257,Input!$A$115:$A$3257,"="&amp;'Output - County'!A1220,Input!$B$115:$B$3257,"="&amp;'Output - County'!B1220)*VLOOKUP(A1220,'Output - State'!$B$2:$G$52,2,FALSE)</f>
        <v>17.14652951481165</v>
      </c>
      <c r="D1220" s="98">
        <f>SUMIFS(Input!$C$115:$C$3257,Input!$A$115:$A$3257,"="&amp;'Output - County'!A1220,Input!$B$115:$B$3257,"="&amp;'Output - County'!B1220)*VLOOKUP(A1220,'Output - State'!$B$2:$G$52,3,FALSE)</f>
        <v>5.5254557450715511</v>
      </c>
      <c r="E1220" s="98">
        <f>SUMIFS(Input!$C$115:$C$3257,Input!$A$115:$A$3257,"="&amp;'Output - County'!A1220,Input!$B$115:$B$3257,"="&amp;'Output - County'!B1220)*VLOOKUP(A1220,'Output - State'!$B$2:$G$52,4,FALSE)</f>
        <v>0</v>
      </c>
      <c r="F1220" s="98">
        <f>SUMIFS(Input!$C$115:$C$3257,Input!$A$115:$A$3257,"="&amp;'Output - County'!A1220,Input!$B$115:$B$3257,"="&amp;'Output - County'!B1220)*VLOOKUP(A1220,'Output - State'!$B$2:$G$52,5,FALSE)</f>
        <v>1.7814651235092192</v>
      </c>
      <c r="G1220" s="99">
        <f>SUMIFS(Input!$D$115:$D$3257,Input!$A$115:$A$3257,"="&amp;'Output - County'!A1220,Input!$B$115:$B$3257,"="&amp;'Output - County'!B1220)*VLOOKUP(A1220,'Output - State'!$B$2:$G$52,6,FALSE)</f>
        <v>2.4959713134091923</v>
      </c>
    </row>
    <row r="1221" spans="1:7" x14ac:dyDescent="0.25">
      <c r="A1221" s="88">
        <v>25</v>
      </c>
      <c r="B1221" s="88">
        <v>5</v>
      </c>
      <c r="C1221" s="97">
        <f>SUMIFS(Input!$C$115:$C$3257,Input!$A$115:$A$3257,"="&amp;'Output - County'!A1221,Input!$B$115:$B$3257,"="&amp;'Output - County'!B1221)*VLOOKUP(A1221,'Output - State'!$B$2:$G$52,2,FALSE)</f>
        <v>76.949283501449912</v>
      </c>
      <c r="D1221" s="98">
        <f>SUMIFS(Input!$C$115:$C$3257,Input!$A$115:$A$3257,"="&amp;'Output - County'!A1221,Input!$B$115:$B$3257,"="&amp;'Output - County'!B1221)*VLOOKUP(A1221,'Output - State'!$B$2:$G$52,3,FALSE)</f>
        <v>24.796846512581084</v>
      </c>
      <c r="E1221" s="98">
        <f>SUMIFS(Input!$C$115:$C$3257,Input!$A$115:$A$3257,"="&amp;'Output - County'!A1221,Input!$B$115:$B$3257,"="&amp;'Output - County'!B1221)*VLOOKUP(A1221,'Output - State'!$B$2:$G$52,4,FALSE)</f>
        <v>0</v>
      </c>
      <c r="F1221" s="98">
        <f>SUMIFS(Input!$C$115:$C$3257,Input!$A$115:$A$3257,"="&amp;'Output - County'!A1221,Input!$B$115:$B$3257,"="&amp;'Output - County'!B1221)*VLOOKUP(A1221,'Output - State'!$B$2:$G$52,5,FALSE)</f>
        <v>7.9947644634700401</v>
      </c>
      <c r="G1221" s="99">
        <f>SUMIFS(Input!$D$115:$D$3257,Input!$A$115:$A$3257,"="&amp;'Output - County'!A1221,Input!$B$115:$B$3257,"="&amp;'Output - County'!B1221)*VLOOKUP(A1221,'Output - State'!$B$2:$G$52,6,FALSE)</f>
        <v>11.17244302192686</v>
      </c>
    </row>
    <row r="1222" spans="1:7" x14ac:dyDescent="0.25">
      <c r="A1222" s="88">
        <v>25</v>
      </c>
      <c r="B1222" s="88">
        <v>7</v>
      </c>
      <c r="C1222" s="97">
        <f>SUMIFS(Input!$C$115:$C$3257,Input!$A$115:$A$3257,"="&amp;'Output - County'!A1222,Input!$B$115:$B$3257,"="&amp;'Output - County'!B1222)*VLOOKUP(A1222,'Output - State'!$B$2:$G$52,2,FALSE)</f>
        <v>1.8235150529317292</v>
      </c>
      <c r="D1222" s="98">
        <f>SUMIFS(Input!$C$115:$C$3257,Input!$A$115:$A$3257,"="&amp;'Output - County'!A1222,Input!$B$115:$B$3257,"="&amp;'Output - County'!B1222)*VLOOKUP(A1222,'Output - State'!$B$2:$G$52,3,FALSE)</f>
        <v>0.58762630168060315</v>
      </c>
      <c r="E1222" s="98">
        <f>SUMIFS(Input!$C$115:$C$3257,Input!$A$115:$A$3257,"="&amp;'Output - County'!A1222,Input!$B$115:$B$3257,"="&amp;'Output - County'!B1222)*VLOOKUP(A1222,'Output - State'!$B$2:$G$52,4,FALSE)</f>
        <v>0</v>
      </c>
      <c r="F1222" s="98">
        <f>SUMIFS(Input!$C$115:$C$3257,Input!$A$115:$A$3257,"="&amp;'Output - County'!A1222,Input!$B$115:$B$3257,"="&amp;'Output - County'!B1222)*VLOOKUP(A1222,'Output - State'!$B$2:$G$52,5,FALSE)</f>
        <v>0.18945690824407199</v>
      </c>
      <c r="G1222" s="99">
        <f>SUMIFS(Input!$D$115:$D$3257,Input!$A$115:$A$3257,"="&amp;'Output - County'!A1222,Input!$B$115:$B$3257,"="&amp;'Output - County'!B1222)*VLOOKUP(A1222,'Output - State'!$B$2:$G$52,6,FALSE)</f>
        <v>0.3427008231903097</v>
      </c>
    </row>
    <row r="1223" spans="1:7" x14ac:dyDescent="0.25">
      <c r="A1223" s="88">
        <v>25</v>
      </c>
      <c r="B1223" s="88">
        <v>9</v>
      </c>
      <c r="C1223" s="97">
        <f>SUMIFS(Input!$C$115:$C$3257,Input!$A$115:$A$3257,"="&amp;'Output - County'!A1223,Input!$B$115:$B$3257,"="&amp;'Output - County'!B1223)*VLOOKUP(A1223,'Output - State'!$B$2:$G$52,2,FALSE)</f>
        <v>101.71931030817093</v>
      </c>
      <c r="D1223" s="98">
        <f>SUMIFS(Input!$C$115:$C$3257,Input!$A$115:$A$3257,"="&amp;'Output - County'!A1223,Input!$B$115:$B$3257,"="&amp;'Output - County'!B1223)*VLOOKUP(A1223,'Output - State'!$B$2:$G$52,3,FALSE)</f>
        <v>32.77896830618046</v>
      </c>
      <c r="E1223" s="98">
        <f>SUMIFS(Input!$C$115:$C$3257,Input!$A$115:$A$3257,"="&amp;'Output - County'!A1223,Input!$B$115:$B$3257,"="&amp;'Output - County'!B1223)*VLOOKUP(A1223,'Output - State'!$B$2:$G$52,4,FALSE)</f>
        <v>0</v>
      </c>
      <c r="F1223" s="98">
        <f>SUMIFS(Input!$C$115:$C$3257,Input!$A$115:$A$3257,"="&amp;'Output - County'!A1223,Input!$B$115:$B$3257,"="&amp;'Output - County'!B1223)*VLOOKUP(A1223,'Output - State'!$B$2:$G$52,5,FALSE)</f>
        <v>10.568284593385767</v>
      </c>
      <c r="G1223" s="99">
        <f>SUMIFS(Input!$D$115:$D$3257,Input!$A$115:$A$3257,"="&amp;'Output - County'!A1223,Input!$B$115:$B$3257,"="&amp;'Output - County'!B1223)*VLOOKUP(A1223,'Output - State'!$B$2:$G$52,6,FALSE)</f>
        <v>15.609725356876535</v>
      </c>
    </row>
    <row r="1224" spans="1:7" x14ac:dyDescent="0.25">
      <c r="A1224" s="88">
        <v>25</v>
      </c>
      <c r="B1224" s="88">
        <v>11</v>
      </c>
      <c r="C1224" s="97">
        <f>SUMIFS(Input!$C$115:$C$3257,Input!$A$115:$A$3257,"="&amp;'Output - County'!A1224,Input!$B$115:$B$3257,"="&amp;'Output - County'!B1224)*VLOOKUP(A1224,'Output - State'!$B$2:$G$52,2,FALSE)</f>
        <v>10.190037002382763</v>
      </c>
      <c r="D1224" s="98">
        <f>SUMIFS(Input!$C$115:$C$3257,Input!$A$115:$A$3257,"="&amp;'Output - County'!A1224,Input!$B$115:$B$3257,"="&amp;'Output - County'!B1224)*VLOOKUP(A1224,'Output - State'!$B$2:$G$52,3,FALSE)</f>
        <v>3.2837314658147028</v>
      </c>
      <c r="E1224" s="98">
        <f>SUMIFS(Input!$C$115:$C$3257,Input!$A$115:$A$3257,"="&amp;'Output - County'!A1224,Input!$B$115:$B$3257,"="&amp;'Output - County'!B1224)*VLOOKUP(A1224,'Output - State'!$B$2:$G$52,4,FALSE)</f>
        <v>0</v>
      </c>
      <c r="F1224" s="98">
        <f>SUMIFS(Input!$C$115:$C$3257,Input!$A$115:$A$3257,"="&amp;'Output - County'!A1224,Input!$B$115:$B$3257,"="&amp;'Output - County'!B1224)*VLOOKUP(A1224,'Output - State'!$B$2:$G$52,5,FALSE)</f>
        <v>1.0587096071733981</v>
      </c>
      <c r="G1224" s="99">
        <f>SUMIFS(Input!$D$115:$D$3257,Input!$A$115:$A$3257,"="&amp;'Output - County'!A1224,Input!$B$115:$B$3257,"="&amp;'Output - County'!B1224)*VLOOKUP(A1224,'Output - State'!$B$2:$G$52,6,FALSE)</f>
        <v>1.3985363073546744</v>
      </c>
    </row>
    <row r="1225" spans="1:7" x14ac:dyDescent="0.25">
      <c r="A1225" s="88">
        <v>25</v>
      </c>
      <c r="B1225" s="88">
        <v>13</v>
      </c>
      <c r="C1225" s="97">
        <f>SUMIFS(Input!$C$115:$C$3257,Input!$A$115:$A$3257,"="&amp;'Output - County'!A1225,Input!$B$115:$B$3257,"="&amp;'Output - County'!B1225)*VLOOKUP(A1225,'Output - State'!$B$2:$G$52,2,FALSE)</f>
        <v>58.966374398970743</v>
      </c>
      <c r="D1225" s="98">
        <f>SUMIFS(Input!$C$115:$C$3257,Input!$A$115:$A$3257,"="&amp;'Output - County'!A1225,Input!$B$115:$B$3257,"="&amp;'Output - County'!B1225)*VLOOKUP(A1225,'Output - State'!$B$2:$G$52,3,FALSE)</f>
        <v>19.001868098578427</v>
      </c>
      <c r="E1225" s="98">
        <f>SUMIFS(Input!$C$115:$C$3257,Input!$A$115:$A$3257,"="&amp;'Output - County'!A1225,Input!$B$115:$B$3257,"="&amp;'Output - County'!B1225)*VLOOKUP(A1225,'Output - State'!$B$2:$G$52,4,FALSE)</f>
        <v>0</v>
      </c>
      <c r="F1225" s="98">
        <f>SUMIFS(Input!$C$115:$C$3257,Input!$A$115:$A$3257,"="&amp;'Output - County'!A1225,Input!$B$115:$B$3257,"="&amp;'Output - County'!B1225)*VLOOKUP(A1225,'Output - State'!$B$2:$G$52,5,FALSE)</f>
        <v>6.1264023930213476</v>
      </c>
      <c r="G1225" s="99">
        <f>SUMIFS(Input!$D$115:$D$3257,Input!$A$115:$A$3257,"="&amp;'Output - County'!A1225,Input!$B$115:$B$3257,"="&amp;'Output - County'!B1225)*VLOOKUP(A1225,'Output - State'!$B$2:$G$52,6,FALSE)</f>
        <v>9.2707505926627132</v>
      </c>
    </row>
    <row r="1226" spans="1:7" x14ac:dyDescent="0.25">
      <c r="A1226" s="88">
        <v>25</v>
      </c>
      <c r="B1226" s="88">
        <v>15</v>
      </c>
      <c r="C1226" s="97">
        <f>SUMIFS(Input!$C$115:$C$3257,Input!$A$115:$A$3257,"="&amp;'Output - County'!A1226,Input!$B$115:$B$3257,"="&amp;'Output - County'!B1226)*VLOOKUP(A1226,'Output - State'!$B$2:$G$52,2,FALSE)</f>
        <v>16.056532396603881</v>
      </c>
      <c r="D1226" s="98">
        <f>SUMIFS(Input!$C$115:$C$3257,Input!$A$115:$A$3257,"="&amp;'Output - County'!A1226,Input!$B$115:$B$3257,"="&amp;'Output - County'!B1226)*VLOOKUP(A1226,'Output - State'!$B$2:$G$52,3,FALSE)</f>
        <v>5.1742050249937677</v>
      </c>
      <c r="E1226" s="98">
        <f>SUMIFS(Input!$C$115:$C$3257,Input!$A$115:$A$3257,"="&amp;'Output - County'!A1226,Input!$B$115:$B$3257,"="&amp;'Output - County'!B1226)*VLOOKUP(A1226,'Output - State'!$B$2:$G$52,4,FALSE)</f>
        <v>0</v>
      </c>
      <c r="F1226" s="98">
        <f>SUMIFS(Input!$C$115:$C$3257,Input!$A$115:$A$3257,"="&amp;'Output - County'!A1226,Input!$B$115:$B$3257,"="&amp;'Output - County'!B1226)*VLOOKUP(A1226,'Output - State'!$B$2:$G$52,5,FALSE)</f>
        <v>1.6682181921616641</v>
      </c>
      <c r="G1226" s="99">
        <f>SUMIFS(Input!$D$115:$D$3257,Input!$A$115:$A$3257,"="&amp;'Output - County'!A1226,Input!$B$115:$B$3257,"="&amp;'Output - County'!B1226)*VLOOKUP(A1226,'Output - State'!$B$2:$G$52,6,FALSE)</f>
        <v>3.1892966782450785</v>
      </c>
    </row>
    <row r="1227" spans="1:7" x14ac:dyDescent="0.25">
      <c r="A1227" s="88">
        <v>25</v>
      </c>
      <c r="B1227" s="88">
        <v>17</v>
      </c>
      <c r="C1227" s="97">
        <f>SUMIFS(Input!$C$115:$C$3257,Input!$A$115:$A$3257,"="&amp;'Output - County'!A1227,Input!$B$115:$B$3257,"="&amp;'Output - County'!B1227)*VLOOKUP(A1227,'Output - State'!$B$2:$G$52,2,FALSE)</f>
        <v>203.69588130789904</v>
      </c>
      <c r="D1227" s="98">
        <f>SUMIFS(Input!$C$115:$C$3257,Input!$A$115:$A$3257,"="&amp;'Output - County'!A1227,Input!$B$115:$B$3257,"="&amp;'Output - County'!B1227)*VLOOKUP(A1227,'Output - State'!$B$2:$G$52,3,FALSE)</f>
        <v>65.640838669300066</v>
      </c>
      <c r="E1227" s="98">
        <f>SUMIFS(Input!$C$115:$C$3257,Input!$A$115:$A$3257,"="&amp;'Output - County'!A1227,Input!$B$115:$B$3257,"="&amp;'Output - County'!B1227)*VLOOKUP(A1227,'Output - State'!$B$2:$G$52,4,FALSE)</f>
        <v>0</v>
      </c>
      <c r="F1227" s="98">
        <f>SUMIFS(Input!$C$115:$C$3257,Input!$A$115:$A$3257,"="&amp;'Output - County'!A1227,Input!$B$115:$B$3257,"="&amp;'Output - County'!B1227)*VLOOKUP(A1227,'Output - State'!$B$2:$G$52,5,FALSE)</f>
        <v>21.163297683011145</v>
      </c>
      <c r="G1227" s="99">
        <f>SUMIFS(Input!$D$115:$D$3257,Input!$A$115:$A$3257,"="&amp;'Output - County'!A1227,Input!$B$115:$B$3257,"="&amp;'Output - County'!B1227)*VLOOKUP(A1227,'Output - State'!$B$2:$G$52,6,FALSE)</f>
        <v>31.892966782450788</v>
      </c>
    </row>
    <row r="1228" spans="1:7" x14ac:dyDescent="0.25">
      <c r="A1228" s="88">
        <v>25</v>
      </c>
      <c r="B1228" s="88">
        <v>19</v>
      </c>
      <c r="C1228" s="97">
        <f>SUMIFS(Input!$C$115:$C$3257,Input!$A$115:$A$3257,"="&amp;'Output - County'!A1228,Input!$B$115:$B$3257,"="&amp;'Output - County'!B1228)*VLOOKUP(A1228,'Output - State'!$B$2:$G$52,2,FALSE)</f>
        <v>1.3969457672558061</v>
      </c>
      <c r="D1228" s="98">
        <f>SUMIFS(Input!$C$115:$C$3257,Input!$A$115:$A$3257,"="&amp;'Output - County'!A1228,Input!$B$115:$B$3257,"="&amp;'Output - County'!B1228)*VLOOKUP(A1228,'Output - State'!$B$2:$G$52,3,FALSE)</f>
        <v>0.4501646825131172</v>
      </c>
      <c r="E1228" s="98">
        <f>SUMIFS(Input!$C$115:$C$3257,Input!$A$115:$A$3257,"="&amp;'Output - County'!A1228,Input!$B$115:$B$3257,"="&amp;'Output - County'!B1228)*VLOOKUP(A1228,'Output - State'!$B$2:$G$52,4,FALSE)</f>
        <v>0</v>
      </c>
      <c r="F1228" s="98">
        <f>SUMIFS(Input!$C$115:$C$3257,Input!$A$115:$A$3257,"="&amp;'Output - County'!A1228,Input!$B$115:$B$3257,"="&amp;'Output - County'!B1228)*VLOOKUP(A1228,'Output - State'!$B$2:$G$52,5,FALSE)</f>
        <v>0.14513783454840318</v>
      </c>
      <c r="G1228" s="99">
        <f>SUMIFS(Input!$D$115:$D$3257,Input!$A$115:$A$3257,"="&amp;'Output - County'!A1228,Input!$B$115:$B$3257,"="&amp;'Output - County'!B1228)*VLOOKUP(A1228,'Output - State'!$B$2:$G$52,6,FALSE)</f>
        <v>0.22186411674748374</v>
      </c>
    </row>
    <row r="1229" spans="1:7" x14ac:dyDescent="0.25">
      <c r="A1229" s="88">
        <v>25</v>
      </c>
      <c r="B1229" s="88">
        <v>21</v>
      </c>
      <c r="C1229" s="97">
        <f>SUMIFS(Input!$C$115:$C$3257,Input!$A$115:$A$3257,"="&amp;'Output - County'!A1229,Input!$B$115:$B$3257,"="&amp;'Output - County'!B1229)*VLOOKUP(A1229,'Output - State'!$B$2:$G$52,2,FALSE)</f>
        <v>108.62178522082648</v>
      </c>
      <c r="D1229" s="98">
        <f>SUMIFS(Input!$C$115:$C$3257,Input!$A$115:$A$3257,"="&amp;'Output - County'!A1229,Input!$B$115:$B$3257,"="&amp;'Output - County'!B1229)*VLOOKUP(A1229,'Output - State'!$B$2:$G$52,3,FALSE)</f>
        <v>35.003285456096954</v>
      </c>
      <c r="E1229" s="98">
        <f>SUMIFS(Input!$C$115:$C$3257,Input!$A$115:$A$3257,"="&amp;'Output - County'!A1229,Input!$B$115:$B$3257,"="&amp;'Output - County'!B1229)*VLOOKUP(A1229,'Output - State'!$B$2:$G$52,4,FALSE)</f>
        <v>0</v>
      </c>
      <c r="F1229" s="98">
        <f>SUMIFS(Input!$C$115:$C$3257,Input!$A$115:$A$3257,"="&amp;'Output - County'!A1229,Input!$B$115:$B$3257,"="&amp;'Output - County'!B1229)*VLOOKUP(A1229,'Output - State'!$B$2:$G$52,5,FALSE)</f>
        <v>11.285427867899198</v>
      </c>
      <c r="G1229" s="99">
        <f>SUMIFS(Input!$D$115:$D$3257,Input!$A$115:$A$3257,"="&amp;'Output - County'!A1229,Input!$B$115:$B$3257,"="&amp;'Output - County'!B1229)*VLOOKUP(A1229,'Output - State'!$B$2:$G$52,6,FALSE)</f>
        <v>13.925935185132239</v>
      </c>
    </row>
    <row r="1230" spans="1:7" x14ac:dyDescent="0.25">
      <c r="A1230" s="88">
        <v>25</v>
      </c>
      <c r="B1230" s="88">
        <v>23</v>
      </c>
      <c r="C1230" s="97">
        <f>SUMIFS(Input!$C$115:$C$3257,Input!$A$115:$A$3257,"="&amp;'Output - County'!A1230,Input!$B$115:$B$3257,"="&amp;'Output - County'!B1230)*VLOOKUP(A1230,'Output - State'!$B$2:$G$52,2,FALSE)</f>
        <v>73.708337702269503</v>
      </c>
      <c r="D1230" s="98">
        <f>SUMIFS(Input!$C$115:$C$3257,Input!$A$115:$A$3257,"="&amp;'Output - County'!A1230,Input!$B$115:$B$3257,"="&amp;'Output - County'!B1230)*VLOOKUP(A1230,'Output - State'!$B$2:$G$52,3,FALSE)</f>
        <v>23.75245425990525</v>
      </c>
      <c r="E1230" s="98">
        <f>SUMIFS(Input!$C$115:$C$3257,Input!$A$115:$A$3257,"="&amp;'Output - County'!A1230,Input!$B$115:$B$3257,"="&amp;'Output - County'!B1230)*VLOOKUP(A1230,'Output - State'!$B$2:$G$52,4,FALSE)</f>
        <v>0</v>
      </c>
      <c r="F1230" s="98">
        <f>SUMIFS(Input!$C$115:$C$3257,Input!$A$115:$A$3257,"="&amp;'Output - County'!A1230,Input!$B$115:$B$3257,"="&amp;'Output - County'!B1230)*VLOOKUP(A1230,'Output - State'!$B$2:$G$52,5,FALSE)</f>
        <v>7.6580414021977186</v>
      </c>
      <c r="G1230" s="99">
        <f>SUMIFS(Input!$D$115:$D$3257,Input!$A$115:$A$3257,"="&amp;'Output - County'!A1230,Input!$B$115:$B$3257,"="&amp;'Output - County'!B1230)*VLOOKUP(A1230,'Output - State'!$B$2:$G$52,6,FALSE)</f>
        <v>10.261215399571123</v>
      </c>
    </row>
    <row r="1231" spans="1:7" x14ac:dyDescent="0.25">
      <c r="A1231" s="88">
        <v>25</v>
      </c>
      <c r="B1231" s="88">
        <v>25</v>
      </c>
      <c r="C1231" s="97">
        <f>SUMIFS(Input!$C$115:$C$3257,Input!$A$115:$A$3257,"="&amp;'Output - County'!A1231,Input!$B$115:$B$3257,"="&amp;'Output - County'!B1231)*VLOOKUP(A1231,'Output - State'!$B$2:$G$52,2,FALSE)</f>
        <v>65.319168800401386</v>
      </c>
      <c r="D1231" s="98">
        <f>SUMIFS(Input!$C$115:$C$3257,Input!$A$115:$A$3257,"="&amp;'Output - County'!A1231,Input!$B$115:$B$3257,"="&amp;'Output - County'!B1231)*VLOOKUP(A1231,'Output - State'!$B$2:$G$52,3,FALSE)</f>
        <v>21.049051133041534</v>
      </c>
      <c r="E1231" s="98">
        <f>SUMIFS(Input!$C$115:$C$3257,Input!$A$115:$A$3257,"="&amp;'Output - County'!A1231,Input!$B$115:$B$3257,"="&amp;'Output - County'!B1231)*VLOOKUP(A1231,'Output - State'!$B$2:$G$52,4,FALSE)</f>
        <v>0</v>
      </c>
      <c r="F1231" s="98">
        <f>SUMIFS(Input!$C$115:$C$3257,Input!$A$115:$A$3257,"="&amp;'Output - County'!A1231,Input!$B$115:$B$3257,"="&amp;'Output - County'!B1231)*VLOOKUP(A1231,'Output - State'!$B$2:$G$52,5,FALSE)</f>
        <v>6.7864357632259207</v>
      </c>
      <c r="G1231" s="99">
        <f>SUMIFS(Input!$D$115:$D$3257,Input!$A$115:$A$3257,"="&amp;'Output - County'!A1231,Input!$B$115:$B$3257,"="&amp;'Output - County'!B1231)*VLOOKUP(A1231,'Output - State'!$B$2:$G$52,6,FALSE)</f>
        <v>15.906864798949057</v>
      </c>
    </row>
    <row r="1232" spans="1:7" x14ac:dyDescent="0.25">
      <c r="A1232" s="88">
        <v>25</v>
      </c>
      <c r="B1232" s="88">
        <v>27</v>
      </c>
      <c r="C1232" s="97">
        <f>SUMIFS(Input!$C$115:$C$3257,Input!$A$115:$A$3257,"="&amp;'Output - County'!A1232,Input!$B$115:$B$3257,"="&amp;'Output - County'!B1232)*VLOOKUP(A1232,'Output - State'!$B$2:$G$52,2,FALSE)</f>
        <v>121.72509895772892</v>
      </c>
      <c r="D1232" s="98">
        <f>SUMIFS(Input!$C$115:$C$3257,Input!$A$115:$A$3257,"="&amp;'Output - County'!A1232,Input!$B$115:$B$3257,"="&amp;'Output - County'!B1232)*VLOOKUP(A1232,'Output - State'!$B$2:$G$52,3,FALSE)</f>
        <v>39.225818074403172</v>
      </c>
      <c r="E1232" s="98">
        <f>SUMIFS(Input!$C$115:$C$3257,Input!$A$115:$A$3257,"="&amp;'Output - County'!A1232,Input!$B$115:$B$3257,"="&amp;'Output - County'!B1232)*VLOOKUP(A1232,'Output - State'!$B$2:$G$52,4,FALSE)</f>
        <v>0</v>
      </c>
      <c r="F1232" s="98">
        <f>SUMIFS(Input!$C$115:$C$3257,Input!$A$115:$A$3257,"="&amp;'Output - County'!A1232,Input!$B$115:$B$3257,"="&amp;'Output - County'!B1232)*VLOOKUP(A1232,'Output - State'!$B$2:$G$52,5,FALSE)</f>
        <v>12.646816853613567</v>
      </c>
      <c r="G1232" s="99">
        <f>SUMIFS(Input!$D$115:$D$3257,Input!$A$115:$A$3257,"="&amp;'Output - County'!A1232,Input!$B$115:$B$3257,"="&amp;'Output - County'!B1232)*VLOOKUP(A1232,'Output - State'!$B$2:$G$52,6,FALSE)</f>
        <v>16.421906498541432</v>
      </c>
    </row>
    <row r="1233" spans="1:7" x14ac:dyDescent="0.25">
      <c r="A1233" s="88">
        <v>26</v>
      </c>
      <c r="B1233" s="88">
        <v>1</v>
      </c>
      <c r="C1233" s="97">
        <f>SUMIFS(Input!$C$115:$C$3257,Input!$A$115:$A$3257,"="&amp;'Output - County'!A1233,Input!$B$115:$B$3257,"="&amp;'Output - County'!B1233)*VLOOKUP(A1233,'Output - State'!$B$2:$G$52,2,FALSE)</f>
        <v>2.8143242907834827</v>
      </c>
      <c r="D1233" s="98">
        <f>SUMIFS(Input!$C$115:$C$3257,Input!$A$115:$A$3257,"="&amp;'Output - County'!A1233,Input!$B$115:$B$3257,"="&amp;'Output - County'!B1233)*VLOOKUP(A1233,'Output - State'!$B$2:$G$52,3,FALSE)</f>
        <v>1.2483128554873133E-2</v>
      </c>
      <c r="E1233" s="98">
        <f>SUMIFS(Input!$C$115:$C$3257,Input!$A$115:$A$3257,"="&amp;'Output - County'!A1233,Input!$B$115:$B$3257,"="&amp;'Output - County'!B1233)*VLOOKUP(A1233,'Output - State'!$B$2:$G$52,4,FALSE)</f>
        <v>2.4047550590076816</v>
      </c>
      <c r="F1233" s="98">
        <f>SUMIFS(Input!$C$115:$C$3257,Input!$A$115:$A$3257,"="&amp;'Output - County'!A1233,Input!$B$115:$B$3257,"="&amp;'Output - County'!B1233)*VLOOKUP(A1233,'Output - State'!$B$2:$G$52,5,FALSE)</f>
        <v>7.8845080093195747</v>
      </c>
      <c r="G1233" s="99">
        <f>SUMIFS(Input!$D$115:$D$3257,Input!$A$115:$A$3257,"="&amp;'Output - County'!A1233,Input!$B$115:$B$3257,"="&amp;'Output - County'!B1233)*VLOOKUP(A1233,'Output - State'!$B$2:$G$52,6,FALSE)</f>
        <v>1.8517051811818577</v>
      </c>
    </row>
    <row r="1234" spans="1:7" x14ac:dyDescent="0.25">
      <c r="A1234" s="88">
        <v>26</v>
      </c>
      <c r="B1234" s="88">
        <v>3</v>
      </c>
      <c r="C1234" s="97">
        <f>SUMIFS(Input!$C$115:$C$3257,Input!$A$115:$A$3257,"="&amp;'Output - County'!A1234,Input!$B$115:$B$3257,"="&amp;'Output - County'!B1234)*VLOOKUP(A1234,'Output - State'!$B$2:$G$52,2,FALSE)</f>
        <v>4.3255930376942127</v>
      </c>
      <c r="D1234" s="98">
        <f>SUMIFS(Input!$C$115:$C$3257,Input!$A$115:$A$3257,"="&amp;'Output - County'!A1234,Input!$B$115:$B$3257,"="&amp;'Output - County'!B1234)*VLOOKUP(A1234,'Output - State'!$B$2:$G$52,3,FALSE)</f>
        <v>1.9186464808776098E-2</v>
      </c>
      <c r="E1234" s="98">
        <f>SUMIFS(Input!$C$115:$C$3257,Input!$A$115:$A$3257,"="&amp;'Output - County'!A1234,Input!$B$115:$B$3257,"="&amp;'Output - County'!B1234)*VLOOKUP(A1234,'Output - State'!$B$2:$G$52,4,FALSE)</f>
        <v>3.6960885334602795</v>
      </c>
      <c r="F1234" s="98">
        <f>SUMIFS(Input!$C$115:$C$3257,Input!$A$115:$A$3257,"="&amp;'Output - County'!A1234,Input!$B$115:$B$3257,"="&amp;'Output - County'!B1234)*VLOOKUP(A1234,'Output - State'!$B$2:$G$52,5,FALSE)</f>
        <v>12.118423261472271</v>
      </c>
      <c r="G1234" s="99">
        <f>SUMIFS(Input!$D$115:$D$3257,Input!$A$115:$A$3257,"="&amp;'Output - County'!A1234,Input!$B$115:$B$3257,"="&amp;'Output - County'!B1234)*VLOOKUP(A1234,'Output - State'!$B$2:$G$52,6,FALSE)</f>
        <v>1.6238030050363983</v>
      </c>
    </row>
    <row r="1235" spans="1:7" x14ac:dyDescent="0.25">
      <c r="A1235" s="88">
        <v>26</v>
      </c>
      <c r="B1235" s="88">
        <v>5</v>
      </c>
      <c r="C1235" s="97">
        <f>SUMIFS(Input!$C$115:$C$3257,Input!$A$115:$A$3257,"="&amp;'Output - County'!A1235,Input!$B$115:$B$3257,"="&amp;'Output - County'!B1235)*VLOOKUP(A1235,'Output - State'!$B$2:$G$52,2,FALSE)</f>
        <v>63.387583483559887</v>
      </c>
      <c r="D1235" s="98">
        <f>SUMIFS(Input!$C$115:$C$3257,Input!$A$115:$A$3257,"="&amp;'Output - County'!A1235,Input!$B$115:$B$3257,"="&amp;'Output - County'!B1235)*VLOOKUP(A1235,'Output - State'!$B$2:$G$52,3,FALSE)</f>
        <v>0.28115997719216185</v>
      </c>
      <c r="E1235" s="98">
        <f>SUMIFS(Input!$C$115:$C$3257,Input!$A$115:$A$3257,"="&amp;'Output - County'!A1235,Input!$B$115:$B$3257,"="&amp;'Output - County'!B1235)*VLOOKUP(A1235,'Output - State'!$B$2:$G$52,4,FALSE)</f>
        <v>54.162774545760257</v>
      </c>
      <c r="F1235" s="98">
        <f>SUMIFS(Input!$C$115:$C$3257,Input!$A$115:$A$3257,"="&amp;'Output - County'!A1235,Input!$B$115:$B$3257,"="&amp;'Output - County'!B1235)*VLOOKUP(A1235,'Output - State'!$B$2:$G$52,5,FALSE)</f>
        <v>177.58433571577029</v>
      </c>
      <c r="G1235" s="99">
        <f>SUMIFS(Input!$D$115:$D$3257,Input!$A$115:$A$3257,"="&amp;'Output - County'!A1235,Input!$B$115:$B$3257,"="&amp;'Output - County'!B1235)*VLOOKUP(A1235,'Output - State'!$B$2:$G$52,6,FALSE)</f>
        <v>20.831683288295899</v>
      </c>
    </row>
    <row r="1236" spans="1:7" x14ac:dyDescent="0.25">
      <c r="A1236" s="88">
        <v>26</v>
      </c>
      <c r="B1236" s="88">
        <v>7</v>
      </c>
      <c r="C1236" s="97">
        <f>SUMIFS(Input!$C$115:$C$3257,Input!$A$115:$A$3257,"="&amp;'Output - County'!A1236,Input!$B$115:$B$3257,"="&amp;'Output - County'!B1236)*VLOOKUP(A1236,'Output - State'!$B$2:$G$52,2,FALSE)</f>
        <v>8.3686723124945779</v>
      </c>
      <c r="D1236" s="98">
        <f>SUMIFS(Input!$C$115:$C$3257,Input!$A$115:$A$3257,"="&amp;'Output - County'!A1236,Input!$B$115:$B$3257,"="&amp;'Output - County'!B1236)*VLOOKUP(A1236,'Output - State'!$B$2:$G$52,3,FALSE)</f>
        <v>3.7119820431708146E-2</v>
      </c>
      <c r="E1236" s="98">
        <f>SUMIFS(Input!$C$115:$C$3257,Input!$A$115:$A$3257,"="&amp;'Output - County'!A1236,Input!$B$115:$B$3257,"="&amp;'Output - County'!B1236)*VLOOKUP(A1236,'Output - State'!$B$2:$G$52,4,FALSE)</f>
        <v>7.1507775939518119</v>
      </c>
      <c r="F1236" s="98">
        <f>SUMIFS(Input!$C$115:$C$3257,Input!$A$115:$A$3257,"="&amp;'Output - County'!A1236,Input!$B$115:$B$3257,"="&amp;'Output - County'!B1236)*VLOOKUP(A1236,'Output - State'!$B$2:$G$52,5,FALSE)</f>
        <v>23.445366296740961</v>
      </c>
      <c r="G1236" s="99">
        <f>SUMIFS(Input!$D$115:$D$3257,Input!$A$115:$A$3257,"="&amp;'Output - County'!A1236,Input!$B$115:$B$3257,"="&amp;'Output - County'!B1236)*VLOOKUP(A1236,'Output - State'!$B$2:$G$52,6,FALSE)</f>
        <v>5.0565795332273806</v>
      </c>
    </row>
    <row r="1237" spans="1:7" x14ac:dyDescent="0.25">
      <c r="A1237" s="88">
        <v>26</v>
      </c>
      <c r="B1237" s="88">
        <v>9</v>
      </c>
      <c r="C1237" s="97">
        <f>SUMIFS(Input!$C$115:$C$3257,Input!$A$115:$A$3257,"="&amp;'Output - County'!A1237,Input!$B$115:$B$3257,"="&amp;'Output - County'!B1237)*VLOOKUP(A1237,'Output - State'!$B$2:$G$52,2,FALSE)</f>
        <v>7.9005929984393761</v>
      </c>
      <c r="D1237" s="98">
        <f>SUMIFS(Input!$C$115:$C$3257,Input!$A$115:$A$3257,"="&amp;'Output - County'!A1237,Input!$B$115:$B$3257,"="&amp;'Output - County'!B1237)*VLOOKUP(A1237,'Output - State'!$B$2:$G$52,3,FALSE)</f>
        <v>3.504362250726737E-2</v>
      </c>
      <c r="E1237" s="98">
        <f>SUMIFS(Input!$C$115:$C$3257,Input!$A$115:$A$3257,"="&amp;'Output - County'!A1237,Input!$B$115:$B$3257,"="&amp;'Output - County'!B1237)*VLOOKUP(A1237,'Output - State'!$B$2:$G$52,4,FALSE)</f>
        <v>6.7508179652134581</v>
      </c>
      <c r="F1237" s="98">
        <f>SUMIFS(Input!$C$115:$C$3257,Input!$A$115:$A$3257,"="&amp;'Output - County'!A1237,Input!$B$115:$B$3257,"="&amp;'Output - County'!B1237)*VLOOKUP(A1237,'Output - State'!$B$2:$G$52,5,FALSE)</f>
        <v>22.13401240879309</v>
      </c>
      <c r="G1237" s="99">
        <f>SUMIFS(Input!$D$115:$D$3257,Input!$A$115:$A$3257,"="&amp;'Output - County'!A1237,Input!$B$115:$B$3257,"="&amp;'Output - County'!B1237)*VLOOKUP(A1237,'Output - State'!$B$2:$G$52,6,FALSE)</f>
        <v>4.1485318001478158</v>
      </c>
    </row>
    <row r="1238" spans="1:7" x14ac:dyDescent="0.25">
      <c r="A1238" s="88">
        <v>26</v>
      </c>
      <c r="B1238" s="88">
        <v>11</v>
      </c>
      <c r="C1238" s="97">
        <f>SUMIFS(Input!$C$115:$C$3257,Input!$A$115:$A$3257,"="&amp;'Output - County'!A1238,Input!$B$115:$B$3257,"="&amp;'Output - County'!B1238)*VLOOKUP(A1238,'Output - State'!$B$2:$G$52,2,FALSE)</f>
        <v>12.600013270248791</v>
      </c>
      <c r="D1238" s="98">
        <f>SUMIFS(Input!$C$115:$C$3257,Input!$A$115:$A$3257,"="&amp;'Output - County'!A1238,Input!$B$115:$B$3257,"="&amp;'Output - County'!B1238)*VLOOKUP(A1238,'Output - State'!$B$2:$G$52,3,FALSE)</f>
        <v>5.5888223670853387E-2</v>
      </c>
      <c r="E1238" s="98">
        <f>SUMIFS(Input!$C$115:$C$3257,Input!$A$115:$A$3257,"="&amp;'Output - County'!A1238,Input!$B$115:$B$3257,"="&amp;'Output - County'!B1238)*VLOOKUP(A1238,'Output - State'!$B$2:$G$52,4,FALSE)</f>
        <v>10.766330573353887</v>
      </c>
      <c r="F1238" s="98">
        <f>SUMIFS(Input!$C$115:$C$3257,Input!$A$115:$A$3257,"="&amp;'Output - County'!A1238,Input!$B$115:$B$3257,"="&amp;'Output - County'!B1238)*VLOOKUP(A1238,'Output - State'!$B$2:$G$52,5,FALSE)</f>
        <v>35.299736377982505</v>
      </c>
      <c r="G1238" s="99">
        <f>SUMIFS(Input!$D$115:$D$3257,Input!$A$115:$A$3257,"="&amp;'Output - County'!A1238,Input!$B$115:$B$3257,"="&amp;'Output - County'!B1238)*VLOOKUP(A1238,'Output - State'!$B$2:$G$52,6,FALSE)</f>
        <v>2.6707286267046029</v>
      </c>
    </row>
    <row r="1239" spans="1:7" x14ac:dyDescent="0.25">
      <c r="A1239" s="88">
        <v>26</v>
      </c>
      <c r="B1239" s="88">
        <v>13</v>
      </c>
      <c r="C1239" s="97">
        <f>SUMIFS(Input!$C$115:$C$3257,Input!$A$115:$A$3257,"="&amp;'Output - County'!A1239,Input!$B$115:$B$3257,"="&amp;'Output - County'!B1239)*VLOOKUP(A1239,'Output - State'!$B$2:$G$52,2,FALSE)</f>
        <v>3.1454579008599306</v>
      </c>
      <c r="D1239" s="98">
        <f>SUMIFS(Input!$C$115:$C$3257,Input!$A$115:$A$3257,"="&amp;'Output - County'!A1239,Input!$B$115:$B$3257,"="&amp;'Output - County'!B1239)*VLOOKUP(A1239,'Output - State'!$B$2:$G$52,3,FALSE)</f>
        <v>1.3951894409952606E-2</v>
      </c>
      <c r="E1239" s="98">
        <f>SUMIFS(Input!$C$115:$C$3257,Input!$A$115:$A$3257,"="&amp;'Output - County'!A1239,Input!$B$115:$B$3257,"="&amp;'Output - County'!B1239)*VLOOKUP(A1239,'Output - State'!$B$2:$G$52,4,FALSE)</f>
        <v>2.6876987221265947</v>
      </c>
      <c r="F1239" s="98">
        <f>SUMIFS(Input!$C$115:$C$3257,Input!$A$115:$A$3257,"="&amp;'Output - County'!A1239,Input!$B$115:$B$3257,"="&amp;'Output - County'!B1239)*VLOOKUP(A1239,'Output - State'!$B$2:$G$52,5,FALSE)</f>
        <v>8.8121998212947421</v>
      </c>
      <c r="G1239" s="99">
        <f>SUMIFS(Input!$D$115:$D$3257,Input!$A$115:$A$3257,"="&amp;'Output - County'!A1239,Input!$B$115:$B$3257,"="&amp;'Output - County'!B1239)*VLOOKUP(A1239,'Output - State'!$B$2:$G$52,6,FALSE)</f>
        <v>1.4813641449454862</v>
      </c>
    </row>
    <row r="1240" spans="1:7" x14ac:dyDescent="0.25">
      <c r="A1240" s="88">
        <v>26</v>
      </c>
      <c r="B1240" s="88">
        <v>15</v>
      </c>
      <c r="C1240" s="97">
        <f>SUMIFS(Input!$C$115:$C$3257,Input!$A$115:$A$3257,"="&amp;'Output - County'!A1240,Input!$B$115:$B$3257,"="&amp;'Output - County'!B1240)*VLOOKUP(A1240,'Output - State'!$B$2:$G$52,2,FALSE)</f>
        <v>11.836115973193149</v>
      </c>
      <c r="D1240" s="98">
        <f>SUMIFS(Input!$C$115:$C$3257,Input!$A$115:$A$3257,"="&amp;'Output - County'!A1240,Input!$B$115:$B$3257,"="&amp;'Output - County'!B1240)*VLOOKUP(A1240,'Output - State'!$B$2:$G$52,3,FALSE)</f>
        <v>5.2499904779141369E-2</v>
      </c>
      <c r="E1240" s="98">
        <f>SUMIFS(Input!$C$115:$C$3257,Input!$A$115:$A$3257,"="&amp;'Output - County'!A1240,Input!$B$115:$B$3257,"="&amp;'Output - County'!B1240)*VLOOKUP(A1240,'Output - State'!$B$2:$G$52,4,FALSE)</f>
        <v>10.113603417612554</v>
      </c>
      <c r="F1240" s="98">
        <f>SUMIFS(Input!$C$115:$C$3257,Input!$A$115:$A$3257,"="&amp;'Output - County'!A1240,Input!$B$115:$B$3257,"="&amp;'Output - County'!B1240)*VLOOKUP(A1240,'Output - State'!$B$2:$G$52,5,FALSE)</f>
        <v>33.159629647334192</v>
      </c>
      <c r="G1240" s="99">
        <f>SUMIFS(Input!$D$115:$D$3257,Input!$A$115:$A$3257,"="&amp;'Output - County'!A1240,Input!$B$115:$B$3257,"="&amp;'Output - County'!B1240)*VLOOKUP(A1240,'Output - State'!$B$2:$G$52,6,FALSE)</f>
        <v>10.896572796954779</v>
      </c>
    </row>
    <row r="1241" spans="1:7" x14ac:dyDescent="0.25">
      <c r="A1241" s="88">
        <v>26</v>
      </c>
      <c r="B1241" s="88">
        <v>17</v>
      </c>
      <c r="C1241" s="97">
        <f>SUMIFS(Input!$C$115:$C$3257,Input!$A$115:$A$3257,"="&amp;'Output - County'!A1241,Input!$B$115:$B$3257,"="&amp;'Output - County'!B1241)*VLOOKUP(A1241,'Output - State'!$B$2:$G$52,2,FALSE)</f>
        <v>51.637296884031656</v>
      </c>
      <c r="D1241" s="98">
        <f>SUMIFS(Input!$C$115:$C$3257,Input!$A$115:$A$3257,"="&amp;'Output - County'!A1241,Input!$B$115:$B$3257,"="&amp;'Output - County'!B1241)*VLOOKUP(A1241,'Output - State'!$B$2:$G$52,3,FALSE)</f>
        <v>0.22904077449086993</v>
      </c>
      <c r="E1241" s="98">
        <f>SUMIFS(Input!$C$115:$C$3257,Input!$A$115:$A$3257,"="&amp;'Output - County'!A1241,Input!$B$115:$B$3257,"="&amp;'Output - County'!B1241)*VLOOKUP(A1241,'Output - State'!$B$2:$G$52,4,FALSE)</f>
        <v>44.122509734223812</v>
      </c>
      <c r="F1241" s="98">
        <f>SUMIFS(Input!$C$115:$C$3257,Input!$A$115:$A$3257,"="&amp;'Output - County'!A1241,Input!$B$115:$B$3257,"="&amp;'Output - County'!B1241)*VLOOKUP(A1241,'Output - State'!$B$2:$G$52,5,FALSE)</f>
        <v>144.66516250279662</v>
      </c>
      <c r="G1241" s="99">
        <f>SUMIFS(Input!$D$115:$D$3257,Input!$A$115:$A$3257,"="&amp;'Output - County'!A1241,Input!$B$115:$B$3257,"="&amp;'Output - County'!B1241)*VLOOKUP(A1241,'Output - State'!$B$2:$G$52,6,FALSE)</f>
        <v>18.517051811818575</v>
      </c>
    </row>
    <row r="1242" spans="1:7" x14ac:dyDescent="0.25">
      <c r="A1242" s="88">
        <v>26</v>
      </c>
      <c r="B1242" s="88">
        <v>19</v>
      </c>
      <c r="C1242" s="97">
        <f>SUMIFS(Input!$C$115:$C$3257,Input!$A$115:$A$3257,"="&amp;'Output - County'!A1242,Input!$B$115:$B$3257,"="&amp;'Output - County'!B1242)*VLOOKUP(A1242,'Output - State'!$B$2:$G$52,2,FALSE)</f>
        <v>5.5606326613128303</v>
      </c>
      <c r="D1242" s="98">
        <f>SUMIFS(Input!$C$115:$C$3257,Input!$A$115:$A$3257,"="&amp;'Output - County'!A1242,Input!$B$115:$B$3257,"="&amp;'Output - County'!B1242)*VLOOKUP(A1242,'Output - State'!$B$2:$G$52,3,FALSE)</f>
        <v>2.4664567827139109E-2</v>
      </c>
      <c r="E1242" s="98">
        <f>SUMIFS(Input!$C$115:$C$3257,Input!$A$115:$A$3257,"="&amp;'Output - County'!A1242,Input!$B$115:$B$3257,"="&amp;'Output - County'!B1242)*VLOOKUP(A1242,'Output - State'!$B$2:$G$52,4,FALSE)</f>
        <v>4.7513925695651595</v>
      </c>
      <c r="F1242" s="98">
        <f>SUMIFS(Input!$C$115:$C$3257,Input!$A$115:$A$3257,"="&amp;'Output - County'!A1242,Input!$B$115:$B$3257,"="&amp;'Output - County'!B1242)*VLOOKUP(A1242,'Output - State'!$B$2:$G$52,5,FALSE)</f>
        <v>15.578465103891626</v>
      </c>
      <c r="G1242" s="99">
        <f>SUMIFS(Input!$D$115:$D$3257,Input!$A$115:$A$3257,"="&amp;'Output - County'!A1242,Input!$B$115:$B$3257,"="&amp;'Output - County'!B1242)*VLOOKUP(A1242,'Output - State'!$B$2:$G$52,6,FALSE)</f>
        <v>3.169264637022795</v>
      </c>
    </row>
    <row r="1243" spans="1:7" x14ac:dyDescent="0.25">
      <c r="A1243" s="88">
        <v>26</v>
      </c>
      <c r="B1243" s="88">
        <v>21</v>
      </c>
      <c r="C1243" s="97">
        <f>SUMIFS(Input!$C$115:$C$3257,Input!$A$115:$A$3257,"="&amp;'Output - County'!A1243,Input!$B$115:$B$3257,"="&amp;'Output - County'!B1243)*VLOOKUP(A1243,'Output - State'!$B$2:$G$52,2,FALSE)</f>
        <v>90.314274962013798</v>
      </c>
      <c r="D1243" s="98">
        <f>SUMIFS(Input!$C$115:$C$3257,Input!$A$115:$A$3257,"="&amp;'Output - County'!A1243,Input!$B$115:$B$3257,"="&amp;'Output - County'!B1243)*VLOOKUP(A1243,'Output - State'!$B$2:$G$52,3,FALSE)</f>
        <v>0.40059516537702156</v>
      </c>
      <c r="E1243" s="98">
        <f>SUMIFS(Input!$C$115:$C$3257,Input!$A$115:$A$3257,"="&amp;'Output - County'!A1243,Input!$B$115:$B$3257,"="&amp;'Output - County'!B1243)*VLOOKUP(A1243,'Output - State'!$B$2:$G$52,4,FALSE)</f>
        <v>77.170818703004372</v>
      </c>
      <c r="F1243" s="98">
        <f>SUMIFS(Input!$C$115:$C$3257,Input!$A$115:$A$3257,"="&amp;'Output - County'!A1243,Input!$B$115:$B$3257,"="&amp;'Output - County'!B1243)*VLOOKUP(A1243,'Output - State'!$B$2:$G$52,5,FALSE)</f>
        <v>253.02116981538416</v>
      </c>
      <c r="G1243" s="99">
        <f>SUMIFS(Input!$D$115:$D$3257,Input!$A$115:$A$3257,"="&amp;'Output - County'!A1243,Input!$B$115:$B$3257,"="&amp;'Output - County'!B1243)*VLOOKUP(A1243,'Output - State'!$B$2:$G$52,6,FALSE)</f>
        <v>27.419480567500589</v>
      </c>
    </row>
    <row r="1244" spans="1:7" x14ac:dyDescent="0.25">
      <c r="A1244" s="88">
        <v>26</v>
      </c>
      <c r="B1244" s="88">
        <v>23</v>
      </c>
      <c r="C1244" s="97">
        <f>SUMIFS(Input!$C$115:$C$3257,Input!$A$115:$A$3257,"="&amp;'Output - County'!A1244,Input!$B$115:$B$3257,"="&amp;'Output - County'!B1244)*VLOOKUP(A1244,'Output - State'!$B$2:$G$52,2,FALSE)</f>
        <v>19.518938393221546</v>
      </c>
      <c r="D1244" s="98">
        <f>SUMIFS(Input!$C$115:$C$3257,Input!$A$115:$A$3257,"="&amp;'Output - County'!A1244,Input!$B$115:$B$3257,"="&amp;'Output - County'!B1244)*VLOOKUP(A1244,'Output - State'!$B$2:$G$52,3,FALSE)</f>
        <v>8.657759093903189E-2</v>
      </c>
      <c r="E1244" s="98">
        <f>SUMIFS(Input!$C$115:$C$3257,Input!$A$115:$A$3257,"="&amp;'Output - County'!A1244,Input!$B$115:$B$3257,"="&amp;'Output - County'!B1244)*VLOOKUP(A1244,'Output - State'!$B$2:$G$52,4,FALSE)</f>
        <v>16.678343004491349</v>
      </c>
      <c r="F1244" s="98">
        <f>SUMIFS(Input!$C$115:$C$3257,Input!$A$115:$A$3257,"="&amp;'Output - County'!A1244,Input!$B$115:$B$3257,"="&amp;'Output - County'!B1244)*VLOOKUP(A1244,'Output - State'!$B$2:$G$52,5,FALSE)</f>
        <v>54.683543967822914</v>
      </c>
      <c r="G1244" s="99">
        <f>SUMIFS(Input!$D$115:$D$3257,Input!$A$115:$A$3257,"="&amp;'Output - County'!A1244,Input!$B$115:$B$3257,"="&amp;'Output - County'!B1244)*VLOOKUP(A1244,'Output - State'!$B$2:$G$52,6,FALSE)</f>
        <v>7.7629178749547121</v>
      </c>
    </row>
    <row r="1245" spans="1:7" x14ac:dyDescent="0.25">
      <c r="A1245" s="88">
        <v>26</v>
      </c>
      <c r="B1245" s="88">
        <v>25</v>
      </c>
      <c r="C1245" s="97">
        <f>SUMIFS(Input!$C$115:$C$3257,Input!$A$115:$A$3257,"="&amp;'Output - County'!A1245,Input!$B$115:$B$3257,"="&amp;'Output - County'!B1245)*VLOOKUP(A1245,'Output - State'!$B$2:$G$52,2,FALSE)</f>
        <v>66.867877777400309</v>
      </c>
      <c r="D1245" s="98">
        <f>SUMIFS(Input!$C$115:$C$3257,Input!$A$115:$A$3257,"="&amp;'Output - County'!A1245,Input!$B$115:$B$3257,"="&amp;'Output - County'!B1245)*VLOOKUP(A1245,'Output - State'!$B$2:$G$52,3,FALSE)</f>
        <v>0.29659706140490788</v>
      </c>
      <c r="E1245" s="98">
        <f>SUMIFS(Input!$C$115:$C$3257,Input!$A$115:$A$3257,"="&amp;'Output - County'!A1245,Input!$B$115:$B$3257,"="&amp;'Output - County'!B1245)*VLOOKUP(A1245,'Output - State'!$B$2:$G$52,4,FALSE)</f>
        <v>57.13658084710103</v>
      </c>
      <c r="F1245" s="98">
        <f>SUMIFS(Input!$C$115:$C$3257,Input!$A$115:$A$3257,"="&amp;'Output - County'!A1245,Input!$B$115:$B$3257,"="&amp;'Output - County'!B1245)*VLOOKUP(A1245,'Output - State'!$B$2:$G$52,5,FALSE)</f>
        <v>187.33460093020827</v>
      </c>
      <c r="G1245" s="99">
        <f>SUMIFS(Input!$D$115:$D$3257,Input!$A$115:$A$3257,"="&amp;'Output - County'!A1245,Input!$B$115:$B$3257,"="&amp;'Output - County'!B1245)*VLOOKUP(A1245,'Output - State'!$B$2:$G$52,6,FALSE)</f>
        <v>23.858509065227782</v>
      </c>
    </row>
    <row r="1246" spans="1:7" x14ac:dyDescent="0.25">
      <c r="A1246" s="88">
        <v>26</v>
      </c>
      <c r="B1246" s="88">
        <v>27</v>
      </c>
      <c r="C1246" s="97">
        <f>SUMIFS(Input!$C$115:$C$3257,Input!$A$115:$A$3257,"="&amp;'Output - County'!A1246,Input!$B$115:$B$3257,"="&amp;'Output - County'!B1246)*VLOOKUP(A1246,'Output - State'!$B$2:$G$52,2,FALSE)</f>
        <v>13.333704961675052</v>
      </c>
      <c r="D1246" s="98">
        <f>SUMIFS(Input!$C$115:$C$3257,Input!$A$115:$A$3257,"="&amp;'Output - County'!A1246,Input!$B$115:$B$3257,"="&amp;'Output - County'!B1246)*VLOOKUP(A1246,'Output - State'!$B$2:$G$52,3,FALSE)</f>
        <v>5.9142563525613548E-2</v>
      </c>
      <c r="E1246" s="98">
        <f>SUMIFS(Input!$C$115:$C$3257,Input!$A$115:$A$3257,"="&amp;'Output - County'!A1246,Input!$B$115:$B$3257,"="&amp;'Output - County'!B1246)*VLOOKUP(A1246,'Output - State'!$B$2:$G$52,4,FALSE)</f>
        <v>11.393247951883149</v>
      </c>
      <c r="F1246" s="98">
        <f>SUMIFS(Input!$C$115:$C$3257,Input!$A$115:$A$3257,"="&amp;'Output - County'!A1246,Input!$B$115:$B$3257,"="&amp;'Output - County'!B1246)*VLOOKUP(A1246,'Output - State'!$B$2:$G$52,5,FALSE)</f>
        <v>37.355220188560409</v>
      </c>
      <c r="G1246" s="99">
        <f>SUMIFS(Input!$D$115:$D$3257,Input!$A$115:$A$3257,"="&amp;'Output - County'!A1246,Input!$B$115:$B$3257,"="&amp;'Output - County'!B1246)*VLOOKUP(A1246,'Output - State'!$B$2:$G$52,6,FALSE)</f>
        <v>9.2051113333751964</v>
      </c>
    </row>
    <row r="1247" spans="1:7" x14ac:dyDescent="0.25">
      <c r="A1247" s="88">
        <v>26</v>
      </c>
      <c r="B1247" s="88">
        <v>29</v>
      </c>
      <c r="C1247" s="97">
        <f>SUMIFS(Input!$C$115:$C$3257,Input!$A$115:$A$3257,"="&amp;'Output - County'!A1247,Input!$B$115:$B$3257,"="&amp;'Output - County'!B1247)*VLOOKUP(A1247,'Output - State'!$B$2:$G$52,2,FALSE)</f>
        <v>7.4956437338718116</v>
      </c>
      <c r="D1247" s="98">
        <f>SUMIFS(Input!$C$115:$C$3257,Input!$A$115:$A$3257,"="&amp;'Output - County'!A1247,Input!$B$115:$B$3257,"="&amp;'Output - County'!B1247)*VLOOKUP(A1247,'Output - State'!$B$2:$G$52,3,FALSE)</f>
        <v>3.3247442250303814E-2</v>
      </c>
      <c r="E1247" s="98">
        <f>SUMIFS(Input!$C$115:$C$3257,Input!$A$115:$A$3257,"="&amp;'Output - County'!A1247,Input!$B$115:$B$3257,"="&amp;'Output - County'!B1247)*VLOOKUP(A1247,'Output - State'!$B$2:$G$52,4,FALSE)</f>
        <v>6.4048010560038966</v>
      </c>
      <c r="F1247" s="98">
        <f>SUMIFS(Input!$C$115:$C$3257,Input!$A$115:$A$3257,"="&amp;'Output - County'!A1247,Input!$B$115:$B$3257,"="&amp;'Output - County'!B1247)*VLOOKUP(A1247,'Output - State'!$B$2:$G$52,5,FALSE)</f>
        <v>20.999521358736388</v>
      </c>
      <c r="G1247" s="99">
        <f>SUMIFS(Input!$D$115:$D$3257,Input!$A$115:$A$3257,"="&amp;'Output - County'!A1247,Input!$B$115:$B$3257,"="&amp;'Output - County'!B1247)*VLOOKUP(A1247,'Output - State'!$B$2:$G$52,6,FALSE)</f>
        <v>4.6648726679773729</v>
      </c>
    </row>
    <row r="1248" spans="1:7" x14ac:dyDescent="0.25">
      <c r="A1248" s="88">
        <v>26</v>
      </c>
      <c r="B1248" s="88">
        <v>31</v>
      </c>
      <c r="C1248" s="97">
        <f>SUMIFS(Input!$C$115:$C$3257,Input!$A$115:$A$3257,"="&amp;'Output - County'!A1248,Input!$B$115:$B$3257,"="&amp;'Output - County'!B1248)*VLOOKUP(A1248,'Output - State'!$B$2:$G$52,2,FALSE)</f>
        <v>19.331572436191184</v>
      </c>
      <c r="D1248" s="98">
        <f>SUMIFS(Input!$C$115:$C$3257,Input!$A$115:$A$3257,"="&amp;'Output - County'!A1248,Input!$B$115:$B$3257,"="&amp;'Output - County'!B1248)*VLOOKUP(A1248,'Output - State'!$B$2:$G$52,3,FALSE)</f>
        <v>8.5746516376631082E-2</v>
      </c>
      <c r="E1248" s="98">
        <f>SUMIFS(Input!$C$115:$C$3257,Input!$A$115:$A$3257,"="&amp;'Output - County'!A1248,Input!$B$115:$B$3257,"="&amp;'Output - County'!B1248)*VLOOKUP(A1248,'Output - State'!$B$2:$G$52,4,FALSE)</f>
        <v>16.51824445631404</v>
      </c>
      <c r="F1248" s="98">
        <f>SUMIFS(Input!$C$115:$C$3257,Input!$A$115:$A$3257,"="&amp;'Output - County'!A1248,Input!$B$115:$B$3257,"="&amp;'Output - County'!B1248)*VLOOKUP(A1248,'Output - State'!$B$2:$G$52,5,FALSE)</f>
        <v>54.158626354839356</v>
      </c>
      <c r="G1248" s="99">
        <f>SUMIFS(Input!$D$115:$D$3257,Input!$A$115:$A$3257,"="&amp;'Output - County'!A1248,Input!$B$115:$B$3257,"="&amp;'Output - County'!B1248)*VLOOKUP(A1248,'Output - State'!$B$2:$G$52,6,FALSE)</f>
        <v>4.5402386653978244</v>
      </c>
    </row>
    <row r="1249" spans="1:7" x14ac:dyDescent="0.25">
      <c r="A1249" s="88">
        <v>26</v>
      </c>
      <c r="B1249" s="88">
        <v>33</v>
      </c>
      <c r="C1249" s="97">
        <f>SUMIFS(Input!$C$115:$C$3257,Input!$A$115:$A$3257,"="&amp;'Output - County'!A1249,Input!$B$115:$B$3257,"="&amp;'Output - County'!B1249)*VLOOKUP(A1249,'Output - State'!$B$2:$G$52,2,FALSE)</f>
        <v>12.073962462800733</v>
      </c>
      <c r="D1249" s="98">
        <f>SUMIFS(Input!$C$115:$C$3257,Input!$A$115:$A$3257,"="&amp;'Output - County'!A1249,Input!$B$115:$B$3257,"="&amp;'Output - County'!B1249)*VLOOKUP(A1249,'Output - State'!$B$2:$G$52,3,FALSE)</f>
        <v>5.3554889208554876E-2</v>
      </c>
      <c r="E1249" s="98">
        <f>SUMIFS(Input!$C$115:$C$3257,Input!$A$115:$A$3257,"="&amp;'Output - County'!A1249,Input!$B$115:$B$3257,"="&amp;'Output - County'!B1249)*VLOOKUP(A1249,'Output - State'!$B$2:$G$52,4,FALSE)</f>
        <v>10.316836055380758</v>
      </c>
      <c r="F1249" s="98">
        <f>SUMIFS(Input!$C$115:$C$3257,Input!$A$115:$A$3257,"="&amp;'Output - County'!A1249,Input!$B$115:$B$3257,"="&amp;'Output - County'!B1249)*VLOOKUP(A1249,'Output - State'!$B$2:$G$52,5,FALSE)</f>
        <v>33.825971674243064</v>
      </c>
      <c r="G1249" s="99">
        <f>SUMIFS(Input!$D$115:$D$3257,Input!$A$115:$A$3257,"="&amp;'Output - County'!A1249,Input!$B$115:$B$3257,"="&amp;'Output - County'!B1249)*VLOOKUP(A1249,'Output - State'!$B$2:$G$52,6,FALSE)</f>
        <v>6.6768215667615065</v>
      </c>
    </row>
    <row r="1250" spans="1:7" x14ac:dyDescent="0.25">
      <c r="A1250" s="88">
        <v>26</v>
      </c>
      <c r="B1250" s="88">
        <v>35</v>
      </c>
      <c r="C1250" s="97">
        <f>SUMIFS(Input!$C$115:$C$3257,Input!$A$115:$A$3257,"="&amp;'Output - County'!A1250,Input!$B$115:$B$3257,"="&amp;'Output - County'!B1250)*VLOOKUP(A1250,'Output - State'!$B$2:$G$52,2,FALSE)</f>
        <v>15.915819656820226</v>
      </c>
      <c r="D1250" s="98">
        <f>SUMIFS(Input!$C$115:$C$3257,Input!$A$115:$A$3257,"="&amp;'Output - County'!A1250,Input!$B$115:$B$3257,"="&amp;'Output - County'!B1250)*VLOOKUP(A1250,'Output - State'!$B$2:$G$52,3,FALSE)</f>
        <v>7.0595710481166044E-2</v>
      </c>
      <c r="E1250" s="98">
        <f>SUMIFS(Input!$C$115:$C$3257,Input!$A$115:$A$3257,"="&amp;'Output - County'!A1250,Input!$B$115:$B$3257,"="&amp;'Output - County'!B1250)*VLOOKUP(A1250,'Output - State'!$B$2:$G$52,4,FALSE)</f>
        <v>13.599586928675269</v>
      </c>
      <c r="F1250" s="98">
        <f>SUMIFS(Input!$C$115:$C$3257,Input!$A$115:$A$3257,"="&amp;'Output - County'!A1250,Input!$B$115:$B$3257,"="&amp;'Output - County'!B1250)*VLOOKUP(A1250,'Output - State'!$B$2:$G$52,5,FALSE)</f>
        <v>44.589178286966408</v>
      </c>
      <c r="G1250" s="99">
        <f>SUMIFS(Input!$D$115:$D$3257,Input!$A$115:$A$3257,"="&amp;'Output - County'!A1250,Input!$B$115:$B$3257,"="&amp;'Output - County'!B1250)*VLOOKUP(A1250,'Output - State'!$B$2:$G$52,6,FALSE)</f>
        <v>5.4660912559887533</v>
      </c>
    </row>
    <row r="1251" spans="1:7" x14ac:dyDescent="0.25">
      <c r="A1251" s="88">
        <v>26</v>
      </c>
      <c r="B1251" s="88">
        <v>37</v>
      </c>
      <c r="C1251" s="97">
        <f>SUMIFS(Input!$C$115:$C$3257,Input!$A$115:$A$3257,"="&amp;'Output - County'!A1251,Input!$B$115:$B$3257,"="&amp;'Output - County'!B1251)*VLOOKUP(A1251,'Output - State'!$B$2:$G$52,2,FALSE)</f>
        <v>47.546570198964659</v>
      </c>
      <c r="D1251" s="98">
        <f>SUMIFS(Input!$C$115:$C$3257,Input!$A$115:$A$3257,"="&amp;'Output - County'!A1251,Input!$B$115:$B$3257,"="&amp;'Output - County'!B1251)*VLOOKUP(A1251,'Output - State'!$B$2:$G$52,3,FALSE)</f>
        <v>0.21089607550938713</v>
      </c>
      <c r="E1251" s="98">
        <f>SUMIFS(Input!$C$115:$C$3257,Input!$A$115:$A$3257,"="&amp;'Output - County'!A1251,Input!$B$115:$B$3257,"="&amp;'Output - County'!B1251)*VLOOKUP(A1251,'Output - State'!$B$2:$G$52,4,FALSE)</f>
        <v>40.62710740154025</v>
      </c>
      <c r="F1251" s="98">
        <f>SUMIFS(Input!$C$115:$C$3257,Input!$A$115:$A$3257,"="&amp;'Output - County'!A1251,Input!$B$115:$B$3257,"="&amp;'Output - County'!B1251)*VLOOKUP(A1251,'Output - State'!$B$2:$G$52,5,FALSE)</f>
        <v>133.20473222545675</v>
      </c>
      <c r="G1251" s="99">
        <f>SUMIFS(Input!$D$115:$D$3257,Input!$A$115:$A$3257,"="&amp;'Output - County'!A1251,Input!$B$115:$B$3257,"="&amp;'Output - County'!B1251)*VLOOKUP(A1251,'Output - State'!$B$2:$G$52,6,FALSE)</f>
        <v>14.101447149000302</v>
      </c>
    </row>
    <row r="1252" spans="1:7" x14ac:dyDescent="0.25">
      <c r="A1252" s="88">
        <v>26</v>
      </c>
      <c r="B1252" s="88">
        <v>39</v>
      </c>
      <c r="C1252" s="97">
        <f>SUMIFS(Input!$C$115:$C$3257,Input!$A$115:$A$3257,"="&amp;'Output - County'!A1252,Input!$B$115:$B$3257,"="&amp;'Output - County'!B1252)*VLOOKUP(A1252,'Output - State'!$B$2:$G$52,2,FALSE)</f>
        <v>14.170454530726847</v>
      </c>
      <c r="D1252" s="98">
        <f>SUMIFS(Input!$C$115:$C$3257,Input!$A$115:$A$3257,"="&amp;'Output - County'!A1252,Input!$B$115:$B$3257,"="&amp;'Output - County'!B1252)*VLOOKUP(A1252,'Output - State'!$B$2:$G$52,3,FALSE)</f>
        <v>6.2854023670030804E-2</v>
      </c>
      <c r="E1252" s="98">
        <f>SUMIFS(Input!$C$115:$C$3257,Input!$A$115:$A$3257,"="&amp;'Output - County'!A1252,Input!$B$115:$B$3257,"="&amp;'Output - County'!B1252)*VLOOKUP(A1252,'Output - State'!$B$2:$G$52,4,FALSE)</f>
        <v>12.108225172486119</v>
      </c>
      <c r="F1252" s="98">
        <f>SUMIFS(Input!$C$115:$C$3257,Input!$A$115:$A$3257,"="&amp;'Output - County'!A1252,Input!$B$115:$B$3257,"="&amp;'Output - County'!B1252)*VLOOKUP(A1252,'Output - State'!$B$2:$G$52,5,FALSE)</f>
        <v>39.699427180124601</v>
      </c>
      <c r="G1252" s="99">
        <f>SUMIFS(Input!$D$115:$D$3257,Input!$A$115:$A$3257,"="&amp;'Output - County'!A1252,Input!$B$115:$B$3257,"="&amp;'Output - County'!B1252)*VLOOKUP(A1252,'Output - State'!$B$2:$G$52,6,FALSE)</f>
        <v>2.4748751940795986</v>
      </c>
    </row>
    <row r="1253" spans="1:7" x14ac:dyDescent="0.25">
      <c r="A1253" s="88">
        <v>26</v>
      </c>
      <c r="B1253" s="88">
        <v>41</v>
      </c>
      <c r="C1253" s="97">
        <f>SUMIFS(Input!$C$115:$C$3257,Input!$A$115:$A$3257,"="&amp;'Output - County'!A1253,Input!$B$115:$B$3257,"="&amp;'Output - County'!B1253)*VLOOKUP(A1253,'Output - State'!$B$2:$G$52,2,FALSE)</f>
        <v>13.021105224777298</v>
      </c>
      <c r="D1253" s="98">
        <f>SUMIFS(Input!$C$115:$C$3257,Input!$A$115:$A$3257,"="&amp;'Output - County'!A1253,Input!$B$115:$B$3257,"="&amp;'Output - County'!B1253)*VLOOKUP(A1253,'Output - State'!$B$2:$G$52,3,FALSE)</f>
        <v>5.7756005937103429E-2</v>
      </c>
      <c r="E1253" s="98">
        <f>SUMIFS(Input!$C$115:$C$3257,Input!$A$115:$A$3257,"="&amp;'Output - County'!A1253,Input!$B$115:$B$3257,"="&amp;'Output - County'!B1253)*VLOOKUP(A1253,'Output - State'!$B$2:$G$52,4,FALSE)</f>
        <v>11.126140923311088</v>
      </c>
      <c r="F1253" s="98">
        <f>SUMIFS(Input!$C$115:$C$3257,Input!$A$115:$A$3257,"="&amp;'Output - County'!A1253,Input!$B$115:$B$3257,"="&amp;'Output - County'!B1253)*VLOOKUP(A1253,'Output - State'!$B$2:$G$52,5,FALSE)</f>
        <v>36.479452197873236</v>
      </c>
      <c r="G1253" s="99">
        <f>SUMIFS(Input!$D$115:$D$3257,Input!$A$115:$A$3257,"="&amp;'Output - County'!A1253,Input!$B$115:$B$3257,"="&amp;'Output - County'!B1253)*VLOOKUP(A1253,'Output - State'!$B$2:$G$52,6,FALSE)</f>
        <v>6.3741389890683182</v>
      </c>
    </row>
    <row r="1254" spans="1:7" x14ac:dyDescent="0.25">
      <c r="A1254" s="88">
        <v>26</v>
      </c>
      <c r="B1254" s="88">
        <v>43</v>
      </c>
      <c r="C1254" s="97">
        <f>SUMIFS(Input!$C$115:$C$3257,Input!$A$115:$A$3257,"="&amp;'Output - County'!A1254,Input!$B$115:$B$3257,"="&amp;'Output - County'!B1254)*VLOOKUP(A1254,'Output - State'!$B$2:$G$52,2,FALSE)</f>
        <v>7.4614311844168784</v>
      </c>
      <c r="D1254" s="98">
        <f>SUMIFS(Input!$C$115:$C$3257,Input!$A$115:$A$3257,"="&amp;'Output - County'!A1254,Input!$B$115:$B$3257,"="&amp;'Output - County'!B1254)*VLOOKUP(A1254,'Output - State'!$B$2:$G$52,3,FALSE)</f>
        <v>3.3095690138994362E-2</v>
      </c>
      <c r="E1254" s="98">
        <f>SUMIFS(Input!$C$115:$C$3257,Input!$A$115:$A$3257,"="&amp;'Output - County'!A1254,Input!$B$115:$B$3257,"="&amp;'Output - County'!B1254)*VLOOKUP(A1254,'Output - State'!$B$2:$G$52,4,FALSE)</f>
        <v>6.3755674663807209</v>
      </c>
      <c r="F1254" s="98">
        <f>SUMIFS(Input!$C$115:$C$3257,Input!$A$115:$A$3257,"="&amp;'Output - County'!A1254,Input!$B$115:$B$3257,"="&amp;'Output - County'!B1254)*VLOOKUP(A1254,'Output - State'!$B$2:$G$52,5,FALSE)</f>
        <v>20.903672731383793</v>
      </c>
      <c r="G1254" s="99">
        <f>SUMIFS(Input!$D$115:$D$3257,Input!$A$115:$A$3257,"="&amp;'Output - County'!A1254,Input!$B$115:$B$3257,"="&amp;'Output - County'!B1254)*VLOOKUP(A1254,'Output - State'!$B$2:$G$52,6,FALSE)</f>
        <v>4.5224338078864603</v>
      </c>
    </row>
    <row r="1255" spans="1:7" x14ac:dyDescent="0.25">
      <c r="A1255" s="88">
        <v>26</v>
      </c>
      <c r="B1255" s="88">
        <v>45</v>
      </c>
      <c r="C1255" s="97">
        <f>SUMIFS(Input!$C$115:$C$3257,Input!$A$115:$A$3257,"="&amp;'Output - County'!A1255,Input!$B$115:$B$3257,"="&amp;'Output - County'!B1255)*VLOOKUP(A1255,'Output - State'!$B$2:$G$52,2,FALSE)</f>
        <v>50.093832647689624</v>
      </c>
      <c r="D1255" s="98">
        <f>SUMIFS(Input!$C$115:$C$3257,Input!$A$115:$A$3257,"="&amp;'Output - County'!A1255,Input!$B$115:$B$3257,"="&amp;'Output - County'!B1255)*VLOOKUP(A1255,'Output - State'!$B$2:$G$52,3,FALSE)</f>
        <v>0.22219463293383462</v>
      </c>
      <c r="E1255" s="98">
        <f>SUMIFS(Input!$C$115:$C$3257,Input!$A$115:$A$3257,"="&amp;'Output - County'!A1255,Input!$B$115:$B$3257,"="&amp;'Output - County'!B1255)*VLOOKUP(A1255,'Output - State'!$B$2:$G$52,4,FALSE)</f>
        <v>42.803666186983691</v>
      </c>
      <c r="F1255" s="98">
        <f>SUMIFS(Input!$C$115:$C$3257,Input!$A$115:$A$3257,"="&amp;'Output - County'!A1255,Input!$B$115:$B$3257,"="&amp;'Output - County'!B1255)*VLOOKUP(A1255,'Output - State'!$B$2:$G$52,5,FALSE)</f>
        <v>140.34104954488683</v>
      </c>
      <c r="G1255" s="99">
        <f>SUMIFS(Input!$D$115:$D$3257,Input!$A$115:$A$3257,"="&amp;'Output - County'!A1255,Input!$B$115:$B$3257,"="&amp;'Output - County'!B1255)*VLOOKUP(A1255,'Output - State'!$B$2:$G$52,6,FALSE)</f>
        <v>19.58534326250042</v>
      </c>
    </row>
    <row r="1256" spans="1:7" x14ac:dyDescent="0.25">
      <c r="A1256" s="88">
        <v>26</v>
      </c>
      <c r="B1256" s="88">
        <v>47</v>
      </c>
      <c r="C1256" s="97">
        <f>SUMIFS(Input!$C$115:$C$3257,Input!$A$115:$A$3257,"="&amp;'Output - County'!A1256,Input!$B$115:$B$3257,"="&amp;'Output - County'!B1256)*VLOOKUP(A1256,'Output - State'!$B$2:$G$52,2,FALSE)</f>
        <v>12.270250748175023</v>
      </c>
      <c r="D1256" s="98">
        <f>SUMIFS(Input!$C$115:$C$3257,Input!$A$115:$A$3257,"="&amp;'Output - County'!A1256,Input!$B$115:$B$3257,"="&amp;'Output - County'!B1256)*VLOOKUP(A1256,'Output - State'!$B$2:$G$52,3,FALSE)</f>
        <v>5.4425539370715377E-2</v>
      </c>
      <c r="E1256" s="98">
        <f>SUMIFS(Input!$C$115:$C$3257,Input!$A$115:$A$3257,"="&amp;'Output - County'!A1256,Input!$B$115:$B$3257,"="&amp;'Output - County'!B1256)*VLOOKUP(A1256,'Output - State'!$B$2:$G$52,4,FALSE)</f>
        <v>10.484558463499672</v>
      </c>
      <c r="F1256" s="98">
        <f>SUMIFS(Input!$C$115:$C$3257,Input!$A$115:$A$3257,"="&amp;'Output - County'!A1256,Input!$B$115:$B$3257,"="&amp;'Output - County'!B1256)*VLOOKUP(A1256,'Output - State'!$B$2:$G$52,5,FALSE)</f>
        <v>34.375885756013055</v>
      </c>
      <c r="G1256" s="99">
        <f>SUMIFS(Input!$D$115:$D$3257,Input!$A$115:$A$3257,"="&amp;'Output - County'!A1256,Input!$B$115:$B$3257,"="&amp;'Output - County'!B1256)*VLOOKUP(A1256,'Output - State'!$B$2:$G$52,6,FALSE)</f>
        <v>5.9112126937728542</v>
      </c>
    </row>
    <row r="1257" spans="1:7" x14ac:dyDescent="0.25">
      <c r="A1257" s="88">
        <v>26</v>
      </c>
      <c r="B1257" s="88">
        <v>49</v>
      </c>
      <c r="C1257" s="97">
        <f>SUMIFS(Input!$C$115:$C$3257,Input!$A$115:$A$3257,"="&amp;'Output - County'!A1257,Input!$B$115:$B$3257,"="&amp;'Output - County'!B1257)*VLOOKUP(A1257,'Output - State'!$B$2:$G$52,2,FALSE)</f>
        <v>168.66872589439078</v>
      </c>
      <c r="D1257" s="98">
        <f>SUMIFS(Input!$C$115:$C$3257,Input!$A$115:$A$3257,"="&amp;'Output - County'!A1257,Input!$B$115:$B$3257,"="&amp;'Output - County'!B1257)*VLOOKUP(A1257,'Output - State'!$B$2:$G$52,3,FALSE)</f>
        <v>0.74814171039975741</v>
      </c>
      <c r="E1257" s="98">
        <f>SUMIFS(Input!$C$115:$C$3257,Input!$A$115:$A$3257,"="&amp;'Output - County'!A1257,Input!$B$115:$B$3257,"="&amp;'Output - County'!B1257)*VLOOKUP(A1257,'Output - State'!$B$2:$G$52,4,FALSE)</f>
        <v>144.12232919256041</v>
      </c>
      <c r="F1257" s="98">
        <f>SUMIFS(Input!$C$115:$C$3257,Input!$A$115:$A$3257,"="&amp;'Output - County'!A1257,Input!$B$115:$B$3257,"="&amp;'Output - County'!B1257)*VLOOKUP(A1257,'Output - State'!$B$2:$G$52,5,FALSE)</f>
        <v>472.53613401667656</v>
      </c>
      <c r="G1257" s="99">
        <f>SUMIFS(Input!$D$115:$D$3257,Input!$A$115:$A$3257,"="&amp;'Output - County'!A1257,Input!$B$115:$B$3257,"="&amp;'Output - County'!B1257)*VLOOKUP(A1257,'Output - State'!$B$2:$G$52,6,FALSE)</f>
        <v>72.465770071251555</v>
      </c>
    </row>
    <row r="1258" spans="1:7" x14ac:dyDescent="0.25">
      <c r="A1258" s="88">
        <v>26</v>
      </c>
      <c r="B1258" s="88">
        <v>51</v>
      </c>
      <c r="C1258" s="97">
        <f>SUMIFS(Input!$C$115:$C$3257,Input!$A$115:$A$3257,"="&amp;'Output - County'!A1258,Input!$B$115:$B$3257,"="&amp;'Output - County'!B1258)*VLOOKUP(A1258,'Output - State'!$B$2:$G$52,2,FALSE)</f>
        <v>5.8859417732056105</v>
      </c>
      <c r="D1258" s="98">
        <f>SUMIFS(Input!$C$115:$C$3257,Input!$A$115:$A$3257,"="&amp;'Output - County'!A1258,Input!$B$115:$B$3257,"="&amp;'Output - County'!B1258)*VLOOKUP(A1258,'Output - State'!$B$2:$G$52,3,FALSE)</f>
        <v>2.6107498720756444E-2</v>
      </c>
      <c r="E1258" s="98">
        <f>SUMIFS(Input!$C$115:$C$3257,Input!$A$115:$A$3257,"="&amp;'Output - County'!A1258,Input!$B$115:$B$3257,"="&amp;'Output - County'!B1258)*VLOOKUP(A1258,'Output - State'!$B$2:$G$52,4,FALSE)</f>
        <v>5.0293593749995393</v>
      </c>
      <c r="F1258" s="98">
        <f>SUMIFS(Input!$C$115:$C$3257,Input!$A$115:$A$3257,"="&amp;'Output - County'!A1258,Input!$B$115:$B$3257,"="&amp;'Output - County'!B1258)*VLOOKUP(A1258,'Output - State'!$B$2:$G$52,5,FALSE)</f>
        <v>16.4898392147654</v>
      </c>
      <c r="G1258" s="99">
        <f>SUMIFS(Input!$D$115:$D$3257,Input!$A$115:$A$3257,"="&amp;'Output - County'!A1258,Input!$B$115:$B$3257,"="&amp;'Output - County'!B1258)*VLOOKUP(A1258,'Output - State'!$B$2:$G$52,6,FALSE)</f>
        <v>4.5046289503750963</v>
      </c>
    </row>
    <row r="1259" spans="1:7" x14ac:dyDescent="0.25">
      <c r="A1259" s="88">
        <v>26</v>
      </c>
      <c r="B1259" s="88">
        <v>53</v>
      </c>
      <c r="C1259" s="97">
        <f>SUMIFS(Input!$C$115:$C$3257,Input!$A$115:$A$3257,"="&amp;'Output - County'!A1259,Input!$B$115:$B$3257,"="&amp;'Output - County'!B1259)*VLOOKUP(A1259,'Output - State'!$B$2:$G$52,2,FALSE)</f>
        <v>4.1955749676136609</v>
      </c>
      <c r="D1259" s="98">
        <f>SUMIFS(Input!$C$115:$C$3257,Input!$A$115:$A$3257,"="&amp;'Output - County'!A1259,Input!$B$115:$B$3257,"="&amp;'Output - County'!B1259)*VLOOKUP(A1259,'Output - State'!$B$2:$G$52,3,FALSE)</f>
        <v>1.8609760735053243E-2</v>
      </c>
      <c r="E1259" s="98">
        <f>SUMIFS(Input!$C$115:$C$3257,Input!$A$115:$A$3257,"="&amp;'Output - County'!A1259,Input!$B$115:$B$3257,"="&amp;'Output - County'!B1259)*VLOOKUP(A1259,'Output - State'!$B$2:$G$52,4,FALSE)</f>
        <v>3.5849920216572353</v>
      </c>
      <c r="F1259" s="98">
        <f>SUMIFS(Input!$C$115:$C$3257,Input!$A$115:$A$3257,"="&amp;'Output - County'!A1259,Input!$B$115:$B$3257,"="&amp;'Output - County'!B1259)*VLOOKUP(A1259,'Output - State'!$B$2:$G$52,5,FALSE)</f>
        <v>11.754169391275601</v>
      </c>
      <c r="G1259" s="99">
        <f>SUMIFS(Input!$D$115:$D$3257,Input!$A$115:$A$3257,"="&amp;'Output - County'!A1259,Input!$B$115:$B$3257,"="&amp;'Output - County'!B1259)*VLOOKUP(A1259,'Output - State'!$B$2:$G$52,6,FALSE)</f>
        <v>2.6885334842159665</v>
      </c>
    </row>
    <row r="1260" spans="1:7" x14ac:dyDescent="0.25">
      <c r="A1260" s="88">
        <v>26</v>
      </c>
      <c r="B1260" s="88">
        <v>55</v>
      </c>
      <c r="C1260" s="97">
        <f>SUMIFS(Input!$C$115:$C$3257,Input!$A$115:$A$3257,"="&amp;'Output - County'!A1260,Input!$B$115:$B$3257,"="&amp;'Output - County'!B1260)*VLOOKUP(A1260,'Output - State'!$B$2:$G$52,2,FALSE)</f>
        <v>32.633548024428038</v>
      </c>
      <c r="D1260" s="98">
        <f>SUMIFS(Input!$C$115:$C$3257,Input!$A$115:$A$3257,"="&amp;'Output - County'!A1260,Input!$B$115:$B$3257,"="&amp;'Output - County'!B1260)*VLOOKUP(A1260,'Output - State'!$B$2:$G$52,3,FALSE)</f>
        <v>0.14474834208859191</v>
      </c>
      <c r="E1260" s="98">
        <f>SUMIFS(Input!$C$115:$C$3257,Input!$A$115:$A$3257,"="&amp;'Output - County'!A1260,Input!$B$115:$B$3257,"="&amp;'Output - County'!B1260)*VLOOKUP(A1260,'Output - State'!$B$2:$G$52,4,FALSE)</f>
        <v>27.88438061743998</v>
      </c>
      <c r="F1260" s="98">
        <f>SUMIFS(Input!$C$115:$C$3257,Input!$A$115:$A$3257,"="&amp;'Output - County'!A1260,Input!$B$115:$B$3257,"="&amp;'Output - County'!B1260)*VLOOKUP(A1260,'Output - State'!$B$2:$G$52,5,FALSE)</f>
        <v>91.424954691162469</v>
      </c>
      <c r="G1260" s="99">
        <f>SUMIFS(Input!$D$115:$D$3257,Input!$A$115:$A$3257,"="&amp;'Output - County'!A1260,Input!$B$115:$B$3257,"="&amp;'Output - County'!B1260)*VLOOKUP(A1260,'Output - State'!$B$2:$G$52,6,FALSE)</f>
        <v>16.469493198011715</v>
      </c>
    </row>
    <row r="1261" spans="1:7" x14ac:dyDescent="0.25">
      <c r="A1261" s="88">
        <v>26</v>
      </c>
      <c r="B1261" s="88">
        <v>57</v>
      </c>
      <c r="C1261" s="97">
        <f>SUMIFS(Input!$C$115:$C$3257,Input!$A$115:$A$3257,"="&amp;'Output - County'!A1261,Input!$B$115:$B$3257,"="&amp;'Output - County'!B1261)*VLOOKUP(A1261,'Output - State'!$B$2:$G$52,2,FALSE)</f>
        <v>18.516473266544683</v>
      </c>
      <c r="D1261" s="98">
        <f>SUMIFS(Input!$C$115:$C$3257,Input!$A$115:$A$3257,"="&amp;'Output - County'!A1261,Input!$B$115:$B$3257,"="&amp;'Output - County'!B1261)*VLOOKUP(A1261,'Output - State'!$B$2:$G$52,3,FALSE)</f>
        <v>8.2131088064766225E-2</v>
      </c>
      <c r="E1261" s="98">
        <f>SUMIFS(Input!$C$115:$C$3257,Input!$A$115:$A$3257,"="&amp;'Output - County'!A1261,Input!$B$115:$B$3257,"="&amp;'Output - County'!B1261)*VLOOKUP(A1261,'Output - State'!$B$2:$G$52,4,FALSE)</f>
        <v>15.821766847738695</v>
      </c>
      <c r="F1261" s="98">
        <f>SUMIFS(Input!$C$115:$C$3257,Input!$A$115:$A$3257,"="&amp;'Output - County'!A1261,Input!$B$115:$B$3257,"="&amp;'Output - County'!B1261)*VLOOKUP(A1261,'Output - State'!$B$2:$G$52,5,FALSE)</f>
        <v>51.875074330463931</v>
      </c>
      <c r="G1261" s="99">
        <f>SUMIFS(Input!$D$115:$D$3257,Input!$A$115:$A$3257,"="&amp;'Output - County'!A1261,Input!$B$115:$B$3257,"="&amp;'Output - County'!B1261)*VLOOKUP(A1261,'Output - State'!$B$2:$G$52,6,FALSE)</f>
        <v>7.2287721496137909</v>
      </c>
    </row>
    <row r="1262" spans="1:7" x14ac:dyDescent="0.25">
      <c r="A1262" s="88">
        <v>26</v>
      </c>
      <c r="B1262" s="88">
        <v>59</v>
      </c>
      <c r="C1262" s="97">
        <f>SUMIFS(Input!$C$115:$C$3257,Input!$A$115:$A$3257,"="&amp;'Output - County'!A1262,Input!$B$115:$B$3257,"="&amp;'Output - County'!B1262)*VLOOKUP(A1262,'Output - State'!$B$2:$G$52,2,FALSE)</f>
        <v>11.271848104504899</v>
      </c>
      <c r="D1262" s="98">
        <f>SUMIFS(Input!$C$115:$C$3257,Input!$A$115:$A$3257,"="&amp;'Output - County'!A1262,Input!$B$115:$B$3257,"="&amp;'Output - County'!B1262)*VLOOKUP(A1262,'Output - State'!$B$2:$G$52,3,FALSE)</f>
        <v>4.9997055918657433E-2</v>
      </c>
      <c r="E1262" s="98">
        <f>SUMIFS(Input!$C$115:$C$3257,Input!$A$115:$A$3257,"="&amp;'Output - County'!A1262,Input!$B$115:$B$3257,"="&amp;'Output - County'!B1262)*VLOOKUP(A1262,'Output - State'!$B$2:$G$52,4,FALSE)</f>
        <v>9.6314535757100792</v>
      </c>
      <c r="F1262" s="98">
        <f>SUMIFS(Input!$C$115:$C$3257,Input!$A$115:$A$3257,"="&amp;'Output - County'!A1262,Input!$B$115:$B$3257,"="&amp;'Output - County'!B1262)*VLOOKUP(A1262,'Output - State'!$B$2:$G$52,5,FALSE)</f>
        <v>31.578797422475112</v>
      </c>
      <c r="G1262" s="99">
        <f>SUMIFS(Input!$D$115:$D$3257,Input!$A$115:$A$3257,"="&amp;'Output - County'!A1262,Input!$B$115:$B$3257,"="&amp;'Output - County'!B1262)*VLOOKUP(A1262,'Output - State'!$B$2:$G$52,6,FALSE)</f>
        <v>8.1368198826933558</v>
      </c>
    </row>
    <row r="1263" spans="1:7" x14ac:dyDescent="0.25">
      <c r="A1263" s="88">
        <v>26</v>
      </c>
      <c r="B1263" s="88">
        <v>61</v>
      </c>
      <c r="C1263" s="97">
        <f>SUMIFS(Input!$C$115:$C$3257,Input!$A$115:$A$3257,"="&amp;'Output - County'!A1263,Input!$B$115:$B$3257,"="&amp;'Output - County'!B1263)*VLOOKUP(A1263,'Output - State'!$B$2:$G$52,2,FALSE)</f>
        <v>8.8344309668189176</v>
      </c>
      <c r="D1263" s="98">
        <f>SUMIFS(Input!$C$115:$C$3257,Input!$A$115:$A$3257,"="&amp;'Output - County'!A1263,Input!$B$115:$B$3257,"="&amp;'Output - County'!B1263)*VLOOKUP(A1263,'Output - State'!$B$2:$G$52,3,FALSE)</f>
        <v>3.9185724910632581E-2</v>
      </c>
      <c r="E1263" s="98">
        <f>SUMIFS(Input!$C$115:$C$3257,Input!$A$115:$A$3257,"="&amp;'Output - County'!A1263,Input!$B$115:$B$3257,"="&amp;'Output - County'!B1263)*VLOOKUP(A1263,'Output - State'!$B$2:$G$52,4,FALSE)</f>
        <v>7.5487542890793149</v>
      </c>
      <c r="F1263" s="98">
        <f>SUMIFS(Input!$C$115:$C$3257,Input!$A$115:$A$3257,"="&amp;'Output - County'!A1263,Input!$B$115:$B$3257,"="&amp;'Output - County'!B1263)*VLOOKUP(A1263,'Output - State'!$B$2:$G$52,5,FALSE)</f>
        <v>24.750218709256586</v>
      </c>
      <c r="G1263" s="99">
        <f>SUMIFS(Input!$D$115:$D$3257,Input!$A$115:$A$3257,"="&amp;'Output - County'!A1263,Input!$B$115:$B$3257,"="&amp;'Output - County'!B1263)*VLOOKUP(A1263,'Output - State'!$B$2:$G$52,6,FALSE)</f>
        <v>6.3919438465796823</v>
      </c>
    </row>
    <row r="1264" spans="1:7" x14ac:dyDescent="0.25">
      <c r="A1264" s="88">
        <v>26</v>
      </c>
      <c r="B1264" s="88">
        <v>63</v>
      </c>
      <c r="C1264" s="97">
        <f>SUMIFS(Input!$C$115:$C$3257,Input!$A$115:$A$3257,"="&amp;'Output - County'!A1264,Input!$B$115:$B$3257,"="&amp;'Output - County'!B1264)*VLOOKUP(A1264,'Output - State'!$B$2:$G$52,2,FALSE)</f>
        <v>8.3741505342597655</v>
      </c>
      <c r="D1264" s="98">
        <f>SUMIFS(Input!$C$115:$C$3257,Input!$A$115:$A$3257,"="&amp;'Output - County'!A1264,Input!$B$115:$B$3257,"="&amp;'Output - County'!B1264)*VLOOKUP(A1264,'Output - State'!$B$2:$G$52,3,FALSE)</f>
        <v>3.7144119460349193E-2</v>
      </c>
      <c r="E1264" s="98">
        <f>SUMIFS(Input!$C$115:$C$3257,Input!$A$115:$A$3257,"="&amp;'Output - County'!A1264,Input!$B$115:$B$3257,"="&amp;'Output - County'!B1264)*VLOOKUP(A1264,'Output - State'!$B$2:$G$52,4,FALSE)</f>
        <v>7.1554585689010546</v>
      </c>
      <c r="F1264" s="98">
        <f>SUMIFS(Input!$C$115:$C$3257,Input!$A$115:$A$3257,"="&amp;'Output - County'!A1264,Input!$B$115:$B$3257,"="&amp;'Output - County'!B1264)*VLOOKUP(A1264,'Output - State'!$B$2:$G$52,5,FALSE)</f>
        <v>23.460713882492147</v>
      </c>
      <c r="G1264" s="99">
        <f>SUMIFS(Input!$D$115:$D$3257,Input!$A$115:$A$3257,"="&amp;'Output - County'!A1264,Input!$B$115:$B$3257,"="&amp;'Output - County'!B1264)*VLOOKUP(A1264,'Output - State'!$B$2:$G$52,6,FALSE)</f>
        <v>5.5551155435455737</v>
      </c>
    </row>
    <row r="1265" spans="1:7" x14ac:dyDescent="0.25">
      <c r="A1265" s="88">
        <v>26</v>
      </c>
      <c r="B1265" s="88">
        <v>65</v>
      </c>
      <c r="C1265" s="97">
        <f>SUMIFS(Input!$C$115:$C$3257,Input!$A$115:$A$3257,"="&amp;'Output - County'!A1265,Input!$B$115:$B$3257,"="&amp;'Output - County'!B1265)*VLOOKUP(A1265,'Output - State'!$B$2:$G$52,2,FALSE)</f>
        <v>94.288526377748838</v>
      </c>
      <c r="D1265" s="98">
        <f>SUMIFS(Input!$C$115:$C$3257,Input!$A$115:$A$3257,"="&amp;'Output - County'!A1265,Input!$B$115:$B$3257,"="&amp;'Output - County'!B1265)*VLOOKUP(A1265,'Output - State'!$B$2:$G$52,3,FALSE)</f>
        <v>0.41822323030702141</v>
      </c>
      <c r="E1265" s="98">
        <f>SUMIFS(Input!$C$115:$C$3257,Input!$A$115:$A$3257,"="&amp;'Output - County'!A1265,Input!$B$115:$B$3257,"="&amp;'Output - County'!B1265)*VLOOKUP(A1265,'Output - State'!$B$2:$G$52,4,FALSE)</f>
        <v>80.566696437867918</v>
      </c>
      <c r="F1265" s="98">
        <f>SUMIFS(Input!$C$115:$C$3257,Input!$A$115:$A$3257,"="&amp;'Output - County'!A1265,Input!$B$115:$B$3257,"="&amp;'Output - County'!B1265)*VLOOKUP(A1265,'Output - State'!$B$2:$G$52,5,FALSE)</f>
        <v>264.15528723782558</v>
      </c>
      <c r="G1265" s="99">
        <f>SUMIFS(Input!$D$115:$D$3257,Input!$A$115:$A$3257,"="&amp;'Output - County'!A1265,Input!$B$115:$B$3257,"="&amp;'Output - County'!B1265)*VLOOKUP(A1265,'Output - State'!$B$2:$G$52,6,FALSE)</f>
        <v>51.990183933182934</v>
      </c>
    </row>
    <row r="1266" spans="1:7" x14ac:dyDescent="0.25">
      <c r="A1266" s="88">
        <v>26</v>
      </c>
      <c r="B1266" s="88">
        <v>67</v>
      </c>
      <c r="C1266" s="97">
        <f>SUMIFS(Input!$C$115:$C$3257,Input!$A$115:$A$3257,"="&amp;'Output - County'!A1266,Input!$B$115:$B$3257,"="&amp;'Output - County'!B1266)*VLOOKUP(A1266,'Output - State'!$B$2:$G$52,2,FALSE)</f>
        <v>32.475222371558722</v>
      </c>
      <c r="D1266" s="98">
        <f>SUMIFS(Input!$C$115:$C$3257,Input!$A$115:$A$3257,"="&amp;'Output - County'!A1266,Input!$B$115:$B$3257,"="&amp;'Output - County'!B1266)*VLOOKUP(A1266,'Output - State'!$B$2:$G$52,3,FALSE)</f>
        <v>0.1440460777884989</v>
      </c>
      <c r="E1266" s="98">
        <f>SUMIFS(Input!$C$115:$C$3257,Input!$A$115:$A$3257,"="&amp;'Output - County'!A1266,Input!$B$115:$B$3257,"="&amp;'Output - County'!B1266)*VLOOKUP(A1266,'Output - State'!$B$2:$G$52,4,FALSE)</f>
        <v>27.749096131584878</v>
      </c>
      <c r="F1266" s="98">
        <f>SUMIFS(Input!$C$115:$C$3257,Input!$A$115:$A$3257,"="&amp;'Output - County'!A1266,Input!$B$115:$B$3257,"="&amp;'Output - County'!B1266)*VLOOKUP(A1266,'Output - State'!$B$2:$G$52,5,FALSE)</f>
        <v>90.981395332272342</v>
      </c>
      <c r="G1266" s="99">
        <f>SUMIFS(Input!$D$115:$D$3257,Input!$A$115:$A$3257,"="&amp;'Output - County'!A1266,Input!$B$115:$B$3257,"="&amp;'Output - County'!B1266)*VLOOKUP(A1266,'Output - State'!$B$2:$G$52,6,FALSE)</f>
        <v>11.448523379807064</v>
      </c>
    </row>
    <row r="1267" spans="1:7" x14ac:dyDescent="0.25">
      <c r="A1267" s="88">
        <v>26</v>
      </c>
      <c r="B1267" s="88">
        <v>69</v>
      </c>
      <c r="C1267" s="97">
        <f>SUMIFS(Input!$C$115:$C$3257,Input!$A$115:$A$3257,"="&amp;'Output - County'!A1267,Input!$B$115:$B$3257,"="&amp;'Output - County'!B1267)*VLOOKUP(A1267,'Output - State'!$B$2:$G$52,2,FALSE)</f>
        <v>8.1238564817691969</v>
      </c>
      <c r="D1267" s="98">
        <f>SUMIFS(Input!$C$115:$C$3257,Input!$A$115:$A$3257,"="&amp;'Output - County'!A1267,Input!$B$115:$B$3257,"="&amp;'Output - County'!B1267)*VLOOKUP(A1267,'Output - State'!$B$2:$G$52,3,FALSE)</f>
        <v>3.6033923011421082E-2</v>
      </c>
      <c r="E1267" s="98">
        <f>SUMIFS(Input!$C$115:$C$3257,Input!$A$115:$A$3257,"="&amp;'Output - County'!A1267,Input!$B$115:$B$3257,"="&amp;'Output - County'!B1267)*VLOOKUP(A1267,'Output - State'!$B$2:$G$52,4,FALSE)</f>
        <v>6.9415898648084395</v>
      </c>
      <c r="F1267" s="98">
        <f>SUMIFS(Input!$C$115:$C$3257,Input!$A$115:$A$3257,"="&amp;'Output - County'!A1267,Input!$B$115:$B$3257,"="&amp;'Output - County'!B1267)*VLOOKUP(A1267,'Output - State'!$B$2:$G$52,5,FALSE)</f>
        <v>22.759499218634929</v>
      </c>
      <c r="G1267" s="99">
        <f>SUMIFS(Input!$D$115:$D$3257,Input!$A$115:$A$3257,"="&amp;'Output - County'!A1267,Input!$B$115:$B$3257,"="&amp;'Output - County'!B1267)*VLOOKUP(A1267,'Output - State'!$B$2:$G$52,6,FALSE)</f>
        <v>4.4690192353523681</v>
      </c>
    </row>
    <row r="1268" spans="1:7" x14ac:dyDescent="0.25">
      <c r="A1268" s="88">
        <v>26</v>
      </c>
      <c r="B1268" s="88">
        <v>71</v>
      </c>
      <c r="C1268" s="97">
        <f>SUMIFS(Input!$C$115:$C$3257,Input!$A$115:$A$3257,"="&amp;'Output - County'!A1268,Input!$B$115:$B$3257,"="&amp;'Output - County'!B1268)*VLOOKUP(A1268,'Output - State'!$B$2:$G$52,2,FALSE)</f>
        <v>3.3652484870996497</v>
      </c>
      <c r="D1268" s="98">
        <f>SUMIFS(Input!$C$115:$C$3257,Input!$A$115:$A$3257,"="&amp;'Output - County'!A1268,Input!$B$115:$B$3257,"="&amp;'Output - County'!B1268)*VLOOKUP(A1268,'Output - State'!$B$2:$G$52,3,FALSE)</f>
        <v>1.4926790640698471E-2</v>
      </c>
      <c r="E1268" s="98">
        <f>SUMIFS(Input!$C$115:$C$3257,Input!$A$115:$A$3257,"="&amp;'Output - County'!A1268,Input!$B$115:$B$3257,"="&amp;'Output - County'!B1268)*VLOOKUP(A1268,'Output - State'!$B$2:$G$52,4,FALSE)</f>
        <v>2.8755031361072905</v>
      </c>
      <c r="F1268" s="98">
        <f>SUMIFS(Input!$C$115:$C$3257,Input!$A$115:$A$3257,"="&amp;'Output - County'!A1268,Input!$B$115:$B$3257,"="&amp;'Output - County'!B1268)*VLOOKUP(A1268,'Output - State'!$B$2:$G$52,5,FALSE)</f>
        <v>9.4279570896576139</v>
      </c>
      <c r="G1268" s="99">
        <f>SUMIFS(Input!$D$115:$D$3257,Input!$A$115:$A$3257,"="&amp;'Output - County'!A1268,Input!$B$115:$B$3257,"="&amp;'Output - County'!B1268)*VLOOKUP(A1268,'Output - State'!$B$2:$G$52,6,FALSE)</f>
        <v>1.9763391837614059</v>
      </c>
    </row>
    <row r="1269" spans="1:7" x14ac:dyDescent="0.25">
      <c r="A1269" s="88">
        <v>26</v>
      </c>
      <c r="B1269" s="88">
        <v>73</v>
      </c>
      <c r="C1269" s="97">
        <f>SUMIFS(Input!$C$115:$C$3257,Input!$A$115:$A$3257,"="&amp;'Output - County'!A1269,Input!$B$115:$B$3257,"="&amp;'Output - County'!B1269)*VLOOKUP(A1269,'Output - State'!$B$2:$G$52,2,FALSE)</f>
        <v>27.905440971197535</v>
      </c>
      <c r="D1269" s="98">
        <f>SUMIFS(Input!$C$115:$C$3257,Input!$A$115:$A$3257,"="&amp;'Output - County'!A1269,Input!$B$115:$B$3257,"="&amp;'Output - County'!B1269)*VLOOKUP(A1269,'Output - State'!$B$2:$G$52,3,FALSE)</f>
        <v>0.12377649873707548</v>
      </c>
      <c r="E1269" s="98">
        <f>SUMIFS(Input!$C$115:$C$3257,Input!$A$115:$A$3257,"="&amp;'Output - County'!A1269,Input!$B$115:$B$3257,"="&amp;'Output - County'!B1269)*VLOOKUP(A1269,'Output - State'!$B$2:$G$52,4,FALSE)</f>
        <v>23.84435602147536</v>
      </c>
      <c r="F1269" s="98">
        <f>SUMIFS(Input!$C$115:$C$3257,Input!$A$115:$A$3257,"="&amp;'Output - County'!A1269,Input!$B$115:$B$3257,"="&amp;'Output - County'!B1269)*VLOOKUP(A1269,'Output - State'!$B$2:$G$52,5,FALSE)</f>
        <v>78.178862884259075</v>
      </c>
      <c r="G1269" s="99">
        <f>SUMIFS(Input!$D$115:$D$3257,Input!$A$115:$A$3257,"="&amp;'Output - County'!A1269,Input!$B$115:$B$3257,"="&amp;'Output - County'!B1269)*VLOOKUP(A1269,'Output - State'!$B$2:$G$52,6,FALSE)</f>
        <v>12.552424545511633</v>
      </c>
    </row>
    <row r="1270" spans="1:7" x14ac:dyDescent="0.25">
      <c r="A1270" s="88">
        <v>26</v>
      </c>
      <c r="B1270" s="88">
        <v>75</v>
      </c>
      <c r="C1270" s="97">
        <f>SUMIFS(Input!$C$115:$C$3257,Input!$A$115:$A$3257,"="&amp;'Output - County'!A1270,Input!$B$115:$B$3257,"="&amp;'Output - County'!B1270)*VLOOKUP(A1270,'Output - State'!$B$2:$G$52,2,FALSE)</f>
        <v>64.150837736403503</v>
      </c>
      <c r="D1270" s="98">
        <f>SUMIFS(Input!$C$115:$C$3257,Input!$A$115:$A$3257,"="&amp;'Output - County'!A1270,Input!$B$115:$B$3257,"="&amp;'Output - County'!B1270)*VLOOKUP(A1270,'Output - State'!$B$2:$G$52,3,FALSE)</f>
        <v>0.28454544381713559</v>
      </c>
      <c r="E1270" s="98">
        <f>SUMIFS(Input!$C$115:$C$3257,Input!$A$115:$A$3257,"="&amp;'Output - County'!A1270,Input!$B$115:$B$3257,"="&amp;'Output - County'!B1270)*VLOOKUP(A1270,'Output - State'!$B$2:$G$52,4,FALSE)</f>
        <v>54.814952239654886</v>
      </c>
      <c r="F1270" s="98">
        <f>SUMIFS(Input!$C$115:$C$3257,Input!$A$115:$A$3257,"="&amp;'Output - County'!A1270,Input!$B$115:$B$3257,"="&amp;'Output - County'!B1270)*VLOOKUP(A1270,'Output - State'!$B$2:$G$52,5,FALSE)</f>
        <v>179.72264091727121</v>
      </c>
      <c r="G1270" s="99">
        <f>SUMIFS(Input!$D$115:$D$3257,Input!$A$115:$A$3257,"="&amp;'Output - County'!A1270,Input!$B$115:$B$3257,"="&amp;'Output - County'!B1270)*VLOOKUP(A1270,'Output - State'!$B$2:$G$52,6,FALSE)</f>
        <v>28.309723443068787</v>
      </c>
    </row>
    <row r="1271" spans="1:7" x14ac:dyDescent="0.25">
      <c r="A1271" s="88">
        <v>26</v>
      </c>
      <c r="B1271" s="88">
        <v>77</v>
      </c>
      <c r="C1271" s="97">
        <f>SUMIFS(Input!$C$115:$C$3257,Input!$A$115:$A$3257,"="&amp;'Output - County'!A1271,Input!$B$115:$B$3257,"="&amp;'Output - County'!B1271)*VLOOKUP(A1271,'Output - State'!$B$2:$G$52,2,FALSE)</f>
        <v>101.34535010980332</v>
      </c>
      <c r="D1271" s="98">
        <f>SUMIFS(Input!$C$115:$C$3257,Input!$A$115:$A$3257,"="&amp;'Output - County'!A1271,Input!$B$115:$B$3257,"="&amp;'Output - County'!B1271)*VLOOKUP(A1271,'Output - State'!$B$2:$G$52,3,FALSE)</f>
        <v>0.44952425632054877</v>
      </c>
      <c r="E1271" s="98">
        <f>SUMIFS(Input!$C$115:$C$3257,Input!$A$115:$A$3257,"="&amp;'Output - County'!A1271,Input!$B$115:$B$3257,"="&amp;'Output - County'!B1271)*VLOOKUP(A1271,'Output - State'!$B$2:$G$52,4,FALSE)</f>
        <v>86.596539063239007</v>
      </c>
      <c r="F1271" s="98">
        <f>SUMIFS(Input!$C$115:$C$3257,Input!$A$115:$A$3257,"="&amp;'Output - County'!A1271,Input!$B$115:$B$3257,"="&amp;'Output - County'!B1271)*VLOOKUP(A1271,'Output - State'!$B$2:$G$52,5,FALSE)</f>
        <v>283.92542652772613</v>
      </c>
      <c r="G1271" s="99">
        <f>SUMIFS(Input!$D$115:$D$3257,Input!$A$115:$A$3257,"="&amp;'Output - County'!A1271,Input!$B$115:$B$3257,"="&amp;'Output - County'!B1271)*VLOOKUP(A1271,'Output - State'!$B$2:$G$52,6,FALSE)</f>
        <v>47.182872405114644</v>
      </c>
    </row>
    <row r="1272" spans="1:7" x14ac:dyDescent="0.25">
      <c r="A1272" s="88">
        <v>26</v>
      </c>
      <c r="B1272" s="88">
        <v>79</v>
      </c>
      <c r="C1272" s="97">
        <f>SUMIFS(Input!$C$115:$C$3257,Input!$A$115:$A$3257,"="&amp;'Output - County'!A1272,Input!$B$115:$B$3257,"="&amp;'Output - County'!B1272)*VLOOKUP(A1272,'Output - State'!$B$2:$G$52,2,FALSE)</f>
        <v>7.0643871225265782</v>
      </c>
      <c r="D1272" s="98">
        <f>SUMIFS(Input!$C$115:$C$3257,Input!$A$115:$A$3257,"="&amp;'Output - County'!A1272,Input!$B$115:$B$3257,"="&amp;'Output - County'!B1272)*VLOOKUP(A1272,'Output - State'!$B$2:$G$52,3,FALSE)</f>
        <v>3.1334573951084889E-2</v>
      </c>
      <c r="E1272" s="98">
        <f>SUMIFS(Input!$C$115:$C$3257,Input!$A$115:$A$3257,"="&amp;'Output - County'!A1272,Input!$B$115:$B$3257,"="&amp;'Output - County'!B1272)*VLOOKUP(A1272,'Output - State'!$B$2:$G$52,4,FALSE)</f>
        <v>6.0363053139676266</v>
      </c>
      <c r="F1272" s="98">
        <f>SUMIFS(Input!$C$115:$C$3257,Input!$A$115:$A$3257,"="&amp;'Output - County'!A1272,Input!$B$115:$B$3257,"="&amp;'Output - County'!B1272)*VLOOKUP(A1272,'Output - State'!$B$2:$G$52,5,FALSE)</f>
        <v>19.791328608043496</v>
      </c>
      <c r="G1272" s="99">
        <f>SUMIFS(Input!$D$115:$D$3257,Input!$A$115:$A$3257,"="&amp;'Output - County'!A1272,Input!$B$115:$B$3257,"="&amp;'Output - County'!B1272)*VLOOKUP(A1272,'Output - State'!$B$2:$G$52,6,FALSE)</f>
        <v>3.169264637022795</v>
      </c>
    </row>
    <row r="1273" spans="1:7" x14ac:dyDescent="0.25">
      <c r="A1273" s="88">
        <v>26</v>
      </c>
      <c r="B1273" s="88">
        <v>81</v>
      </c>
      <c r="C1273" s="97">
        <f>SUMIFS(Input!$C$115:$C$3257,Input!$A$115:$A$3257,"="&amp;'Output - County'!A1273,Input!$B$115:$B$3257,"="&amp;'Output - County'!B1273)*VLOOKUP(A1273,'Output - State'!$B$2:$G$52,2,FALSE)</f>
        <v>249.94863329541994</v>
      </c>
      <c r="D1273" s="98">
        <f>SUMIFS(Input!$C$115:$C$3257,Input!$A$115:$A$3257,"="&amp;'Output - County'!A1273,Input!$B$115:$B$3257,"="&amp;'Output - County'!B1273)*VLOOKUP(A1273,'Output - State'!$B$2:$G$52,3,FALSE)</f>
        <v>1.1086643183799372</v>
      </c>
      <c r="E1273" s="98">
        <f>SUMIFS(Input!$C$115:$C$3257,Input!$A$115:$A$3257,"="&amp;'Output - County'!A1273,Input!$B$115:$B$3257,"="&amp;'Output - County'!B1273)*VLOOKUP(A1273,'Output - State'!$B$2:$G$52,4,FALSE)</f>
        <v>213.57355382875431</v>
      </c>
      <c r="F1273" s="98">
        <f>SUMIFS(Input!$C$115:$C$3257,Input!$A$115:$A$3257,"="&amp;'Output - County'!A1273,Input!$B$115:$B$3257,"="&amp;'Output - County'!B1273)*VLOOKUP(A1273,'Output - State'!$B$2:$G$52,5,FALSE)</f>
        <v>700.24695007254775</v>
      </c>
      <c r="G1273" s="99">
        <f>SUMIFS(Input!$D$115:$D$3257,Input!$A$115:$A$3257,"="&amp;'Output - County'!A1273,Input!$B$115:$B$3257,"="&amp;'Output - County'!B1273)*VLOOKUP(A1273,'Output - State'!$B$2:$G$52,6,FALSE)</f>
        <v>116.26571954920703</v>
      </c>
    </row>
    <row r="1274" spans="1:7" x14ac:dyDescent="0.25">
      <c r="A1274" s="88">
        <v>26</v>
      </c>
      <c r="B1274" s="88">
        <v>83</v>
      </c>
      <c r="C1274" s="97">
        <f>SUMIFS(Input!$C$115:$C$3257,Input!$A$115:$A$3257,"="&amp;'Output - County'!A1274,Input!$B$115:$B$3257,"="&amp;'Output - County'!B1274)*VLOOKUP(A1274,'Output - State'!$B$2:$G$52,2,FALSE)</f>
        <v>1.1885686515130622</v>
      </c>
      <c r="D1274" s="98">
        <f>SUMIFS(Input!$C$115:$C$3257,Input!$A$115:$A$3257,"="&amp;'Output - County'!A1274,Input!$B$115:$B$3257,"="&amp;'Output - County'!B1274)*VLOOKUP(A1274,'Output - State'!$B$2:$G$52,3,FALSE)</f>
        <v>5.2719778320213621E-3</v>
      </c>
      <c r="E1274" s="98">
        <f>SUMIFS(Input!$C$115:$C$3257,Input!$A$115:$A$3257,"="&amp;'Output - County'!A1274,Input!$B$115:$B$3257,"="&amp;'Output - County'!B1274)*VLOOKUP(A1274,'Output - State'!$B$2:$G$52,4,FALSE)</f>
        <v>1.0155959947701241</v>
      </c>
      <c r="F1274" s="98">
        <f>SUMIFS(Input!$C$115:$C$3257,Input!$A$115:$A$3257,"="&amp;'Output - County'!A1274,Input!$B$115:$B$3257,"="&amp;'Output - County'!B1274)*VLOOKUP(A1274,'Output - State'!$B$2:$G$52,5,FALSE)</f>
        <v>3.3298504664762802</v>
      </c>
      <c r="G1274" s="99">
        <f>SUMIFS(Input!$D$115:$D$3257,Input!$A$115:$A$3257,"="&amp;'Output - County'!A1274,Input!$B$115:$B$3257,"="&amp;'Output - County'!B1274)*VLOOKUP(A1274,'Output - State'!$B$2:$G$52,6,FALSE)</f>
        <v>0.37212152198750797</v>
      </c>
    </row>
    <row r="1275" spans="1:7" x14ac:dyDescent="0.25">
      <c r="A1275" s="88">
        <v>26</v>
      </c>
      <c r="B1275" s="88">
        <v>85</v>
      </c>
      <c r="C1275" s="97">
        <f>SUMIFS(Input!$C$115:$C$3257,Input!$A$115:$A$3257,"="&amp;'Output - County'!A1275,Input!$B$115:$B$3257,"="&amp;'Output - County'!B1275)*VLOOKUP(A1275,'Output - State'!$B$2:$G$52,2,FALSE)</f>
        <v>3.3735205039253922</v>
      </c>
      <c r="D1275" s="98">
        <f>SUMIFS(Input!$C$115:$C$3257,Input!$A$115:$A$3257,"="&amp;'Output - County'!A1275,Input!$B$115:$B$3257,"="&amp;'Output - County'!B1275)*VLOOKUP(A1275,'Output - State'!$B$2:$G$52,3,FALSE)</f>
        <v>1.4963481739084674E-2</v>
      </c>
      <c r="E1275" s="98">
        <f>SUMIFS(Input!$C$115:$C$3257,Input!$A$115:$A$3257,"="&amp;'Output - County'!A1275,Input!$B$115:$B$3257,"="&amp;'Output - County'!B1275)*VLOOKUP(A1275,'Output - State'!$B$2:$G$52,4,FALSE)</f>
        <v>2.8825713245086928</v>
      </c>
      <c r="F1275" s="98">
        <f>SUMIFS(Input!$C$115:$C$3257,Input!$A$115:$A$3257,"="&amp;'Output - County'!A1275,Input!$B$115:$B$3257,"="&amp;'Output - County'!B1275)*VLOOKUP(A1275,'Output - State'!$B$2:$G$52,5,FALSE)</f>
        <v>9.4511316694774958</v>
      </c>
      <c r="G1275" s="99">
        <f>SUMIFS(Input!$D$115:$D$3257,Input!$A$115:$A$3257,"="&amp;'Output - County'!A1275,Input!$B$115:$B$3257,"="&amp;'Output - County'!B1275)*VLOOKUP(A1275,'Output - State'!$B$2:$G$52,6,FALSE)</f>
        <v>2.118778043852318</v>
      </c>
    </row>
    <row r="1276" spans="1:7" x14ac:dyDescent="0.25">
      <c r="A1276" s="88">
        <v>26</v>
      </c>
      <c r="B1276" s="88">
        <v>87</v>
      </c>
      <c r="C1276" s="97">
        <f>SUMIFS(Input!$C$115:$C$3257,Input!$A$115:$A$3257,"="&amp;'Output - County'!A1276,Input!$B$115:$B$3257,"="&amp;'Output - County'!B1276)*VLOOKUP(A1276,'Output - State'!$B$2:$G$52,2,FALSE)</f>
        <v>34.47575830827094</v>
      </c>
      <c r="D1276" s="98">
        <f>SUMIFS(Input!$C$115:$C$3257,Input!$A$115:$A$3257,"="&amp;'Output - County'!A1276,Input!$B$115:$B$3257,"="&amp;'Output - County'!B1276)*VLOOKUP(A1276,'Output - State'!$B$2:$G$52,3,FALSE)</f>
        <v>0.15291959224395985</v>
      </c>
      <c r="E1276" s="98">
        <f>SUMIFS(Input!$C$115:$C$3257,Input!$A$115:$A$3257,"="&amp;'Output - County'!A1276,Input!$B$115:$B$3257,"="&amp;'Output - County'!B1276)*VLOOKUP(A1276,'Output - State'!$B$2:$G$52,4,FALSE)</f>
        <v>29.45849363431406</v>
      </c>
      <c r="F1276" s="98">
        <f>SUMIFS(Input!$C$115:$C$3257,Input!$A$115:$A$3257,"="&amp;'Output - County'!A1276,Input!$B$115:$B$3257,"="&amp;'Output - County'!B1276)*VLOOKUP(A1276,'Output - State'!$B$2:$G$52,5,FALSE)</f>
        <v>96.586023650193709</v>
      </c>
      <c r="G1276" s="99">
        <f>SUMIFS(Input!$D$115:$D$3257,Input!$A$115:$A$3257,"="&amp;'Output - County'!A1276,Input!$B$115:$B$3257,"="&amp;'Output - County'!B1276)*VLOOKUP(A1276,'Output - State'!$B$2:$G$52,6,FALSE)</f>
        <v>15.650469752488974</v>
      </c>
    </row>
    <row r="1277" spans="1:7" x14ac:dyDescent="0.25">
      <c r="A1277" s="88">
        <v>26</v>
      </c>
      <c r="B1277" s="88">
        <v>89</v>
      </c>
      <c r="C1277" s="97">
        <f>SUMIFS(Input!$C$115:$C$3257,Input!$A$115:$A$3257,"="&amp;'Output - County'!A1277,Input!$B$115:$B$3257,"="&amp;'Output - County'!B1277)*VLOOKUP(A1277,'Output - State'!$B$2:$G$52,2,FALSE)</f>
        <v>6.8268327083764326</v>
      </c>
      <c r="D1277" s="98">
        <f>SUMIFS(Input!$C$115:$C$3257,Input!$A$115:$A$3257,"="&amp;'Output - County'!A1277,Input!$B$115:$B$3257,"="&amp;'Output - County'!B1277)*VLOOKUP(A1277,'Output - State'!$B$2:$G$52,3,FALSE)</f>
        <v>3.0280885042409663E-2</v>
      </c>
      <c r="E1277" s="98">
        <f>SUMIFS(Input!$C$115:$C$3257,Input!$A$115:$A$3257,"="&amp;'Output - County'!A1277,Input!$B$115:$B$3257,"="&amp;'Output - County'!B1277)*VLOOKUP(A1277,'Output - State'!$B$2:$G$52,4,FALSE)</f>
        <v>5.8333222458514307</v>
      </c>
      <c r="F1277" s="98">
        <f>SUMIFS(Input!$C$115:$C$3257,Input!$A$115:$A$3257,"="&amp;'Output - County'!A1277,Input!$B$115:$B$3257,"="&amp;'Output - County'!B1277)*VLOOKUP(A1277,'Output - State'!$B$2:$G$52,5,FALSE)</f>
        <v>19.125804849054582</v>
      </c>
      <c r="G1277" s="99">
        <f>SUMIFS(Input!$D$115:$D$3257,Input!$A$115:$A$3257,"="&amp;'Output - County'!A1277,Input!$B$115:$B$3257,"="&amp;'Output - County'!B1277)*VLOOKUP(A1277,'Output - State'!$B$2:$G$52,6,FALSE)</f>
        <v>3.863654079965992</v>
      </c>
    </row>
    <row r="1278" spans="1:7" x14ac:dyDescent="0.25">
      <c r="A1278" s="88">
        <v>26</v>
      </c>
      <c r="B1278" s="88">
        <v>91</v>
      </c>
      <c r="C1278" s="97">
        <f>SUMIFS(Input!$C$115:$C$3257,Input!$A$115:$A$3257,"="&amp;'Output - County'!A1278,Input!$B$115:$B$3257,"="&amp;'Output - County'!B1278)*VLOOKUP(A1278,'Output - State'!$B$2:$G$52,2,FALSE)</f>
        <v>23.978035602142771</v>
      </c>
      <c r="D1278" s="98">
        <f>SUMIFS(Input!$C$115:$C$3257,Input!$A$115:$A$3257,"="&amp;'Output - County'!A1278,Input!$B$115:$B$3257,"="&amp;'Output - County'!B1278)*VLOOKUP(A1278,'Output - State'!$B$2:$G$52,3,FALSE)</f>
        <v>0.10635622266243695</v>
      </c>
      <c r="E1278" s="98">
        <f>SUMIFS(Input!$C$115:$C$3257,Input!$A$115:$A$3257,"="&amp;'Output - County'!A1278,Input!$B$115:$B$3257,"="&amp;'Output - County'!B1278)*VLOOKUP(A1278,'Output - State'!$B$2:$G$52,4,FALSE)</f>
        <v>20.4885068178361</v>
      </c>
      <c r="F1278" s="98">
        <f>SUMIFS(Input!$C$115:$C$3257,Input!$A$115:$A$3257,"="&amp;'Output - County'!A1278,Input!$B$115:$B$3257,"="&amp;'Output - County'!B1278)*VLOOKUP(A1278,'Output - State'!$B$2:$G$52,5,FALSE)</f>
        <v>67.175987632972237</v>
      </c>
      <c r="G1278" s="99">
        <f>SUMIFS(Input!$D$115:$D$3257,Input!$A$115:$A$3257,"="&amp;'Output - County'!A1278,Input!$B$115:$B$3257,"="&amp;'Output - County'!B1278)*VLOOKUP(A1278,'Output - State'!$B$2:$G$52,6,FALSE)</f>
        <v>17.4665652186481</v>
      </c>
    </row>
    <row r="1279" spans="1:7" x14ac:dyDescent="0.25">
      <c r="A1279" s="88">
        <v>26</v>
      </c>
      <c r="B1279" s="88">
        <v>93</v>
      </c>
      <c r="C1279" s="97">
        <f>SUMIFS(Input!$C$115:$C$3257,Input!$A$115:$A$3257,"="&amp;'Output - County'!A1279,Input!$B$115:$B$3257,"="&amp;'Output - County'!B1279)*VLOOKUP(A1279,'Output - State'!$B$2:$G$52,2,FALSE)</f>
        <v>106.45197766346837</v>
      </c>
      <c r="D1279" s="98">
        <f>SUMIFS(Input!$C$115:$C$3257,Input!$A$115:$A$3257,"="&amp;'Output - County'!A1279,Input!$B$115:$B$3257,"="&amp;'Output - County'!B1279)*VLOOKUP(A1279,'Output - State'!$B$2:$G$52,3,FALSE)</f>
        <v>0.47217505333176013</v>
      </c>
      <c r="E1279" s="98">
        <f>SUMIFS(Input!$C$115:$C$3257,Input!$A$115:$A$3257,"="&amp;'Output - County'!A1279,Input!$B$115:$B$3257,"="&amp;'Output - County'!B1279)*VLOOKUP(A1279,'Output - State'!$B$2:$G$52,4,FALSE)</f>
        <v>90.959997988125494</v>
      </c>
      <c r="F1279" s="98">
        <f>SUMIFS(Input!$C$115:$C$3257,Input!$A$115:$A$3257,"="&amp;'Output - County'!A1279,Input!$B$115:$B$3257,"="&amp;'Output - County'!B1279)*VLOOKUP(A1279,'Output - State'!$B$2:$G$52,5,FALSE)</f>
        <v>298.23196752562768</v>
      </c>
      <c r="G1279" s="99">
        <f>SUMIFS(Input!$D$115:$D$3257,Input!$A$115:$A$3257,"="&amp;'Output - County'!A1279,Input!$B$115:$B$3257,"="&amp;'Output - County'!B1279)*VLOOKUP(A1279,'Output - State'!$B$2:$G$52,6,FALSE)</f>
        <v>34.007277846705279</v>
      </c>
    </row>
    <row r="1280" spans="1:7" x14ac:dyDescent="0.25">
      <c r="A1280" s="88">
        <v>26</v>
      </c>
      <c r="B1280" s="88">
        <v>95</v>
      </c>
      <c r="C1280" s="97">
        <f>SUMIFS(Input!$C$115:$C$3257,Input!$A$115:$A$3257,"="&amp;'Output - County'!A1280,Input!$B$115:$B$3257,"="&amp;'Output - County'!B1280)*VLOOKUP(A1280,'Output - State'!$B$2:$G$52,2,FALSE)</f>
        <v>2.412954475036531</v>
      </c>
      <c r="D1280" s="98">
        <f>SUMIFS(Input!$C$115:$C$3257,Input!$A$115:$A$3257,"="&amp;'Output - County'!A1280,Input!$B$115:$B$3257,"="&amp;'Output - County'!B1280)*VLOOKUP(A1280,'Output - State'!$B$2:$G$52,3,FALSE)</f>
        <v>1.0702825188831366E-2</v>
      </c>
      <c r="E1280" s="98">
        <f>SUMIFS(Input!$C$115:$C$3257,Input!$A$115:$A$3257,"="&amp;'Output - County'!A1280,Input!$B$115:$B$3257,"="&amp;'Output - County'!B1280)*VLOOKUP(A1280,'Output - State'!$B$2:$G$52,4,FALSE)</f>
        <v>2.0617966806461885</v>
      </c>
      <c r="F1280" s="98">
        <f>SUMIFS(Input!$C$115:$C$3257,Input!$A$115:$A$3257,"="&amp;'Output - County'!A1280,Input!$B$115:$B$3257,"="&amp;'Output - County'!B1280)*VLOOKUP(A1280,'Output - State'!$B$2:$G$52,5,FALSE)</f>
        <v>6.7600450121732987</v>
      </c>
      <c r="G1280" s="99">
        <f>SUMIFS(Input!$D$115:$D$3257,Input!$A$115:$A$3257,"="&amp;'Output - County'!A1280,Input!$B$115:$B$3257,"="&amp;'Output - County'!B1280)*VLOOKUP(A1280,'Output - State'!$B$2:$G$52,6,FALSE)</f>
        <v>1.1270474804693424</v>
      </c>
    </row>
    <row r="1281" spans="1:7" x14ac:dyDescent="0.25">
      <c r="A1281" s="88">
        <v>26</v>
      </c>
      <c r="B1281" s="88">
        <v>97</v>
      </c>
      <c r="C1281" s="97">
        <f>SUMIFS(Input!$C$115:$C$3257,Input!$A$115:$A$3257,"="&amp;'Output - County'!A1281,Input!$B$115:$B$3257,"="&amp;'Output - County'!B1281)*VLOOKUP(A1281,'Output - State'!$B$2:$G$52,2,FALSE)</f>
        <v>8.7535299834918572</v>
      </c>
      <c r="D1281" s="98">
        <f>SUMIFS(Input!$C$115:$C$3257,Input!$A$115:$A$3257,"="&amp;'Output - County'!A1281,Input!$B$115:$B$3257,"="&amp;'Output - County'!B1281)*VLOOKUP(A1281,'Output - State'!$B$2:$G$52,3,FALSE)</f>
        <v>3.8826883046390211E-2</v>
      </c>
      <c r="E1281" s="98">
        <f>SUMIFS(Input!$C$115:$C$3257,Input!$A$115:$A$3257,"="&amp;'Output - County'!A1281,Input!$B$115:$B$3257,"="&amp;'Output - County'!B1281)*VLOOKUP(A1281,'Output - State'!$B$2:$G$52,4,FALSE)</f>
        <v>7.479626843613433</v>
      </c>
      <c r="F1281" s="98">
        <f>SUMIFS(Input!$C$115:$C$3257,Input!$A$115:$A$3257,"="&amp;'Output - County'!A1281,Input!$B$115:$B$3257,"="&amp;'Output - County'!B1281)*VLOOKUP(A1281,'Output - State'!$B$2:$G$52,5,FALSE)</f>
        <v>24.523569473028569</v>
      </c>
      <c r="G1281" s="99">
        <f>SUMIFS(Input!$D$115:$D$3257,Input!$A$115:$A$3257,"="&amp;'Output - County'!A1281,Input!$B$115:$B$3257,"="&amp;'Output - County'!B1281)*VLOOKUP(A1281,'Output - State'!$B$2:$G$52,6,FALSE)</f>
        <v>1.922924611227314</v>
      </c>
    </row>
    <row r="1282" spans="1:7" x14ac:dyDescent="0.25">
      <c r="A1282" s="88">
        <v>26</v>
      </c>
      <c r="B1282" s="88">
        <v>99</v>
      </c>
      <c r="C1282" s="97">
        <f>SUMIFS(Input!$C$115:$C$3257,Input!$A$115:$A$3257,"="&amp;'Output - County'!A1282,Input!$B$115:$B$3257,"="&amp;'Output - County'!B1282)*VLOOKUP(A1282,'Output - State'!$B$2:$G$52,2,FALSE)</f>
        <v>273.60782163054051</v>
      </c>
      <c r="D1282" s="98">
        <f>SUMIFS(Input!$C$115:$C$3257,Input!$A$115:$A$3257,"="&amp;'Output - County'!A1282,Input!$B$115:$B$3257,"="&amp;'Output - County'!B1282)*VLOOKUP(A1282,'Output - State'!$B$2:$G$52,3,FALSE)</f>
        <v>1.2136062721051935</v>
      </c>
      <c r="E1282" s="98">
        <f>SUMIFS(Input!$C$115:$C$3257,Input!$A$115:$A$3257,"="&amp;'Output - County'!A1282,Input!$B$115:$B$3257,"="&amp;'Output - County'!B1282)*VLOOKUP(A1282,'Output - State'!$B$2:$G$52,4,FALSE)</f>
        <v>233.78961529232424</v>
      </c>
      <c r="F1282" s="98">
        <f>SUMIFS(Input!$C$115:$C$3257,Input!$A$115:$A$3257,"="&amp;'Output - County'!A1282,Input!$B$115:$B$3257,"="&amp;'Output - County'!B1282)*VLOOKUP(A1282,'Output - State'!$B$2:$G$52,5,FALSE)</f>
        <v>766.529666862917</v>
      </c>
      <c r="G1282" s="99">
        <f>SUMIFS(Input!$D$115:$D$3257,Input!$A$115:$A$3257,"="&amp;'Output - County'!A1282,Input!$B$115:$B$3257,"="&amp;'Output - County'!B1282)*VLOOKUP(A1282,'Output - State'!$B$2:$G$52,6,FALSE)</f>
        <v>155.43640607420787</v>
      </c>
    </row>
    <row r="1283" spans="1:7" x14ac:dyDescent="0.25">
      <c r="A1283" s="88">
        <v>26</v>
      </c>
      <c r="B1283" s="88">
        <v>101</v>
      </c>
      <c r="C1283" s="97">
        <f>SUMIFS(Input!$C$115:$C$3257,Input!$A$115:$A$3257,"="&amp;'Output - County'!A1283,Input!$B$115:$B$3257,"="&amp;'Output - County'!B1283)*VLOOKUP(A1283,'Output - State'!$B$2:$G$52,2,FALSE)</f>
        <v>7.6171244450605906</v>
      </c>
      <c r="D1283" s="98">
        <f>SUMIFS(Input!$C$115:$C$3257,Input!$A$115:$A$3257,"="&amp;'Output - County'!A1283,Input!$B$115:$B$3257,"="&amp;'Output - County'!B1283)*VLOOKUP(A1283,'Output - State'!$B$2:$G$52,3,FALSE)</f>
        <v>3.3786278282694662E-2</v>
      </c>
      <c r="E1283" s="98">
        <f>SUMIFS(Input!$C$115:$C$3257,Input!$A$115:$A$3257,"="&amp;'Output - County'!A1283,Input!$B$115:$B$3257,"="&amp;'Output - County'!B1283)*VLOOKUP(A1283,'Output - State'!$B$2:$G$52,4,FALSE)</f>
        <v>6.5086026526286203</v>
      </c>
      <c r="F1283" s="98">
        <f>SUMIFS(Input!$C$115:$C$3257,Input!$A$115:$A$3257,"="&amp;'Output - County'!A1283,Input!$B$115:$B$3257,"="&amp;'Output - County'!B1283)*VLOOKUP(A1283,'Output - State'!$B$2:$G$52,5,FALSE)</f>
        <v>21.339857276484913</v>
      </c>
      <c r="G1283" s="99">
        <f>SUMIFS(Input!$D$115:$D$3257,Input!$A$115:$A$3257,"="&amp;'Output - County'!A1283,Input!$B$115:$B$3257,"="&amp;'Output - County'!B1283)*VLOOKUP(A1283,'Output - State'!$B$2:$G$52,6,FALSE)</f>
        <v>4.3621900902841846</v>
      </c>
    </row>
    <row r="1284" spans="1:7" x14ac:dyDescent="0.25">
      <c r="A1284" s="88">
        <v>26</v>
      </c>
      <c r="B1284" s="88">
        <v>103</v>
      </c>
      <c r="C1284" s="97">
        <f>SUMIFS(Input!$C$115:$C$3257,Input!$A$115:$A$3257,"="&amp;'Output - County'!A1284,Input!$B$115:$B$3257,"="&amp;'Output - County'!B1284)*VLOOKUP(A1284,'Output - State'!$B$2:$G$52,2,FALSE)</f>
        <v>18.31027742359818</v>
      </c>
      <c r="D1284" s="98">
        <f>SUMIFS(Input!$C$115:$C$3257,Input!$A$115:$A$3257,"="&amp;'Output - County'!A1284,Input!$B$115:$B$3257,"="&amp;'Output - County'!B1284)*VLOOKUP(A1284,'Output - State'!$B$2:$G$52,3,FALSE)</f>
        <v>8.121649225098207E-2</v>
      </c>
      <c r="E1284" s="98">
        <f>SUMIFS(Input!$C$115:$C$3257,Input!$A$115:$A$3257,"="&amp;'Output - County'!A1284,Input!$B$115:$B$3257,"="&amp;'Output - County'!B1284)*VLOOKUP(A1284,'Output - State'!$B$2:$G$52,4,FALSE)</f>
        <v>15.645578731075737</v>
      </c>
      <c r="F1284" s="98">
        <f>SUMIFS(Input!$C$115:$C$3257,Input!$A$115:$A$3257,"="&amp;'Output - County'!A1284,Input!$B$115:$B$3257,"="&amp;'Output - County'!B1284)*VLOOKUP(A1284,'Output - State'!$B$2:$G$52,5,FALSE)</f>
        <v>51.297403597732732</v>
      </c>
      <c r="G1284" s="99">
        <f>SUMIFS(Input!$D$115:$D$3257,Input!$A$115:$A$3257,"="&amp;'Output - County'!A1284,Input!$B$115:$B$3257,"="&amp;'Output - County'!B1284)*VLOOKUP(A1284,'Output - State'!$B$2:$G$52,6,FALSE)</f>
        <v>11.822425387545708</v>
      </c>
    </row>
    <row r="1285" spans="1:7" x14ac:dyDescent="0.25">
      <c r="A1285" s="88">
        <v>26</v>
      </c>
      <c r="B1285" s="88">
        <v>105</v>
      </c>
      <c r="C1285" s="97">
        <f>SUMIFS(Input!$C$115:$C$3257,Input!$A$115:$A$3257,"="&amp;'Output - County'!A1285,Input!$B$115:$B$3257,"="&amp;'Output - County'!B1285)*VLOOKUP(A1285,'Output - State'!$B$2:$G$52,2,FALSE)</f>
        <v>9.958580047924654</v>
      </c>
      <c r="D1285" s="98">
        <f>SUMIFS(Input!$C$115:$C$3257,Input!$A$115:$A$3257,"="&amp;'Output - County'!A1285,Input!$B$115:$B$3257,"="&amp;'Output - County'!B1285)*VLOOKUP(A1285,'Output - State'!$B$2:$G$52,3,FALSE)</f>
        <v>4.4171965316630278E-2</v>
      </c>
      <c r="E1285" s="98">
        <f>SUMIFS(Input!$C$115:$C$3257,Input!$A$115:$A$3257,"="&amp;'Output - County'!A1285,Input!$B$115:$B$3257,"="&amp;'Output - County'!B1285)*VLOOKUP(A1285,'Output - State'!$B$2:$G$52,4,FALSE)</f>
        <v>8.5093057076634473</v>
      </c>
      <c r="F1285" s="98">
        <f>SUMIFS(Input!$C$115:$C$3257,Input!$A$115:$A$3257,"="&amp;'Output - County'!A1285,Input!$B$115:$B$3257,"="&amp;'Output - County'!B1285)*VLOOKUP(A1285,'Output - State'!$B$2:$G$52,5,FALSE)</f>
        <v>27.899593663192668</v>
      </c>
      <c r="G1285" s="99">
        <f>SUMIFS(Input!$D$115:$D$3257,Input!$A$115:$A$3257,"="&amp;'Output - County'!A1285,Input!$B$115:$B$3257,"="&amp;'Output - County'!B1285)*VLOOKUP(A1285,'Output - State'!$B$2:$G$52,6,FALSE)</f>
        <v>5.1812135358069291</v>
      </c>
    </row>
    <row r="1286" spans="1:7" x14ac:dyDescent="0.25">
      <c r="A1286" s="88">
        <v>26</v>
      </c>
      <c r="B1286" s="88">
        <v>107</v>
      </c>
      <c r="C1286" s="97">
        <f>SUMIFS(Input!$C$115:$C$3257,Input!$A$115:$A$3257,"="&amp;'Output - County'!A1286,Input!$B$115:$B$3257,"="&amp;'Output - County'!B1286)*VLOOKUP(A1286,'Output - State'!$B$2:$G$52,2,FALSE)</f>
        <v>19.280063164797124</v>
      </c>
      <c r="D1286" s="98">
        <f>SUMIFS(Input!$C$115:$C$3257,Input!$A$115:$A$3257,"="&amp;'Output - County'!A1286,Input!$B$115:$B$3257,"="&amp;'Output - County'!B1286)*VLOOKUP(A1286,'Output - State'!$B$2:$G$52,3,FALSE)</f>
        <v>8.5518043467988095E-2</v>
      </c>
      <c r="E1286" s="98">
        <f>SUMIFS(Input!$C$115:$C$3257,Input!$A$115:$A$3257,"="&amp;'Output - County'!A1286,Input!$B$115:$B$3257,"="&amp;'Output - County'!B1286)*VLOOKUP(A1286,'Output - State'!$B$2:$G$52,4,FALSE)</f>
        <v>16.474231340492128</v>
      </c>
      <c r="F1286" s="98">
        <f>SUMIFS(Input!$C$115:$C$3257,Input!$A$115:$A$3257,"="&amp;'Output - County'!A1286,Input!$B$115:$B$3257,"="&amp;'Output - County'!B1286)*VLOOKUP(A1286,'Output - State'!$B$2:$G$52,5,FALSE)</f>
        <v>54.014319863867193</v>
      </c>
      <c r="G1286" s="99">
        <f>SUMIFS(Input!$D$115:$D$3257,Input!$A$115:$A$3257,"="&amp;'Output - County'!A1286,Input!$B$115:$B$3257,"="&amp;'Output - County'!B1286)*VLOOKUP(A1286,'Output - State'!$B$2:$G$52,6,FALSE)</f>
        <v>7.7273081599319839</v>
      </c>
    </row>
    <row r="1287" spans="1:7" x14ac:dyDescent="0.25">
      <c r="A1287" s="88">
        <v>26</v>
      </c>
      <c r="B1287" s="88">
        <v>109</v>
      </c>
      <c r="C1287" s="97">
        <f>SUMIFS(Input!$C$115:$C$3257,Input!$A$115:$A$3257,"="&amp;'Output - County'!A1287,Input!$B$115:$B$3257,"="&amp;'Output - County'!B1287)*VLOOKUP(A1287,'Output - State'!$B$2:$G$52,2,FALSE)</f>
        <v>7.4142849544918716</v>
      </c>
      <c r="D1287" s="98">
        <f>SUMIFS(Input!$C$115:$C$3257,Input!$A$115:$A$3257,"="&amp;'Output - County'!A1287,Input!$B$115:$B$3257,"="&amp;'Output - County'!B1287)*VLOOKUP(A1287,'Output - State'!$B$2:$G$52,3,FALSE)</f>
        <v>3.2886569800247747E-2</v>
      </c>
      <c r="E1287" s="98">
        <f>SUMIFS(Input!$C$115:$C$3257,Input!$A$115:$A$3257,"="&amp;'Output - County'!A1287,Input!$B$115:$B$3257,"="&amp;'Output - County'!B1287)*VLOOKUP(A1287,'Output - State'!$B$2:$G$52,4,FALSE)</f>
        <v>6.3352824376451959</v>
      </c>
      <c r="F1287" s="98">
        <f>SUMIFS(Input!$C$115:$C$3257,Input!$A$115:$A$3257,"="&amp;'Output - County'!A1287,Input!$B$115:$B$3257,"="&amp;'Output - County'!B1287)*VLOOKUP(A1287,'Output - State'!$B$2:$G$52,5,FALSE)</f>
        <v>20.771589577828859</v>
      </c>
      <c r="G1287" s="99">
        <f>SUMIFS(Input!$D$115:$D$3257,Input!$A$115:$A$3257,"="&amp;'Output - County'!A1287,Input!$B$115:$B$3257,"="&amp;'Output - County'!B1287)*VLOOKUP(A1287,'Output - State'!$B$2:$G$52,6,FALSE)</f>
        <v>4.0773123701023604</v>
      </c>
    </row>
    <row r="1288" spans="1:7" x14ac:dyDescent="0.25">
      <c r="A1288" s="88">
        <v>26</v>
      </c>
      <c r="B1288" s="88">
        <v>111</v>
      </c>
      <c r="C1288" s="97">
        <f>SUMIFS(Input!$C$115:$C$3257,Input!$A$115:$A$3257,"="&amp;'Output - County'!A1288,Input!$B$115:$B$3257,"="&amp;'Output - County'!B1288)*VLOOKUP(A1288,'Output - State'!$B$2:$G$52,2,FALSE)</f>
        <v>33.07134921010389</v>
      </c>
      <c r="D1288" s="98">
        <f>SUMIFS(Input!$C$115:$C$3257,Input!$A$115:$A$3257,"="&amp;'Output - County'!A1288,Input!$B$115:$B$3257,"="&amp;'Output - County'!B1288)*VLOOKUP(A1288,'Output - State'!$B$2:$G$52,3,FALSE)</f>
        <v>0.14669023929644573</v>
      </c>
      <c r="E1288" s="98">
        <f>SUMIFS(Input!$C$115:$C$3257,Input!$A$115:$A$3257,"="&amp;'Output - County'!A1288,Input!$B$115:$B$3257,"="&amp;'Output - County'!B1288)*VLOOKUP(A1288,'Output - State'!$B$2:$G$52,4,FALSE)</f>
        <v>28.258468500468016</v>
      </c>
      <c r="F1288" s="98">
        <f>SUMIFS(Input!$C$115:$C$3257,Input!$A$115:$A$3257,"="&amp;'Output - County'!A1288,Input!$B$115:$B$3257,"="&amp;'Output - County'!B1288)*VLOOKUP(A1288,'Output - State'!$B$2:$G$52,5,FALSE)</f>
        <v>92.651482481955881</v>
      </c>
      <c r="G1288" s="99">
        <f>SUMIFS(Input!$D$115:$D$3257,Input!$A$115:$A$3257,"="&amp;'Output - County'!A1288,Input!$B$115:$B$3257,"="&amp;'Output - County'!B1288)*VLOOKUP(A1288,'Output - State'!$B$2:$G$52,6,FALSE)</f>
        <v>14.813641449454861</v>
      </c>
    </row>
    <row r="1289" spans="1:7" x14ac:dyDescent="0.25">
      <c r="A1289" s="88">
        <v>26</v>
      </c>
      <c r="B1289" s="88">
        <v>113</v>
      </c>
      <c r="C1289" s="97">
        <f>SUMIFS(Input!$C$115:$C$3257,Input!$A$115:$A$3257,"="&amp;'Output - County'!A1289,Input!$B$115:$B$3257,"="&amp;'Output - County'!B1289)*VLOOKUP(A1289,'Output - State'!$B$2:$G$52,2,FALSE)</f>
        <v>4.7438963083156684</v>
      </c>
      <c r="D1289" s="98">
        <f>SUMIFS(Input!$C$115:$C$3257,Input!$A$115:$A$3257,"="&amp;'Output - County'!A1289,Input!$B$115:$B$3257,"="&amp;'Output - County'!B1289)*VLOOKUP(A1289,'Output - State'!$B$2:$G$52,3,FALSE)</f>
        <v>2.1041877676153169E-2</v>
      </c>
      <c r="E1289" s="98">
        <f>SUMIFS(Input!$C$115:$C$3257,Input!$A$115:$A$3257,"="&amp;'Output - County'!A1289,Input!$B$115:$B$3257,"="&amp;'Output - County'!B1289)*VLOOKUP(A1289,'Output - State'!$B$2:$G$52,4,FALSE)</f>
        <v>4.0535160372915335</v>
      </c>
      <c r="F1289" s="98">
        <f>SUMIFS(Input!$C$115:$C$3257,Input!$A$115:$A$3257,"="&amp;'Output - County'!A1289,Input!$B$115:$B$3257,"="&amp;'Output - County'!B1289)*VLOOKUP(A1289,'Output - State'!$B$2:$G$52,5,FALSE)</f>
        <v>13.290326406515046</v>
      </c>
      <c r="G1289" s="99">
        <f>SUMIFS(Input!$D$115:$D$3257,Input!$A$115:$A$3257,"="&amp;'Output - County'!A1289,Input!$B$115:$B$3257,"="&amp;'Output - County'!B1289)*VLOOKUP(A1289,'Output - State'!$B$2:$G$52,6,FALSE)</f>
        <v>2.6885334842159665</v>
      </c>
    </row>
    <row r="1290" spans="1:7" x14ac:dyDescent="0.25">
      <c r="A1290" s="88">
        <v>26</v>
      </c>
      <c r="B1290" s="88">
        <v>115</v>
      </c>
      <c r="C1290" s="97">
        <f>SUMIFS(Input!$C$115:$C$3257,Input!$A$115:$A$3257,"="&amp;'Output - County'!A1290,Input!$B$115:$B$3257,"="&amp;'Output - County'!B1290)*VLOOKUP(A1290,'Output - State'!$B$2:$G$52,2,FALSE)</f>
        <v>80.153989203048624</v>
      </c>
      <c r="D1290" s="98">
        <f>SUMIFS(Input!$C$115:$C$3257,Input!$A$115:$A$3257,"="&amp;'Output - County'!A1290,Input!$B$115:$B$3257,"="&amp;'Output - County'!B1290)*VLOOKUP(A1290,'Output - State'!$B$2:$G$52,3,FALSE)</f>
        <v>0.35552852053485939</v>
      </c>
      <c r="E1290" s="98">
        <f>SUMIFS(Input!$C$115:$C$3257,Input!$A$115:$A$3257,"="&amp;'Output - County'!A1290,Input!$B$115:$B$3257,"="&amp;'Output - County'!B1290)*VLOOKUP(A1290,'Output - State'!$B$2:$G$52,4,FALSE)</f>
        <v>68.489161560702087</v>
      </c>
      <c r="F1290" s="98">
        <f>SUMIFS(Input!$C$115:$C$3257,Input!$A$115:$A$3257,"="&amp;'Output - County'!A1290,Input!$B$115:$B$3257,"="&amp;'Output - County'!B1290)*VLOOKUP(A1290,'Output - State'!$B$2:$G$52,5,FALSE)</f>
        <v>224.55648480879773</v>
      </c>
      <c r="G1290" s="99">
        <f>SUMIFS(Input!$D$115:$D$3257,Input!$A$115:$A$3257,"="&amp;'Output - County'!A1290,Input!$B$115:$B$3257,"="&amp;'Output - County'!B1290)*VLOOKUP(A1290,'Output - State'!$B$2:$G$52,6,FALSE)</f>
        <v>26.707286267046026</v>
      </c>
    </row>
    <row r="1291" spans="1:7" x14ac:dyDescent="0.25">
      <c r="A1291" s="88">
        <v>26</v>
      </c>
      <c r="B1291" s="88">
        <v>117</v>
      </c>
      <c r="C1291" s="97">
        <f>SUMIFS(Input!$C$115:$C$3257,Input!$A$115:$A$3257,"="&amp;'Output - County'!A1291,Input!$B$115:$B$3257,"="&amp;'Output - County'!B1291)*VLOOKUP(A1291,'Output - State'!$B$2:$G$52,2,FALSE)</f>
        <v>22.494045224190188</v>
      </c>
      <c r="D1291" s="98">
        <f>SUMIFS(Input!$C$115:$C$3257,Input!$A$115:$A$3257,"="&amp;'Output - County'!A1291,Input!$B$115:$B$3257,"="&amp;'Output - County'!B1291)*VLOOKUP(A1291,'Output - State'!$B$2:$G$52,3,FALSE)</f>
        <v>9.9773881486317648E-2</v>
      </c>
      <c r="E1291" s="98">
        <f>SUMIFS(Input!$C$115:$C$3257,Input!$A$115:$A$3257,"="&amp;'Output - County'!A1291,Input!$B$115:$B$3257,"="&amp;'Output - County'!B1291)*VLOOKUP(A1291,'Output - State'!$B$2:$G$52,4,FALSE)</f>
        <v>19.220481885319625</v>
      </c>
      <c r="F1291" s="98">
        <f>SUMIFS(Input!$C$115:$C$3257,Input!$A$115:$A$3257,"="&amp;'Output - County'!A1291,Input!$B$115:$B$3257,"="&amp;'Output - County'!B1291)*VLOOKUP(A1291,'Output - State'!$B$2:$G$52,5,FALSE)</f>
        <v>63.018494461684924</v>
      </c>
      <c r="G1291" s="99">
        <f>SUMIFS(Input!$D$115:$D$3257,Input!$A$115:$A$3257,"="&amp;'Output - County'!A1291,Input!$B$115:$B$3257,"="&amp;'Output - County'!B1291)*VLOOKUP(A1291,'Output - State'!$B$2:$G$52,6,FALSE)</f>
        <v>11.377303949761608</v>
      </c>
    </row>
    <row r="1292" spans="1:7" x14ac:dyDescent="0.25">
      <c r="A1292" s="88">
        <v>26</v>
      </c>
      <c r="B1292" s="88">
        <v>119</v>
      </c>
      <c r="C1292" s="97">
        <f>SUMIFS(Input!$C$115:$C$3257,Input!$A$115:$A$3257,"="&amp;'Output - County'!A1292,Input!$B$115:$B$3257,"="&amp;'Output - County'!B1292)*VLOOKUP(A1292,'Output - State'!$B$2:$G$52,2,FALSE)</f>
        <v>2.9714364195474134</v>
      </c>
      <c r="D1292" s="98">
        <f>SUMIFS(Input!$C$115:$C$3257,Input!$A$115:$A$3257,"="&amp;'Output - County'!A1292,Input!$B$115:$B$3257,"="&amp;'Output - County'!B1292)*VLOOKUP(A1292,'Output - State'!$B$2:$G$52,3,FALSE)</f>
        <v>1.3180010185505664E-2</v>
      </c>
      <c r="E1292" s="98">
        <f>SUMIFS(Input!$C$115:$C$3257,Input!$A$115:$A$3257,"="&amp;'Output - County'!A1292,Input!$B$115:$B$3257,"="&amp;'Output - County'!B1292)*VLOOKUP(A1292,'Output - State'!$B$2:$G$52,4,FALSE)</f>
        <v>2.5390026251868263</v>
      </c>
      <c r="F1292" s="98">
        <f>SUMIFS(Input!$C$115:$C$3257,Input!$A$115:$A$3257,"="&amp;'Output - County'!A1292,Input!$B$115:$B$3257,"="&amp;'Output - County'!B1292)*VLOOKUP(A1292,'Output - State'!$B$2:$G$52,5,FALSE)</f>
        <v>8.3246676034563265</v>
      </c>
      <c r="G1292" s="99">
        <f>SUMIFS(Input!$D$115:$D$3257,Input!$A$115:$A$3257,"="&amp;'Output - County'!A1292,Input!$B$115:$B$3257,"="&amp;'Output - County'!B1292)*VLOOKUP(A1292,'Output - State'!$B$2:$G$52,6,FALSE)</f>
        <v>1.6522907770545809</v>
      </c>
    </row>
    <row r="1293" spans="1:7" x14ac:dyDescent="0.25">
      <c r="A1293" s="88">
        <v>26</v>
      </c>
      <c r="B1293" s="88">
        <v>121</v>
      </c>
      <c r="C1293" s="97">
        <f>SUMIFS(Input!$C$115:$C$3257,Input!$A$115:$A$3257,"="&amp;'Output - County'!A1293,Input!$B$115:$B$3257,"="&amp;'Output - County'!B1293)*VLOOKUP(A1293,'Output - State'!$B$2:$G$52,2,FALSE)</f>
        <v>57.8299673396942</v>
      </c>
      <c r="D1293" s="98">
        <f>SUMIFS(Input!$C$115:$C$3257,Input!$A$115:$A$3257,"="&amp;'Output - County'!A1293,Input!$B$115:$B$3257,"="&amp;'Output - County'!B1293)*VLOOKUP(A1293,'Output - State'!$B$2:$G$52,3,FALSE)</f>
        <v>0.25650878933520033</v>
      </c>
      <c r="E1293" s="98">
        <f>SUMIFS(Input!$C$115:$C$3257,Input!$A$115:$A$3257,"="&amp;'Output - County'!A1293,Input!$B$115:$B$3257,"="&amp;'Output - County'!B1293)*VLOOKUP(A1293,'Output - State'!$B$2:$G$52,4,FALSE)</f>
        <v>49.413959499196039</v>
      </c>
      <c r="F1293" s="98">
        <f>SUMIFS(Input!$C$115:$C$3257,Input!$A$115:$A$3257,"="&amp;'Output - County'!A1293,Input!$B$115:$B$3257,"="&amp;'Output - County'!B1293)*VLOOKUP(A1293,'Output - State'!$B$2:$G$52,5,FALSE)</f>
        <v>162.01432157684036</v>
      </c>
      <c r="G1293" s="99">
        <f>SUMIFS(Input!$D$115:$D$3257,Input!$A$115:$A$3257,"="&amp;'Output - County'!A1293,Input!$B$115:$B$3257,"="&amp;'Output - County'!B1293)*VLOOKUP(A1293,'Output - State'!$B$2:$G$52,6,FALSE)</f>
        <v>30.980452069773392</v>
      </c>
    </row>
    <row r="1294" spans="1:7" x14ac:dyDescent="0.25">
      <c r="A1294" s="88">
        <v>26</v>
      </c>
      <c r="B1294" s="88">
        <v>123</v>
      </c>
      <c r="C1294" s="97">
        <f>SUMIFS(Input!$C$115:$C$3257,Input!$A$115:$A$3257,"="&amp;'Output - County'!A1294,Input!$B$115:$B$3257,"="&amp;'Output - County'!B1294)*VLOOKUP(A1294,'Output - State'!$B$2:$G$52,2,FALSE)</f>
        <v>10.569694466278284</v>
      </c>
      <c r="D1294" s="98">
        <f>SUMIFS(Input!$C$115:$C$3257,Input!$A$115:$A$3257,"="&amp;'Output - County'!A1294,Input!$B$115:$B$3257,"="&amp;'Output - County'!B1294)*VLOOKUP(A1294,'Output - State'!$B$2:$G$52,3,FALSE)</f>
        <v>4.6882605263500493E-2</v>
      </c>
      <c r="E1294" s="98">
        <f>SUMIFS(Input!$C$115:$C$3257,Input!$A$115:$A$3257,"="&amp;'Output - County'!A1294,Input!$B$115:$B$3257,"="&amp;'Output - County'!B1294)*VLOOKUP(A1294,'Output - State'!$B$2:$G$52,4,FALSE)</f>
        <v>9.0314845105757851</v>
      </c>
      <c r="F1294" s="98">
        <f>SUMIFS(Input!$C$115:$C$3257,Input!$A$115:$A$3257,"="&amp;'Output - County'!A1294,Input!$B$115:$B$3257,"="&amp;'Output - County'!B1294)*VLOOKUP(A1294,'Output - State'!$B$2:$G$52,5,FALSE)</f>
        <v>29.611669468351032</v>
      </c>
      <c r="G1294" s="99">
        <f>SUMIFS(Input!$D$115:$D$3257,Input!$A$115:$A$3257,"="&amp;'Output - County'!A1294,Input!$B$115:$B$3257,"="&amp;'Output - County'!B1294)*VLOOKUP(A1294,'Output - State'!$B$2:$G$52,6,FALSE)</f>
        <v>8.688770465545641</v>
      </c>
    </row>
    <row r="1295" spans="1:7" x14ac:dyDescent="0.25">
      <c r="A1295" s="88">
        <v>26</v>
      </c>
      <c r="B1295" s="88">
        <v>125</v>
      </c>
      <c r="C1295" s="97">
        <f>SUMIFS(Input!$C$115:$C$3257,Input!$A$115:$A$3257,"="&amp;'Output - County'!A1295,Input!$B$115:$B$3257,"="&amp;'Output - County'!B1295)*VLOOKUP(A1295,'Output - State'!$B$2:$G$52,2,FALSE)</f>
        <v>492.24556513337086</v>
      </c>
      <c r="D1295" s="98">
        <f>SUMIFS(Input!$C$115:$C$3257,Input!$A$115:$A$3257,"="&amp;'Output - County'!A1295,Input!$B$115:$B$3257,"="&amp;'Output - County'!B1295)*VLOOKUP(A1295,'Output - State'!$B$2:$G$52,3,FALSE)</f>
        <v>2.1833889897654251</v>
      </c>
      <c r="E1295" s="98">
        <f>SUMIFS(Input!$C$115:$C$3257,Input!$A$115:$A$3257,"="&amp;'Output - County'!A1295,Input!$B$115:$B$3257,"="&amp;'Output - County'!B1295)*VLOOKUP(A1295,'Output - State'!$B$2:$G$52,4,FALSE)</f>
        <v>420.608959992677</v>
      </c>
      <c r="F1295" s="98">
        <f>SUMIFS(Input!$C$115:$C$3257,Input!$A$115:$A$3257,"="&amp;'Output - County'!A1295,Input!$B$115:$B$3257,"="&amp;'Output - County'!B1295)*VLOOKUP(A1295,'Output - State'!$B$2:$G$52,5,FALSE)</f>
        <v>1379.0571731751766</v>
      </c>
      <c r="G1295" s="99">
        <f>SUMIFS(Input!$D$115:$D$3257,Input!$A$115:$A$3257,"="&amp;'Output - County'!A1295,Input!$B$115:$B$3257,"="&amp;'Output - County'!B1295)*VLOOKUP(A1295,'Output - State'!$B$2:$G$52,6,FALSE)</f>
        <v>224.34120464318659</v>
      </c>
    </row>
    <row r="1296" spans="1:7" x14ac:dyDescent="0.25">
      <c r="A1296" s="88">
        <v>26</v>
      </c>
      <c r="B1296" s="88">
        <v>127</v>
      </c>
      <c r="C1296" s="97">
        <f>SUMIFS(Input!$C$115:$C$3257,Input!$A$115:$A$3257,"="&amp;'Output - County'!A1296,Input!$B$115:$B$3257,"="&amp;'Output - County'!B1296)*VLOOKUP(A1296,'Output - State'!$B$2:$G$52,2,FALSE)</f>
        <v>12.448234134002162</v>
      </c>
      <c r="D1296" s="98">
        <f>SUMIFS(Input!$C$115:$C$3257,Input!$A$115:$A$3257,"="&amp;'Output - County'!A1296,Input!$B$115:$B$3257,"="&amp;'Output - County'!B1296)*VLOOKUP(A1296,'Output - State'!$B$2:$G$52,3,FALSE)</f>
        <v>5.5214996894564994E-2</v>
      </c>
      <c r="E1296" s="98">
        <f>SUMIFS(Input!$C$115:$C$3257,Input!$A$115:$A$3257,"="&amp;'Output - County'!A1296,Input!$B$115:$B$3257,"="&amp;'Output - County'!B1296)*VLOOKUP(A1296,'Output - State'!$B$2:$G$52,4,FALSE)</f>
        <v>10.63663988812042</v>
      </c>
      <c r="F1296" s="98">
        <f>SUMIFS(Input!$C$115:$C$3257,Input!$A$115:$A$3257,"="&amp;'Output - County'!A1296,Input!$B$115:$B$3257,"="&amp;'Output - County'!B1296)*VLOOKUP(A1296,'Output - State'!$B$2:$G$52,5,FALSE)</f>
        <v>34.8745175006473</v>
      </c>
      <c r="G1296" s="99">
        <f>SUMIFS(Input!$D$115:$D$3257,Input!$A$115:$A$3257,"="&amp;'Output - County'!A1296,Input!$B$115:$B$3257,"="&amp;'Output - County'!B1296)*VLOOKUP(A1296,'Output - State'!$B$2:$G$52,6,FALSE)</f>
        <v>4.7360920980228292</v>
      </c>
    </row>
    <row r="1297" spans="1:7" x14ac:dyDescent="0.25">
      <c r="A1297" s="88">
        <v>26</v>
      </c>
      <c r="B1297" s="88">
        <v>129</v>
      </c>
      <c r="C1297" s="97">
        <f>SUMIFS(Input!$C$115:$C$3257,Input!$A$115:$A$3257,"="&amp;'Output - County'!A1297,Input!$B$115:$B$3257,"="&amp;'Output - County'!B1297)*VLOOKUP(A1297,'Output - State'!$B$2:$G$52,2,FALSE)</f>
        <v>10.595132331695115</v>
      </c>
      <c r="D1297" s="98">
        <f>SUMIFS(Input!$C$115:$C$3257,Input!$A$115:$A$3257,"="&amp;'Output - County'!A1297,Input!$B$115:$B$3257,"="&amp;'Output - County'!B1297)*VLOOKUP(A1297,'Output - State'!$B$2:$G$52,3,FALSE)</f>
        <v>4.699543666150241E-2</v>
      </c>
      <c r="E1297" s="98">
        <f>SUMIFS(Input!$C$115:$C$3257,Input!$A$115:$A$3257,"="&amp;'Output - County'!A1297,Input!$B$115:$B$3257,"="&amp;'Output - County'!B1297)*VLOOKUP(A1297,'Output - State'!$B$2:$G$52,4,FALSE)</f>
        <v>9.0532203978549468</v>
      </c>
      <c r="F1297" s="98">
        <f>SUMIFS(Input!$C$115:$C$3257,Input!$A$115:$A$3257,"="&amp;'Output - County'!A1297,Input!$B$115:$B$3257,"="&amp;'Output - County'!B1297)*VLOOKUP(A1297,'Output - State'!$B$2:$G$52,5,FALSE)</f>
        <v>29.682935261804833</v>
      </c>
      <c r="G1297" s="99">
        <f>SUMIFS(Input!$D$115:$D$3257,Input!$A$115:$A$3257,"="&amp;'Output - County'!A1297,Input!$B$115:$B$3257,"="&amp;'Output - County'!B1297)*VLOOKUP(A1297,'Output - State'!$B$2:$G$52,6,FALSE)</f>
        <v>3.7212152198750794</v>
      </c>
    </row>
    <row r="1298" spans="1:7" x14ac:dyDescent="0.25">
      <c r="A1298" s="88">
        <v>26</v>
      </c>
      <c r="B1298" s="88">
        <v>131</v>
      </c>
      <c r="C1298" s="97">
        <f>SUMIFS(Input!$C$115:$C$3257,Input!$A$115:$A$3257,"="&amp;'Output - County'!A1298,Input!$B$115:$B$3257,"="&amp;'Output - County'!B1298)*VLOOKUP(A1298,'Output - State'!$B$2:$G$52,2,FALSE)</f>
        <v>2.7014954070931338</v>
      </c>
      <c r="D1298" s="98">
        <f>SUMIFS(Input!$C$115:$C$3257,Input!$A$115:$A$3257,"="&amp;'Output - County'!A1298,Input!$B$115:$B$3257,"="&amp;'Output - County'!B1298)*VLOOKUP(A1298,'Output - State'!$B$2:$G$52,3,FALSE)</f>
        <v>1.198266829717577E-2</v>
      </c>
      <c r="E1298" s="98">
        <f>SUMIFS(Input!$C$115:$C$3257,Input!$A$115:$A$3257,"="&amp;'Output - County'!A1298,Input!$B$115:$B$3257,"="&amp;'Output - County'!B1298)*VLOOKUP(A1298,'Output - State'!$B$2:$G$52,4,FALSE)</f>
        <v>2.3083461875264848</v>
      </c>
      <c r="F1298" s="98">
        <f>SUMIFS(Input!$C$115:$C$3257,Input!$A$115:$A$3257,"="&amp;'Output - County'!A1298,Input!$B$115:$B$3257,"="&amp;'Output - County'!B1298)*VLOOKUP(A1298,'Output - State'!$B$2:$G$52,5,FALSE)</f>
        <v>7.5684107350813301</v>
      </c>
      <c r="G1298" s="99">
        <f>SUMIFS(Input!$D$115:$D$3257,Input!$A$115:$A$3257,"="&amp;'Output - County'!A1298,Input!$B$115:$B$3257,"="&amp;'Output - County'!B1298)*VLOOKUP(A1298,'Output - State'!$B$2:$G$52,6,FALSE)</f>
        <v>1.0326817356591131</v>
      </c>
    </row>
    <row r="1299" spans="1:7" x14ac:dyDescent="0.25">
      <c r="A1299" s="88">
        <v>26</v>
      </c>
      <c r="B1299" s="88">
        <v>133</v>
      </c>
      <c r="C1299" s="97">
        <f>SUMIFS(Input!$C$115:$C$3257,Input!$A$115:$A$3257,"="&amp;'Output - County'!A1299,Input!$B$115:$B$3257,"="&amp;'Output - County'!B1299)*VLOOKUP(A1299,'Output - State'!$B$2:$G$52,2,FALSE)</f>
        <v>14.881060803225637</v>
      </c>
      <c r="D1299" s="98">
        <f>SUMIFS(Input!$C$115:$C$3257,Input!$A$115:$A$3257,"="&amp;'Output - County'!A1299,Input!$B$115:$B$3257,"="&amp;'Output - County'!B1299)*VLOOKUP(A1299,'Output - State'!$B$2:$G$52,3,FALSE)</f>
        <v>6.6005966564654406E-2</v>
      </c>
      <c r="E1299" s="98">
        <f>SUMIFS(Input!$C$115:$C$3257,Input!$A$115:$A$3257,"="&amp;'Output - County'!A1299,Input!$B$115:$B$3257,"="&amp;'Output - County'!B1299)*VLOOKUP(A1299,'Output - State'!$B$2:$G$52,4,FALSE)</f>
        <v>12.715416758171624</v>
      </c>
      <c r="F1299" s="98">
        <f>SUMIFS(Input!$C$115:$C$3257,Input!$A$115:$A$3257,"="&amp;'Output - County'!A1299,Input!$B$115:$B$3257,"="&amp;'Output - County'!B1299)*VLOOKUP(A1299,'Output - State'!$B$2:$G$52,5,FALSE)</f>
        <v>41.690235725301058</v>
      </c>
      <c r="G1299" s="99">
        <f>SUMIFS(Input!$D$115:$D$3257,Input!$A$115:$A$3257,"="&amp;'Output - County'!A1299,Input!$B$115:$B$3257,"="&amp;'Output - County'!B1299)*VLOOKUP(A1299,'Output - State'!$B$2:$G$52,6,FALSE)</f>
        <v>4.1663366576591798</v>
      </c>
    </row>
    <row r="1300" spans="1:7" x14ac:dyDescent="0.25">
      <c r="A1300" s="88">
        <v>26</v>
      </c>
      <c r="B1300" s="88">
        <v>135</v>
      </c>
      <c r="C1300" s="97">
        <f>SUMIFS(Input!$C$115:$C$3257,Input!$A$115:$A$3257,"="&amp;'Output - County'!A1300,Input!$B$115:$B$3257,"="&amp;'Output - County'!B1300)*VLOOKUP(A1300,'Output - State'!$B$2:$G$52,2,FALSE)</f>
        <v>2.5136018312780348</v>
      </c>
      <c r="D1300" s="98">
        <f>SUMIFS(Input!$C$115:$C$3257,Input!$A$115:$A$3257,"="&amp;'Output - County'!A1300,Input!$B$115:$B$3257,"="&amp;'Output - County'!B1300)*VLOOKUP(A1300,'Output - State'!$B$2:$G$52,3,FALSE)</f>
        <v>1.114925344544178E-2</v>
      </c>
      <c r="E1300" s="98">
        <f>SUMIFS(Input!$C$115:$C$3257,Input!$A$115:$A$3257,"="&amp;'Output - County'!A1300,Input!$B$115:$B$3257,"="&amp;'Output - County'!B1300)*VLOOKUP(A1300,'Output - State'!$B$2:$G$52,4,FALSE)</f>
        <v>2.1477968050419896</v>
      </c>
      <c r="F1300" s="98">
        <f>SUMIFS(Input!$C$115:$C$3257,Input!$A$115:$A$3257,"="&amp;'Output - County'!A1300,Input!$B$115:$B$3257,"="&amp;'Output - County'!B1300)*VLOOKUP(A1300,'Output - State'!$B$2:$G$52,5,FALSE)</f>
        <v>7.0420149646062002</v>
      </c>
      <c r="G1300" s="99">
        <f>SUMIFS(Input!$D$115:$D$3257,Input!$A$115:$A$3257,"="&amp;'Output - County'!A1300,Input!$B$115:$B$3257,"="&amp;'Output - County'!B1300)*VLOOKUP(A1300,'Output - State'!$B$2:$G$52,6,FALSE)</f>
        <v>1.4635592874341223</v>
      </c>
    </row>
    <row r="1301" spans="1:7" x14ac:dyDescent="0.25">
      <c r="A1301" s="88">
        <v>26</v>
      </c>
      <c r="B1301" s="88">
        <v>137</v>
      </c>
      <c r="C1301" s="97">
        <f>SUMIFS(Input!$C$115:$C$3257,Input!$A$115:$A$3257,"="&amp;'Output - County'!A1301,Input!$B$115:$B$3257,"="&amp;'Output - County'!B1301)*VLOOKUP(A1301,'Output - State'!$B$2:$G$52,2,FALSE)</f>
        <v>16.277227235938415</v>
      </c>
      <c r="D1301" s="98">
        <f>SUMIFS(Input!$C$115:$C$3257,Input!$A$115:$A$3257,"="&amp;'Output - County'!A1301,Input!$B$115:$B$3257,"="&amp;'Output - County'!B1301)*VLOOKUP(A1301,'Output - State'!$B$2:$G$52,3,FALSE)</f>
        <v>7.2198758603805049E-2</v>
      </c>
      <c r="E1301" s="98">
        <f>SUMIFS(Input!$C$115:$C$3257,Input!$A$115:$A$3257,"="&amp;'Output - County'!A1301,Input!$B$115:$B$3257,"="&amp;'Output - County'!B1301)*VLOOKUP(A1301,'Output - State'!$B$2:$G$52,4,FALSE)</f>
        <v>13.908398783476205</v>
      </c>
      <c r="F1301" s="98">
        <f>SUMIFS(Input!$C$115:$C$3257,Input!$A$115:$A$3257,"="&amp;'Output - County'!A1301,Input!$B$115:$B$3257,"="&amp;'Output - County'!B1301)*VLOOKUP(A1301,'Output - State'!$B$2:$G$52,5,FALSE)</f>
        <v>45.601684543447909</v>
      </c>
      <c r="G1301" s="99">
        <f>SUMIFS(Input!$D$115:$D$3257,Input!$A$115:$A$3257,"="&amp;'Output - County'!A1301,Input!$B$115:$B$3257,"="&amp;'Output - County'!B1301)*VLOOKUP(A1301,'Output - State'!$B$2:$G$52,6,FALSE)</f>
        <v>4.3799949477955487</v>
      </c>
    </row>
    <row r="1302" spans="1:7" x14ac:dyDescent="0.25">
      <c r="A1302" s="88">
        <v>26</v>
      </c>
      <c r="B1302" s="88">
        <v>139</v>
      </c>
      <c r="C1302" s="97">
        <f>SUMIFS(Input!$C$115:$C$3257,Input!$A$115:$A$3257,"="&amp;'Output - County'!A1302,Input!$B$115:$B$3257,"="&amp;'Output - County'!B1302)*VLOOKUP(A1302,'Output - State'!$B$2:$G$52,2,FALSE)</f>
        <v>99.373750606320641</v>
      </c>
      <c r="D1302" s="98">
        <f>SUMIFS(Input!$C$115:$C$3257,Input!$A$115:$A$3257,"="&amp;'Output - County'!A1302,Input!$B$115:$B$3257,"="&amp;'Output - County'!B1302)*VLOOKUP(A1302,'Output - State'!$B$2:$G$52,3,FALSE)</f>
        <v>0.44077909140074961</v>
      </c>
      <c r="E1302" s="98">
        <f>SUMIFS(Input!$C$115:$C$3257,Input!$A$115:$A$3257,"="&amp;'Output - County'!A1302,Input!$B$115:$B$3257,"="&amp;'Output - County'!B1302)*VLOOKUP(A1302,'Output - State'!$B$2:$G$52,4,FALSE)</f>
        <v>84.911866868259963</v>
      </c>
      <c r="F1302" s="98">
        <f>SUMIFS(Input!$C$115:$C$3257,Input!$A$115:$A$3257,"="&amp;'Output - County'!A1302,Input!$B$115:$B$3257,"="&amp;'Output - County'!B1302)*VLOOKUP(A1302,'Output - State'!$B$2:$G$52,5,FALSE)</f>
        <v>278.40186546289516</v>
      </c>
      <c r="G1302" s="99">
        <f>SUMIFS(Input!$D$115:$D$3257,Input!$A$115:$A$3257,"="&amp;'Output - County'!A1302,Input!$B$115:$B$3257,"="&amp;'Output - County'!B1302)*VLOOKUP(A1302,'Output - State'!$B$2:$G$52,6,FALSE)</f>
        <v>51.634086782955656</v>
      </c>
    </row>
    <row r="1303" spans="1:7" x14ac:dyDescent="0.25">
      <c r="A1303" s="88">
        <v>26</v>
      </c>
      <c r="B1303" s="88">
        <v>141</v>
      </c>
      <c r="C1303" s="97">
        <f>SUMIFS(Input!$C$115:$C$3257,Input!$A$115:$A$3257,"="&amp;'Output - County'!A1303,Input!$B$115:$B$3257,"="&amp;'Output - County'!B1303)*VLOOKUP(A1303,'Output - State'!$B$2:$G$52,2,FALSE)</f>
        <v>3.974054774454082</v>
      </c>
      <c r="D1303" s="98">
        <f>SUMIFS(Input!$C$115:$C$3257,Input!$A$115:$A$3257,"="&amp;'Output - County'!A1303,Input!$B$115:$B$3257,"="&amp;'Output - County'!B1303)*VLOOKUP(A1303,'Output - State'!$B$2:$G$52,3,FALSE)</f>
        <v>1.7627192714101566E-2</v>
      </c>
      <c r="E1303" s="98">
        <f>SUMIFS(Input!$C$115:$C$3257,Input!$A$115:$A$3257,"="&amp;'Output - County'!A1303,Input!$B$115:$B$3257,"="&amp;'Output - County'!B1303)*VLOOKUP(A1303,'Output - State'!$B$2:$G$52,4,FALSE)</f>
        <v>3.3957097108313716</v>
      </c>
      <c r="F1303" s="98">
        <f>SUMIFS(Input!$C$115:$C$3257,Input!$A$115:$A$3257,"="&amp;'Output - County'!A1303,Input!$B$115:$B$3257,"="&amp;'Output - County'!B1303)*VLOOKUP(A1303,'Output - State'!$B$2:$G$52,5,FALSE)</f>
        <v>11.133566519420173</v>
      </c>
      <c r="G1303" s="99">
        <f>SUMIFS(Input!$D$115:$D$3257,Input!$A$115:$A$3257,"="&amp;'Output - County'!A1303,Input!$B$115:$B$3257,"="&amp;'Output - County'!B1303)*VLOOKUP(A1303,'Output - State'!$B$2:$G$52,6,FALSE)</f>
        <v>2.2612169039432302</v>
      </c>
    </row>
    <row r="1304" spans="1:7" x14ac:dyDescent="0.25">
      <c r="A1304" s="88">
        <v>26</v>
      </c>
      <c r="B1304" s="88">
        <v>143</v>
      </c>
      <c r="C1304" s="97">
        <f>SUMIFS(Input!$C$115:$C$3257,Input!$A$115:$A$3257,"="&amp;'Output - County'!A1304,Input!$B$115:$B$3257,"="&amp;'Output - County'!B1304)*VLOOKUP(A1304,'Output - State'!$B$2:$G$52,2,FALSE)</f>
        <v>17.946698729772585</v>
      </c>
      <c r="D1304" s="98">
        <f>SUMIFS(Input!$C$115:$C$3257,Input!$A$115:$A$3257,"="&amp;'Output - County'!A1304,Input!$B$115:$B$3257,"="&amp;'Output - County'!B1304)*VLOOKUP(A1304,'Output - State'!$B$2:$G$52,3,FALSE)</f>
        <v>7.9603814000042392E-2</v>
      </c>
      <c r="E1304" s="98">
        <f>SUMIFS(Input!$C$115:$C$3257,Input!$A$115:$A$3257,"="&amp;'Output - County'!A1304,Input!$B$115:$B$3257,"="&amp;'Output - County'!B1304)*VLOOKUP(A1304,'Output - State'!$B$2:$G$52,4,FALSE)</f>
        <v>15.334911724367316</v>
      </c>
      <c r="F1304" s="98">
        <f>SUMIFS(Input!$C$115:$C$3257,Input!$A$115:$A$3257,"="&amp;'Output - County'!A1304,Input!$B$115:$B$3257,"="&amp;'Output - County'!B1304)*VLOOKUP(A1304,'Output - State'!$B$2:$G$52,5,FALSE)</f>
        <v>50.278814825687633</v>
      </c>
      <c r="G1304" s="99">
        <f>SUMIFS(Input!$D$115:$D$3257,Input!$A$115:$A$3257,"="&amp;'Output - County'!A1304,Input!$B$115:$B$3257,"="&amp;'Output - County'!B1304)*VLOOKUP(A1304,'Output - State'!$B$2:$G$52,6,FALSE)</f>
        <v>4.2375560877046361</v>
      </c>
    </row>
    <row r="1305" spans="1:7" x14ac:dyDescent="0.25">
      <c r="A1305" s="88">
        <v>26</v>
      </c>
      <c r="B1305" s="88">
        <v>145</v>
      </c>
      <c r="C1305" s="97">
        <f>SUMIFS(Input!$C$115:$C$3257,Input!$A$115:$A$3257,"="&amp;'Output - County'!A1305,Input!$B$115:$B$3257,"="&amp;'Output - County'!B1305)*VLOOKUP(A1305,'Output - State'!$B$2:$G$52,2,FALSE)</f>
        <v>78.280671098878713</v>
      </c>
      <c r="D1305" s="98">
        <f>SUMIFS(Input!$C$115:$C$3257,Input!$A$115:$A$3257,"="&amp;'Output - County'!A1305,Input!$B$115:$B$3257,"="&amp;'Output - County'!B1305)*VLOOKUP(A1305,'Output - State'!$B$2:$G$52,3,FALSE)</f>
        <v>0.34721928950732422</v>
      </c>
      <c r="E1305" s="98">
        <f>SUMIFS(Input!$C$115:$C$3257,Input!$A$115:$A$3257,"="&amp;'Output - County'!A1305,Input!$B$115:$B$3257,"="&amp;'Output - County'!B1305)*VLOOKUP(A1305,'Output - State'!$B$2:$G$52,4,FALSE)</f>
        <v>66.888467851421296</v>
      </c>
      <c r="F1305" s="98">
        <f>SUMIFS(Input!$C$115:$C$3257,Input!$A$115:$A$3257,"="&amp;'Output - County'!A1305,Input!$B$115:$B$3257,"="&amp;'Output - County'!B1305)*VLOOKUP(A1305,'Output - State'!$B$2:$G$52,5,FALSE)</f>
        <v>219.30826531799445</v>
      </c>
      <c r="G1305" s="99">
        <f>SUMIFS(Input!$D$115:$D$3257,Input!$A$115:$A$3257,"="&amp;'Output - County'!A1305,Input!$B$115:$B$3257,"="&amp;'Output - County'!B1305)*VLOOKUP(A1305,'Output - State'!$B$2:$G$52,6,FALSE)</f>
        <v>34.007277846705279</v>
      </c>
    </row>
    <row r="1306" spans="1:7" x14ac:dyDescent="0.25">
      <c r="A1306" s="88">
        <v>26</v>
      </c>
      <c r="B1306" s="88">
        <v>147</v>
      </c>
      <c r="C1306" s="97">
        <f>SUMIFS(Input!$C$115:$C$3257,Input!$A$115:$A$3257,"="&amp;'Output - County'!A1306,Input!$B$115:$B$3257,"="&amp;'Output - County'!B1306)*VLOOKUP(A1306,'Output - State'!$B$2:$G$52,2,FALSE)</f>
        <v>57.089303893383459</v>
      </c>
      <c r="D1306" s="98">
        <f>SUMIFS(Input!$C$115:$C$3257,Input!$A$115:$A$3257,"="&amp;'Output - County'!A1306,Input!$B$115:$B$3257,"="&amp;'Output - County'!B1306)*VLOOKUP(A1306,'Output - State'!$B$2:$G$52,3,FALSE)</f>
        <v>0.25322352578313878</v>
      </c>
      <c r="E1306" s="98">
        <f>SUMIFS(Input!$C$115:$C$3257,Input!$A$115:$A$3257,"="&amp;'Output - County'!A1306,Input!$B$115:$B$3257,"="&amp;'Output - County'!B1306)*VLOOKUP(A1306,'Output - State'!$B$2:$G$52,4,FALSE)</f>
        <v>48.781084966800925</v>
      </c>
      <c r="F1306" s="98">
        <f>SUMIFS(Input!$C$115:$C$3257,Input!$A$115:$A$3257,"="&amp;'Output - County'!A1306,Input!$B$115:$B$3257,"="&amp;'Output - County'!B1306)*VLOOKUP(A1306,'Output - State'!$B$2:$G$52,5,FALSE)</f>
        <v>159.93930595274483</v>
      </c>
      <c r="G1306" s="99">
        <f>SUMIFS(Input!$D$115:$D$3257,Input!$A$115:$A$3257,"="&amp;'Output - County'!A1306,Input!$B$115:$B$3257,"="&amp;'Output - County'!B1306)*VLOOKUP(A1306,'Output - State'!$B$2:$G$52,6,FALSE)</f>
        <v>28.309723443068787</v>
      </c>
    </row>
    <row r="1307" spans="1:7" x14ac:dyDescent="0.25">
      <c r="A1307" s="88">
        <v>26</v>
      </c>
      <c r="B1307" s="88">
        <v>149</v>
      </c>
      <c r="C1307" s="97">
        <f>SUMIFS(Input!$C$115:$C$3257,Input!$A$115:$A$3257,"="&amp;'Output - County'!A1307,Input!$B$115:$B$3257,"="&amp;'Output - County'!B1307)*VLOOKUP(A1307,'Output - State'!$B$2:$G$52,2,FALSE)</f>
        <v>14.647013435355598</v>
      </c>
      <c r="D1307" s="98">
        <f>SUMIFS(Input!$C$115:$C$3257,Input!$A$115:$A$3257,"="&amp;'Output - County'!A1307,Input!$B$115:$B$3257,"="&amp;'Output - County'!B1307)*VLOOKUP(A1307,'Output - State'!$B$2:$G$52,3,FALSE)</f>
        <v>6.4967833400463137E-2</v>
      </c>
      <c r="E1307" s="98">
        <f>SUMIFS(Input!$C$115:$C$3257,Input!$A$115:$A$3257,"="&amp;'Output - County'!A1307,Input!$B$115:$B$3257,"="&amp;'Output - County'!B1307)*VLOOKUP(A1307,'Output - State'!$B$2:$G$52,4,FALSE)</f>
        <v>12.515430355120602</v>
      </c>
      <c r="F1307" s="98">
        <f>SUMIFS(Input!$C$115:$C$3257,Input!$A$115:$A$3257,"="&amp;'Output - County'!A1307,Input!$B$115:$B$3257,"="&amp;'Output - County'!B1307)*VLOOKUP(A1307,'Output - State'!$B$2:$G$52,5,FALSE)</f>
        <v>41.034537178912949</v>
      </c>
      <c r="G1307" s="99">
        <f>SUMIFS(Input!$D$115:$D$3257,Input!$A$115:$A$3257,"="&amp;'Output - County'!A1307,Input!$B$115:$B$3257,"="&amp;'Output - County'!B1307)*VLOOKUP(A1307,'Output - State'!$B$2:$G$52,6,FALSE)</f>
        <v>10.843158224420687</v>
      </c>
    </row>
    <row r="1308" spans="1:7" x14ac:dyDescent="0.25">
      <c r="A1308" s="88">
        <v>26</v>
      </c>
      <c r="B1308" s="88">
        <v>151</v>
      </c>
      <c r="C1308" s="97">
        <f>SUMIFS(Input!$C$115:$C$3257,Input!$A$115:$A$3257,"="&amp;'Output - County'!A1308,Input!$B$115:$B$3257,"="&amp;'Output - County'!B1308)*VLOOKUP(A1308,'Output - State'!$B$2:$G$52,2,FALSE)</f>
        <v>10.841808616465983</v>
      </c>
      <c r="D1308" s="98">
        <f>SUMIFS(Input!$C$115:$C$3257,Input!$A$115:$A$3257,"="&amp;'Output - County'!A1308,Input!$B$115:$B$3257,"="&amp;'Output - County'!B1308)*VLOOKUP(A1308,'Output - State'!$B$2:$G$52,3,FALSE)</f>
        <v>4.8089586253401782E-2</v>
      </c>
      <c r="E1308" s="98">
        <f>SUMIFS(Input!$C$115:$C$3257,Input!$A$115:$A$3257,"="&amp;'Output - County'!A1308,Input!$B$115:$B$3257,"="&amp;'Output - County'!B1308)*VLOOKUP(A1308,'Output - State'!$B$2:$G$52,4,FALSE)</f>
        <v>9.2639978287581997</v>
      </c>
      <c r="F1308" s="98">
        <f>SUMIFS(Input!$C$115:$C$3257,Input!$A$115:$A$3257,"="&amp;'Output - County'!A1308,Input!$B$115:$B$3257,"="&amp;'Output - County'!B1308)*VLOOKUP(A1308,'Output - State'!$B$2:$G$52,5,FALSE)</f>
        <v>30.374014519925314</v>
      </c>
      <c r="G1308" s="99">
        <f>SUMIFS(Input!$D$115:$D$3257,Input!$A$115:$A$3257,"="&amp;'Output - County'!A1308,Input!$B$115:$B$3257,"="&amp;'Output - County'!B1308)*VLOOKUP(A1308,'Output - State'!$B$2:$G$52,6,FALSE)</f>
        <v>7.3356012946819744</v>
      </c>
    </row>
    <row r="1309" spans="1:7" x14ac:dyDescent="0.25">
      <c r="A1309" s="88">
        <v>26</v>
      </c>
      <c r="B1309" s="88">
        <v>153</v>
      </c>
      <c r="C1309" s="97">
        <f>SUMIFS(Input!$C$115:$C$3257,Input!$A$115:$A$3257,"="&amp;'Output - County'!A1309,Input!$B$115:$B$3257,"="&amp;'Output - County'!B1309)*VLOOKUP(A1309,'Output - State'!$B$2:$G$52,2,FALSE)</f>
        <v>4.5557483933046754</v>
      </c>
      <c r="D1309" s="98">
        <f>SUMIFS(Input!$C$115:$C$3257,Input!$A$115:$A$3257,"="&amp;'Output - County'!A1309,Input!$B$115:$B$3257,"="&amp;'Output - County'!B1309)*VLOOKUP(A1309,'Output - State'!$B$2:$G$52,3,FALSE)</f>
        <v>2.0207334685459044E-2</v>
      </c>
      <c r="E1309" s="98">
        <f>SUMIFS(Input!$C$115:$C$3257,Input!$A$115:$A$3257,"="&amp;'Output - County'!A1309,Input!$B$115:$B$3257,"="&amp;'Output - County'!B1309)*VLOOKUP(A1309,'Output - State'!$B$2:$G$52,4,FALSE)</f>
        <v>3.8927493296501505</v>
      </c>
      <c r="F1309" s="98">
        <f>SUMIFS(Input!$C$115:$C$3257,Input!$A$115:$A$3257,"="&amp;'Output - County'!A1309,Input!$B$115:$B$3257,"="&amp;'Output - County'!B1309)*VLOOKUP(A1309,'Output - State'!$B$2:$G$52,5,FALSE)</f>
        <v>12.763218088650239</v>
      </c>
      <c r="G1309" s="99">
        <f>SUMIFS(Input!$D$115:$D$3257,Input!$A$115:$A$3257,"="&amp;'Output - County'!A1309,Input!$B$115:$B$3257,"="&amp;'Output - County'!B1309)*VLOOKUP(A1309,'Output - State'!$B$2:$G$52,6,FALSE)</f>
        <v>1.4315105439136671</v>
      </c>
    </row>
    <row r="1310" spans="1:7" x14ac:dyDescent="0.25">
      <c r="A1310" s="88">
        <v>26</v>
      </c>
      <c r="B1310" s="88">
        <v>155</v>
      </c>
      <c r="C1310" s="97">
        <f>SUMIFS(Input!$C$115:$C$3257,Input!$A$115:$A$3257,"="&amp;'Output - County'!A1310,Input!$B$115:$B$3257,"="&amp;'Output - County'!B1310)*VLOOKUP(A1310,'Output - State'!$B$2:$G$52,2,FALSE)</f>
        <v>29.211235600712733</v>
      </c>
      <c r="D1310" s="98">
        <f>SUMIFS(Input!$C$115:$C$3257,Input!$A$115:$A$3257,"="&amp;'Output - County'!A1310,Input!$B$115:$B$3257,"="&amp;'Output - County'!B1310)*VLOOKUP(A1310,'Output - State'!$B$2:$G$52,3,FALSE)</f>
        <v>0.12956844044041177</v>
      </c>
      <c r="E1310" s="98">
        <f>SUMIFS(Input!$C$115:$C$3257,Input!$A$115:$A$3257,"="&amp;'Output - County'!A1310,Input!$B$115:$B$3257,"="&amp;'Output - County'!B1310)*VLOOKUP(A1310,'Output - State'!$B$2:$G$52,4,FALSE)</f>
        <v>24.960118071938119</v>
      </c>
      <c r="F1310" s="98">
        <f>SUMIFS(Input!$C$115:$C$3257,Input!$A$115:$A$3257,"="&amp;'Output - County'!A1310,Input!$B$115:$B$3257,"="&amp;'Output - County'!B1310)*VLOOKUP(A1310,'Output - State'!$B$2:$G$52,5,FALSE)</f>
        <v>81.837129363589682</v>
      </c>
      <c r="G1310" s="99">
        <f>SUMIFS(Input!$D$115:$D$3257,Input!$A$115:$A$3257,"="&amp;'Output - County'!A1310,Input!$B$115:$B$3257,"="&amp;'Output - County'!B1310)*VLOOKUP(A1310,'Output - State'!$B$2:$G$52,6,FALSE)</f>
        <v>12.125107965238895</v>
      </c>
    </row>
    <row r="1311" spans="1:7" x14ac:dyDescent="0.25">
      <c r="A1311" s="88">
        <v>26</v>
      </c>
      <c r="B1311" s="88">
        <v>157</v>
      </c>
      <c r="C1311" s="97">
        <f>SUMIFS(Input!$C$115:$C$3257,Input!$A$115:$A$3257,"="&amp;'Output - County'!A1311,Input!$B$115:$B$3257,"="&amp;'Output - County'!B1311)*VLOOKUP(A1311,'Output - State'!$B$2:$G$52,2,FALSE)</f>
        <v>12.181962525546419</v>
      </c>
      <c r="D1311" s="98">
        <f>SUMIFS(Input!$C$115:$C$3257,Input!$A$115:$A$3257,"="&amp;'Output - County'!A1311,Input!$B$115:$B$3257,"="&amp;'Output - County'!B1311)*VLOOKUP(A1311,'Output - State'!$B$2:$G$52,3,FALSE)</f>
        <v>5.40339308995227E-2</v>
      </c>
      <c r="E1311" s="98">
        <f>SUMIFS(Input!$C$115:$C$3257,Input!$A$115:$A$3257,"="&amp;'Output - County'!A1311,Input!$B$115:$B$3257,"="&amp;'Output - County'!B1311)*VLOOKUP(A1311,'Output - State'!$B$2:$G$52,4,FALSE)</f>
        <v>10.409118845289283</v>
      </c>
      <c r="F1311" s="98">
        <f>SUMIFS(Input!$C$115:$C$3257,Input!$A$115:$A$3257,"="&amp;'Output - County'!A1311,Input!$B$115:$B$3257,"="&amp;'Output - County'!B1311)*VLOOKUP(A1311,'Output - State'!$B$2:$G$52,5,FALSE)</f>
        <v>34.128540700319412</v>
      </c>
      <c r="G1311" s="99">
        <f>SUMIFS(Input!$D$115:$D$3257,Input!$A$115:$A$3257,"="&amp;'Output - County'!A1311,Input!$B$115:$B$3257,"="&amp;'Output - County'!B1311)*VLOOKUP(A1311,'Output - State'!$B$2:$G$52,6,FALSE)</f>
        <v>9.3653550509774739</v>
      </c>
    </row>
    <row r="1312" spans="1:7" x14ac:dyDescent="0.25">
      <c r="A1312" s="88">
        <v>26</v>
      </c>
      <c r="B1312" s="88">
        <v>159</v>
      </c>
      <c r="C1312" s="97">
        <f>SUMIFS(Input!$C$115:$C$3257,Input!$A$115:$A$3257,"="&amp;'Output - County'!A1312,Input!$B$115:$B$3257,"="&amp;'Output - County'!B1312)*VLOOKUP(A1312,'Output - State'!$B$2:$G$52,2,FALSE)</f>
        <v>41.79047914024779</v>
      </c>
      <c r="D1312" s="98">
        <f>SUMIFS(Input!$C$115:$C$3257,Input!$A$115:$A$3257,"="&amp;'Output - County'!A1312,Input!$B$115:$B$3257,"="&amp;'Output - County'!B1312)*VLOOKUP(A1312,'Output - State'!$B$2:$G$52,3,FALSE)</f>
        <v>0.18536453854513948</v>
      </c>
      <c r="E1312" s="98">
        <f>SUMIFS(Input!$C$115:$C$3257,Input!$A$115:$A$3257,"="&amp;'Output - County'!A1312,Input!$B$115:$B$3257,"="&amp;'Output - County'!B1312)*VLOOKUP(A1312,'Output - State'!$B$2:$G$52,4,FALSE)</f>
        <v>35.708701538047954</v>
      </c>
      <c r="F1312" s="98">
        <f>SUMIFS(Input!$C$115:$C$3257,Input!$A$115:$A$3257,"="&amp;'Output - County'!A1312,Input!$B$115:$B$3257,"="&amp;'Output - County'!B1312)*VLOOKUP(A1312,'Output - State'!$B$2:$G$52,5,FALSE)</f>
        <v>117.07867802358241</v>
      </c>
      <c r="G1312" s="99">
        <f>SUMIFS(Input!$D$115:$D$3257,Input!$A$115:$A$3257,"="&amp;'Output - County'!A1312,Input!$B$115:$B$3257,"="&amp;'Output - County'!B1312)*VLOOKUP(A1312,'Output - State'!$B$2:$G$52,6,FALSE)</f>
        <v>13.442667421079832</v>
      </c>
    </row>
    <row r="1313" spans="1:7" x14ac:dyDescent="0.25">
      <c r="A1313" s="88">
        <v>26</v>
      </c>
      <c r="B1313" s="88">
        <v>161</v>
      </c>
      <c r="C1313" s="97">
        <f>SUMIFS(Input!$C$115:$C$3257,Input!$A$115:$A$3257,"="&amp;'Output - County'!A1313,Input!$B$115:$B$3257,"="&amp;'Output - County'!B1313)*VLOOKUP(A1313,'Output - State'!$B$2:$G$52,2,FALSE)</f>
        <v>162.23556641645618</v>
      </c>
      <c r="D1313" s="98">
        <f>SUMIFS(Input!$C$115:$C$3257,Input!$A$115:$A$3257,"="&amp;'Output - County'!A1313,Input!$B$115:$B$3257,"="&amp;'Output - County'!B1313)*VLOOKUP(A1313,'Output - State'!$B$2:$G$52,3,FALSE)</f>
        <v>0.71960698999100825</v>
      </c>
      <c r="E1313" s="98">
        <f>SUMIFS(Input!$C$115:$C$3257,Input!$A$115:$A$3257,"="&amp;'Output - County'!A1313,Input!$B$115:$B$3257,"="&amp;'Output - County'!B1313)*VLOOKUP(A1313,'Output - State'!$B$2:$G$52,4,FALSE)</f>
        <v>138.62538882551419</v>
      </c>
      <c r="F1313" s="98">
        <f>SUMIFS(Input!$C$115:$C$3257,Input!$A$115:$A$3257,"="&amp;'Output - County'!A1313,Input!$B$115:$B$3257,"="&amp;'Output - County'!B1313)*VLOOKUP(A1313,'Output - State'!$B$2:$G$52,5,FALSE)</f>
        <v>454.51322969285224</v>
      </c>
      <c r="G1313" s="99">
        <f>SUMIFS(Input!$D$115:$D$3257,Input!$A$115:$A$3257,"="&amp;'Output - County'!A1313,Input!$B$115:$B$3257,"="&amp;'Output - County'!B1313)*VLOOKUP(A1313,'Output - State'!$B$2:$G$52,6,FALSE)</f>
        <v>65.699924216933226</v>
      </c>
    </row>
    <row r="1314" spans="1:7" x14ac:dyDescent="0.25">
      <c r="A1314" s="88">
        <v>26</v>
      </c>
      <c r="B1314" s="88">
        <v>163</v>
      </c>
      <c r="C1314" s="97">
        <f>SUMIFS(Input!$C$115:$C$3257,Input!$A$115:$A$3257,"="&amp;'Output - County'!A1314,Input!$B$115:$B$3257,"="&amp;'Output - County'!B1314)*VLOOKUP(A1314,'Output - State'!$B$2:$G$52,2,FALSE)</f>
        <v>622.51695249214902</v>
      </c>
      <c r="D1314" s="98">
        <f>SUMIFS(Input!$C$115:$C$3257,Input!$A$115:$A$3257,"="&amp;'Output - County'!A1314,Input!$B$115:$B$3257,"="&amp;'Output - County'!B1314)*VLOOKUP(A1314,'Output - State'!$B$2:$G$52,3,FALSE)</f>
        <v>2.7612166696624652</v>
      </c>
      <c r="E1314" s="98">
        <f>SUMIFS(Input!$C$115:$C$3257,Input!$A$115:$A$3257,"="&amp;'Output - County'!A1314,Input!$B$115:$B$3257,"="&amp;'Output - County'!B1314)*VLOOKUP(A1314,'Output - State'!$B$2:$G$52,4,FALSE)</f>
        <v>531.92192375484501</v>
      </c>
      <c r="F1314" s="98">
        <f>SUMIFS(Input!$C$115:$C$3257,Input!$A$115:$A$3257,"="&amp;'Output - County'!A1314,Input!$B$115:$B$3257,"="&amp;'Output - County'!B1314)*VLOOKUP(A1314,'Output - State'!$B$2:$G$52,5,FALSE)</f>
        <v>1744.0207277943623</v>
      </c>
      <c r="G1314" s="99">
        <f>SUMIFS(Input!$D$115:$D$3257,Input!$A$115:$A$3257,"="&amp;'Output - County'!A1314,Input!$B$115:$B$3257,"="&amp;'Output - County'!B1314)*VLOOKUP(A1314,'Output - State'!$B$2:$G$52,6,FALSE)</f>
        <v>311.58500644887027</v>
      </c>
    </row>
    <row r="1315" spans="1:7" x14ac:dyDescent="0.25">
      <c r="A1315" s="88">
        <v>26</v>
      </c>
      <c r="B1315" s="88">
        <v>165</v>
      </c>
      <c r="C1315" s="97">
        <f>SUMIFS(Input!$C$115:$C$3257,Input!$A$115:$A$3257,"="&amp;'Output - County'!A1315,Input!$B$115:$B$3257,"="&amp;'Output - County'!B1315)*VLOOKUP(A1315,'Output - State'!$B$2:$G$52,2,FALSE)</f>
        <v>16.615470970325447</v>
      </c>
      <c r="D1315" s="98">
        <f>SUMIFS(Input!$C$115:$C$3257,Input!$A$115:$A$3257,"="&amp;'Output - County'!A1315,Input!$B$115:$B$3257,"="&amp;'Output - County'!B1315)*VLOOKUP(A1315,'Output - State'!$B$2:$G$52,3,FALSE)</f>
        <v>7.3699061903272439E-2</v>
      </c>
      <c r="E1315" s="98">
        <f>SUMIFS(Input!$C$115:$C$3257,Input!$A$115:$A$3257,"="&amp;'Output - County'!A1315,Input!$B$115:$B$3257,"="&amp;'Output - County'!B1315)*VLOOKUP(A1315,'Output - State'!$B$2:$G$52,4,FALSE)</f>
        <v>14.197417832954127</v>
      </c>
      <c r="F1315" s="98">
        <f>SUMIFS(Input!$C$115:$C$3257,Input!$A$115:$A$3257,"="&amp;'Output - County'!A1315,Input!$B$115:$B$3257,"="&amp;'Output - County'!B1315)*VLOOKUP(A1315,'Output - State'!$B$2:$G$52,5,FALSE)</f>
        <v>46.549295819664515</v>
      </c>
      <c r="G1315" s="99">
        <f>SUMIFS(Input!$D$115:$D$3257,Input!$A$115:$A$3257,"="&amp;'Output - County'!A1315,Input!$B$115:$B$3257,"="&amp;'Output - County'!B1315)*VLOOKUP(A1315,'Output - State'!$B$2:$G$52,6,FALSE)</f>
        <v>5.9468224087955823</v>
      </c>
    </row>
    <row r="1316" spans="1:7" x14ac:dyDescent="0.25">
      <c r="A1316" s="88">
        <v>27</v>
      </c>
      <c r="B1316" s="88">
        <v>1</v>
      </c>
      <c r="C1316" s="97">
        <f>SUMIFS(Input!$C$115:$C$3257,Input!$A$115:$A$3257,"="&amp;'Output - County'!A1316,Input!$B$115:$B$3257,"="&amp;'Output - County'!B1316)*VLOOKUP(A1316,'Output - State'!$B$2:$G$52,2,FALSE)</f>
        <v>2.6771449797673061</v>
      </c>
      <c r="D1316" s="98">
        <f>SUMIFS(Input!$C$115:$C$3257,Input!$A$115:$A$3257,"="&amp;'Output - County'!A1316,Input!$B$115:$B$3257,"="&amp;'Output - County'!B1316)*VLOOKUP(A1316,'Output - State'!$B$2:$G$52,3,FALSE)</f>
        <v>1.9794542439629261</v>
      </c>
      <c r="E1316" s="98">
        <f>SUMIFS(Input!$C$115:$C$3257,Input!$A$115:$A$3257,"="&amp;'Output - County'!A1316,Input!$B$115:$B$3257,"="&amp;'Output - County'!B1316)*VLOOKUP(A1316,'Output - State'!$B$2:$G$52,4,FALSE)</f>
        <v>6.9190327427774676</v>
      </c>
      <c r="F1316" s="98">
        <f>SUMIFS(Input!$C$115:$C$3257,Input!$A$115:$A$3257,"="&amp;'Output - County'!A1316,Input!$B$115:$B$3257,"="&amp;'Output - County'!B1316)*VLOOKUP(A1316,'Output - State'!$B$2:$G$52,5,FALSE)</f>
        <v>18.394452016870041</v>
      </c>
      <c r="G1316" s="99">
        <f>SUMIFS(Input!$D$115:$D$3257,Input!$A$115:$A$3257,"="&amp;'Output - County'!A1316,Input!$B$115:$B$3257,"="&amp;'Output - County'!B1316)*VLOOKUP(A1316,'Output - State'!$B$2:$G$52,6,FALSE)</f>
        <v>3.175352336318781</v>
      </c>
    </row>
    <row r="1317" spans="1:7" x14ac:dyDescent="0.25">
      <c r="A1317" s="88">
        <v>27</v>
      </c>
      <c r="B1317" s="88">
        <v>3</v>
      </c>
      <c r="C1317" s="97">
        <f>SUMIFS(Input!$C$115:$C$3257,Input!$A$115:$A$3257,"="&amp;'Output - County'!A1317,Input!$B$115:$B$3257,"="&amp;'Output - County'!B1317)*VLOOKUP(A1317,'Output - State'!$B$2:$G$52,2,FALSE)</f>
        <v>69.971734058584389</v>
      </c>
      <c r="D1317" s="98">
        <f>SUMIFS(Input!$C$115:$C$3257,Input!$A$115:$A$3257,"="&amp;'Output - County'!A1317,Input!$B$115:$B$3257,"="&amp;'Output - County'!B1317)*VLOOKUP(A1317,'Output - State'!$B$2:$G$52,3,FALSE)</f>
        <v>51.736400899643783</v>
      </c>
      <c r="E1317" s="98">
        <f>SUMIFS(Input!$C$115:$C$3257,Input!$A$115:$A$3257,"="&amp;'Output - County'!A1317,Input!$B$115:$B$3257,"="&amp;'Output - County'!B1317)*VLOOKUP(A1317,'Output - State'!$B$2:$G$52,4,FALSE)</f>
        <v>180.84068015709153</v>
      </c>
      <c r="F1317" s="98">
        <f>SUMIFS(Input!$C$115:$C$3257,Input!$A$115:$A$3257,"="&amp;'Output - County'!A1317,Input!$B$115:$B$3257,"="&amp;'Output - County'!B1317)*VLOOKUP(A1317,'Output - State'!$B$2:$G$52,5,FALSE)</f>
        <v>480.77026623701721</v>
      </c>
      <c r="G1317" s="99">
        <f>SUMIFS(Input!$D$115:$D$3257,Input!$A$115:$A$3257,"="&amp;'Output - County'!A1317,Input!$B$115:$B$3257,"="&amp;'Output - County'!B1317)*VLOOKUP(A1317,'Output - State'!$B$2:$G$52,6,FALSE)</f>
        <v>70.496816020159088</v>
      </c>
    </row>
    <row r="1318" spans="1:7" x14ac:dyDescent="0.25">
      <c r="A1318" s="88">
        <v>27</v>
      </c>
      <c r="B1318" s="88">
        <v>5</v>
      </c>
      <c r="C1318" s="97">
        <f>SUMIFS(Input!$C$115:$C$3257,Input!$A$115:$A$3257,"="&amp;'Output - County'!A1318,Input!$B$115:$B$3257,"="&amp;'Output - County'!B1318)*VLOOKUP(A1318,'Output - State'!$B$2:$G$52,2,FALSE)</f>
        <v>5.4982445994200164</v>
      </c>
      <c r="D1318" s="98">
        <f>SUMIFS(Input!$C$115:$C$3257,Input!$A$115:$A$3257,"="&amp;'Output - County'!A1318,Input!$B$115:$B$3257,"="&amp;'Output - County'!B1318)*VLOOKUP(A1318,'Output - State'!$B$2:$G$52,3,FALSE)</f>
        <v>4.0653471100448852</v>
      </c>
      <c r="E1318" s="98">
        <f>SUMIFS(Input!$C$115:$C$3257,Input!$A$115:$A$3257,"="&amp;'Output - County'!A1318,Input!$B$115:$B$3257,"="&amp;'Output - County'!B1318)*VLOOKUP(A1318,'Output - State'!$B$2:$G$52,4,FALSE)</f>
        <v>14.210113646700256</v>
      </c>
      <c r="F1318" s="98">
        <f>SUMIFS(Input!$C$115:$C$3257,Input!$A$115:$A$3257,"="&amp;'Output - County'!A1318,Input!$B$115:$B$3257,"="&amp;'Output - County'!B1318)*VLOOKUP(A1318,'Output - State'!$B$2:$G$52,5,FALSE)</f>
        <v>37.778005011083501</v>
      </c>
      <c r="G1318" s="99">
        <f>SUMIFS(Input!$D$115:$D$3257,Input!$A$115:$A$3257,"="&amp;'Output - County'!A1318,Input!$B$115:$B$3257,"="&amp;'Output - County'!B1318)*VLOOKUP(A1318,'Output - State'!$B$2:$G$52,6,FALSE)</f>
        <v>6.8699446773186201</v>
      </c>
    </row>
    <row r="1319" spans="1:7" x14ac:dyDescent="0.25">
      <c r="A1319" s="88">
        <v>27</v>
      </c>
      <c r="B1319" s="88">
        <v>7</v>
      </c>
      <c r="C1319" s="97">
        <f>SUMIFS(Input!$C$115:$C$3257,Input!$A$115:$A$3257,"="&amp;'Output - County'!A1319,Input!$B$115:$B$3257,"="&amp;'Output - County'!B1319)*VLOOKUP(A1319,'Output - State'!$B$2:$G$52,2,FALSE)</f>
        <v>6.5795167339638185</v>
      </c>
      <c r="D1319" s="98">
        <f>SUMIFS(Input!$C$115:$C$3257,Input!$A$115:$A$3257,"="&amp;'Output - County'!A1319,Input!$B$115:$B$3257,"="&amp;'Output - County'!B1319)*VLOOKUP(A1319,'Output - State'!$B$2:$G$52,3,FALSE)</f>
        <v>4.8648289206219184</v>
      </c>
      <c r="E1319" s="98">
        <f>SUMIFS(Input!$C$115:$C$3257,Input!$A$115:$A$3257,"="&amp;'Output - County'!A1319,Input!$B$115:$B$3257,"="&amp;'Output - County'!B1319)*VLOOKUP(A1319,'Output - State'!$B$2:$G$52,4,FALSE)</f>
        <v>17.004641906955971</v>
      </c>
      <c r="F1319" s="98">
        <f>SUMIFS(Input!$C$115:$C$3257,Input!$A$115:$A$3257,"="&amp;'Output - County'!A1319,Input!$B$115:$B$3257,"="&amp;'Output - County'!B1319)*VLOOKUP(A1319,'Output - State'!$B$2:$G$52,5,FALSE)</f>
        <v>45.207340570554535</v>
      </c>
      <c r="G1319" s="99">
        <f>SUMIFS(Input!$D$115:$D$3257,Input!$A$115:$A$3257,"="&amp;'Output - County'!A1319,Input!$B$115:$B$3257,"="&amp;'Output - County'!B1319)*VLOOKUP(A1319,'Output - State'!$B$2:$G$52,6,FALSE)</f>
        <v>9.3263493148482439</v>
      </c>
    </row>
    <row r="1320" spans="1:7" x14ac:dyDescent="0.25">
      <c r="A1320" s="88">
        <v>27</v>
      </c>
      <c r="B1320" s="88">
        <v>9</v>
      </c>
      <c r="C1320" s="97">
        <f>SUMIFS(Input!$C$115:$C$3257,Input!$A$115:$A$3257,"="&amp;'Output - County'!A1320,Input!$B$115:$B$3257,"="&amp;'Output - County'!B1320)*VLOOKUP(A1320,'Output - State'!$B$2:$G$52,2,FALSE)</f>
        <v>8.4118645715406721</v>
      </c>
      <c r="D1320" s="98">
        <f>SUMIFS(Input!$C$115:$C$3257,Input!$A$115:$A$3257,"="&amp;'Output - County'!A1320,Input!$B$115:$B$3257,"="&amp;'Output - County'!B1320)*VLOOKUP(A1320,'Output - State'!$B$2:$G$52,3,FALSE)</f>
        <v>6.2196486001385098</v>
      </c>
      <c r="E1320" s="98">
        <f>SUMIFS(Input!$C$115:$C$3257,Input!$A$115:$A$3257,"="&amp;'Output - County'!A1320,Input!$B$115:$B$3257,"="&amp;'Output - County'!B1320)*VLOOKUP(A1320,'Output - State'!$B$2:$G$52,4,FALSE)</f>
        <v>21.74031172691981</v>
      </c>
      <c r="F1320" s="98">
        <f>SUMIFS(Input!$C$115:$C$3257,Input!$A$115:$A$3257,"="&amp;'Output - County'!A1320,Input!$B$115:$B$3257,"="&amp;'Output - County'!B1320)*VLOOKUP(A1320,'Output - State'!$B$2:$G$52,5,FALSE)</f>
        <v>57.79725805027676</v>
      </c>
      <c r="G1320" s="99">
        <f>SUMIFS(Input!$D$115:$D$3257,Input!$A$115:$A$3257,"="&amp;'Output - County'!A1320,Input!$B$115:$B$3257,"="&amp;'Output - County'!B1320)*VLOOKUP(A1320,'Output - State'!$B$2:$G$52,6,FALSE)</f>
        <v>8.0881616113780268</v>
      </c>
    </row>
    <row r="1321" spans="1:7" x14ac:dyDescent="0.25">
      <c r="A1321" s="88">
        <v>27</v>
      </c>
      <c r="B1321" s="88">
        <v>11</v>
      </c>
      <c r="C1321" s="97">
        <f>SUMIFS(Input!$C$115:$C$3257,Input!$A$115:$A$3257,"="&amp;'Output - County'!A1321,Input!$B$115:$B$3257,"="&amp;'Output - County'!B1321)*VLOOKUP(A1321,'Output - State'!$B$2:$G$52,2,FALSE)</f>
        <v>0.66588966354755574</v>
      </c>
      <c r="D1321" s="98">
        <f>SUMIFS(Input!$C$115:$C$3257,Input!$A$115:$A$3257,"="&amp;'Output - County'!A1321,Input!$B$115:$B$3257,"="&amp;'Output - County'!B1321)*VLOOKUP(A1321,'Output - State'!$B$2:$G$52,3,FALSE)</f>
        <v>0.49235216265158027</v>
      </c>
      <c r="E1321" s="98">
        <f>SUMIFS(Input!$C$115:$C$3257,Input!$A$115:$A$3257,"="&amp;'Output - County'!A1321,Input!$B$115:$B$3257,"="&amp;'Output - County'!B1321)*VLOOKUP(A1321,'Output - State'!$B$2:$G$52,4,FALSE)</f>
        <v>1.7209797825604018</v>
      </c>
      <c r="F1321" s="98">
        <f>SUMIFS(Input!$C$115:$C$3257,Input!$A$115:$A$3257,"="&amp;'Output - County'!A1321,Input!$B$115:$B$3257,"="&amp;'Output - County'!B1321)*VLOOKUP(A1321,'Output - State'!$B$2:$G$52,5,FALSE)</f>
        <v>4.5752753613365718</v>
      </c>
      <c r="G1321" s="99">
        <f>SUMIFS(Input!$D$115:$D$3257,Input!$A$115:$A$3257,"="&amp;'Output - County'!A1321,Input!$B$115:$B$3257,"="&amp;'Output - County'!B1321)*VLOOKUP(A1321,'Output - State'!$B$2:$G$52,6,FALSE)</f>
        <v>0.99654139359941618</v>
      </c>
    </row>
    <row r="1322" spans="1:7" x14ac:dyDescent="0.25">
      <c r="A1322" s="88">
        <v>27</v>
      </c>
      <c r="B1322" s="88">
        <v>13</v>
      </c>
      <c r="C1322" s="97">
        <f>SUMIFS(Input!$C$115:$C$3257,Input!$A$115:$A$3257,"="&amp;'Output - County'!A1322,Input!$B$115:$B$3257,"="&amp;'Output - County'!B1322)*VLOOKUP(A1322,'Output - State'!$B$2:$G$52,2,FALSE)</f>
        <v>11.501049310758701</v>
      </c>
      <c r="D1322" s="98">
        <f>SUMIFS(Input!$C$115:$C$3257,Input!$A$115:$A$3257,"="&amp;'Output - County'!A1322,Input!$B$115:$B$3257,"="&amp;'Output - County'!B1322)*VLOOKUP(A1322,'Output - State'!$B$2:$G$52,3,FALSE)</f>
        <v>8.5037609245155519</v>
      </c>
      <c r="E1322" s="98">
        <f>SUMIFS(Input!$C$115:$C$3257,Input!$A$115:$A$3257,"="&amp;'Output - County'!A1322,Input!$B$115:$B$3257,"="&amp;'Output - County'!B1322)*VLOOKUP(A1322,'Output - State'!$B$2:$G$52,4,FALSE)</f>
        <v>29.724253769907644</v>
      </c>
      <c r="F1322" s="98">
        <f>SUMIFS(Input!$C$115:$C$3257,Input!$A$115:$A$3257,"="&amp;'Output - County'!A1322,Input!$B$115:$B$3257,"="&amp;'Output - County'!B1322)*VLOOKUP(A1322,'Output - State'!$B$2:$G$52,5,FALSE)</f>
        <v>79.022802757882502</v>
      </c>
      <c r="G1322" s="99">
        <f>SUMIFS(Input!$D$115:$D$3257,Input!$A$115:$A$3257,"="&amp;'Output - County'!A1322,Input!$B$115:$B$3257,"="&amp;'Output - County'!B1322)*VLOOKUP(A1322,'Output - State'!$B$2:$G$52,6,FALSE)</f>
        <v>13.460298582885901</v>
      </c>
    </row>
    <row r="1323" spans="1:7" x14ac:dyDescent="0.25">
      <c r="A1323" s="88">
        <v>27</v>
      </c>
      <c r="B1323" s="88">
        <v>15</v>
      </c>
      <c r="C1323" s="97">
        <f>SUMIFS(Input!$C$115:$C$3257,Input!$A$115:$A$3257,"="&amp;'Output - County'!A1323,Input!$B$115:$B$3257,"="&amp;'Output - County'!B1323)*VLOOKUP(A1323,'Output - State'!$B$2:$G$52,2,FALSE)</f>
        <v>3.1586557621386295</v>
      </c>
      <c r="D1323" s="98">
        <f>SUMIFS(Input!$C$115:$C$3257,Input!$A$115:$A$3257,"="&amp;'Output - County'!A1323,Input!$B$115:$B$3257,"="&amp;'Output - County'!B1323)*VLOOKUP(A1323,'Output - State'!$B$2:$G$52,3,FALSE)</f>
        <v>2.3354785044651236</v>
      </c>
      <c r="E1323" s="98">
        <f>SUMIFS(Input!$C$115:$C$3257,Input!$A$115:$A$3257,"="&amp;'Output - County'!A1323,Input!$B$115:$B$3257,"="&amp;'Output - County'!B1323)*VLOOKUP(A1323,'Output - State'!$B$2:$G$52,4,FALSE)</f>
        <v>8.1634886442718884</v>
      </c>
      <c r="F1323" s="98">
        <f>SUMIFS(Input!$C$115:$C$3257,Input!$A$115:$A$3257,"="&amp;'Output - County'!A1323,Input!$B$115:$B$3257,"="&amp;'Output - County'!B1323)*VLOOKUP(A1323,'Output - State'!$B$2:$G$52,5,FALSE)</f>
        <v>21.702874627103395</v>
      </c>
      <c r="G1323" s="99">
        <f>SUMIFS(Input!$D$115:$D$3257,Input!$A$115:$A$3257,"="&amp;'Output - County'!A1323,Input!$B$115:$B$3257,"="&amp;'Output - County'!B1323)*VLOOKUP(A1323,'Output - State'!$B$2:$G$52,6,FALSE)</f>
        <v>5.0126631221132962</v>
      </c>
    </row>
    <row r="1324" spans="1:7" x14ac:dyDescent="0.25">
      <c r="A1324" s="88">
        <v>27</v>
      </c>
      <c r="B1324" s="88">
        <v>17</v>
      </c>
      <c r="C1324" s="97">
        <f>SUMIFS(Input!$C$115:$C$3257,Input!$A$115:$A$3257,"="&amp;'Output - County'!A1324,Input!$B$115:$B$3257,"="&amp;'Output - County'!B1324)*VLOOKUP(A1324,'Output - State'!$B$2:$G$52,2,FALSE)</f>
        <v>10.065674784831261</v>
      </c>
      <c r="D1324" s="98">
        <f>SUMIFS(Input!$C$115:$C$3257,Input!$A$115:$A$3257,"="&amp;'Output - County'!A1324,Input!$B$115:$B$3257,"="&amp;'Output - County'!B1324)*VLOOKUP(A1324,'Output - State'!$B$2:$G$52,3,FALSE)</f>
        <v>7.4424593444754974</v>
      </c>
      <c r="E1324" s="98">
        <f>SUMIFS(Input!$C$115:$C$3257,Input!$A$115:$A$3257,"="&amp;'Output - County'!A1324,Input!$B$115:$B$3257,"="&amp;'Output - County'!B1324)*VLOOKUP(A1324,'Output - State'!$B$2:$G$52,4,FALSE)</f>
        <v>26.014554288520625</v>
      </c>
      <c r="F1324" s="98">
        <f>SUMIFS(Input!$C$115:$C$3257,Input!$A$115:$A$3257,"="&amp;'Output - County'!A1324,Input!$B$115:$B$3257,"="&amp;'Output - County'!B1324)*VLOOKUP(A1324,'Output - State'!$B$2:$G$52,5,FALSE)</f>
        <v>69.16045759430277</v>
      </c>
      <c r="G1324" s="99">
        <f>SUMIFS(Input!$D$115:$D$3257,Input!$A$115:$A$3257,"="&amp;'Output - County'!A1324,Input!$B$115:$B$3257,"="&amp;'Output - County'!B1324)*VLOOKUP(A1324,'Output - State'!$B$2:$G$52,6,FALSE)</f>
        <v>7.1495354490699592</v>
      </c>
    </row>
    <row r="1325" spans="1:7" x14ac:dyDescent="0.25">
      <c r="A1325" s="88">
        <v>27</v>
      </c>
      <c r="B1325" s="88">
        <v>19</v>
      </c>
      <c r="C1325" s="97">
        <f>SUMIFS(Input!$C$115:$C$3257,Input!$A$115:$A$3257,"="&amp;'Output - County'!A1325,Input!$B$115:$B$3257,"="&amp;'Output - County'!B1325)*VLOOKUP(A1325,'Output - State'!$B$2:$G$52,2,FALSE)</f>
        <v>15.815915040317014</v>
      </c>
      <c r="D1325" s="98">
        <f>SUMIFS(Input!$C$115:$C$3257,Input!$A$115:$A$3257,"="&amp;'Output - County'!A1325,Input!$B$115:$B$3257,"="&amp;'Output - County'!B1325)*VLOOKUP(A1325,'Output - State'!$B$2:$G$52,3,FALSE)</f>
        <v>11.694129524294102</v>
      </c>
      <c r="E1325" s="98">
        <f>SUMIFS(Input!$C$115:$C$3257,Input!$A$115:$A$3257,"="&amp;'Output - County'!A1325,Input!$B$115:$B$3257,"="&amp;'Output - County'!B1325)*VLOOKUP(A1325,'Output - State'!$B$2:$G$52,4,FALSE)</f>
        <v>40.875946147097203</v>
      </c>
      <c r="F1325" s="98">
        <f>SUMIFS(Input!$C$115:$C$3257,Input!$A$115:$A$3257,"="&amp;'Output - County'!A1325,Input!$B$115:$B$3257,"="&amp;'Output - County'!B1325)*VLOOKUP(A1325,'Output - State'!$B$2:$G$52,5,FALSE)</f>
        <v>108.66990488400495</v>
      </c>
      <c r="G1325" s="99">
        <f>SUMIFS(Input!$D$115:$D$3257,Input!$A$115:$A$3257,"="&amp;'Output - County'!A1325,Input!$B$115:$B$3257,"="&amp;'Output - County'!B1325)*VLOOKUP(A1325,'Output - State'!$B$2:$G$52,6,FALSE)</f>
        <v>20.769600187242343</v>
      </c>
    </row>
    <row r="1326" spans="1:7" x14ac:dyDescent="0.25">
      <c r="A1326" s="88">
        <v>27</v>
      </c>
      <c r="B1326" s="88">
        <v>21</v>
      </c>
      <c r="C1326" s="97">
        <f>SUMIFS(Input!$C$115:$C$3257,Input!$A$115:$A$3257,"="&amp;'Output - County'!A1326,Input!$B$115:$B$3257,"="&amp;'Output - County'!B1326)*VLOOKUP(A1326,'Output - State'!$B$2:$G$52,2,FALSE)</f>
        <v>4.3796349294252703</v>
      </c>
      <c r="D1326" s="98">
        <f>SUMIFS(Input!$C$115:$C$3257,Input!$A$115:$A$3257,"="&amp;'Output - County'!A1326,Input!$B$115:$B$3257,"="&amp;'Output - County'!B1326)*VLOOKUP(A1326,'Output - State'!$B$2:$G$52,3,FALSE)</f>
        <v>3.2382582988884847</v>
      </c>
      <c r="E1326" s="98">
        <f>SUMIFS(Input!$C$115:$C$3257,Input!$A$115:$A$3257,"="&amp;'Output - County'!A1326,Input!$B$115:$B$3257,"="&amp;'Output - County'!B1326)*VLOOKUP(A1326,'Output - State'!$B$2:$G$52,4,FALSE)</f>
        <v>11.319087201896409</v>
      </c>
      <c r="F1326" s="98">
        <f>SUMIFS(Input!$C$115:$C$3257,Input!$A$115:$A$3257,"="&amp;'Output - County'!A1326,Input!$B$115:$B$3257,"="&amp;'Output - County'!B1326)*VLOOKUP(A1326,'Output - State'!$B$2:$G$52,5,FALSE)</f>
        <v>30.092126190238456</v>
      </c>
      <c r="G1326" s="99">
        <f>SUMIFS(Input!$D$115:$D$3257,Input!$A$115:$A$3257,"="&amp;'Output - County'!A1326,Input!$B$115:$B$3257,"="&amp;'Output - County'!B1326)*VLOOKUP(A1326,'Output - State'!$B$2:$G$52,6,FALSE)</f>
        <v>5.8913769761889334</v>
      </c>
    </row>
    <row r="1327" spans="1:7" x14ac:dyDescent="0.25">
      <c r="A1327" s="88">
        <v>27</v>
      </c>
      <c r="B1327" s="88">
        <v>23</v>
      </c>
      <c r="C1327" s="97">
        <f>SUMIFS(Input!$C$115:$C$3257,Input!$A$115:$A$3257,"="&amp;'Output - County'!A1327,Input!$B$115:$B$3257,"="&amp;'Output - County'!B1327)*VLOOKUP(A1327,'Output - State'!$B$2:$G$52,2,FALSE)</f>
        <v>1.9162001821605892</v>
      </c>
      <c r="D1327" s="98">
        <f>SUMIFS(Input!$C$115:$C$3257,Input!$A$115:$A$3257,"="&amp;'Output - County'!A1327,Input!$B$115:$B$3257,"="&amp;'Output - County'!B1327)*VLOOKUP(A1327,'Output - State'!$B$2:$G$52,3,FALSE)</f>
        <v>1.4168192651225022</v>
      </c>
      <c r="E1327" s="98">
        <f>SUMIFS(Input!$C$115:$C$3257,Input!$A$115:$A$3257,"="&amp;'Output - County'!A1327,Input!$B$115:$B$3257,"="&amp;'Output - County'!B1327)*VLOOKUP(A1327,'Output - State'!$B$2:$G$52,4,FALSE)</f>
        <v>4.9523846867783963</v>
      </c>
      <c r="F1327" s="98">
        <f>SUMIFS(Input!$C$115:$C$3257,Input!$A$115:$A$3257,"="&amp;'Output - County'!A1327,Input!$B$115:$B$3257,"="&amp;'Output - County'!B1327)*VLOOKUP(A1327,'Output - State'!$B$2:$G$52,5,FALSE)</f>
        <v>13.166060326151726</v>
      </c>
      <c r="G1327" s="99">
        <f>SUMIFS(Input!$D$115:$D$3257,Input!$A$115:$A$3257,"="&amp;'Output - County'!A1327,Input!$B$115:$B$3257,"="&amp;'Output - County'!B1327)*VLOOKUP(A1327,'Output - State'!$B$2:$G$52,6,FALSE)</f>
        <v>2.3765215598863829</v>
      </c>
    </row>
    <row r="1328" spans="1:7" x14ac:dyDescent="0.25">
      <c r="A1328" s="88">
        <v>27</v>
      </c>
      <c r="B1328" s="88">
        <v>25</v>
      </c>
      <c r="C1328" s="97">
        <f>SUMIFS(Input!$C$115:$C$3257,Input!$A$115:$A$3257,"="&amp;'Output - County'!A1328,Input!$B$115:$B$3257,"="&amp;'Output - County'!B1328)*VLOOKUP(A1328,'Output - State'!$B$2:$G$52,2,FALSE)</f>
        <v>16.066119340960256</v>
      </c>
      <c r="D1328" s="98">
        <f>SUMIFS(Input!$C$115:$C$3257,Input!$A$115:$A$3257,"="&amp;'Output - County'!A1328,Input!$B$115:$B$3257,"="&amp;'Output - County'!B1328)*VLOOKUP(A1328,'Output - State'!$B$2:$G$52,3,FALSE)</f>
        <v>11.879128083770357</v>
      </c>
      <c r="E1328" s="98">
        <f>SUMIFS(Input!$C$115:$C$3257,Input!$A$115:$A$3257,"="&amp;'Output - County'!A1328,Input!$B$115:$B$3257,"="&amp;'Output - County'!B1328)*VLOOKUP(A1328,'Output - State'!$B$2:$G$52,4,FALSE)</f>
        <v>41.522594633308366</v>
      </c>
      <c r="F1328" s="98">
        <f>SUMIFS(Input!$C$115:$C$3257,Input!$A$115:$A$3257,"="&amp;'Output - County'!A1328,Input!$B$115:$B$3257,"="&amp;'Output - County'!B1328)*VLOOKUP(A1328,'Output - State'!$B$2:$G$52,5,FALSE)</f>
        <v>110.389038900795</v>
      </c>
      <c r="G1328" s="99">
        <f>SUMIFS(Input!$D$115:$D$3257,Input!$A$115:$A$3257,"="&amp;'Output - County'!A1328,Input!$B$115:$B$3257,"="&amp;'Output - County'!B1328)*VLOOKUP(A1328,'Output - State'!$B$2:$G$52,6,FALSE)</f>
        <v>11.183630870053568</v>
      </c>
    </row>
    <row r="1329" spans="1:7" x14ac:dyDescent="0.25">
      <c r="A1329" s="88">
        <v>27</v>
      </c>
      <c r="B1329" s="88">
        <v>27</v>
      </c>
      <c r="C1329" s="97">
        <f>SUMIFS(Input!$C$115:$C$3257,Input!$A$115:$A$3257,"="&amp;'Output - County'!A1329,Input!$B$115:$B$3257,"="&amp;'Output - County'!B1329)*VLOOKUP(A1329,'Output - State'!$B$2:$G$52,2,FALSE)</f>
        <v>13.930543387505152</v>
      </c>
      <c r="D1329" s="98">
        <f>SUMIFS(Input!$C$115:$C$3257,Input!$A$115:$A$3257,"="&amp;'Output - County'!A1329,Input!$B$115:$B$3257,"="&amp;'Output - County'!B1329)*VLOOKUP(A1329,'Output - State'!$B$2:$G$52,3,FALSE)</f>
        <v>10.30010456568681</v>
      </c>
      <c r="E1329" s="98">
        <f>SUMIFS(Input!$C$115:$C$3257,Input!$A$115:$A$3257,"="&amp;'Output - County'!A1329,Input!$B$115:$B$3257,"="&amp;'Output - County'!B1329)*VLOOKUP(A1329,'Output - State'!$B$2:$G$52,4,FALSE)</f>
        <v>36.003237236411465</v>
      </c>
      <c r="F1329" s="98">
        <f>SUMIFS(Input!$C$115:$C$3257,Input!$A$115:$A$3257,"="&amp;'Output - County'!A1329,Input!$B$115:$B$3257,"="&amp;'Output - County'!B1329)*VLOOKUP(A1329,'Output - State'!$B$2:$G$52,5,FALSE)</f>
        <v>95.715664951646446</v>
      </c>
      <c r="G1329" s="99">
        <f>SUMIFS(Input!$D$115:$D$3257,Input!$A$115:$A$3257,"="&amp;'Output - County'!A1329,Input!$B$115:$B$3257,"="&amp;'Output - County'!B1329)*VLOOKUP(A1329,'Output - State'!$B$2:$G$52,6,FALSE)</f>
        <v>12.781292422918364</v>
      </c>
    </row>
    <row r="1330" spans="1:7" x14ac:dyDescent="0.25">
      <c r="A1330" s="88">
        <v>27</v>
      </c>
      <c r="B1330" s="88">
        <v>29</v>
      </c>
      <c r="C1330" s="97">
        <f>SUMIFS(Input!$C$115:$C$3257,Input!$A$115:$A$3257,"="&amp;'Output - County'!A1330,Input!$B$115:$B$3257,"="&amp;'Output - County'!B1330)*VLOOKUP(A1330,'Output - State'!$B$2:$G$52,2,FALSE)</f>
        <v>1.1167137941021406</v>
      </c>
      <c r="D1330" s="98">
        <f>SUMIFS(Input!$C$115:$C$3257,Input!$A$115:$A$3257,"="&amp;'Output - County'!A1330,Input!$B$115:$B$3257,"="&amp;'Output - County'!B1330)*VLOOKUP(A1330,'Output - State'!$B$2:$G$52,3,FALSE)</f>
        <v>0.82568701946786449</v>
      </c>
      <c r="E1330" s="98">
        <f>SUMIFS(Input!$C$115:$C$3257,Input!$A$115:$A$3257,"="&amp;'Output - County'!A1330,Input!$B$115:$B$3257,"="&amp;'Output - County'!B1330)*VLOOKUP(A1330,'Output - State'!$B$2:$G$52,4,FALSE)</f>
        <v>2.8861265878755469</v>
      </c>
      <c r="F1330" s="98">
        <f>SUMIFS(Input!$C$115:$C$3257,Input!$A$115:$A$3257,"="&amp;'Output - County'!A1330,Input!$B$115:$B$3257,"="&amp;'Output - County'!B1330)*VLOOKUP(A1330,'Output - State'!$B$2:$G$52,5,FALSE)</f>
        <v>7.6728524071095094</v>
      </c>
      <c r="G1330" s="99">
        <f>SUMIFS(Input!$D$115:$D$3257,Input!$A$115:$A$3257,"="&amp;'Output - County'!A1330,Input!$B$115:$B$3257,"="&amp;'Output - County'!B1330)*VLOOKUP(A1330,'Output - State'!$B$2:$G$52,6,FALSE)</f>
        <v>1.7614218620334368</v>
      </c>
    </row>
    <row r="1331" spans="1:7" x14ac:dyDescent="0.25">
      <c r="A1331" s="88">
        <v>27</v>
      </c>
      <c r="B1331" s="88">
        <v>31</v>
      </c>
      <c r="C1331" s="97">
        <f>SUMIFS(Input!$C$115:$C$3257,Input!$A$115:$A$3257,"="&amp;'Output - County'!A1331,Input!$B$115:$B$3257,"="&amp;'Output - County'!B1331)*VLOOKUP(A1331,'Output - State'!$B$2:$G$52,2,FALSE)</f>
        <v>1.1666668491911987</v>
      </c>
      <c r="D1331" s="98">
        <f>SUMIFS(Input!$C$115:$C$3257,Input!$A$115:$A$3257,"="&amp;'Output - County'!A1331,Input!$B$115:$B$3257,"="&amp;'Output - County'!B1331)*VLOOKUP(A1331,'Output - State'!$B$2:$G$52,3,FALSE)</f>
        <v>0.8626218091943233</v>
      </c>
      <c r="E1331" s="98">
        <f>SUMIFS(Input!$C$115:$C$3257,Input!$A$115:$A$3257,"="&amp;'Output - County'!A1331,Input!$B$115:$B$3257,"="&amp;'Output - County'!B1331)*VLOOKUP(A1331,'Output - State'!$B$2:$G$52,4,FALSE)</f>
        <v>3.0152293545822655</v>
      </c>
      <c r="F1331" s="98">
        <f>SUMIFS(Input!$C$115:$C$3257,Input!$A$115:$A$3257,"="&amp;'Output - County'!A1331,Input!$B$115:$B$3257,"="&amp;'Output - County'!B1331)*VLOOKUP(A1331,'Output - State'!$B$2:$G$52,5,FALSE)</f>
        <v>8.016075908965437</v>
      </c>
      <c r="G1331" s="99">
        <f>SUMIFS(Input!$D$115:$D$3257,Input!$A$115:$A$3257,"="&amp;'Output - County'!A1331,Input!$B$115:$B$3257,"="&amp;'Output - County'!B1331)*VLOOKUP(A1331,'Output - State'!$B$2:$G$52,6,FALSE)</f>
        <v>1.08441277900698</v>
      </c>
    </row>
    <row r="1332" spans="1:7" x14ac:dyDescent="0.25">
      <c r="A1332" s="88">
        <v>27</v>
      </c>
      <c r="B1332" s="88">
        <v>33</v>
      </c>
      <c r="C1332" s="97">
        <f>SUMIFS(Input!$C$115:$C$3257,Input!$A$115:$A$3257,"="&amp;'Output - County'!A1332,Input!$B$115:$B$3257,"="&amp;'Output - County'!B1332)*VLOOKUP(A1332,'Output - State'!$B$2:$G$52,2,FALSE)</f>
        <v>1.4680238150984184</v>
      </c>
      <c r="D1332" s="98">
        <f>SUMIFS(Input!$C$115:$C$3257,Input!$A$115:$A$3257,"="&amp;'Output - County'!A1332,Input!$B$115:$B$3257,"="&amp;'Output - County'!B1332)*VLOOKUP(A1332,'Output - State'!$B$2:$G$52,3,FALSE)</f>
        <v>1.085442138172056</v>
      </c>
      <c r="E1332" s="98">
        <f>SUMIFS(Input!$C$115:$C$3257,Input!$A$115:$A$3257,"="&amp;'Output - County'!A1332,Input!$B$115:$B$3257,"="&amp;'Output - County'!B1332)*VLOOKUP(A1332,'Output - State'!$B$2:$G$52,4,FALSE)</f>
        <v>3.7940809782837803</v>
      </c>
      <c r="F1332" s="98">
        <f>SUMIFS(Input!$C$115:$C$3257,Input!$A$115:$A$3257,"="&amp;'Output - County'!A1332,Input!$B$115:$B$3257,"="&amp;'Output - County'!B1332)*VLOOKUP(A1332,'Output - State'!$B$2:$G$52,5,FALSE)</f>
        <v>10.08667585451329</v>
      </c>
      <c r="G1332" s="99">
        <f>SUMIFS(Input!$D$115:$D$3257,Input!$A$115:$A$3257,"="&amp;'Output - County'!A1332,Input!$B$115:$B$3257,"="&amp;'Output - County'!B1332)*VLOOKUP(A1332,'Output - State'!$B$2:$G$52,6,FALSE)</f>
        <v>2.2566969434215238</v>
      </c>
    </row>
    <row r="1333" spans="1:7" x14ac:dyDescent="0.25">
      <c r="A1333" s="88">
        <v>27</v>
      </c>
      <c r="B1333" s="88">
        <v>35</v>
      </c>
      <c r="C1333" s="97">
        <f>SUMIFS(Input!$C$115:$C$3257,Input!$A$115:$A$3257,"="&amp;'Output - County'!A1333,Input!$B$115:$B$3257,"="&amp;'Output - County'!B1333)*VLOOKUP(A1333,'Output - State'!$B$2:$G$52,2,FALSE)</f>
        <v>11.737718134011979</v>
      </c>
      <c r="D1333" s="98">
        <f>SUMIFS(Input!$C$115:$C$3257,Input!$A$115:$A$3257,"="&amp;'Output - County'!A1333,Input!$B$115:$B$3257,"="&amp;'Output - County'!B1333)*VLOOKUP(A1333,'Output - State'!$B$2:$G$52,3,FALSE)</f>
        <v>8.6787514872766085</v>
      </c>
      <c r="E1333" s="98">
        <f>SUMIFS(Input!$C$115:$C$3257,Input!$A$115:$A$3257,"="&amp;'Output - County'!A1333,Input!$B$115:$B$3257,"="&amp;'Output - County'!B1333)*VLOOKUP(A1333,'Output - State'!$B$2:$G$52,4,FALSE)</f>
        <v>30.335920059802184</v>
      </c>
      <c r="F1333" s="98">
        <f>SUMIFS(Input!$C$115:$C$3257,Input!$A$115:$A$3257,"="&amp;'Output - County'!A1333,Input!$B$115:$B$3257,"="&amp;'Output - County'!B1333)*VLOOKUP(A1333,'Output - State'!$B$2:$G$52,5,FALSE)</f>
        <v>80.648935577032233</v>
      </c>
      <c r="G1333" s="99">
        <f>SUMIFS(Input!$D$115:$D$3257,Input!$A$115:$A$3257,"="&amp;'Output - County'!A1333,Input!$B$115:$B$3257,"="&amp;'Output - County'!B1333)*VLOOKUP(A1333,'Output - State'!$B$2:$G$52,6,FALSE)</f>
        <v>12.941058578204842</v>
      </c>
    </row>
    <row r="1334" spans="1:7" x14ac:dyDescent="0.25">
      <c r="A1334" s="88">
        <v>27</v>
      </c>
      <c r="B1334" s="88">
        <v>37</v>
      </c>
      <c r="C1334" s="97">
        <f>SUMIFS(Input!$C$115:$C$3257,Input!$A$115:$A$3257,"="&amp;'Output - County'!A1334,Input!$B$115:$B$3257,"="&amp;'Output - County'!B1334)*VLOOKUP(A1334,'Output - State'!$B$2:$G$52,2,FALSE)</f>
        <v>87.728310186705201</v>
      </c>
      <c r="D1334" s="98">
        <f>SUMIFS(Input!$C$115:$C$3257,Input!$A$115:$A$3257,"="&amp;'Output - County'!A1334,Input!$B$115:$B$3257,"="&amp;'Output - County'!B1334)*VLOOKUP(A1334,'Output - State'!$B$2:$G$52,3,FALSE)</f>
        <v>64.865435838242661</v>
      </c>
      <c r="E1334" s="98">
        <f>SUMIFS(Input!$C$115:$C$3257,Input!$A$115:$A$3257,"="&amp;'Output - County'!A1334,Input!$B$115:$B$3257,"="&amp;'Output - County'!B1334)*VLOOKUP(A1334,'Output - State'!$B$2:$G$52,4,FALSE)</f>
        <v>226.73222975884951</v>
      </c>
      <c r="F1334" s="98">
        <f>SUMIFS(Input!$C$115:$C$3257,Input!$A$115:$A$3257,"="&amp;'Output - County'!A1334,Input!$B$115:$B$3257,"="&amp;'Output - County'!B1334)*VLOOKUP(A1334,'Output - State'!$B$2:$G$52,5,FALSE)</f>
        <v>602.77430040068361</v>
      </c>
      <c r="G1334" s="99">
        <f>SUMIFS(Input!$D$115:$D$3257,Input!$A$115:$A$3257,"="&amp;'Output - County'!A1334,Input!$B$115:$B$3257,"="&amp;'Output - County'!B1334)*VLOOKUP(A1334,'Output - State'!$B$2:$G$52,6,FALSE)</f>
        <v>84.87576999594225</v>
      </c>
    </row>
    <row r="1335" spans="1:7" x14ac:dyDescent="0.25">
      <c r="A1335" s="88">
        <v>27</v>
      </c>
      <c r="B1335" s="88">
        <v>39</v>
      </c>
      <c r="C1335" s="97">
        <f>SUMIFS(Input!$C$115:$C$3257,Input!$A$115:$A$3257,"="&amp;'Output - County'!A1335,Input!$B$115:$B$3257,"="&amp;'Output - County'!B1335)*VLOOKUP(A1335,'Output - State'!$B$2:$G$52,2,FALSE)</f>
        <v>2.9167927747700286</v>
      </c>
      <c r="D1335" s="98">
        <f>SUMIFS(Input!$C$115:$C$3257,Input!$A$115:$A$3257,"="&amp;'Output - County'!A1335,Input!$B$115:$B$3257,"="&amp;'Output - County'!B1335)*VLOOKUP(A1335,'Output - State'!$B$2:$G$52,3,FALSE)</f>
        <v>2.156647428665134</v>
      </c>
      <c r="E1335" s="98">
        <f>SUMIFS(Input!$C$115:$C$3257,Input!$A$115:$A$3257,"="&amp;'Output - County'!A1335,Input!$B$115:$B$3257,"="&amp;'Output - County'!B1335)*VLOOKUP(A1335,'Output - State'!$B$2:$G$52,4,FALSE)</f>
        <v>7.5383981312378197</v>
      </c>
      <c r="F1335" s="98">
        <f>SUMIFS(Input!$C$115:$C$3257,Input!$A$115:$A$3257,"="&amp;'Output - County'!A1335,Input!$B$115:$B$3257,"="&amp;'Output - County'!B1335)*VLOOKUP(A1335,'Output - State'!$B$2:$G$52,5,FALSE)</f>
        <v>20.041053115966825</v>
      </c>
      <c r="G1335" s="99">
        <f>SUMIFS(Input!$D$115:$D$3257,Input!$A$115:$A$3257,"="&amp;'Output - County'!A1335,Input!$B$115:$B$3257,"="&amp;'Output - County'!B1335)*VLOOKUP(A1335,'Output - State'!$B$2:$G$52,6,FALSE)</f>
        <v>4.1539200374484677</v>
      </c>
    </row>
    <row r="1336" spans="1:7" x14ac:dyDescent="0.25">
      <c r="A1336" s="88">
        <v>27</v>
      </c>
      <c r="B1336" s="88">
        <v>41</v>
      </c>
      <c r="C1336" s="97">
        <f>SUMIFS(Input!$C$115:$C$3257,Input!$A$115:$A$3257,"="&amp;'Output - County'!A1336,Input!$B$115:$B$3257,"="&amp;'Output - County'!B1336)*VLOOKUP(A1336,'Output - State'!$B$2:$G$52,2,FALSE)</f>
        <v>11.165668093648179</v>
      </c>
      <c r="D1336" s="98">
        <f>SUMIFS(Input!$C$115:$C$3257,Input!$A$115:$A$3257,"="&amp;'Output - County'!A1336,Input!$B$115:$B$3257,"="&amp;'Output - County'!B1336)*VLOOKUP(A1336,'Output - State'!$B$2:$G$52,3,FALSE)</f>
        <v>8.2557834042198177</v>
      </c>
      <c r="E1336" s="98">
        <f>SUMIFS(Input!$C$115:$C$3257,Input!$A$115:$A$3257,"="&amp;'Output - County'!A1336,Input!$B$115:$B$3257,"="&amp;'Output - County'!B1336)*VLOOKUP(A1336,'Output - State'!$B$2:$G$52,4,FALSE)</f>
        <v>28.857467084824215</v>
      </c>
      <c r="F1336" s="98">
        <f>SUMIFS(Input!$C$115:$C$3257,Input!$A$115:$A$3257,"="&amp;'Output - County'!A1336,Input!$B$115:$B$3257,"="&amp;'Output - County'!B1336)*VLOOKUP(A1336,'Output - State'!$B$2:$G$52,5,FALSE)</f>
        <v>76.718424865716514</v>
      </c>
      <c r="G1336" s="99">
        <f>SUMIFS(Input!$D$115:$D$3257,Input!$A$115:$A$3257,"="&amp;'Output - County'!A1336,Input!$B$115:$B$3257,"="&amp;'Output - County'!B1336)*VLOOKUP(A1336,'Output - State'!$B$2:$G$52,6,FALSE)</f>
        <v>7.5888923761077782</v>
      </c>
    </row>
    <row r="1337" spans="1:7" x14ac:dyDescent="0.25">
      <c r="A1337" s="88">
        <v>27</v>
      </c>
      <c r="B1337" s="88">
        <v>43</v>
      </c>
      <c r="C1337" s="97">
        <f>SUMIFS(Input!$C$115:$C$3257,Input!$A$115:$A$3257,"="&amp;'Output - County'!A1337,Input!$B$115:$B$3257,"="&amp;'Output - County'!B1337)*VLOOKUP(A1337,'Output - State'!$B$2:$G$52,2,FALSE)</f>
        <v>3.6728609425982914</v>
      </c>
      <c r="D1337" s="98">
        <f>SUMIFS(Input!$C$115:$C$3257,Input!$A$115:$A$3257,"="&amp;'Output - County'!A1337,Input!$B$115:$B$3257,"="&amp;'Output - County'!B1337)*VLOOKUP(A1337,'Output - State'!$B$2:$G$52,3,FALSE)</f>
        <v>2.7156766761820212</v>
      </c>
      <c r="E1337" s="98">
        <f>SUMIFS(Input!$C$115:$C$3257,Input!$A$115:$A$3257,"="&amp;'Output - County'!A1337,Input!$B$115:$B$3257,"="&amp;'Output - County'!B1337)*VLOOKUP(A1337,'Output - State'!$B$2:$G$52,4,FALSE)</f>
        <v>9.4924426258434931</v>
      </c>
      <c r="F1337" s="98">
        <f>SUMIFS(Input!$C$115:$C$3257,Input!$A$115:$A$3257,"="&amp;'Output - County'!A1337,Input!$B$115:$B$3257,"="&amp;'Output - County'!B1337)*VLOOKUP(A1337,'Output - State'!$B$2:$G$52,5,FALSE)</f>
        <v>25.235937868083855</v>
      </c>
      <c r="G1337" s="99">
        <f>SUMIFS(Input!$D$115:$D$3257,Input!$A$115:$A$3257,"="&amp;'Output - County'!A1337,Input!$B$115:$B$3257,"="&amp;'Output - County'!B1337)*VLOOKUP(A1337,'Output - State'!$B$2:$G$52,6,FALSE)</f>
        <v>2.735995409280962</v>
      </c>
    </row>
    <row r="1338" spans="1:7" x14ac:dyDescent="0.25">
      <c r="A1338" s="88">
        <v>27</v>
      </c>
      <c r="B1338" s="88">
        <v>45</v>
      </c>
      <c r="C1338" s="97">
        <f>SUMIFS(Input!$C$115:$C$3257,Input!$A$115:$A$3257,"="&amp;'Output - County'!A1338,Input!$B$115:$B$3257,"="&amp;'Output - County'!B1338)*VLOOKUP(A1338,'Output - State'!$B$2:$G$52,2,FALSE)</f>
        <v>2.3385827490777387</v>
      </c>
      <c r="D1338" s="98">
        <f>SUMIFS(Input!$C$115:$C$3257,Input!$A$115:$A$3257,"="&amp;'Output - County'!A1338,Input!$B$115:$B$3257,"="&amp;'Output - County'!B1338)*VLOOKUP(A1338,'Output - State'!$B$2:$G$52,3,FALSE)</f>
        <v>1.7291247140163375</v>
      </c>
      <c r="E1338" s="98">
        <f>SUMIFS(Input!$C$115:$C$3257,Input!$A$115:$A$3257,"="&amp;'Output - County'!A1338,Input!$B$115:$B$3257,"="&amp;'Output - County'!B1338)*VLOOKUP(A1338,'Output - State'!$B$2:$G$52,4,FALSE)</f>
        <v>6.044024785676652</v>
      </c>
      <c r="F1338" s="98">
        <f>SUMIFS(Input!$C$115:$C$3257,Input!$A$115:$A$3257,"="&amp;'Output - County'!A1338,Input!$B$115:$B$3257,"="&amp;'Output - County'!B1338)*VLOOKUP(A1338,'Output - State'!$B$2:$G$52,5,FALSE)</f>
        <v>16.068217631280273</v>
      </c>
      <c r="G1338" s="99">
        <f>SUMIFS(Input!$D$115:$D$3257,Input!$A$115:$A$3257,"="&amp;'Output - County'!A1338,Input!$B$115:$B$3257,"="&amp;'Output - County'!B1338)*VLOOKUP(A1338,'Output - State'!$B$2:$G$52,6,FALSE)</f>
        <v>4.1938615762700886</v>
      </c>
    </row>
    <row r="1339" spans="1:7" x14ac:dyDescent="0.25">
      <c r="A1339" s="88">
        <v>27</v>
      </c>
      <c r="B1339" s="88">
        <v>47</v>
      </c>
      <c r="C1339" s="97">
        <f>SUMIFS(Input!$C$115:$C$3257,Input!$A$115:$A$3257,"="&amp;'Output - County'!A1339,Input!$B$115:$B$3257,"="&amp;'Output - County'!B1339)*VLOOKUP(A1339,'Output - State'!$B$2:$G$52,2,FALSE)</f>
        <v>10.59691655859314</v>
      </c>
      <c r="D1339" s="98">
        <f>SUMIFS(Input!$C$115:$C$3257,Input!$A$115:$A$3257,"="&amp;'Output - County'!A1339,Input!$B$115:$B$3257,"="&amp;'Output - County'!B1339)*VLOOKUP(A1339,'Output - State'!$B$2:$G$52,3,FALSE)</f>
        <v>7.835254203024677</v>
      </c>
      <c r="E1339" s="98">
        <f>SUMIFS(Input!$C$115:$C$3257,Input!$A$115:$A$3257,"="&amp;'Output - County'!A1339,Input!$B$115:$B$3257,"="&amp;'Output - County'!B1339)*VLOOKUP(A1339,'Output - State'!$B$2:$G$52,4,FALSE)</f>
        <v>27.387539037112433</v>
      </c>
      <c r="F1339" s="98">
        <f>SUMIFS(Input!$C$115:$C$3257,Input!$A$115:$A$3257,"="&amp;'Output - County'!A1339,Input!$B$115:$B$3257,"="&amp;'Output - County'!B1339)*VLOOKUP(A1339,'Output - State'!$B$2:$G$52,5,FALSE)</f>
        <v>72.810577924233201</v>
      </c>
      <c r="G1339" s="99">
        <f>SUMIFS(Input!$D$115:$D$3257,Input!$A$115:$A$3257,"="&amp;'Output - County'!A1339,Input!$B$115:$B$3257,"="&amp;'Output - County'!B1339)*VLOOKUP(A1339,'Output - State'!$B$2:$G$52,6,FALSE)</f>
        <v>6.0910846702970325</v>
      </c>
    </row>
    <row r="1340" spans="1:7" x14ac:dyDescent="0.25">
      <c r="A1340" s="88">
        <v>27</v>
      </c>
      <c r="B1340" s="88">
        <v>49</v>
      </c>
      <c r="C1340" s="97">
        <f>SUMIFS(Input!$C$115:$C$3257,Input!$A$115:$A$3257,"="&amp;'Output - County'!A1340,Input!$B$115:$B$3257,"="&amp;'Output - County'!B1340)*VLOOKUP(A1340,'Output - State'!$B$2:$G$52,2,FALSE)</f>
        <v>9.6732176342942289</v>
      </c>
      <c r="D1340" s="98">
        <f>SUMIFS(Input!$C$115:$C$3257,Input!$A$115:$A$3257,"="&amp;'Output - County'!A1340,Input!$B$115:$B$3257,"="&amp;'Output - County'!B1340)*VLOOKUP(A1340,'Output - State'!$B$2:$G$52,3,FALSE)</f>
        <v>7.1522804493931522</v>
      </c>
      <c r="E1340" s="98">
        <f>SUMIFS(Input!$C$115:$C$3257,Input!$A$115:$A$3257,"="&amp;'Output - County'!A1340,Input!$B$115:$B$3257,"="&amp;'Output - County'!B1340)*VLOOKUP(A1340,'Output - State'!$B$2:$G$52,4,FALSE)</f>
        <v>25.000255886594374</v>
      </c>
      <c r="F1340" s="98">
        <f>SUMIFS(Input!$C$115:$C$3257,Input!$A$115:$A$3257,"="&amp;'Output - County'!A1340,Input!$B$115:$B$3257,"="&amp;'Output - County'!B1340)*VLOOKUP(A1340,'Output - State'!$B$2:$G$52,5,FALSE)</f>
        <v>66.463915464986172</v>
      </c>
      <c r="G1340" s="99">
        <f>SUMIFS(Input!$D$115:$D$3257,Input!$A$115:$A$3257,"="&amp;'Output - County'!A1340,Input!$B$115:$B$3257,"="&amp;'Output - County'!B1340)*VLOOKUP(A1340,'Output - State'!$B$2:$G$52,6,FALSE)</f>
        <v>9.2464662372050039</v>
      </c>
    </row>
    <row r="1341" spans="1:7" x14ac:dyDescent="0.25">
      <c r="A1341" s="88">
        <v>27</v>
      </c>
      <c r="B1341" s="88">
        <v>51</v>
      </c>
      <c r="C1341" s="97">
        <f>SUMIFS(Input!$C$115:$C$3257,Input!$A$115:$A$3257,"="&amp;'Output - County'!A1341,Input!$B$115:$B$3257,"="&amp;'Output - County'!B1341)*VLOOKUP(A1341,'Output - State'!$B$2:$G$52,2,FALSE)</f>
        <v>1.9579649803974029</v>
      </c>
      <c r="D1341" s="98">
        <f>SUMIFS(Input!$C$115:$C$3257,Input!$A$115:$A$3257,"="&amp;'Output - County'!A1341,Input!$B$115:$B$3257,"="&amp;'Output - County'!B1341)*VLOOKUP(A1341,'Output - State'!$B$2:$G$52,3,FALSE)</f>
        <v>1.4476997395618438</v>
      </c>
      <c r="E1341" s="98">
        <f>SUMIFS(Input!$C$115:$C$3257,Input!$A$115:$A$3257,"="&amp;'Output - County'!A1341,Input!$B$115:$B$3257,"="&amp;'Output - County'!B1341)*VLOOKUP(A1341,'Output - State'!$B$2:$G$52,4,FALSE)</f>
        <v>5.060325051861323</v>
      </c>
      <c r="F1341" s="98">
        <f>SUMIFS(Input!$C$115:$C$3257,Input!$A$115:$A$3257,"="&amp;'Output - County'!A1341,Input!$B$115:$B$3257,"="&amp;'Output - County'!B1341)*VLOOKUP(A1341,'Output - State'!$B$2:$G$52,5,FALSE)</f>
        <v>13.453022960961327</v>
      </c>
      <c r="G1341" s="99">
        <f>SUMIFS(Input!$D$115:$D$3257,Input!$A$115:$A$3257,"="&amp;'Output - County'!A1341,Input!$B$115:$B$3257,"="&amp;'Output - County'!B1341)*VLOOKUP(A1341,'Output - State'!$B$2:$G$52,6,FALSE)</f>
        <v>1.1962490877075156</v>
      </c>
    </row>
    <row r="1342" spans="1:7" x14ac:dyDescent="0.25">
      <c r="A1342" s="88">
        <v>27</v>
      </c>
      <c r="B1342" s="88">
        <v>53</v>
      </c>
      <c r="C1342" s="97">
        <f>SUMIFS(Input!$C$115:$C$3257,Input!$A$115:$A$3257,"="&amp;'Output - County'!A1342,Input!$B$115:$B$3257,"="&amp;'Output - County'!B1342)*VLOOKUP(A1342,'Output - State'!$B$2:$G$52,2,FALSE)</f>
        <v>262.41742888242243</v>
      </c>
      <c r="D1342" s="98">
        <f>SUMIFS(Input!$C$115:$C$3257,Input!$A$115:$A$3257,"="&amp;'Output - County'!A1342,Input!$B$115:$B$3257,"="&amp;'Output - County'!B1342)*VLOOKUP(A1342,'Output - State'!$B$2:$G$52,3,FALSE)</f>
        <v>194.02882444427786</v>
      </c>
      <c r="E1342" s="98">
        <f>SUMIFS(Input!$C$115:$C$3257,Input!$A$115:$A$3257,"="&amp;'Output - County'!A1342,Input!$B$115:$B$3257,"="&amp;'Output - County'!B1342)*VLOOKUP(A1342,'Output - State'!$B$2:$G$52,4,FALSE)</f>
        <v>678.21309508264824</v>
      </c>
      <c r="F1342" s="98">
        <f>SUMIFS(Input!$C$115:$C$3257,Input!$A$115:$A$3257,"="&amp;'Output - County'!A1342,Input!$B$115:$B$3257,"="&amp;'Output - County'!B1342)*VLOOKUP(A1342,'Output - State'!$B$2:$G$52,5,FALSE)</f>
        <v>1803.0494577053814</v>
      </c>
      <c r="G1342" s="99">
        <f>SUMIFS(Input!$D$115:$D$3257,Input!$A$115:$A$3257,"="&amp;'Output - County'!A1342,Input!$B$115:$B$3257,"="&amp;'Output - County'!B1342)*VLOOKUP(A1342,'Output - State'!$B$2:$G$52,6,FALSE)</f>
        <v>251.63169457620526</v>
      </c>
    </row>
    <row r="1343" spans="1:7" x14ac:dyDescent="0.25">
      <c r="A1343" s="88">
        <v>27</v>
      </c>
      <c r="B1343" s="88">
        <v>55</v>
      </c>
      <c r="C1343" s="97">
        <f>SUMIFS(Input!$C$115:$C$3257,Input!$A$115:$A$3257,"="&amp;'Output - County'!A1343,Input!$B$115:$B$3257,"="&amp;'Output - County'!B1343)*VLOOKUP(A1343,'Output - State'!$B$2:$G$52,2,FALSE)</f>
        <v>2.4099741228334617</v>
      </c>
      <c r="D1343" s="98">
        <f>SUMIFS(Input!$C$115:$C$3257,Input!$A$115:$A$3257,"="&amp;'Output - County'!A1343,Input!$B$115:$B$3257,"="&amp;'Output - County'!B1343)*VLOOKUP(A1343,'Output - State'!$B$2:$G$52,3,FALSE)</f>
        <v>1.7819107823208611</v>
      </c>
      <c r="E1343" s="98">
        <f>SUMIFS(Input!$C$115:$C$3257,Input!$A$115:$A$3257,"="&amp;'Output - County'!A1343,Input!$B$115:$B$3257,"="&amp;'Output - County'!B1343)*VLOOKUP(A1343,'Output - State'!$B$2:$G$52,4,FALSE)</f>
        <v>6.2285344989349332</v>
      </c>
      <c r="F1343" s="98">
        <f>SUMIFS(Input!$C$115:$C$3257,Input!$A$115:$A$3257,"="&amp;'Output - County'!A1343,Input!$B$115:$B$3257,"="&amp;'Output - County'!B1343)*VLOOKUP(A1343,'Output - State'!$B$2:$G$52,5,FALSE)</f>
        <v>16.558742129913224</v>
      </c>
      <c r="G1343" s="99">
        <f>SUMIFS(Input!$D$115:$D$3257,Input!$A$115:$A$3257,"="&amp;'Output - County'!A1343,Input!$B$115:$B$3257,"="&amp;'Output - County'!B1343)*VLOOKUP(A1343,'Output - State'!$B$2:$G$52,6,FALSE)</f>
        <v>3.7145631104106496</v>
      </c>
    </row>
    <row r="1344" spans="1:7" x14ac:dyDescent="0.25">
      <c r="A1344" s="88">
        <v>27</v>
      </c>
      <c r="B1344" s="88">
        <v>57</v>
      </c>
      <c r="C1344" s="97">
        <f>SUMIFS(Input!$C$115:$C$3257,Input!$A$115:$A$3257,"="&amp;'Output - County'!A1344,Input!$B$115:$B$3257,"="&amp;'Output - County'!B1344)*VLOOKUP(A1344,'Output - State'!$B$2:$G$52,2,FALSE)</f>
        <v>2.7869994644752021</v>
      </c>
      <c r="D1344" s="98">
        <f>SUMIFS(Input!$C$115:$C$3257,Input!$A$115:$A$3257,"="&amp;'Output - County'!A1344,Input!$B$115:$B$3257,"="&amp;'Output - County'!B1344)*VLOOKUP(A1344,'Output - State'!$B$2:$G$52,3,FALSE)</f>
        <v>2.0606795521239754</v>
      </c>
      <c r="E1344" s="98">
        <f>SUMIFS(Input!$C$115:$C$3257,Input!$A$115:$A$3257,"="&amp;'Output - County'!A1344,Input!$B$115:$B$3257,"="&amp;'Output - County'!B1344)*VLOOKUP(A1344,'Output - State'!$B$2:$G$52,4,FALSE)</f>
        <v>7.2029496700934272</v>
      </c>
      <c r="F1344" s="98">
        <f>SUMIFS(Input!$C$115:$C$3257,Input!$A$115:$A$3257,"="&amp;'Output - County'!A1344,Input!$B$115:$B$3257,"="&amp;'Output - County'!B1344)*VLOOKUP(A1344,'Output - State'!$B$2:$G$52,5,FALSE)</f>
        <v>19.149253517374888</v>
      </c>
      <c r="G1344" s="99">
        <f>SUMIFS(Input!$D$115:$D$3257,Input!$A$115:$A$3257,"="&amp;'Output - County'!A1344,Input!$B$115:$B$3257,"="&amp;'Output - County'!B1344)*VLOOKUP(A1344,'Output - State'!$B$2:$G$52,6,FALSE)</f>
        <v>4.2537738845025181</v>
      </c>
    </row>
    <row r="1345" spans="1:7" x14ac:dyDescent="0.25">
      <c r="A1345" s="88">
        <v>27</v>
      </c>
      <c r="B1345" s="88">
        <v>59</v>
      </c>
      <c r="C1345" s="97">
        <f>SUMIFS(Input!$C$115:$C$3257,Input!$A$115:$A$3257,"="&amp;'Output - County'!A1345,Input!$B$115:$B$3257,"="&amp;'Output - County'!B1345)*VLOOKUP(A1345,'Output - State'!$B$2:$G$52,2,FALSE)</f>
        <v>6.4531930287283341</v>
      </c>
      <c r="D1345" s="98">
        <f>SUMIFS(Input!$C$115:$C$3257,Input!$A$115:$A$3257,"="&amp;'Output - County'!A1345,Input!$B$115:$B$3257,"="&amp;'Output - County'!B1345)*VLOOKUP(A1345,'Output - State'!$B$2:$G$52,3,FALSE)</f>
        <v>4.7714264353881024</v>
      </c>
      <c r="E1345" s="98">
        <f>SUMIFS(Input!$C$115:$C$3257,Input!$A$115:$A$3257,"="&amp;'Output - County'!A1345,Input!$B$115:$B$3257,"="&amp;'Output - County'!B1345)*VLOOKUP(A1345,'Output - State'!$B$2:$G$52,4,FALSE)</f>
        <v>16.67816057728616</v>
      </c>
      <c r="F1345" s="98">
        <f>SUMIFS(Input!$C$115:$C$3257,Input!$A$115:$A$3257,"="&amp;'Output - County'!A1345,Input!$B$115:$B$3257,"="&amp;'Output - County'!B1345)*VLOOKUP(A1345,'Output - State'!$B$2:$G$52,5,FALSE)</f>
        <v>44.339380354687066</v>
      </c>
      <c r="G1345" s="99">
        <f>SUMIFS(Input!$D$115:$D$3257,Input!$A$115:$A$3257,"="&amp;'Output - County'!A1345,Input!$B$115:$B$3257,"="&amp;'Output - County'!B1345)*VLOOKUP(A1345,'Output - State'!$B$2:$G$52,6,FALSE)</f>
        <v>7.9883077643239764</v>
      </c>
    </row>
    <row r="1346" spans="1:7" x14ac:dyDescent="0.25">
      <c r="A1346" s="88">
        <v>27</v>
      </c>
      <c r="B1346" s="88">
        <v>61</v>
      </c>
      <c r="C1346" s="97">
        <f>SUMIFS(Input!$C$115:$C$3257,Input!$A$115:$A$3257,"="&amp;'Output - County'!A1346,Input!$B$115:$B$3257,"="&amp;'Output - County'!B1346)*VLOOKUP(A1346,'Output - State'!$B$2:$G$52,2,FALSE)</f>
        <v>6.2769537864395542</v>
      </c>
      <c r="D1346" s="98">
        <f>SUMIFS(Input!$C$115:$C$3257,Input!$A$115:$A$3257,"="&amp;'Output - County'!A1346,Input!$B$115:$B$3257,"="&amp;'Output - County'!B1346)*VLOOKUP(A1346,'Output - State'!$B$2:$G$52,3,FALSE)</f>
        <v>4.6411169008885338</v>
      </c>
      <c r="E1346" s="98">
        <f>SUMIFS(Input!$C$115:$C$3257,Input!$A$115:$A$3257,"="&amp;'Output - County'!A1346,Input!$B$115:$B$3257,"="&amp;'Output - County'!B1346)*VLOOKUP(A1346,'Output - State'!$B$2:$G$52,4,FALSE)</f>
        <v>16.222673445593969</v>
      </c>
      <c r="F1346" s="98">
        <f>SUMIFS(Input!$C$115:$C$3257,Input!$A$115:$A$3257,"="&amp;'Output - County'!A1346,Input!$B$115:$B$3257,"="&amp;'Output - County'!B1346)*VLOOKUP(A1346,'Output - State'!$B$2:$G$52,5,FALSE)</f>
        <v>43.128454420428447</v>
      </c>
      <c r="G1346" s="99">
        <f>SUMIFS(Input!$D$115:$D$3257,Input!$A$115:$A$3257,"="&amp;'Output - County'!A1346,Input!$B$115:$B$3257,"="&amp;'Output - County'!B1346)*VLOOKUP(A1346,'Output - State'!$B$2:$G$52,6,FALSE)</f>
        <v>9.006817004275284</v>
      </c>
    </row>
    <row r="1347" spans="1:7" x14ac:dyDescent="0.25">
      <c r="A1347" s="88">
        <v>27</v>
      </c>
      <c r="B1347" s="88">
        <v>63</v>
      </c>
      <c r="C1347" s="97">
        <f>SUMIFS(Input!$C$115:$C$3257,Input!$A$115:$A$3257,"="&amp;'Output - County'!A1347,Input!$B$115:$B$3257,"="&amp;'Output - County'!B1347)*VLOOKUP(A1347,'Output - State'!$B$2:$G$52,2,FALSE)</f>
        <v>3.7244254403416623</v>
      </c>
      <c r="D1347" s="98">
        <f>SUMIFS(Input!$C$115:$C$3257,Input!$A$115:$A$3257,"="&amp;'Output - County'!A1347,Input!$B$115:$B$3257,"="&amp;'Output - County'!B1347)*VLOOKUP(A1347,'Output - State'!$B$2:$G$52,3,FALSE)</f>
        <v>2.7538029505031094</v>
      </c>
      <c r="E1347" s="98">
        <f>SUMIFS(Input!$C$115:$C$3257,Input!$A$115:$A$3257,"="&amp;'Output - County'!A1347,Input!$B$115:$B$3257,"="&amp;'Output - County'!B1347)*VLOOKUP(A1347,'Output - State'!$B$2:$G$52,4,FALSE)</f>
        <v>9.6257101369225051</v>
      </c>
      <c r="F1347" s="98">
        <f>SUMIFS(Input!$C$115:$C$3257,Input!$A$115:$A$3257,"="&amp;'Output - County'!A1347,Input!$B$115:$B$3257,"="&amp;'Output - County'!B1347)*VLOOKUP(A1347,'Output - State'!$B$2:$G$52,5,FALSE)</f>
        <v>25.590233465327483</v>
      </c>
      <c r="G1347" s="99">
        <f>SUMIFS(Input!$D$115:$D$3257,Input!$A$115:$A$3257,"="&amp;'Output - County'!A1347,Input!$B$115:$B$3257,"="&amp;'Output - County'!B1347)*VLOOKUP(A1347,'Output - State'!$B$2:$G$52,6,FALSE)</f>
        <v>1.9771061716701843</v>
      </c>
    </row>
    <row r="1348" spans="1:7" x14ac:dyDescent="0.25">
      <c r="A1348" s="88">
        <v>27</v>
      </c>
      <c r="B1348" s="88">
        <v>65</v>
      </c>
      <c r="C1348" s="97">
        <f>SUMIFS(Input!$C$115:$C$3257,Input!$A$115:$A$3257,"="&amp;'Output - County'!A1348,Input!$B$115:$B$3257,"="&amp;'Output - County'!B1348)*VLOOKUP(A1348,'Output - State'!$B$2:$G$52,2,FALSE)</f>
        <v>1.8956083148712415</v>
      </c>
      <c r="D1348" s="98">
        <f>SUMIFS(Input!$C$115:$C$3257,Input!$A$115:$A$3257,"="&amp;'Output - County'!A1348,Input!$B$115:$B$3257,"="&amp;'Output - County'!B1348)*VLOOKUP(A1348,'Output - State'!$B$2:$G$52,3,FALSE)</f>
        <v>1.4015938442338047</v>
      </c>
      <c r="E1348" s="98">
        <f>SUMIFS(Input!$C$115:$C$3257,Input!$A$115:$A$3257,"="&amp;'Output - County'!A1348,Input!$B$115:$B$3257,"="&amp;'Output - County'!B1348)*VLOOKUP(A1348,'Output - State'!$B$2:$G$52,4,FALSE)</f>
        <v>4.8991653784903892</v>
      </c>
      <c r="F1348" s="98">
        <f>SUMIFS(Input!$C$115:$C$3257,Input!$A$115:$A$3257,"="&amp;'Output - County'!A1348,Input!$B$115:$B$3257,"="&amp;'Output - County'!B1348)*VLOOKUP(A1348,'Output - State'!$B$2:$G$52,5,FALSE)</f>
        <v>13.024575230030937</v>
      </c>
      <c r="G1348" s="99">
        <f>SUMIFS(Input!$D$115:$D$3257,Input!$A$115:$A$3257,"="&amp;'Output - County'!A1348,Input!$B$115:$B$3257,"="&amp;'Output - County'!B1348)*VLOOKUP(A1348,'Output - State'!$B$2:$G$52,6,FALSE)</f>
        <v>3.2352646445512105</v>
      </c>
    </row>
    <row r="1349" spans="1:7" x14ac:dyDescent="0.25">
      <c r="A1349" s="88">
        <v>27</v>
      </c>
      <c r="B1349" s="88">
        <v>67</v>
      </c>
      <c r="C1349" s="97">
        <f>SUMIFS(Input!$C$115:$C$3257,Input!$A$115:$A$3257,"="&amp;'Output - County'!A1349,Input!$B$115:$B$3257,"="&amp;'Output - County'!B1349)*VLOOKUP(A1349,'Output - State'!$B$2:$G$52,2,FALSE)</f>
        <v>6.7683040387291138</v>
      </c>
      <c r="D1349" s="98">
        <f>SUMIFS(Input!$C$115:$C$3257,Input!$A$115:$A$3257,"="&amp;'Output - County'!A1349,Input!$B$115:$B$3257,"="&amp;'Output - County'!B1349)*VLOOKUP(A1349,'Output - State'!$B$2:$G$52,3,FALSE)</f>
        <v>5.0044163671174262</v>
      </c>
      <c r="E1349" s="98">
        <f>SUMIFS(Input!$C$115:$C$3257,Input!$A$115:$A$3257,"="&amp;'Output - County'!A1349,Input!$B$115:$B$3257,"="&amp;'Output - County'!B1349)*VLOOKUP(A1349,'Output - State'!$B$2:$G$52,4,FALSE)</f>
        <v>17.492559278993596</v>
      </c>
      <c r="F1349" s="98">
        <f>SUMIFS(Input!$C$115:$C$3257,Input!$A$115:$A$3257,"="&amp;'Output - County'!A1349,Input!$B$115:$B$3257,"="&amp;'Output - County'!B1349)*VLOOKUP(A1349,'Output - State'!$B$2:$G$52,5,FALSE)</f>
        <v>46.504483252457881</v>
      </c>
      <c r="G1349" s="99">
        <f>SUMIFS(Input!$D$115:$D$3257,Input!$A$115:$A$3257,"="&amp;'Output - County'!A1349,Input!$B$115:$B$3257,"="&amp;'Output - County'!B1349)*VLOOKUP(A1349,'Output - State'!$B$2:$G$52,6,FALSE)</f>
        <v>8.5674600772374649</v>
      </c>
    </row>
    <row r="1350" spans="1:7" x14ac:dyDescent="0.25">
      <c r="A1350" s="88">
        <v>27</v>
      </c>
      <c r="B1350" s="88">
        <v>69</v>
      </c>
      <c r="C1350" s="97">
        <f>SUMIFS(Input!$C$115:$C$3257,Input!$A$115:$A$3257,"="&amp;'Output - County'!A1350,Input!$B$115:$B$3257,"="&amp;'Output - County'!B1350)*VLOOKUP(A1350,'Output - State'!$B$2:$G$52,2,FALSE)</f>
        <v>0.70585672013441192</v>
      </c>
      <c r="D1350" s="98">
        <f>SUMIFS(Input!$C$115:$C$3257,Input!$A$115:$A$3257,"="&amp;'Output - County'!A1350,Input!$B$115:$B$3257,"="&amp;'Output - County'!B1350)*VLOOKUP(A1350,'Output - State'!$B$2:$G$52,3,FALSE)</f>
        <v>0.52190340488069387</v>
      </c>
      <c r="E1350" s="98">
        <f>SUMIFS(Input!$C$115:$C$3257,Input!$A$115:$A$3257,"="&amp;'Output - County'!A1350,Input!$B$115:$B$3257,"="&amp;'Output - County'!B1350)*VLOOKUP(A1350,'Output - State'!$B$2:$G$52,4,FALSE)</f>
        <v>1.8242739168888811</v>
      </c>
      <c r="F1350" s="98">
        <f>SUMIFS(Input!$C$115:$C$3257,Input!$A$115:$A$3257,"="&amp;'Output - County'!A1350,Input!$B$115:$B$3257,"="&amp;'Output - County'!B1350)*VLOOKUP(A1350,'Output - State'!$B$2:$G$52,5,FALSE)</f>
        <v>4.8498858550522899</v>
      </c>
      <c r="G1350" s="99">
        <f>SUMIFS(Input!$D$115:$D$3257,Input!$A$115:$A$3257,"="&amp;'Output - County'!A1350,Input!$B$115:$B$3257,"="&amp;'Output - County'!B1350)*VLOOKUP(A1350,'Output - State'!$B$2:$G$52,6,FALSE)</f>
        <v>0.85275185384158447</v>
      </c>
    </row>
    <row r="1351" spans="1:7" x14ac:dyDescent="0.25">
      <c r="A1351" s="88">
        <v>27</v>
      </c>
      <c r="B1351" s="88">
        <v>71</v>
      </c>
      <c r="C1351" s="97">
        <f>SUMIFS(Input!$C$115:$C$3257,Input!$A$115:$A$3257,"="&amp;'Output - County'!A1351,Input!$B$115:$B$3257,"="&amp;'Output - County'!B1351)*VLOOKUP(A1351,'Output - State'!$B$2:$G$52,2,FALSE)</f>
        <v>1.7464372947397779</v>
      </c>
      <c r="D1351" s="98">
        <f>SUMIFS(Input!$C$115:$C$3257,Input!$A$115:$A$3257,"="&amp;'Output - County'!A1351,Input!$B$115:$B$3257,"="&amp;'Output - County'!B1351)*VLOOKUP(A1351,'Output - State'!$B$2:$G$52,3,FALSE)</f>
        <v>1.2912982826907875</v>
      </c>
      <c r="E1351" s="98">
        <f>SUMIFS(Input!$C$115:$C$3257,Input!$A$115:$A$3257,"="&amp;'Output - County'!A1351,Input!$B$115:$B$3257,"="&amp;'Output - County'!B1351)*VLOOKUP(A1351,'Output - State'!$B$2:$G$52,4,FALSE)</f>
        <v>4.5136355770177685</v>
      </c>
      <c r="F1351" s="98">
        <f>SUMIFS(Input!$C$115:$C$3257,Input!$A$115:$A$3257,"="&amp;'Output - County'!A1351,Input!$B$115:$B$3257,"="&amp;'Output - County'!B1351)*VLOOKUP(A1351,'Output - State'!$B$2:$G$52,5,FALSE)</f>
        <v>11.999632915418502</v>
      </c>
      <c r="G1351" s="99">
        <f>SUMIFS(Input!$D$115:$D$3257,Input!$A$115:$A$3257,"="&amp;'Output - County'!A1351,Input!$B$115:$B$3257,"="&amp;'Output - County'!B1351)*VLOOKUP(A1351,'Output - State'!$B$2:$G$52,6,FALSE)</f>
        <v>2.4763754069404329</v>
      </c>
    </row>
    <row r="1352" spans="1:7" x14ac:dyDescent="0.25">
      <c r="A1352" s="88">
        <v>27</v>
      </c>
      <c r="B1352" s="88">
        <v>73</v>
      </c>
      <c r="C1352" s="97">
        <f>SUMIFS(Input!$C$115:$C$3257,Input!$A$115:$A$3257,"="&amp;'Output - County'!A1352,Input!$B$115:$B$3257,"="&amp;'Output - County'!B1352)*VLOOKUP(A1352,'Output - State'!$B$2:$G$52,2,FALSE)</f>
        <v>0.99330589136904568</v>
      </c>
      <c r="D1352" s="98">
        <f>SUMIFS(Input!$C$115:$C$3257,Input!$A$115:$A$3257,"="&amp;'Output - County'!A1352,Input!$B$115:$B$3257,"="&amp;'Output - County'!B1352)*VLOOKUP(A1352,'Output - State'!$B$2:$G$52,3,FALSE)</f>
        <v>0.73444044946521159</v>
      </c>
      <c r="E1352" s="98">
        <f>SUMIFS(Input!$C$115:$C$3257,Input!$A$115:$A$3257,"="&amp;'Output - County'!A1352,Input!$B$115:$B$3257,"="&amp;'Output - County'!B1352)*VLOOKUP(A1352,'Output - State'!$B$2:$G$52,4,FALSE)</f>
        <v>2.5671810969959323</v>
      </c>
      <c r="F1352" s="98">
        <f>SUMIFS(Input!$C$115:$C$3257,Input!$A$115:$A$3257,"="&amp;'Output - County'!A1352,Input!$B$115:$B$3257,"="&amp;'Output - County'!B1352)*VLOOKUP(A1352,'Output - State'!$B$2:$G$52,5,FALSE)</f>
        <v>6.8249264402745782</v>
      </c>
      <c r="G1352" s="99">
        <f>SUMIFS(Input!$D$115:$D$3257,Input!$A$115:$A$3257,"="&amp;'Output - County'!A1352,Input!$B$115:$B$3257,"="&amp;'Output - County'!B1352)*VLOOKUP(A1352,'Output - State'!$B$2:$G$52,6,FALSE)</f>
        <v>1.3300532427599423</v>
      </c>
    </row>
    <row r="1353" spans="1:7" x14ac:dyDescent="0.25">
      <c r="A1353" s="88">
        <v>27</v>
      </c>
      <c r="B1353" s="88">
        <v>75</v>
      </c>
      <c r="C1353" s="97">
        <f>SUMIFS(Input!$C$115:$C$3257,Input!$A$115:$A$3257,"="&amp;'Output - County'!A1353,Input!$B$115:$B$3257,"="&amp;'Output - County'!B1353)*VLOOKUP(A1353,'Output - State'!$B$2:$G$52,2,FALSE)</f>
        <v>1.7802441227254859</v>
      </c>
      <c r="D1353" s="98">
        <f>SUMIFS(Input!$C$115:$C$3257,Input!$A$115:$A$3257,"="&amp;'Output - County'!A1353,Input!$B$115:$B$3257,"="&amp;'Output - County'!B1353)*VLOOKUP(A1353,'Output - State'!$B$2:$G$52,3,FALSE)</f>
        <v>1.3162947134545224</v>
      </c>
      <c r="E1353" s="98">
        <f>SUMIFS(Input!$C$115:$C$3257,Input!$A$115:$A$3257,"="&amp;'Output - County'!A1353,Input!$B$115:$B$3257,"="&amp;'Output - County'!B1353)*VLOOKUP(A1353,'Output - State'!$B$2:$G$52,4,FALSE)</f>
        <v>4.6010087120292651</v>
      </c>
      <c r="F1353" s="98">
        <f>SUMIFS(Input!$C$115:$C$3257,Input!$A$115:$A$3257,"="&amp;'Output - County'!A1353,Input!$B$115:$B$3257,"="&amp;'Output - County'!B1353)*VLOOKUP(A1353,'Output - State'!$B$2:$G$52,5,FALSE)</f>
        <v>12.231916964256133</v>
      </c>
      <c r="G1353" s="99">
        <f>SUMIFS(Input!$D$115:$D$3257,Input!$A$115:$A$3257,"="&amp;'Output - County'!A1353,Input!$B$115:$B$3257,"="&amp;'Output - County'!B1353)*VLOOKUP(A1353,'Output - State'!$B$2:$G$52,6,FALSE)</f>
        <v>2.1169015575458539</v>
      </c>
    </row>
    <row r="1354" spans="1:7" x14ac:dyDescent="0.25">
      <c r="A1354" s="88">
        <v>27</v>
      </c>
      <c r="B1354" s="88">
        <v>77</v>
      </c>
      <c r="C1354" s="97">
        <f>SUMIFS(Input!$C$115:$C$3257,Input!$A$115:$A$3257,"="&amp;'Output - County'!A1354,Input!$B$115:$B$3257,"="&amp;'Output - County'!B1354)*VLOOKUP(A1354,'Output - State'!$B$2:$G$52,2,FALSE)</f>
        <v>0.5166506169855396</v>
      </c>
      <c r="D1354" s="98">
        <f>SUMIFS(Input!$C$115:$C$3257,Input!$A$115:$A$3257,"="&amp;'Output - County'!A1354,Input!$B$115:$B$3257,"="&amp;'Output - County'!B1354)*VLOOKUP(A1354,'Output - State'!$B$2:$G$52,3,FALSE)</f>
        <v>0.38200630304563526</v>
      </c>
      <c r="E1354" s="98">
        <f>SUMIFS(Input!$C$115:$C$3257,Input!$A$115:$A$3257,"="&amp;'Output - County'!A1354,Input!$B$115:$B$3257,"="&amp;'Output - County'!B1354)*VLOOKUP(A1354,'Output - State'!$B$2:$G$52,4,FALSE)</f>
        <v>1.3352741680093243</v>
      </c>
      <c r="F1354" s="98">
        <f>SUMIFS(Input!$C$115:$C$3257,Input!$A$115:$A$3257,"="&amp;'Output - County'!A1354,Input!$B$115:$B$3257,"="&amp;'Output - County'!B1354)*VLOOKUP(A1354,'Output - State'!$B$2:$G$52,5,FALSE)</f>
        <v>3.5498656424848689</v>
      </c>
      <c r="G1354" s="99">
        <f>SUMIFS(Input!$D$115:$D$3257,Input!$A$115:$A$3257,"="&amp;'Output - County'!A1354,Input!$B$115:$B$3257,"="&amp;'Output - County'!B1354)*VLOOKUP(A1354,'Output - State'!$B$2:$G$52,6,FALSE)</f>
        <v>0.74690677596429178</v>
      </c>
    </row>
    <row r="1355" spans="1:7" x14ac:dyDescent="0.25">
      <c r="A1355" s="88">
        <v>27</v>
      </c>
      <c r="B1355" s="88">
        <v>79</v>
      </c>
      <c r="C1355" s="97">
        <f>SUMIFS(Input!$C$115:$C$3257,Input!$A$115:$A$3257,"="&amp;'Output - County'!A1355,Input!$B$115:$B$3257,"="&amp;'Output - County'!B1355)*VLOOKUP(A1355,'Output - State'!$B$2:$G$52,2,FALSE)</f>
        <v>3.2562488709500212</v>
      </c>
      <c r="D1355" s="98">
        <f>SUMIFS(Input!$C$115:$C$3257,Input!$A$115:$A$3257,"="&amp;'Output - County'!A1355,Input!$B$115:$B$3257,"="&amp;'Output - County'!B1355)*VLOOKUP(A1355,'Output - State'!$B$2:$G$52,3,FALSE)</f>
        <v>2.4076378738224888</v>
      </c>
      <c r="E1355" s="98">
        <f>SUMIFS(Input!$C$115:$C$3257,Input!$A$115:$A$3257,"="&amp;'Output - County'!A1355,Input!$B$115:$B$3257,"="&amp;'Output - County'!B1355)*VLOOKUP(A1355,'Output - State'!$B$2:$G$52,4,FALSE)</f>
        <v>8.4157162675193042</v>
      </c>
      <c r="F1355" s="98">
        <f>SUMIFS(Input!$C$115:$C$3257,Input!$A$115:$A$3257,"="&amp;'Output - County'!A1355,Input!$B$115:$B$3257,"="&amp;'Output - County'!B1355)*VLOOKUP(A1355,'Output - State'!$B$2:$G$52,5,FALSE)</f>
        <v>22.373429180844578</v>
      </c>
      <c r="G1355" s="99">
        <f>SUMIFS(Input!$D$115:$D$3257,Input!$A$115:$A$3257,"="&amp;'Output - County'!A1355,Input!$B$115:$B$3257,"="&amp;'Output - County'!B1355)*VLOOKUP(A1355,'Output - State'!$B$2:$G$52,6,FALSE)</f>
        <v>5.7116400514916439</v>
      </c>
    </row>
    <row r="1356" spans="1:7" x14ac:dyDescent="0.25">
      <c r="A1356" s="88">
        <v>27</v>
      </c>
      <c r="B1356" s="88">
        <v>81</v>
      </c>
      <c r="C1356" s="97">
        <f>SUMIFS(Input!$C$115:$C$3257,Input!$A$115:$A$3257,"="&amp;'Output - County'!A1356,Input!$B$115:$B$3257,"="&amp;'Output - County'!B1356)*VLOOKUP(A1356,'Output - State'!$B$2:$G$52,2,FALSE)</f>
        <v>0.71149644967552017</v>
      </c>
      <c r="D1356" s="98">
        <f>SUMIFS(Input!$C$115:$C$3257,Input!$A$115:$A$3257,"="&amp;'Output - County'!A1356,Input!$B$115:$B$3257,"="&amp;'Output - County'!B1356)*VLOOKUP(A1356,'Output - State'!$B$2:$G$52,3,FALSE)</f>
        <v>0.52607336454269171</v>
      </c>
      <c r="E1356" s="98">
        <f>SUMIFS(Input!$C$115:$C$3257,Input!$A$115:$A$3257,"="&amp;'Output - County'!A1356,Input!$B$115:$B$3257,"="&amp;'Output - County'!B1356)*VLOOKUP(A1356,'Output - State'!$B$2:$G$52,4,FALSE)</f>
        <v>1.8388496958064386</v>
      </c>
      <c r="F1356" s="98">
        <f>SUMIFS(Input!$C$115:$C$3257,Input!$A$115:$A$3257,"="&amp;'Output - County'!A1356,Input!$B$115:$B$3257,"="&amp;'Output - County'!B1356)*VLOOKUP(A1356,'Output - State'!$B$2:$G$52,5,FALSE)</f>
        <v>4.8886359919391822</v>
      </c>
      <c r="G1356" s="99">
        <f>SUMIFS(Input!$D$115:$D$3257,Input!$A$115:$A$3257,"="&amp;'Output - County'!A1356,Input!$B$115:$B$3257,"="&amp;'Output - County'!B1356)*VLOOKUP(A1356,'Output - State'!$B$2:$G$52,6,FALSE)</f>
        <v>1.1323426255929236</v>
      </c>
    </row>
    <row r="1357" spans="1:7" x14ac:dyDescent="0.25">
      <c r="A1357" s="88">
        <v>27</v>
      </c>
      <c r="B1357" s="88">
        <v>83</v>
      </c>
      <c r="C1357" s="97">
        <f>SUMIFS(Input!$C$115:$C$3257,Input!$A$115:$A$3257,"="&amp;'Output - County'!A1357,Input!$B$115:$B$3257,"="&amp;'Output - County'!B1357)*VLOOKUP(A1357,'Output - State'!$B$2:$G$52,2,FALSE)</f>
        <v>3.5709610193637653</v>
      </c>
      <c r="D1357" s="98">
        <f>SUMIFS(Input!$C$115:$C$3257,Input!$A$115:$A$3257,"="&amp;'Output - County'!A1357,Input!$B$115:$B$3257,"="&amp;'Output - County'!B1357)*VLOOKUP(A1357,'Output - State'!$B$2:$G$52,3,FALSE)</f>
        <v>2.6403328912803863</v>
      </c>
      <c r="E1357" s="98">
        <f>SUMIFS(Input!$C$115:$C$3257,Input!$A$115:$A$3257,"="&amp;'Output - County'!A1357,Input!$B$115:$B$3257,"="&amp;'Output - County'!B1357)*VLOOKUP(A1357,'Output - State'!$B$2:$G$52,4,FALSE)</f>
        <v>9.2290841186746064</v>
      </c>
      <c r="F1357" s="98">
        <f>SUMIFS(Input!$C$115:$C$3257,Input!$A$115:$A$3257,"="&amp;'Output - County'!A1357,Input!$B$115:$B$3257,"="&amp;'Output - County'!B1357)*VLOOKUP(A1357,'Output - State'!$B$2:$G$52,5,FALSE)</f>
        <v>24.535791532108</v>
      </c>
      <c r="G1357" s="99">
        <f>SUMIFS(Input!$D$115:$D$3257,Input!$A$115:$A$3257,"="&amp;'Output - County'!A1357,Input!$B$115:$B$3257,"="&amp;'Output - County'!B1357)*VLOOKUP(A1357,'Output - State'!$B$2:$G$52,6,FALSE)</f>
        <v>5.1125169691673449</v>
      </c>
    </row>
    <row r="1358" spans="1:7" x14ac:dyDescent="0.25">
      <c r="A1358" s="88">
        <v>27</v>
      </c>
      <c r="B1358" s="88">
        <v>85</v>
      </c>
      <c r="C1358" s="97">
        <f>SUMIFS(Input!$C$115:$C$3257,Input!$A$115:$A$3257,"="&amp;'Output - County'!A1358,Input!$B$115:$B$3257,"="&amp;'Output - County'!B1358)*VLOOKUP(A1358,'Output - State'!$B$2:$G$52,2,FALSE)</f>
        <v>5.0664767303519067</v>
      </c>
      <c r="D1358" s="98">
        <f>SUMIFS(Input!$C$115:$C$3257,Input!$A$115:$A$3257,"="&amp;'Output - County'!A1358,Input!$B$115:$B$3257,"="&amp;'Output - County'!B1358)*VLOOKUP(A1358,'Output - State'!$B$2:$G$52,3,FALSE)</f>
        <v>3.746102262532748</v>
      </c>
      <c r="E1358" s="98">
        <f>SUMIFS(Input!$C$115:$C$3257,Input!$A$115:$A$3257,"="&amp;'Output - County'!A1358,Input!$B$115:$B$3257,"="&amp;'Output - County'!B1358)*VLOOKUP(A1358,'Output - State'!$B$2:$G$52,4,FALSE)</f>
        <v>13.094217404270694</v>
      </c>
      <c r="F1358" s="98">
        <f>SUMIFS(Input!$C$115:$C$3257,Input!$A$115:$A$3257,"="&amp;'Output - County'!A1358,Input!$B$115:$B$3257,"="&amp;'Output - County'!B1358)*VLOOKUP(A1358,'Output - State'!$B$2:$G$52,5,FALSE)</f>
        <v>34.811362035068854</v>
      </c>
      <c r="G1358" s="99">
        <f>SUMIFS(Input!$D$115:$D$3257,Input!$A$115:$A$3257,"="&amp;'Output - County'!A1358,Input!$B$115:$B$3257,"="&amp;'Output - County'!B1358)*VLOOKUP(A1358,'Output - State'!$B$2:$G$52,6,FALSE)</f>
        <v>7.1495354490699592</v>
      </c>
    </row>
    <row r="1359" spans="1:7" x14ac:dyDescent="0.25">
      <c r="A1359" s="88">
        <v>27</v>
      </c>
      <c r="B1359" s="88">
        <v>87</v>
      </c>
      <c r="C1359" s="97">
        <f>SUMIFS(Input!$C$115:$C$3257,Input!$A$115:$A$3257,"="&amp;'Output - County'!A1359,Input!$B$115:$B$3257,"="&amp;'Output - County'!B1359)*VLOOKUP(A1359,'Output - State'!$B$2:$G$52,2,FALSE)</f>
        <v>0.75065444948660931</v>
      </c>
      <c r="D1359" s="98">
        <f>SUMIFS(Input!$C$115:$C$3257,Input!$A$115:$A$3257,"="&amp;'Output - County'!A1359,Input!$B$115:$B$3257,"="&amp;'Output - County'!B1359)*VLOOKUP(A1359,'Output - State'!$B$2:$G$52,3,FALSE)</f>
        <v>0.55502639827712064</v>
      </c>
      <c r="E1359" s="98">
        <f>SUMIFS(Input!$C$115:$C$3257,Input!$A$115:$A$3257,"="&amp;'Output - County'!A1359,Input!$B$115:$B$3257,"="&amp;'Output - County'!B1359)*VLOOKUP(A1359,'Output - State'!$B$2:$G$52,4,FALSE)</f>
        <v>1.9400528375422099</v>
      </c>
      <c r="F1359" s="98">
        <f>SUMIFS(Input!$C$115:$C$3257,Input!$A$115:$A$3257,"="&amp;'Output - County'!A1359,Input!$B$115:$B$3257,"="&amp;'Output - County'!B1359)*VLOOKUP(A1359,'Output - State'!$B$2:$G$52,5,FALSE)</f>
        <v>5.1576875203567019</v>
      </c>
      <c r="G1359" s="99">
        <f>SUMIFS(Input!$D$115:$D$3257,Input!$A$115:$A$3257,"="&amp;'Output - County'!A1359,Input!$B$115:$B$3257,"="&amp;'Output - County'!B1359)*VLOOKUP(A1359,'Output - State'!$B$2:$G$52,6,FALSE)</f>
        <v>1.0983923175945467</v>
      </c>
    </row>
    <row r="1360" spans="1:7" x14ac:dyDescent="0.25">
      <c r="A1360" s="88">
        <v>27</v>
      </c>
      <c r="B1360" s="88">
        <v>89</v>
      </c>
      <c r="C1360" s="97">
        <f>SUMIFS(Input!$C$115:$C$3257,Input!$A$115:$A$3257,"="&amp;'Output - County'!A1360,Input!$B$115:$B$3257,"="&amp;'Output - County'!B1360)*VLOOKUP(A1360,'Output - State'!$B$2:$G$52,2,FALSE)</f>
        <v>1.2949901424759935</v>
      </c>
      <c r="D1360" s="98">
        <f>SUMIFS(Input!$C$115:$C$3257,Input!$A$115:$A$3257,"="&amp;'Output - County'!A1360,Input!$B$115:$B$3257,"="&amp;'Output - County'!B1360)*VLOOKUP(A1360,'Output - State'!$B$2:$G$52,3,FALSE)</f>
        <v>0.95750276984889515</v>
      </c>
      <c r="E1360" s="98">
        <f>SUMIFS(Input!$C$115:$C$3257,Input!$A$115:$A$3257,"="&amp;'Output - County'!A1360,Input!$B$115:$B$3257,"="&amp;'Output - County'!B1360)*VLOOKUP(A1360,'Output - State'!$B$2:$G$52,4,FALSE)</f>
        <v>3.3468785833721477</v>
      </c>
      <c r="F1360" s="98">
        <f>SUMIFS(Input!$C$115:$C$3257,Input!$A$115:$A$3257,"="&amp;'Output - County'!A1360,Input!$B$115:$B$3257,"="&amp;'Output - County'!B1360)*VLOOKUP(A1360,'Output - State'!$B$2:$G$52,5,FALSE)</f>
        <v>8.8977751366176747</v>
      </c>
      <c r="G1360" s="99">
        <f>SUMIFS(Input!$D$115:$D$3257,Input!$A$115:$A$3257,"="&amp;'Output - County'!A1360,Input!$B$115:$B$3257,"="&amp;'Output - County'!B1360)*VLOOKUP(A1360,'Output - State'!$B$2:$G$52,6,FALSE)</f>
        <v>1.8732581707339726</v>
      </c>
    </row>
    <row r="1361" spans="1:7" x14ac:dyDescent="0.25">
      <c r="A1361" s="88">
        <v>27</v>
      </c>
      <c r="B1361" s="88">
        <v>91</v>
      </c>
      <c r="C1361" s="97">
        <f>SUMIFS(Input!$C$115:$C$3257,Input!$A$115:$A$3257,"="&amp;'Output - County'!A1361,Input!$B$115:$B$3257,"="&amp;'Output - County'!B1361)*VLOOKUP(A1361,'Output - State'!$B$2:$G$52,2,FALSE)</f>
        <v>4.9404494711789759</v>
      </c>
      <c r="D1361" s="98">
        <f>SUMIFS(Input!$C$115:$C$3257,Input!$A$115:$A$3257,"="&amp;'Output - County'!A1361,Input!$B$115:$B$3257,"="&amp;'Output - County'!B1361)*VLOOKUP(A1361,'Output - State'!$B$2:$G$52,3,FALSE)</f>
        <v>3.6529189665550468</v>
      </c>
      <c r="E1361" s="98">
        <f>SUMIFS(Input!$C$115:$C$3257,Input!$A$115:$A$3257,"="&amp;'Output - County'!A1361,Input!$B$115:$B$3257,"="&amp;'Output - County'!B1361)*VLOOKUP(A1361,'Output - State'!$B$2:$G$52,4,FALSE)</f>
        <v>12.768502234083757</v>
      </c>
      <c r="F1361" s="98">
        <f>SUMIFS(Input!$C$115:$C$3257,Input!$A$115:$A$3257,"="&amp;'Output - County'!A1361,Input!$B$115:$B$3257,"="&amp;'Output - County'!B1361)*VLOOKUP(A1361,'Output - State'!$B$2:$G$52,5,FALSE)</f>
        <v>33.945438676717295</v>
      </c>
      <c r="G1361" s="99">
        <f>SUMIFS(Input!$D$115:$D$3257,Input!$A$115:$A$3257,"="&amp;'Output - County'!A1361,Input!$B$115:$B$3257,"="&amp;'Output - County'!B1361)*VLOOKUP(A1361,'Output - State'!$B$2:$G$52,6,FALSE)</f>
        <v>3.9542123433403686</v>
      </c>
    </row>
    <row r="1362" spans="1:7" x14ac:dyDescent="0.25">
      <c r="A1362" s="88">
        <v>27</v>
      </c>
      <c r="B1362" s="88">
        <v>93</v>
      </c>
      <c r="C1362" s="97">
        <f>SUMIFS(Input!$C$115:$C$3257,Input!$A$115:$A$3257,"="&amp;'Output - County'!A1362,Input!$B$115:$B$3257,"="&amp;'Output - County'!B1362)*VLOOKUP(A1362,'Output - State'!$B$2:$G$52,2,FALSE)</f>
        <v>3.0217554708988992</v>
      </c>
      <c r="D1362" s="98">
        <f>SUMIFS(Input!$C$115:$C$3257,Input!$A$115:$A$3257,"="&amp;'Output - County'!A1362,Input!$B$115:$B$3257,"="&amp;'Output - County'!B1362)*VLOOKUP(A1362,'Output - State'!$B$2:$G$52,3,FALSE)</f>
        <v>2.234255797236993</v>
      </c>
      <c r="E1362" s="98">
        <f>SUMIFS(Input!$C$115:$C$3257,Input!$A$115:$A$3257,"="&amp;'Output - County'!A1362,Input!$B$115:$B$3257,"="&amp;'Output - County'!B1362)*VLOOKUP(A1362,'Output - State'!$B$2:$G$52,4,FALSE)</f>
        <v>7.809672319514684</v>
      </c>
      <c r="F1362" s="98">
        <f>SUMIFS(Input!$C$115:$C$3257,Input!$A$115:$A$3257,"="&amp;'Output - County'!A1362,Input!$B$115:$B$3257,"="&amp;'Output - County'!B1362)*VLOOKUP(A1362,'Output - State'!$B$2:$G$52,5,FALSE)</f>
        <v>20.762243522947188</v>
      </c>
      <c r="G1362" s="99">
        <f>SUMIFS(Input!$D$115:$D$3257,Input!$A$115:$A$3257,"="&amp;'Output - County'!A1362,Input!$B$115:$B$3257,"="&amp;'Output - County'!B1362)*VLOOKUP(A1362,'Output - State'!$B$2:$G$52,6,FALSE)</f>
        <v>4.6132477338970963</v>
      </c>
    </row>
    <row r="1363" spans="1:7" x14ac:dyDescent="0.25">
      <c r="A1363" s="88">
        <v>27</v>
      </c>
      <c r="B1363" s="88">
        <v>95</v>
      </c>
      <c r="C1363" s="97">
        <f>SUMIFS(Input!$C$115:$C$3257,Input!$A$115:$A$3257,"="&amp;'Output - County'!A1363,Input!$B$115:$B$3257,"="&amp;'Output - County'!B1363)*VLOOKUP(A1363,'Output - State'!$B$2:$G$52,2,FALSE)</f>
        <v>4.8636390012031256</v>
      </c>
      <c r="D1363" s="98">
        <f>SUMIFS(Input!$C$115:$C$3257,Input!$A$115:$A$3257,"="&amp;'Output - County'!A1363,Input!$B$115:$B$3257,"="&amp;'Output - County'!B1363)*VLOOKUP(A1363,'Output - State'!$B$2:$G$52,3,FALSE)</f>
        <v>3.596126072661157</v>
      </c>
      <c r="E1363" s="98">
        <f>SUMIFS(Input!$C$115:$C$3257,Input!$A$115:$A$3257,"="&amp;'Output - County'!A1363,Input!$B$115:$B$3257,"="&amp;'Output - County'!B1363)*VLOOKUP(A1363,'Output - State'!$B$2:$G$52,4,FALSE)</f>
        <v>12.56998696473244</v>
      </c>
      <c r="F1363" s="98">
        <f>SUMIFS(Input!$C$115:$C$3257,Input!$A$115:$A$3257,"="&amp;'Output - County'!A1363,Input!$B$115:$B$3257,"="&amp;'Output - County'!B1363)*VLOOKUP(A1363,'Output - State'!$B$2:$G$52,5,FALSE)</f>
        <v>33.417679995345161</v>
      </c>
      <c r="G1363" s="99">
        <f>SUMIFS(Input!$D$115:$D$3257,Input!$A$115:$A$3257,"="&amp;'Output - County'!A1363,Input!$B$115:$B$3257,"="&amp;'Output - County'!B1363)*VLOOKUP(A1363,'Output - State'!$B$2:$G$52,6,FALSE)</f>
        <v>5.2123708162213953</v>
      </c>
    </row>
    <row r="1364" spans="1:7" x14ac:dyDescent="0.25">
      <c r="A1364" s="88">
        <v>27</v>
      </c>
      <c r="B1364" s="88">
        <v>97</v>
      </c>
      <c r="C1364" s="97">
        <f>SUMIFS(Input!$C$115:$C$3257,Input!$A$115:$A$3257,"="&amp;'Output - County'!A1364,Input!$B$115:$B$3257,"="&amp;'Output - County'!B1364)*VLOOKUP(A1364,'Output - State'!$B$2:$G$52,2,FALSE)</f>
        <v>7.0789192751391852</v>
      </c>
      <c r="D1364" s="98">
        <f>SUMIFS(Input!$C$115:$C$3257,Input!$A$115:$A$3257,"="&amp;'Output - County'!A1364,Input!$B$115:$B$3257,"="&amp;'Output - County'!B1364)*VLOOKUP(A1364,'Output - State'!$B$2:$G$52,3,FALSE)</f>
        <v>5.2340821687823427</v>
      </c>
      <c r="E1364" s="98">
        <f>SUMIFS(Input!$C$115:$C$3257,Input!$A$115:$A$3257,"="&amp;'Output - County'!A1364,Input!$B$115:$B$3257,"="&amp;'Output - County'!B1364)*VLOOKUP(A1364,'Output - State'!$B$2:$G$52,4,FALSE)</f>
        <v>18.295338735231205</v>
      </c>
      <c r="F1364" s="98">
        <f>SUMIFS(Input!$C$115:$C$3257,Input!$A$115:$A$3257,"="&amp;'Output - County'!A1364,Input!$B$115:$B$3257,"="&amp;'Output - County'!B1364)*VLOOKUP(A1364,'Output - State'!$B$2:$G$52,5,FALSE)</f>
        <v>48.638696044456331</v>
      </c>
      <c r="G1364" s="99">
        <f>SUMIFS(Input!$D$115:$D$3257,Input!$A$115:$A$3257,"="&amp;'Output - County'!A1364,Input!$B$115:$B$3257,"="&amp;'Output - County'!B1364)*VLOOKUP(A1364,'Output - State'!$B$2:$G$52,6,FALSE)</f>
        <v>6.6302954443889011</v>
      </c>
    </row>
    <row r="1365" spans="1:7" x14ac:dyDescent="0.25">
      <c r="A1365" s="88">
        <v>27</v>
      </c>
      <c r="B1365" s="88">
        <v>99</v>
      </c>
      <c r="C1365" s="97">
        <f>SUMIFS(Input!$C$115:$C$3257,Input!$A$115:$A$3257,"="&amp;'Output - County'!A1365,Input!$B$115:$B$3257,"="&amp;'Output - County'!B1365)*VLOOKUP(A1365,'Output - State'!$B$2:$G$52,2,FALSE)</f>
        <v>7.2022468986027244</v>
      </c>
      <c r="D1365" s="98">
        <f>SUMIFS(Input!$C$115:$C$3257,Input!$A$115:$A$3257,"="&amp;'Output - County'!A1365,Input!$B$115:$B$3257,"="&amp;'Output - County'!B1365)*VLOOKUP(A1365,'Output - State'!$B$2:$G$52,3,FALSE)</f>
        <v>5.3252693810953575</v>
      </c>
      <c r="E1365" s="98">
        <f>SUMIFS(Input!$C$115:$C$3257,Input!$A$115:$A$3257,"="&amp;'Output - County'!A1365,Input!$B$115:$B$3257,"="&amp;'Output - County'!B1365)*VLOOKUP(A1365,'Output - State'!$B$2:$G$52,4,FALSE)</f>
        <v>18.614076745791746</v>
      </c>
      <c r="F1365" s="98">
        <f>SUMIFS(Input!$C$115:$C$3257,Input!$A$115:$A$3257,"="&amp;'Output - County'!A1365,Input!$B$115:$B$3257,"="&amp;'Output - County'!B1365)*VLOOKUP(A1365,'Output - State'!$B$2:$G$52,5,FALSE)</f>
        <v>49.486070418761557</v>
      </c>
      <c r="G1365" s="99">
        <f>SUMIFS(Input!$D$115:$D$3257,Input!$A$115:$A$3257,"="&amp;'Output - County'!A1365,Input!$B$115:$B$3257,"="&amp;'Output - County'!B1365)*VLOOKUP(A1365,'Output - State'!$B$2:$G$52,6,FALSE)</f>
        <v>8.0082785337347868</v>
      </c>
    </row>
    <row r="1366" spans="1:7" x14ac:dyDescent="0.25">
      <c r="A1366" s="88">
        <v>27</v>
      </c>
      <c r="B1366" s="88">
        <v>101</v>
      </c>
      <c r="C1366" s="97">
        <f>SUMIFS(Input!$C$115:$C$3257,Input!$A$115:$A$3257,"="&amp;'Output - County'!A1366,Input!$B$115:$B$3257,"="&amp;'Output - County'!B1366)*VLOOKUP(A1366,'Output - State'!$B$2:$G$52,2,FALSE)</f>
        <v>1.2055484475254084</v>
      </c>
      <c r="D1366" s="98">
        <f>SUMIFS(Input!$C$115:$C$3257,Input!$A$115:$A$3257,"="&amp;'Output - County'!A1366,Input!$B$115:$B$3257,"="&amp;'Output - County'!B1366)*VLOOKUP(A1366,'Output - State'!$B$2:$G$52,3,FALSE)</f>
        <v>0.89137047443896855</v>
      </c>
      <c r="E1366" s="98">
        <f>SUMIFS(Input!$C$115:$C$3257,Input!$A$115:$A$3257,"="&amp;'Output - County'!A1366,Input!$B$115:$B$3257,"="&amp;'Output - County'!B1366)*VLOOKUP(A1366,'Output - State'!$B$2:$G$52,4,FALSE)</f>
        <v>3.1157181417040225</v>
      </c>
      <c r="F1366" s="98">
        <f>SUMIFS(Input!$C$115:$C$3257,Input!$A$115:$A$3257,"="&amp;'Output - County'!A1366,Input!$B$115:$B$3257,"="&amp;'Output - County'!B1366)*VLOOKUP(A1366,'Output - State'!$B$2:$G$52,5,FALSE)</f>
        <v>8.2832283046343456</v>
      </c>
      <c r="G1366" s="99">
        <f>SUMIFS(Input!$D$115:$D$3257,Input!$A$115:$A$3257,"="&amp;'Output - County'!A1366,Input!$B$115:$B$3257,"="&amp;'Output - County'!B1366)*VLOOKUP(A1366,'Output - State'!$B$2:$G$52,6,FALSE)</f>
        <v>1.64758847639182</v>
      </c>
    </row>
    <row r="1367" spans="1:7" x14ac:dyDescent="0.25">
      <c r="A1367" s="88">
        <v>27</v>
      </c>
      <c r="B1367" s="88">
        <v>103</v>
      </c>
      <c r="C1367" s="97">
        <f>SUMIFS(Input!$C$115:$C$3257,Input!$A$115:$A$3257,"="&amp;'Output - County'!A1367,Input!$B$115:$B$3257,"="&amp;'Output - County'!B1367)*VLOOKUP(A1367,'Output - State'!$B$2:$G$52,2,FALSE)</f>
        <v>6.3319575094994498</v>
      </c>
      <c r="D1367" s="98">
        <f>SUMIFS(Input!$C$115:$C$3257,Input!$A$115:$A$3257,"="&amp;'Output - County'!A1367,Input!$B$115:$B$3257,"="&amp;'Output - County'!B1367)*VLOOKUP(A1367,'Output - State'!$B$2:$G$52,3,FALSE)</f>
        <v>4.681786104038725</v>
      </c>
      <c r="E1367" s="98">
        <f>SUMIFS(Input!$C$115:$C$3257,Input!$A$115:$A$3257,"="&amp;'Output - County'!A1367,Input!$B$115:$B$3257,"="&amp;'Output - County'!B1367)*VLOOKUP(A1367,'Output - State'!$B$2:$G$52,4,FALSE)</f>
        <v>16.364829572252138</v>
      </c>
      <c r="F1367" s="98">
        <f>SUMIFS(Input!$C$115:$C$3257,Input!$A$115:$A$3257,"="&amp;'Output - County'!A1367,Input!$B$115:$B$3257,"="&amp;'Output - County'!B1367)*VLOOKUP(A1367,'Output - State'!$B$2:$G$52,5,FALSE)</f>
        <v>43.506380663579613</v>
      </c>
      <c r="G1367" s="99">
        <f>SUMIFS(Input!$D$115:$D$3257,Input!$A$115:$A$3257,"="&amp;'Output - County'!A1367,Input!$B$115:$B$3257,"="&amp;'Output - County'!B1367)*VLOOKUP(A1367,'Output - State'!$B$2:$G$52,6,FALSE)</f>
        <v>6.8300031384970001</v>
      </c>
    </row>
    <row r="1368" spans="1:7" x14ac:dyDescent="0.25">
      <c r="A1368" s="88">
        <v>27</v>
      </c>
      <c r="B1368" s="88">
        <v>105</v>
      </c>
      <c r="C1368" s="97">
        <f>SUMIFS(Input!$C$115:$C$3257,Input!$A$115:$A$3257,"="&amp;'Output - County'!A1368,Input!$B$115:$B$3257,"="&amp;'Output - County'!B1368)*VLOOKUP(A1368,'Output - State'!$B$2:$G$52,2,FALSE)</f>
        <v>5.4248207849743508</v>
      </c>
      <c r="D1368" s="98">
        <f>SUMIFS(Input!$C$115:$C$3257,Input!$A$115:$A$3257,"="&amp;'Output - County'!A1368,Input!$B$115:$B$3257,"="&amp;'Output - County'!B1368)*VLOOKUP(A1368,'Output - State'!$B$2:$G$52,3,FALSE)</f>
        <v>4.0110582754054356</v>
      </c>
      <c r="E1368" s="98">
        <f>SUMIFS(Input!$C$115:$C$3257,Input!$A$115:$A$3257,"="&amp;'Output - County'!A1368,Input!$B$115:$B$3257,"="&amp;'Output - County'!B1368)*VLOOKUP(A1368,'Output - State'!$B$2:$G$52,4,FALSE)</f>
        <v>14.020351127266835</v>
      </c>
      <c r="F1368" s="98">
        <f>SUMIFS(Input!$C$115:$C$3257,Input!$A$115:$A$3257,"="&amp;'Output - County'!A1368,Input!$B$115:$B$3257,"="&amp;'Output - County'!B1368)*VLOOKUP(A1368,'Output - State'!$B$2:$G$52,5,FALSE)</f>
        <v>37.273515772762998</v>
      </c>
      <c r="G1368" s="99">
        <f>SUMIFS(Input!$D$115:$D$3257,Input!$A$115:$A$3257,"="&amp;'Output - County'!A1368,Input!$B$115:$B$3257,"="&amp;'Output - County'!B1368)*VLOOKUP(A1368,'Output - State'!$B$2:$G$52,6,FALSE)</f>
        <v>4.3336569621457572</v>
      </c>
    </row>
    <row r="1369" spans="1:7" x14ac:dyDescent="0.25">
      <c r="A1369" s="88">
        <v>27</v>
      </c>
      <c r="B1369" s="88">
        <v>107</v>
      </c>
      <c r="C1369" s="97">
        <f>SUMIFS(Input!$C$115:$C$3257,Input!$A$115:$A$3257,"="&amp;'Output - County'!A1369,Input!$B$115:$B$3257,"="&amp;'Output - County'!B1369)*VLOOKUP(A1369,'Output - State'!$B$2:$G$52,2,FALSE)</f>
        <v>0.93806633813305973</v>
      </c>
      <c r="D1369" s="98">
        <f>SUMIFS(Input!$C$115:$C$3257,Input!$A$115:$A$3257,"="&amp;'Output - County'!A1369,Input!$B$115:$B$3257,"="&amp;'Output - County'!B1369)*VLOOKUP(A1369,'Output - State'!$B$2:$G$52,3,FALSE)</f>
        <v>0.69359687583959018</v>
      </c>
      <c r="E1369" s="98">
        <f>SUMIFS(Input!$C$115:$C$3257,Input!$A$115:$A$3257,"="&amp;'Output - County'!A1369,Input!$B$115:$B$3257,"="&amp;'Output - County'!B1369)*VLOOKUP(A1369,'Output - State'!$B$2:$G$52,4,FALSE)</f>
        <v>2.4244154715162818</v>
      </c>
      <c r="F1369" s="98">
        <f>SUMIFS(Input!$C$115:$C$3257,Input!$A$115:$A$3257,"="&amp;'Output - County'!A1369,Input!$B$115:$B$3257,"="&amp;'Output - County'!B1369)*VLOOKUP(A1369,'Output - State'!$B$2:$G$52,5,FALSE)</f>
        <v>6.4453798265827782</v>
      </c>
      <c r="G1369" s="99">
        <f>SUMIFS(Input!$D$115:$D$3257,Input!$A$115:$A$3257,"="&amp;'Output - County'!A1369,Input!$B$115:$B$3257,"="&amp;'Output - County'!B1369)*VLOOKUP(A1369,'Output - State'!$B$2:$G$52,6,FALSE)</f>
        <v>1.2941058578204843</v>
      </c>
    </row>
    <row r="1370" spans="1:7" x14ac:dyDescent="0.25">
      <c r="A1370" s="88">
        <v>27</v>
      </c>
      <c r="B1370" s="88">
        <v>109</v>
      </c>
      <c r="C1370" s="97">
        <f>SUMIFS(Input!$C$115:$C$3257,Input!$A$115:$A$3257,"="&amp;'Output - County'!A1370,Input!$B$115:$B$3257,"="&amp;'Output - County'!B1370)*VLOOKUP(A1370,'Output - State'!$B$2:$G$52,2,FALSE)</f>
        <v>31.797041298422887</v>
      </c>
      <c r="D1370" s="98">
        <f>SUMIFS(Input!$C$115:$C$3257,Input!$A$115:$A$3257,"="&amp;'Output - County'!A1370,Input!$B$115:$B$3257,"="&amp;'Output - County'!B1370)*VLOOKUP(A1370,'Output - State'!$B$2:$G$52,3,FALSE)</f>
        <v>23.510414571981212</v>
      </c>
      <c r="E1370" s="98">
        <f>SUMIFS(Input!$C$115:$C$3257,Input!$A$115:$A$3257,"="&amp;'Output - County'!A1370,Input!$B$115:$B$3257,"="&amp;'Output - County'!B1370)*VLOOKUP(A1370,'Output - State'!$B$2:$G$52,4,FALSE)</f>
        <v>82.178877696178361</v>
      </c>
      <c r="F1370" s="98">
        <f>SUMIFS(Input!$C$115:$C$3257,Input!$A$115:$A$3257,"="&amp;'Output - County'!A1370,Input!$B$115:$B$3257,"="&amp;'Output - County'!B1370)*VLOOKUP(A1370,'Output - State'!$B$2:$G$52,5,FALSE)</f>
        <v>218.47496301567975</v>
      </c>
      <c r="G1370" s="99">
        <f>SUMIFS(Input!$D$115:$D$3257,Input!$A$115:$A$3257,"="&amp;'Output - County'!A1370,Input!$B$115:$B$3257,"="&amp;'Output - County'!B1370)*VLOOKUP(A1370,'Output - State'!$B$2:$G$52,6,FALSE)</f>
        <v>31.154400280863513</v>
      </c>
    </row>
    <row r="1371" spans="1:7" x14ac:dyDescent="0.25">
      <c r="A1371" s="88">
        <v>27</v>
      </c>
      <c r="B1371" s="88">
        <v>111</v>
      </c>
      <c r="C1371" s="97">
        <f>SUMIFS(Input!$C$115:$C$3257,Input!$A$115:$A$3257,"="&amp;'Output - County'!A1371,Input!$B$115:$B$3257,"="&amp;'Output - County'!B1371)*VLOOKUP(A1371,'Output - State'!$B$2:$G$52,2,FALSE)</f>
        <v>11.735886175048194</v>
      </c>
      <c r="D1371" s="98">
        <f>SUMIFS(Input!$C$115:$C$3257,Input!$A$115:$A$3257,"="&amp;'Output - County'!A1371,Input!$B$115:$B$3257,"="&amp;'Output - County'!B1371)*VLOOKUP(A1371,'Output - State'!$B$2:$G$52,3,FALSE)</f>
        <v>8.6773969551264862</v>
      </c>
      <c r="E1371" s="98">
        <f>SUMIFS(Input!$C$115:$C$3257,Input!$A$115:$A$3257,"="&amp;'Output - County'!A1371,Input!$B$115:$B$3257,"="&amp;'Output - County'!B1371)*VLOOKUP(A1371,'Output - State'!$B$2:$G$52,4,FALSE)</f>
        <v>30.331185395019492</v>
      </c>
      <c r="F1371" s="98">
        <f>SUMIFS(Input!$C$115:$C$3257,Input!$A$115:$A$3257,"="&amp;'Output - County'!A1371,Input!$B$115:$B$3257,"="&amp;'Output - County'!B1371)*VLOOKUP(A1371,'Output - State'!$B$2:$G$52,5,FALSE)</f>
        <v>80.636348331473656</v>
      </c>
      <c r="G1371" s="99">
        <f>SUMIFS(Input!$D$115:$D$3257,Input!$A$115:$A$3257,"="&amp;'Output - County'!A1371,Input!$B$115:$B$3257,"="&amp;'Output - County'!B1371)*VLOOKUP(A1371,'Output - State'!$B$2:$G$52,6,FALSE)</f>
        <v>11.722841644145436</v>
      </c>
    </row>
    <row r="1372" spans="1:7" x14ac:dyDescent="0.25">
      <c r="A1372" s="88">
        <v>27</v>
      </c>
      <c r="B1372" s="88">
        <v>113</v>
      </c>
      <c r="C1372" s="97">
        <f>SUMIFS(Input!$C$115:$C$3257,Input!$A$115:$A$3257,"="&amp;'Output - County'!A1372,Input!$B$115:$B$3257,"="&amp;'Output - County'!B1372)*VLOOKUP(A1372,'Output - State'!$B$2:$G$52,2,FALSE)</f>
        <v>1.9651363010351142</v>
      </c>
      <c r="D1372" s="98">
        <f>SUMIFS(Input!$C$115:$C$3257,Input!$A$115:$A$3257,"="&amp;'Output - County'!A1372,Input!$B$115:$B$3257,"="&amp;'Output - County'!B1372)*VLOOKUP(A1372,'Output - State'!$B$2:$G$52,3,FALSE)</f>
        <v>1.4530021423746982</v>
      </c>
      <c r="E1372" s="98">
        <f>SUMIFS(Input!$C$115:$C$3257,Input!$A$115:$A$3257,"="&amp;'Output - County'!A1372,Input!$B$115:$B$3257,"="&amp;'Output - County'!B1372)*VLOOKUP(A1372,'Output - State'!$B$2:$G$52,4,FALSE)</f>
        <v>5.0788592002456188</v>
      </c>
      <c r="F1372" s="98">
        <f>SUMIFS(Input!$C$115:$C$3257,Input!$A$115:$A$3257,"="&amp;'Output - County'!A1372,Input!$B$115:$B$3257,"="&amp;'Output - County'!B1372)*VLOOKUP(A1372,'Output - State'!$B$2:$G$52,5,FALSE)</f>
        <v>13.502296539480575</v>
      </c>
      <c r="G1372" s="99">
        <f>SUMIFS(Input!$D$115:$D$3257,Input!$A$115:$A$3257,"="&amp;'Output - County'!A1372,Input!$B$115:$B$3257,"="&amp;'Output - County'!B1372)*VLOOKUP(A1372,'Output - State'!$B$2:$G$52,6,FALSE)</f>
        <v>2.8358492563350119</v>
      </c>
    </row>
    <row r="1373" spans="1:7" x14ac:dyDescent="0.25">
      <c r="A1373" s="88">
        <v>27</v>
      </c>
      <c r="B1373" s="88">
        <v>115</v>
      </c>
      <c r="C1373" s="97">
        <f>SUMIFS(Input!$C$115:$C$3257,Input!$A$115:$A$3257,"="&amp;'Output - County'!A1373,Input!$B$115:$B$3257,"="&amp;'Output - County'!B1373)*VLOOKUP(A1373,'Output - State'!$B$2:$G$52,2,FALSE)</f>
        <v>10.01636390242219</v>
      </c>
      <c r="D1373" s="98">
        <f>SUMIFS(Input!$C$115:$C$3257,Input!$A$115:$A$3257,"="&amp;'Output - County'!A1373,Input!$B$115:$B$3257,"="&amp;'Output - County'!B1373)*VLOOKUP(A1373,'Output - State'!$B$2:$G$52,3,FALSE)</f>
        <v>7.4059993708110623</v>
      </c>
      <c r="E1373" s="98">
        <f>SUMIFS(Input!$C$115:$C$3257,Input!$A$115:$A$3257,"="&amp;'Output - County'!A1373,Input!$B$115:$B$3257,"="&amp;'Output - County'!B1373)*VLOOKUP(A1373,'Output - State'!$B$2:$G$52,4,FALSE)</f>
        <v>25.887111205481748</v>
      </c>
      <c r="F1373" s="98">
        <f>SUMIFS(Input!$C$115:$C$3257,Input!$A$115:$A$3257,"="&amp;'Output - County'!A1373,Input!$B$115:$B$3257,"="&amp;'Output - County'!B1373)*VLOOKUP(A1373,'Output - State'!$B$2:$G$52,5,FALSE)</f>
        <v>68.821646410284629</v>
      </c>
      <c r="G1373" s="99">
        <f>SUMIFS(Input!$D$115:$D$3257,Input!$A$115:$A$3257,"="&amp;'Output - County'!A1373,Input!$B$115:$B$3257,"="&amp;'Output - County'!B1373)*VLOOKUP(A1373,'Output - State'!$B$2:$G$52,6,FALSE)</f>
        <v>5.8913769761889334</v>
      </c>
    </row>
    <row r="1374" spans="1:7" x14ac:dyDescent="0.25">
      <c r="A1374" s="88">
        <v>27</v>
      </c>
      <c r="B1374" s="88">
        <v>117</v>
      </c>
      <c r="C1374" s="97">
        <f>SUMIFS(Input!$C$115:$C$3257,Input!$A$115:$A$3257,"="&amp;'Output - County'!A1374,Input!$B$115:$B$3257,"="&amp;'Output - County'!B1374)*VLOOKUP(A1374,'Output - State'!$B$2:$G$52,2,FALSE)</f>
        <v>1.2121982695127425</v>
      </c>
      <c r="D1374" s="98">
        <f>SUMIFS(Input!$C$115:$C$3257,Input!$A$115:$A$3257,"="&amp;'Output - County'!A1374,Input!$B$115:$B$3257,"="&amp;'Output - County'!B1374)*VLOOKUP(A1374,'Output - State'!$B$2:$G$52,3,FALSE)</f>
        <v>0.89628728636133626</v>
      </c>
      <c r="E1374" s="98">
        <f>SUMIFS(Input!$C$115:$C$3257,Input!$A$115:$A$3257,"="&amp;'Output - County'!A1374,Input!$B$115:$B$3257,"="&amp;'Output - County'!B1374)*VLOOKUP(A1374,'Output - State'!$B$2:$G$52,4,FALSE)</f>
        <v>3.13290448626576</v>
      </c>
      <c r="F1374" s="98">
        <f>SUMIFS(Input!$C$115:$C$3257,Input!$A$115:$A$3257,"="&amp;'Output - County'!A1374,Input!$B$115:$B$3257,"="&amp;'Output - County'!B1374)*VLOOKUP(A1374,'Output - State'!$B$2:$G$52,5,FALSE)</f>
        <v>8.3289187070560242</v>
      </c>
      <c r="G1374" s="99">
        <f>SUMIFS(Input!$D$115:$D$3257,Input!$A$115:$A$3257,"="&amp;'Output - County'!A1374,Input!$B$115:$B$3257,"="&amp;'Output - County'!B1374)*VLOOKUP(A1374,'Output - State'!$B$2:$G$52,6,FALSE)</f>
        <v>1.8233312472069478</v>
      </c>
    </row>
    <row r="1375" spans="1:7" x14ac:dyDescent="0.25">
      <c r="A1375" s="88">
        <v>27</v>
      </c>
      <c r="B1375" s="88">
        <v>119</v>
      </c>
      <c r="C1375" s="97">
        <f>SUMIFS(Input!$C$115:$C$3257,Input!$A$115:$A$3257,"="&amp;'Output - County'!A1375,Input!$B$115:$B$3257,"="&amp;'Output - County'!B1375)*VLOOKUP(A1375,'Output - State'!$B$2:$G$52,2,FALSE)</f>
        <v>4.765805164511371</v>
      </c>
      <c r="D1375" s="98">
        <f>SUMIFS(Input!$C$115:$C$3257,Input!$A$115:$A$3257,"="&amp;'Output - County'!A1375,Input!$B$115:$B$3257,"="&amp;'Output - County'!B1375)*VLOOKUP(A1375,'Output - State'!$B$2:$G$52,3,FALSE)</f>
        <v>3.5237887115147677</v>
      </c>
      <c r="E1375" s="98">
        <f>SUMIFS(Input!$C$115:$C$3257,Input!$A$115:$A$3257,"="&amp;'Output - County'!A1375,Input!$B$115:$B$3257,"="&amp;'Output - County'!B1375)*VLOOKUP(A1375,'Output - State'!$B$2:$G$52,4,FALSE)</f>
        <v>12.317137184635497</v>
      </c>
      <c r="F1375" s="98">
        <f>SUMIFS(Input!$C$115:$C$3257,Input!$A$115:$A$3257,"="&amp;'Output - County'!A1375,Input!$B$115:$B$3257,"="&amp;'Output - County'!B1375)*VLOOKUP(A1375,'Output - State'!$B$2:$G$52,5,FALSE)</f>
        <v>32.74547141932355</v>
      </c>
      <c r="G1375" s="99">
        <f>SUMIFS(Input!$D$115:$D$3257,Input!$A$115:$A$3257,"="&amp;'Output - County'!A1375,Input!$B$115:$B$3257,"="&amp;'Output - County'!B1375)*VLOOKUP(A1375,'Output - State'!$B$2:$G$52,6,FALSE)</f>
        <v>6.270821594994322</v>
      </c>
    </row>
    <row r="1376" spans="1:7" x14ac:dyDescent="0.25">
      <c r="A1376" s="88">
        <v>27</v>
      </c>
      <c r="B1376" s="88">
        <v>121</v>
      </c>
      <c r="C1376" s="97">
        <f>SUMIFS(Input!$C$115:$C$3257,Input!$A$115:$A$3257,"="&amp;'Output - County'!A1376,Input!$B$115:$B$3257,"="&amp;'Output - County'!B1376)*VLOOKUP(A1376,'Output - State'!$B$2:$G$52,2,FALSE)</f>
        <v>1.5237042553018991</v>
      </c>
      <c r="D1376" s="98">
        <f>SUMIFS(Input!$C$115:$C$3257,Input!$A$115:$A$3257,"="&amp;'Output - County'!A1376,Input!$B$115:$B$3257,"="&amp;'Output - County'!B1376)*VLOOKUP(A1376,'Output - State'!$B$2:$G$52,3,FALSE)</f>
        <v>1.1266116992154345</v>
      </c>
      <c r="E1376" s="98">
        <f>SUMIFS(Input!$C$115:$C$3257,Input!$A$115:$A$3257,"="&amp;'Output - County'!A1376,Input!$B$115:$B$3257,"="&amp;'Output - County'!B1376)*VLOOKUP(A1376,'Output - State'!$B$2:$G$52,4,FALSE)</f>
        <v>3.9379860681506846</v>
      </c>
      <c r="F1376" s="98">
        <f>SUMIFS(Input!$C$115:$C$3257,Input!$A$115:$A$3257,"="&amp;'Output - County'!A1376,Input!$B$115:$B$3257,"="&amp;'Output - County'!B1376)*VLOOKUP(A1376,'Output - State'!$B$2:$G$52,5,FALSE)</f>
        <v>10.469251767787195</v>
      </c>
      <c r="G1376" s="99">
        <f>SUMIFS(Input!$D$115:$D$3257,Input!$A$115:$A$3257,"="&amp;'Output - County'!A1376,Input!$B$115:$B$3257,"="&amp;'Output - County'!B1376)*VLOOKUP(A1376,'Output - State'!$B$2:$G$52,6,FALSE)</f>
        <v>2.2167554045999034</v>
      </c>
    </row>
    <row r="1377" spans="1:7" x14ac:dyDescent="0.25">
      <c r="A1377" s="88">
        <v>27</v>
      </c>
      <c r="B1377" s="88">
        <v>123</v>
      </c>
      <c r="C1377" s="97">
        <f>SUMIFS(Input!$C$115:$C$3257,Input!$A$115:$A$3257,"="&amp;'Output - County'!A1377,Input!$B$115:$B$3257,"="&amp;'Output - County'!B1377)*VLOOKUP(A1377,'Output - State'!$B$2:$G$52,2,FALSE)</f>
        <v>110.47976837960293</v>
      </c>
      <c r="D1377" s="98">
        <f>SUMIFS(Input!$C$115:$C$3257,Input!$A$115:$A$3257,"="&amp;'Output - County'!A1377,Input!$B$115:$B$3257,"="&amp;'Output - County'!B1377)*VLOOKUP(A1377,'Output - State'!$B$2:$G$52,3,FALSE)</f>
        <v>81.687636659130177</v>
      </c>
      <c r="E1377" s="98">
        <f>SUMIFS(Input!$C$115:$C$3257,Input!$A$115:$A$3257,"="&amp;'Output - County'!A1377,Input!$B$115:$B$3257,"="&amp;'Output - County'!B1377)*VLOOKUP(A1377,'Output - State'!$B$2:$G$52,4,FALSE)</f>
        <v>285.53296164759263</v>
      </c>
      <c r="F1377" s="98">
        <f>SUMIFS(Input!$C$115:$C$3257,Input!$A$115:$A$3257,"="&amp;'Output - County'!A1377,Input!$B$115:$B$3257,"="&amp;'Output - County'!B1377)*VLOOKUP(A1377,'Output - State'!$B$2:$G$52,5,FALSE)</f>
        <v>759.09777529872872</v>
      </c>
      <c r="G1377" s="99">
        <f>SUMIFS(Input!$D$115:$D$3257,Input!$A$115:$A$3257,"="&amp;'Output - County'!A1377,Input!$B$115:$B$3257,"="&amp;'Output - County'!B1377)*VLOOKUP(A1377,'Output - State'!$B$2:$G$52,6,FALSE)</f>
        <v>109.63952406534659</v>
      </c>
    </row>
    <row r="1378" spans="1:7" x14ac:dyDescent="0.25">
      <c r="A1378" s="88">
        <v>27</v>
      </c>
      <c r="B1378" s="88">
        <v>125</v>
      </c>
      <c r="C1378" s="97">
        <f>SUMIFS(Input!$C$115:$C$3257,Input!$A$115:$A$3257,"="&amp;'Output - County'!A1378,Input!$B$115:$B$3257,"="&amp;'Output - County'!B1378)*VLOOKUP(A1378,'Output - State'!$B$2:$G$52,2,FALSE)</f>
        <v>0.5329224530554314</v>
      </c>
      <c r="D1378" s="98">
        <f>SUMIFS(Input!$C$115:$C$3257,Input!$A$115:$A$3257,"="&amp;'Output - County'!A1378,Input!$B$115:$B$3257,"="&amp;'Output - County'!B1378)*VLOOKUP(A1378,'Output - State'!$B$2:$G$52,3,FALSE)</f>
        <v>0.39403753602294528</v>
      </c>
      <c r="E1378" s="98">
        <f>SUMIFS(Input!$C$115:$C$3257,Input!$A$115:$A$3257,"="&amp;'Output - County'!A1378,Input!$B$115:$B$3257,"="&amp;'Output - County'!B1378)*VLOOKUP(A1378,'Output - State'!$B$2:$G$52,4,FALSE)</f>
        <v>1.3773284338049985</v>
      </c>
      <c r="F1378" s="98">
        <f>SUMIFS(Input!$C$115:$C$3257,Input!$A$115:$A$3257,"="&amp;'Output - County'!A1378,Input!$B$115:$B$3257,"="&amp;'Output - County'!B1378)*VLOOKUP(A1378,'Output - State'!$B$2:$G$52,5,FALSE)</f>
        <v>3.6616681448058364</v>
      </c>
      <c r="G1378" s="99">
        <f>SUMIFS(Input!$D$115:$D$3257,Input!$A$115:$A$3257,"="&amp;'Output - County'!A1378,Input!$B$115:$B$3257,"="&amp;'Output - County'!B1378)*VLOOKUP(A1378,'Output - State'!$B$2:$G$52,6,FALSE)</f>
        <v>0.79683369949131666</v>
      </c>
    </row>
    <row r="1379" spans="1:7" x14ac:dyDescent="0.25">
      <c r="A1379" s="88">
        <v>27</v>
      </c>
      <c r="B1379" s="88">
        <v>127</v>
      </c>
      <c r="C1379" s="97">
        <f>SUMIFS(Input!$C$115:$C$3257,Input!$A$115:$A$3257,"="&amp;'Output - County'!A1379,Input!$B$115:$B$3257,"="&amp;'Output - County'!B1379)*VLOOKUP(A1379,'Output - State'!$B$2:$G$52,2,FALSE)</f>
        <v>2.0471809501244729</v>
      </c>
      <c r="D1379" s="98">
        <f>SUMIFS(Input!$C$115:$C$3257,Input!$A$115:$A$3257,"="&amp;'Output - County'!A1379,Input!$B$115:$B$3257,"="&amp;'Output - County'!B1379)*VLOOKUP(A1379,'Output - State'!$B$2:$G$52,3,FALSE)</f>
        <v>1.5136651359972906</v>
      </c>
      <c r="E1379" s="98">
        <f>SUMIFS(Input!$C$115:$C$3257,Input!$A$115:$A$3257,"="&amp;'Output - County'!A1379,Input!$B$115:$B$3257,"="&amp;'Output - County'!B1379)*VLOOKUP(A1379,'Output - State'!$B$2:$G$52,4,FALSE)</f>
        <v>5.2909021107749927</v>
      </c>
      <c r="F1379" s="98">
        <f>SUMIFS(Input!$C$115:$C$3257,Input!$A$115:$A$3257,"="&amp;'Output - County'!A1379,Input!$B$115:$B$3257,"="&amp;'Output - County'!B1379)*VLOOKUP(A1379,'Output - State'!$B$2:$G$52,5,FALSE)</f>
        <v>14.066018852736214</v>
      </c>
      <c r="G1379" s="99">
        <f>SUMIFS(Input!$D$115:$D$3257,Input!$A$115:$A$3257,"="&amp;'Output - County'!A1379,Input!$B$115:$B$3257,"="&amp;'Output - County'!B1379)*VLOOKUP(A1379,'Output - State'!$B$2:$G$52,6,FALSE)</f>
        <v>3.055527719853921</v>
      </c>
    </row>
    <row r="1380" spans="1:7" x14ac:dyDescent="0.25">
      <c r="A1380" s="88">
        <v>27</v>
      </c>
      <c r="B1380" s="88">
        <v>129</v>
      </c>
      <c r="C1380" s="97">
        <f>SUMIFS(Input!$C$115:$C$3257,Input!$A$115:$A$3257,"="&amp;'Output - County'!A1380,Input!$B$115:$B$3257,"="&amp;'Output - County'!B1380)*VLOOKUP(A1380,'Output - State'!$B$2:$G$52,2,FALSE)</f>
        <v>2.2983656907136747</v>
      </c>
      <c r="D1380" s="98">
        <f>SUMIFS(Input!$C$115:$C$3257,Input!$A$115:$A$3257,"="&amp;'Output - County'!A1380,Input!$B$115:$B$3257,"="&amp;'Output - County'!B1380)*VLOOKUP(A1380,'Output - State'!$B$2:$G$52,3,FALSE)</f>
        <v>1.699388622971552</v>
      </c>
      <c r="E1380" s="98">
        <f>SUMIFS(Input!$C$115:$C$3257,Input!$A$115:$A$3257,"="&amp;'Output - County'!A1380,Input!$B$115:$B$3257,"="&amp;'Output - County'!B1380)*VLOOKUP(A1380,'Output - State'!$B$2:$G$52,4,FALSE)</f>
        <v>5.9400845262801143</v>
      </c>
      <c r="F1380" s="98">
        <f>SUMIFS(Input!$C$115:$C$3257,Input!$A$115:$A$3257,"="&amp;'Output - County'!A1380,Input!$B$115:$B$3257,"="&amp;'Output - County'!B1380)*VLOOKUP(A1380,'Output - State'!$B$2:$G$52,5,FALSE)</f>
        <v>15.791889395070315</v>
      </c>
      <c r="G1380" s="99">
        <f>SUMIFS(Input!$D$115:$D$3257,Input!$A$115:$A$3257,"="&amp;'Output - County'!A1380,Input!$B$115:$B$3257,"="&amp;'Output - County'!B1380)*VLOOKUP(A1380,'Output - State'!$B$2:$G$52,6,FALSE)</f>
        <v>2.9157323339782515</v>
      </c>
    </row>
    <row r="1381" spans="1:7" x14ac:dyDescent="0.25">
      <c r="A1381" s="88">
        <v>27</v>
      </c>
      <c r="B1381" s="88">
        <v>131</v>
      </c>
      <c r="C1381" s="97">
        <f>SUMIFS(Input!$C$115:$C$3257,Input!$A$115:$A$3257,"="&amp;'Output - County'!A1381,Input!$B$115:$B$3257,"="&amp;'Output - County'!B1381)*VLOOKUP(A1381,'Output - State'!$B$2:$G$52,2,FALSE)</f>
        <v>14.501815688765245</v>
      </c>
      <c r="D1381" s="98">
        <f>SUMIFS(Input!$C$115:$C$3257,Input!$A$115:$A$3257,"="&amp;'Output - County'!A1381,Input!$B$115:$B$3257,"="&amp;'Output - County'!B1381)*VLOOKUP(A1381,'Output - State'!$B$2:$G$52,3,FALSE)</f>
        <v>10.722497596222665</v>
      </c>
      <c r="E1381" s="98">
        <f>SUMIFS(Input!$C$115:$C$3257,Input!$A$115:$A$3257,"="&amp;'Output - County'!A1381,Input!$B$115:$B$3257,"="&amp;'Output - County'!B1381)*VLOOKUP(A1381,'Output - State'!$B$2:$G$52,4,FALSE)</f>
        <v>37.479680158753304</v>
      </c>
      <c r="F1381" s="98">
        <f>SUMIFS(Input!$C$115:$C$3257,Input!$A$115:$A$3257,"="&amp;'Output - County'!A1381,Input!$B$115:$B$3257,"="&amp;'Output - County'!B1381)*VLOOKUP(A1381,'Output - State'!$B$2:$G$52,5,FALSE)</f>
        <v>99.640831878918746</v>
      </c>
      <c r="G1381" s="99">
        <f>SUMIFS(Input!$D$115:$D$3257,Input!$A$115:$A$3257,"="&amp;'Output - County'!A1381,Input!$B$115:$B$3257,"="&amp;'Output - County'!B1381)*VLOOKUP(A1381,'Output - State'!$B$2:$G$52,6,FALSE)</f>
        <v>13.300532427599421</v>
      </c>
    </row>
    <row r="1382" spans="1:7" x14ac:dyDescent="0.25">
      <c r="A1382" s="88">
        <v>27</v>
      </c>
      <c r="B1382" s="88">
        <v>133</v>
      </c>
      <c r="C1382" s="97">
        <f>SUMIFS(Input!$C$115:$C$3257,Input!$A$115:$A$3257,"="&amp;'Output - County'!A1382,Input!$B$115:$B$3257,"="&amp;'Output - County'!B1382)*VLOOKUP(A1382,'Output - State'!$B$2:$G$52,2,FALSE)</f>
        <v>2.9583909509898478</v>
      </c>
      <c r="D1382" s="98">
        <f>SUMIFS(Input!$C$115:$C$3257,Input!$A$115:$A$3257,"="&amp;'Output - County'!A1382,Input!$B$115:$B$3257,"="&amp;'Output - County'!B1382)*VLOOKUP(A1382,'Output - State'!$B$2:$G$52,3,FALSE)</f>
        <v>2.1874047044502491</v>
      </c>
      <c r="E1382" s="98">
        <f>SUMIFS(Input!$C$115:$C$3257,Input!$A$115:$A$3257,"="&amp;'Output - County'!A1382,Input!$B$115:$B$3257,"="&amp;'Output - County'!B1382)*VLOOKUP(A1382,'Output - State'!$B$2:$G$52,4,FALSE)</f>
        <v>7.6459078647337524</v>
      </c>
      <c r="F1382" s="98">
        <f>SUMIFS(Input!$C$115:$C$3257,Input!$A$115:$A$3257,"="&amp;'Output - County'!A1382,Input!$B$115:$B$3257,"="&amp;'Output - County'!B1382)*VLOOKUP(A1382,'Output - State'!$B$2:$G$52,5,FALSE)</f>
        <v>20.326870904038685</v>
      </c>
      <c r="G1382" s="99">
        <f>SUMIFS(Input!$D$115:$D$3257,Input!$A$115:$A$3257,"="&amp;'Output - County'!A1382,Input!$B$115:$B$3257,"="&amp;'Output - County'!B1382)*VLOOKUP(A1382,'Output - State'!$B$2:$G$52,6,FALSE)</f>
        <v>1.8772523246161346</v>
      </c>
    </row>
    <row r="1383" spans="1:7" x14ac:dyDescent="0.25">
      <c r="A1383" s="88">
        <v>27</v>
      </c>
      <c r="B1383" s="88">
        <v>135</v>
      </c>
      <c r="C1383" s="97">
        <f>SUMIFS(Input!$C$115:$C$3257,Input!$A$115:$A$3257,"="&amp;'Output - County'!A1383,Input!$B$115:$B$3257,"="&amp;'Output - County'!B1383)*VLOOKUP(A1383,'Output - State'!$B$2:$G$52,2,FALSE)</f>
        <v>1.5520120813224636</v>
      </c>
      <c r="D1383" s="98">
        <f>SUMIFS(Input!$C$115:$C$3257,Input!$A$115:$A$3257,"="&amp;'Output - County'!A1383,Input!$B$115:$B$3257,"="&amp;'Output - County'!B1383)*VLOOKUP(A1383,'Output - State'!$B$2:$G$52,3,FALSE)</f>
        <v>1.1475422228804772</v>
      </c>
      <c r="E1383" s="98">
        <f>SUMIFS(Input!$C$115:$C$3257,Input!$A$115:$A$3257,"="&amp;'Output - County'!A1383,Input!$B$115:$B$3257,"="&amp;'Output - County'!B1383)*VLOOKUP(A1383,'Output - State'!$B$2:$G$52,4,FALSE)</f>
        <v>4.0111471321174772</v>
      </c>
      <c r="F1383" s="98">
        <f>SUMIFS(Input!$C$115:$C$3257,Input!$A$115:$A$3257,"="&amp;'Output - County'!A1383,Input!$B$115:$B$3257,"="&amp;'Output - County'!B1383)*VLOOKUP(A1383,'Output - State'!$B$2:$G$52,5,FALSE)</f>
        <v>10.663752607813587</v>
      </c>
      <c r="G1383" s="99">
        <f>SUMIFS(Input!$D$115:$D$3257,Input!$A$115:$A$3257,"="&amp;'Output - County'!A1383,Input!$B$115:$B$3257,"="&amp;'Output - County'!B1383)*VLOOKUP(A1383,'Output - State'!$B$2:$G$52,6,FALSE)</f>
        <v>3.0355569504431115</v>
      </c>
    </row>
    <row r="1384" spans="1:7" x14ac:dyDescent="0.25">
      <c r="A1384" s="88">
        <v>27</v>
      </c>
      <c r="B1384" s="88">
        <v>137</v>
      </c>
      <c r="C1384" s="97">
        <f>SUMIFS(Input!$C$115:$C$3257,Input!$A$115:$A$3257,"="&amp;'Output - County'!A1384,Input!$B$115:$B$3257,"="&amp;'Output - County'!B1384)*VLOOKUP(A1384,'Output - State'!$B$2:$G$52,2,FALSE)</f>
        <v>34.497055806006252</v>
      </c>
      <c r="D1384" s="98">
        <f>SUMIFS(Input!$C$115:$C$3257,Input!$A$115:$A$3257,"="&amp;'Output - County'!A1384,Input!$B$115:$B$3257,"="&amp;'Output - County'!B1384)*VLOOKUP(A1384,'Output - State'!$B$2:$G$52,3,FALSE)</f>
        <v>25.506778316264462</v>
      </c>
      <c r="E1384" s="98">
        <f>SUMIFS(Input!$C$115:$C$3257,Input!$A$115:$A$3257,"="&amp;'Output - County'!A1384,Input!$B$115:$B$3257,"="&amp;'Output - County'!B1384)*VLOOKUP(A1384,'Output - State'!$B$2:$G$52,4,FALSE)</f>
        <v>89.15701631964852</v>
      </c>
      <c r="F1384" s="98">
        <f>SUMIFS(Input!$C$115:$C$3257,Input!$A$115:$A$3257,"="&amp;'Output - County'!A1384,Input!$B$115:$B$3257,"="&amp;'Output - County'!B1384)*VLOOKUP(A1384,'Output - State'!$B$2:$G$52,5,FALSE)</f>
        <v>237.02654975451676</v>
      </c>
      <c r="G1384" s="99">
        <f>SUMIFS(Input!$D$115:$D$3257,Input!$A$115:$A$3257,"="&amp;'Output - County'!A1384,Input!$B$115:$B$3257,"="&amp;'Output - County'!B1384)*VLOOKUP(A1384,'Output - State'!$B$2:$G$52,6,FALSE)</f>
        <v>39.941538821619886</v>
      </c>
    </row>
    <row r="1385" spans="1:7" x14ac:dyDescent="0.25">
      <c r="A1385" s="88">
        <v>27</v>
      </c>
      <c r="B1385" s="88">
        <v>139</v>
      </c>
      <c r="C1385" s="97">
        <f>SUMIFS(Input!$C$115:$C$3257,Input!$A$115:$A$3257,"="&amp;'Output - County'!A1385,Input!$B$115:$B$3257,"="&amp;'Output - County'!B1385)*VLOOKUP(A1385,'Output - State'!$B$2:$G$52,2,FALSE)</f>
        <v>27.736915297249329</v>
      </c>
      <c r="D1385" s="98">
        <f>SUMIFS(Input!$C$115:$C$3257,Input!$A$115:$A$3257,"="&amp;'Output - County'!A1385,Input!$B$115:$B$3257,"="&amp;'Output - County'!B1385)*VLOOKUP(A1385,'Output - State'!$B$2:$G$52,3,FALSE)</f>
        <v>20.50839798162615</v>
      </c>
      <c r="E1385" s="98">
        <f>SUMIFS(Input!$C$115:$C$3257,Input!$A$115:$A$3257,"="&amp;'Output - County'!A1385,Input!$B$115:$B$3257,"="&amp;'Output - County'!B1385)*VLOOKUP(A1385,'Output - State'!$B$2:$G$52,4,FALSE)</f>
        <v>71.685555536104786</v>
      </c>
      <c r="F1385" s="98">
        <f>SUMIFS(Input!$C$115:$C$3257,Input!$A$115:$A$3257,"="&amp;'Output - County'!A1385,Input!$B$115:$B$3257,"="&amp;'Output - County'!B1385)*VLOOKUP(A1385,'Output - State'!$B$2:$G$52,5,FALSE)</f>
        <v>190.57815747266247</v>
      </c>
      <c r="G1385" s="99">
        <f>SUMIFS(Input!$D$115:$D$3257,Input!$A$115:$A$3257,"="&amp;'Output - County'!A1385,Input!$B$115:$B$3257,"="&amp;'Output - County'!B1385)*VLOOKUP(A1385,'Output - State'!$B$2:$G$52,6,FALSE)</f>
        <v>29.357031033890614</v>
      </c>
    </row>
    <row r="1386" spans="1:7" x14ac:dyDescent="0.25">
      <c r="A1386" s="88">
        <v>27</v>
      </c>
      <c r="B1386" s="88">
        <v>141</v>
      </c>
      <c r="C1386" s="97">
        <f>SUMIFS(Input!$C$115:$C$3257,Input!$A$115:$A$3257,"="&amp;'Output - County'!A1386,Input!$B$115:$B$3257,"="&amp;'Output - County'!B1386)*VLOOKUP(A1386,'Output - State'!$B$2:$G$52,2,FALSE)</f>
        <v>15.717759151073356</v>
      </c>
      <c r="D1386" s="98">
        <f>SUMIFS(Input!$C$115:$C$3257,Input!$A$115:$A$3257,"="&amp;'Output - County'!A1386,Input!$B$115:$B$3257,"="&amp;'Output - County'!B1386)*VLOOKUP(A1386,'Output - State'!$B$2:$G$52,3,FALSE)</f>
        <v>11.62155404070927</v>
      </c>
      <c r="E1386" s="98">
        <f>SUMIFS(Input!$C$115:$C$3257,Input!$A$115:$A$3257,"="&amp;'Output - County'!A1386,Input!$B$115:$B$3257,"="&amp;'Output - County'!B1386)*VLOOKUP(A1386,'Output - State'!$B$2:$G$52,4,FALSE)</f>
        <v>40.622264028009148</v>
      </c>
      <c r="F1386" s="98">
        <f>SUMIFS(Input!$C$115:$C$3257,Input!$A$115:$A$3257,"="&amp;'Output - County'!A1386,Input!$B$115:$B$3257,"="&amp;'Output - County'!B1386)*VLOOKUP(A1386,'Output - State'!$B$2:$G$52,5,FALSE)</f>
        <v>107.99548351029861</v>
      </c>
      <c r="G1386" s="99">
        <f>SUMIFS(Input!$D$115:$D$3257,Input!$A$115:$A$3257,"="&amp;'Output - County'!A1386,Input!$B$115:$B$3257,"="&amp;'Output - County'!B1386)*VLOOKUP(A1386,'Output - State'!$B$2:$G$52,6,FALSE)</f>
        <v>19.171938634377543</v>
      </c>
    </row>
    <row r="1387" spans="1:7" x14ac:dyDescent="0.25">
      <c r="A1387" s="88">
        <v>27</v>
      </c>
      <c r="B1387" s="88">
        <v>143</v>
      </c>
      <c r="C1387" s="97">
        <f>SUMIFS(Input!$C$115:$C$3257,Input!$A$115:$A$3257,"="&amp;'Output - County'!A1387,Input!$B$115:$B$3257,"="&amp;'Output - County'!B1387)*VLOOKUP(A1387,'Output - State'!$B$2:$G$52,2,FALSE)</f>
        <v>1.9275092645993641</v>
      </c>
      <c r="D1387" s="98">
        <f>SUMIFS(Input!$C$115:$C$3257,Input!$A$115:$A$3257,"="&amp;'Output - County'!A1387,Input!$B$115:$B$3257,"="&amp;'Output - County'!B1387)*VLOOKUP(A1387,'Output - State'!$B$2:$G$52,3,FALSE)</f>
        <v>1.4251810876602959</v>
      </c>
      <c r="E1387" s="98">
        <f>SUMIFS(Input!$C$115:$C$3257,Input!$A$115:$A$3257,"="&amp;'Output - County'!A1387,Input!$B$115:$B$3257,"="&amp;'Output - County'!B1387)*VLOOKUP(A1387,'Output - State'!$B$2:$G$52,4,FALSE)</f>
        <v>4.9816128056423414</v>
      </c>
      <c r="F1387" s="98">
        <f>SUMIFS(Input!$C$115:$C$3257,Input!$A$115:$A$3257,"="&amp;'Output - County'!A1387,Input!$B$115:$B$3257,"="&amp;'Output - County'!B1387)*VLOOKUP(A1387,'Output - State'!$B$2:$G$52,5,FALSE)</f>
        <v>13.243764139672111</v>
      </c>
      <c r="G1387" s="99">
        <f>SUMIFS(Input!$D$115:$D$3257,Input!$A$115:$A$3257,"="&amp;'Output - County'!A1387,Input!$B$115:$B$3257,"="&amp;'Output - County'!B1387)*VLOOKUP(A1387,'Output - State'!$B$2:$G$52,6,FALSE)</f>
        <v>2.9956154116214915</v>
      </c>
    </row>
    <row r="1388" spans="1:7" x14ac:dyDescent="0.25">
      <c r="A1388" s="88">
        <v>27</v>
      </c>
      <c r="B1388" s="88">
        <v>145</v>
      </c>
      <c r="C1388" s="97">
        <f>SUMIFS(Input!$C$115:$C$3257,Input!$A$115:$A$3257,"="&amp;'Output - County'!A1388,Input!$B$115:$B$3257,"="&amp;'Output - County'!B1388)*VLOOKUP(A1388,'Output - State'!$B$2:$G$52,2,FALSE)</f>
        <v>35.505641173370726</v>
      </c>
      <c r="D1388" s="98">
        <f>SUMIFS(Input!$C$115:$C$3257,Input!$A$115:$A$3257,"="&amp;'Output - County'!A1388,Input!$B$115:$B$3257,"="&amp;'Output - County'!B1388)*VLOOKUP(A1388,'Output - State'!$B$2:$G$52,3,FALSE)</f>
        <v>26.252516257585086</v>
      </c>
      <c r="E1388" s="98">
        <f>SUMIFS(Input!$C$115:$C$3257,Input!$A$115:$A$3257,"="&amp;'Output - County'!A1388,Input!$B$115:$B$3257,"="&amp;'Output - County'!B1388)*VLOOKUP(A1388,'Output - State'!$B$2:$G$52,4,FALSE)</f>
        <v>91.7636869457898</v>
      </c>
      <c r="F1388" s="98">
        <f>SUMIFS(Input!$C$115:$C$3257,Input!$A$115:$A$3257,"="&amp;'Output - County'!A1388,Input!$B$115:$B$3257,"="&amp;'Output - County'!B1388)*VLOOKUP(A1388,'Output - State'!$B$2:$G$52,5,FALSE)</f>
        <v>243.95646026930538</v>
      </c>
      <c r="G1388" s="99">
        <f>SUMIFS(Input!$D$115:$D$3257,Input!$A$115:$A$3257,"="&amp;'Output - County'!A1388,Input!$B$115:$B$3257,"="&amp;'Output - County'!B1388)*VLOOKUP(A1388,'Output - State'!$B$2:$G$52,6,FALSE)</f>
        <v>31.953231057295906</v>
      </c>
    </row>
    <row r="1389" spans="1:7" x14ac:dyDescent="0.25">
      <c r="A1389" s="88">
        <v>27</v>
      </c>
      <c r="B1389" s="88">
        <v>147</v>
      </c>
      <c r="C1389" s="97">
        <f>SUMIFS(Input!$C$115:$C$3257,Input!$A$115:$A$3257,"="&amp;'Output - County'!A1389,Input!$B$115:$B$3257,"="&amp;'Output - County'!B1389)*VLOOKUP(A1389,'Output - State'!$B$2:$G$52,2,FALSE)</f>
        <v>10.631341201554264</v>
      </c>
      <c r="D1389" s="98">
        <f>SUMIFS(Input!$C$115:$C$3257,Input!$A$115:$A$3257,"="&amp;'Output - County'!A1389,Input!$B$115:$B$3257,"="&amp;'Output - County'!B1389)*VLOOKUP(A1389,'Output - State'!$B$2:$G$52,3,FALSE)</f>
        <v>7.8607074400070935</v>
      </c>
      <c r="E1389" s="98">
        <f>SUMIFS(Input!$C$115:$C$3257,Input!$A$115:$A$3257,"="&amp;'Output - County'!A1389,Input!$B$115:$B$3257,"="&amp;'Output - County'!B1389)*VLOOKUP(A1389,'Output - State'!$B$2:$G$52,4,FALSE)</f>
        <v>27.476508903745181</v>
      </c>
      <c r="F1389" s="98">
        <f>SUMIFS(Input!$C$115:$C$3257,Input!$A$115:$A$3257,"="&amp;'Output - County'!A1389,Input!$B$115:$B$3257,"="&amp;'Output - County'!B1389)*VLOOKUP(A1389,'Output - State'!$B$2:$G$52,5,FALSE)</f>
        <v>73.047106931041526</v>
      </c>
      <c r="G1389" s="99">
        <f>SUMIFS(Input!$D$115:$D$3257,Input!$A$115:$A$3257,"="&amp;'Output - County'!A1389,Input!$B$115:$B$3257,"="&amp;'Output - County'!B1389)*VLOOKUP(A1389,'Output - State'!$B$2:$G$52,6,FALSE)</f>
        <v>7.3292723737672487</v>
      </c>
    </row>
    <row r="1390" spans="1:7" x14ac:dyDescent="0.25">
      <c r="A1390" s="88">
        <v>27</v>
      </c>
      <c r="B1390" s="88">
        <v>149</v>
      </c>
      <c r="C1390" s="97">
        <f>SUMIFS(Input!$C$115:$C$3257,Input!$A$115:$A$3257,"="&amp;'Output - County'!A1390,Input!$B$115:$B$3257,"="&amp;'Output - County'!B1390)*VLOOKUP(A1390,'Output - State'!$B$2:$G$52,2,FALSE)</f>
        <v>1.3190031693069004</v>
      </c>
      <c r="D1390" s="98">
        <f>SUMIFS(Input!$C$115:$C$3257,Input!$A$115:$A$3257,"="&amp;'Output - County'!A1390,Input!$B$115:$B$3257,"="&amp;'Output - County'!B1390)*VLOOKUP(A1390,'Output - State'!$B$2:$G$52,3,FALSE)</f>
        <v>0.97525776191322688</v>
      </c>
      <c r="E1390" s="98">
        <f>SUMIFS(Input!$C$115:$C$3257,Input!$A$115:$A$3257,"="&amp;'Output - County'!A1390,Input!$B$115:$B$3257,"="&amp;'Output - County'!B1390)*VLOOKUP(A1390,'Output - State'!$B$2:$G$52,4,FALSE)</f>
        <v>3.4089398165709111</v>
      </c>
      <c r="F1390" s="98">
        <f>SUMIFS(Input!$C$115:$C$3257,Input!$A$115:$A$3257,"="&amp;'Output - County'!A1390,Input!$B$115:$B$3257,"="&amp;'Output - County'!B1390)*VLOOKUP(A1390,'Output - State'!$B$2:$G$52,5,FALSE)</f>
        <v>9.0627667501310079</v>
      </c>
      <c r="G1390" s="99">
        <f>SUMIFS(Input!$D$115:$D$3257,Input!$A$115:$A$3257,"="&amp;'Output - County'!A1390,Input!$B$115:$B$3257,"="&amp;'Output - County'!B1390)*VLOOKUP(A1390,'Output - State'!$B$2:$G$52,6,FALSE)</f>
        <v>1.9471500175539695</v>
      </c>
    </row>
    <row r="1391" spans="1:7" x14ac:dyDescent="0.25">
      <c r="A1391" s="88">
        <v>27</v>
      </c>
      <c r="B1391" s="88">
        <v>151</v>
      </c>
      <c r="C1391" s="97">
        <f>SUMIFS(Input!$C$115:$C$3257,Input!$A$115:$A$3257,"="&amp;'Output - County'!A1391,Input!$B$115:$B$3257,"="&amp;'Output - County'!B1391)*VLOOKUP(A1391,'Output - State'!$B$2:$G$52,2,FALSE)</f>
        <v>1.2679096681671049</v>
      </c>
      <c r="D1391" s="98">
        <f>SUMIFS(Input!$C$115:$C$3257,Input!$A$115:$A$3257,"="&amp;'Output - County'!A1391,Input!$B$115:$B$3257,"="&amp;'Output - County'!B1391)*VLOOKUP(A1391,'Output - State'!$B$2:$G$52,3,FALSE)</f>
        <v>0.9374797377739128</v>
      </c>
      <c r="E1391" s="98">
        <f>SUMIFS(Input!$C$115:$C$3257,Input!$A$115:$A$3257,"="&amp;'Output - County'!A1391,Input!$B$115:$B$3257,"="&amp;'Output - County'!B1391)*VLOOKUP(A1391,'Output - State'!$B$2:$G$52,4,FALSE)</f>
        <v>3.2768895876886073</v>
      </c>
      <c r="F1391" s="98">
        <f>SUMIFS(Input!$C$115:$C$3257,Input!$A$115:$A$3257,"="&amp;'Output - County'!A1391,Input!$B$115:$B$3257,"="&amp;'Output - County'!B1391)*VLOOKUP(A1391,'Output - State'!$B$2:$G$52,5,FALSE)</f>
        <v>8.7117073334043305</v>
      </c>
      <c r="G1391" s="99">
        <f>SUMIFS(Input!$D$115:$D$3257,Input!$A$115:$A$3257,"="&amp;'Output - County'!A1391,Input!$B$115:$B$3257,"="&amp;'Output - County'!B1391)*VLOOKUP(A1391,'Output - State'!$B$2:$G$52,6,FALSE)</f>
        <v>1.8612757090874865</v>
      </c>
    </row>
    <row r="1392" spans="1:7" x14ac:dyDescent="0.25">
      <c r="A1392" s="88">
        <v>27</v>
      </c>
      <c r="B1392" s="88">
        <v>153</v>
      </c>
      <c r="C1392" s="97">
        <f>SUMIFS(Input!$C$115:$C$3257,Input!$A$115:$A$3257,"="&amp;'Output - County'!A1392,Input!$B$115:$B$3257,"="&amp;'Output - County'!B1392)*VLOOKUP(A1392,'Output - State'!$B$2:$G$52,2,FALSE)</f>
        <v>3.7801569161842195</v>
      </c>
      <c r="D1392" s="98">
        <f>SUMIFS(Input!$C$115:$C$3257,Input!$A$115:$A$3257,"="&amp;'Output - County'!A1392,Input!$B$115:$B$3257,"="&amp;'Output - County'!B1392)*VLOOKUP(A1392,'Output - State'!$B$2:$G$52,3,FALSE)</f>
        <v>2.7950102467879954</v>
      </c>
      <c r="E1392" s="98">
        <f>SUMIFS(Input!$C$115:$C$3257,Input!$A$115:$A$3257,"="&amp;'Output - County'!A1392,Input!$B$115:$B$3257,"="&amp;'Output - County'!B1392)*VLOOKUP(A1392,'Output - State'!$B$2:$G$52,4,FALSE)</f>
        <v>9.7697471274748349</v>
      </c>
      <c r="F1392" s="98">
        <f>SUMIFS(Input!$C$115:$C$3257,Input!$A$115:$A$3257,"="&amp;'Output - County'!A1392,Input!$B$115:$B$3257,"="&amp;'Output - County'!B1392)*VLOOKUP(A1392,'Output - State'!$B$2:$G$52,5,FALSE)</f>
        <v>25.973160040452438</v>
      </c>
      <c r="G1392" s="99">
        <f>SUMIFS(Input!$D$115:$D$3257,Input!$A$115:$A$3257,"="&amp;'Output - County'!A1392,Input!$B$115:$B$3257,"="&amp;'Output - County'!B1392)*VLOOKUP(A1392,'Output - State'!$B$2:$G$52,6,FALSE)</f>
        <v>4.9128092750592458</v>
      </c>
    </row>
    <row r="1393" spans="1:7" x14ac:dyDescent="0.25">
      <c r="A1393" s="88">
        <v>27</v>
      </c>
      <c r="B1393" s="88">
        <v>155</v>
      </c>
      <c r="C1393" s="97">
        <f>SUMIFS(Input!$C$115:$C$3257,Input!$A$115:$A$3257,"="&amp;'Output - County'!A1393,Input!$B$115:$B$3257,"="&amp;'Output - County'!B1393)*VLOOKUP(A1393,'Output - State'!$B$2:$G$52,2,FALSE)</f>
        <v>0.43050032661953608</v>
      </c>
      <c r="D1393" s="98">
        <f>SUMIFS(Input!$C$115:$C$3257,Input!$A$115:$A$3257,"="&amp;'Output - County'!A1393,Input!$B$115:$B$3257,"="&amp;'Output - County'!B1393)*VLOOKUP(A1393,'Output - State'!$B$2:$G$52,3,FALSE)</f>
        <v>0.31830763929286149</v>
      </c>
      <c r="E1393" s="98">
        <f>SUMIFS(Input!$C$115:$C$3257,Input!$A$115:$A$3257,"="&amp;'Output - County'!A1393,Input!$B$115:$B$3257,"="&amp;'Output - County'!B1393)*VLOOKUP(A1393,'Output - State'!$B$2:$G$52,4,FALSE)</f>
        <v>1.1126203019142671</v>
      </c>
      <c r="F1393" s="98">
        <f>SUMIFS(Input!$C$115:$C$3257,Input!$A$115:$A$3257,"="&amp;'Output - County'!A1393,Input!$B$115:$B$3257,"="&amp;'Output - County'!B1393)*VLOOKUP(A1393,'Output - State'!$B$2:$G$52,5,FALSE)</f>
        <v>2.9579337918181143</v>
      </c>
      <c r="G1393" s="99">
        <f>SUMIFS(Input!$D$115:$D$3257,Input!$A$115:$A$3257,"="&amp;'Output - County'!A1393,Input!$B$115:$B$3257,"="&amp;'Output - County'!B1393)*VLOOKUP(A1393,'Output - State'!$B$2:$G$52,6,FALSE)</f>
        <v>0.65703831361564713</v>
      </c>
    </row>
    <row r="1394" spans="1:7" x14ac:dyDescent="0.25">
      <c r="A1394" s="88">
        <v>27</v>
      </c>
      <c r="B1394" s="88">
        <v>157</v>
      </c>
      <c r="C1394" s="97">
        <f>SUMIFS(Input!$C$115:$C$3257,Input!$A$115:$A$3257,"="&amp;'Output - County'!A1394,Input!$B$115:$B$3257,"="&amp;'Output - County'!B1394)*VLOOKUP(A1394,'Output - State'!$B$2:$G$52,2,FALSE)</f>
        <v>2.4966212396233636</v>
      </c>
      <c r="D1394" s="98">
        <f>SUMIFS(Input!$C$115:$C$3257,Input!$A$115:$A$3257,"="&amp;'Output - County'!A1394,Input!$B$115:$B$3257,"="&amp;'Output - County'!B1394)*VLOOKUP(A1394,'Output - State'!$B$2:$G$52,3,FALSE)</f>
        <v>1.8459767945664252</v>
      </c>
      <c r="E1394" s="98">
        <f>SUMIFS(Input!$C$115:$C$3257,Input!$A$115:$A$3257,"="&amp;'Output - County'!A1394,Input!$B$115:$B$3257,"="&amp;'Output - County'!B1394)*VLOOKUP(A1394,'Output - State'!$B$2:$G$52,4,FALSE)</f>
        <v>6.4524724039297912</v>
      </c>
      <c r="F1394" s="98">
        <f>SUMIFS(Input!$C$115:$C$3257,Input!$A$115:$A$3257,"="&amp;'Output - County'!A1394,Input!$B$115:$B$3257,"="&amp;'Output - County'!B1394)*VLOOKUP(A1394,'Output - State'!$B$2:$G$52,5,FALSE)</f>
        <v>17.154087635755239</v>
      </c>
      <c r="G1394" s="99">
        <f>SUMIFS(Input!$D$115:$D$3257,Input!$A$115:$A$3257,"="&amp;'Output - County'!A1394,Input!$B$115:$B$3257,"="&amp;'Output - County'!B1394)*VLOOKUP(A1394,'Output - State'!$B$2:$G$52,6,FALSE)</f>
        <v>4.3136861927349477</v>
      </c>
    </row>
    <row r="1395" spans="1:7" x14ac:dyDescent="0.25">
      <c r="A1395" s="88">
        <v>27</v>
      </c>
      <c r="B1395" s="88">
        <v>159</v>
      </c>
      <c r="C1395" s="97">
        <f>SUMIFS(Input!$C$115:$C$3257,Input!$A$115:$A$3257,"="&amp;'Output - County'!A1395,Input!$B$115:$B$3257,"="&amp;'Output - County'!B1395)*VLOOKUP(A1395,'Output - State'!$B$2:$G$52,2,FALSE)</f>
        <v>1.6327591798158951</v>
      </c>
      <c r="D1395" s="98">
        <f>SUMIFS(Input!$C$115:$C$3257,Input!$A$115:$A$3257,"="&amp;'Output - County'!A1395,Input!$B$115:$B$3257,"="&amp;'Output - County'!B1395)*VLOOKUP(A1395,'Output - State'!$B$2:$G$52,3,FALSE)</f>
        <v>1.2072458205595271</v>
      </c>
      <c r="E1395" s="98">
        <f>SUMIFS(Input!$C$115:$C$3257,Input!$A$115:$A$3257,"="&amp;'Output - County'!A1395,Input!$B$115:$B$3257,"="&amp;'Output - County'!B1395)*VLOOKUP(A1395,'Output - State'!$B$2:$G$52,4,FALSE)</f>
        <v>4.2198365466178798</v>
      </c>
      <c r="F1395" s="98">
        <f>SUMIFS(Input!$C$115:$C$3257,Input!$A$115:$A$3257,"="&amp;'Output - County'!A1395,Input!$B$115:$B$3257,"="&amp;'Output - County'!B1395)*VLOOKUP(A1395,'Output - State'!$B$2:$G$52,5,FALSE)</f>
        <v>11.218559553258881</v>
      </c>
      <c r="G1395" s="99">
        <f>SUMIFS(Input!$D$115:$D$3257,Input!$A$115:$A$3257,"="&amp;'Output - County'!A1395,Input!$B$115:$B$3257,"="&amp;'Output - County'!B1395)*VLOOKUP(A1395,'Output - State'!$B$2:$G$52,6,FALSE)</f>
        <v>2.735995409280962</v>
      </c>
    </row>
    <row r="1396" spans="1:7" x14ac:dyDescent="0.25">
      <c r="A1396" s="88">
        <v>27</v>
      </c>
      <c r="B1396" s="88">
        <v>161</v>
      </c>
      <c r="C1396" s="97">
        <f>SUMIFS(Input!$C$115:$C$3257,Input!$A$115:$A$3257,"="&amp;'Output - County'!A1396,Input!$B$115:$B$3257,"="&amp;'Output - County'!B1396)*VLOOKUP(A1396,'Output - State'!$B$2:$G$52,2,FALSE)</f>
        <v>2.8801686140323723</v>
      </c>
      <c r="D1396" s="98">
        <f>SUMIFS(Input!$C$115:$C$3257,Input!$A$115:$A$3257,"="&amp;'Output - County'!A1396,Input!$B$115:$B$3257,"="&amp;'Output - County'!B1396)*VLOOKUP(A1396,'Output - State'!$B$2:$G$52,3,FALSE)</f>
        <v>2.1295678902196538</v>
      </c>
      <c r="E1396" s="98">
        <f>SUMIFS(Input!$C$115:$C$3257,Input!$A$115:$A$3257,"="&amp;'Output - County'!A1396,Input!$B$115:$B$3257,"="&amp;'Output - County'!B1396)*VLOOKUP(A1396,'Output - State'!$B$2:$G$52,4,FALSE)</f>
        <v>7.4437436507238015</v>
      </c>
      <c r="F1396" s="98">
        <f>SUMIFS(Input!$C$115:$C$3257,Input!$A$115:$A$3257,"="&amp;'Output - County'!A1396,Input!$B$115:$B$3257,"="&amp;'Output - County'!B1396)*VLOOKUP(A1396,'Output - State'!$B$2:$G$52,5,FALSE)</f>
        <v>19.789411395985898</v>
      </c>
      <c r="G1396" s="99">
        <f>SUMIFS(Input!$D$115:$D$3257,Input!$A$115:$A$3257,"="&amp;'Output - County'!A1396,Input!$B$115:$B$3257,"="&amp;'Output - County'!B1396)*VLOOKUP(A1396,'Output - State'!$B$2:$G$52,6,FALSE)</f>
        <v>3.7345338798214591</v>
      </c>
    </row>
    <row r="1397" spans="1:7" x14ac:dyDescent="0.25">
      <c r="A1397" s="88">
        <v>27</v>
      </c>
      <c r="B1397" s="88">
        <v>163</v>
      </c>
      <c r="C1397" s="97">
        <f>SUMIFS(Input!$C$115:$C$3257,Input!$A$115:$A$3257,"="&amp;'Output - County'!A1397,Input!$B$115:$B$3257,"="&amp;'Output - County'!B1397)*VLOOKUP(A1397,'Output - State'!$B$2:$G$52,2,FALSE)</f>
        <v>52.555183301283087</v>
      </c>
      <c r="D1397" s="98">
        <f>SUMIFS(Input!$C$115:$C$3257,Input!$A$115:$A$3257,"="&amp;'Output - County'!A1397,Input!$B$115:$B$3257,"="&amp;'Output - County'!B1397)*VLOOKUP(A1397,'Output - State'!$B$2:$G$52,3,FALSE)</f>
        <v>38.85877732218168</v>
      </c>
      <c r="E1397" s="98">
        <f>SUMIFS(Input!$C$115:$C$3257,Input!$A$115:$A$3257,"="&amp;'Output - County'!A1397,Input!$B$115:$B$3257,"="&amp;'Output - County'!B1397)*VLOOKUP(A1397,'Output - State'!$B$2:$G$52,4,FALSE)</f>
        <v>135.82791997161678</v>
      </c>
      <c r="F1397" s="98">
        <f>SUMIFS(Input!$C$115:$C$3257,Input!$A$115:$A$3257,"="&amp;'Output - County'!A1397,Input!$B$115:$B$3257,"="&amp;'Output - County'!B1397)*VLOOKUP(A1397,'Output - State'!$B$2:$G$52,5,FALSE)</f>
        <v>361.10251957937959</v>
      </c>
      <c r="G1397" s="99">
        <f>SUMIFS(Input!$D$115:$D$3257,Input!$A$115:$A$3257,"="&amp;'Output - County'!A1397,Input!$B$115:$B$3257,"="&amp;'Output - County'!B1397)*VLOOKUP(A1397,'Output - State'!$B$2:$G$52,6,FALSE)</f>
        <v>51.724292773997753</v>
      </c>
    </row>
    <row r="1398" spans="1:7" x14ac:dyDescent="0.25">
      <c r="A1398" s="88">
        <v>27</v>
      </c>
      <c r="B1398" s="88">
        <v>165</v>
      </c>
      <c r="C1398" s="97">
        <f>SUMIFS(Input!$C$115:$C$3257,Input!$A$115:$A$3257,"="&amp;'Output - County'!A1398,Input!$B$115:$B$3257,"="&amp;'Output - County'!B1398)*VLOOKUP(A1398,'Output - State'!$B$2:$G$52,2,FALSE)</f>
        <v>1.8218216896900388</v>
      </c>
      <c r="D1398" s="98">
        <f>SUMIFS(Input!$C$115:$C$3257,Input!$A$115:$A$3257,"="&amp;'Output - County'!A1398,Input!$B$115:$B$3257,"="&amp;'Output - County'!B1398)*VLOOKUP(A1398,'Output - State'!$B$2:$G$52,3,FALSE)</f>
        <v>1.3470367509622523</v>
      </c>
      <c r="E1398" s="98">
        <f>SUMIFS(Input!$C$115:$C$3257,Input!$A$115:$A$3257,"="&amp;'Output - County'!A1398,Input!$B$115:$B$3257,"="&amp;'Output - County'!B1398)*VLOOKUP(A1398,'Output - State'!$B$2:$G$52,4,FALSE)</f>
        <v>4.7084651812779974</v>
      </c>
      <c r="F1398" s="98">
        <f>SUMIFS(Input!$C$115:$C$3257,Input!$A$115:$A$3257,"="&amp;'Output - County'!A1398,Input!$B$115:$B$3257,"="&amp;'Output - County'!B1398)*VLOOKUP(A1398,'Output - State'!$B$2:$G$52,5,FALSE)</f>
        <v>12.517593147760451</v>
      </c>
      <c r="G1398" s="99">
        <f>SUMIFS(Input!$D$115:$D$3257,Input!$A$115:$A$3257,"="&amp;'Output - County'!A1398,Input!$B$115:$B$3257,"="&amp;'Output - County'!B1398)*VLOOKUP(A1398,'Output - State'!$B$2:$G$52,6,FALSE)</f>
        <v>2.1967846351890934</v>
      </c>
    </row>
    <row r="1399" spans="1:7" x14ac:dyDescent="0.25">
      <c r="A1399" s="88">
        <v>27</v>
      </c>
      <c r="B1399" s="88">
        <v>167</v>
      </c>
      <c r="C1399" s="97">
        <f>SUMIFS(Input!$C$115:$C$3257,Input!$A$115:$A$3257,"="&amp;'Output - County'!A1399,Input!$B$115:$B$3257,"="&amp;'Output - County'!B1399)*VLOOKUP(A1399,'Output - State'!$B$2:$G$52,2,FALSE)</f>
        <v>2.525822208048905</v>
      </c>
      <c r="D1399" s="98">
        <f>SUMIFS(Input!$C$115:$C$3257,Input!$A$115:$A$3257,"="&amp;'Output - County'!A1399,Input!$B$115:$B$3257,"="&amp;'Output - County'!B1399)*VLOOKUP(A1399,'Output - State'!$B$2:$G$52,3,FALSE)</f>
        <v>1.86756769880008</v>
      </c>
      <c r="E1399" s="98">
        <f>SUMIFS(Input!$C$115:$C$3257,Input!$A$115:$A$3257,"="&amp;'Output - County'!A1399,Input!$B$115:$B$3257,"="&amp;'Output - County'!B1399)*VLOOKUP(A1399,'Output - State'!$B$2:$G$52,4,FALSE)</f>
        <v>6.5279417782760012</v>
      </c>
      <c r="F1399" s="98">
        <f>SUMIFS(Input!$C$115:$C$3257,Input!$A$115:$A$3257,"="&amp;'Output - County'!A1399,Input!$B$115:$B$3257,"="&amp;'Output - County'!B1399)*VLOOKUP(A1399,'Output - State'!$B$2:$G$52,5,FALSE)</f>
        <v>17.35472518680653</v>
      </c>
      <c r="G1399" s="99">
        <f>SUMIFS(Input!$D$115:$D$3257,Input!$A$115:$A$3257,"="&amp;'Output - County'!A1399,Input!$B$115:$B$3257,"="&amp;'Output - County'!B1399)*VLOOKUP(A1399,'Output - State'!$B$2:$G$52,6,FALSE)</f>
        <v>1.2461760112345404</v>
      </c>
    </row>
    <row r="1400" spans="1:7" x14ac:dyDescent="0.25">
      <c r="A1400" s="88">
        <v>27</v>
      </c>
      <c r="B1400" s="88">
        <v>169</v>
      </c>
      <c r="C1400" s="97">
        <f>SUMIFS(Input!$C$115:$C$3257,Input!$A$115:$A$3257,"="&amp;'Output - County'!A1400,Input!$B$115:$B$3257,"="&amp;'Output - County'!B1400)*VLOOKUP(A1400,'Output - State'!$B$2:$G$52,2,FALSE)</f>
        <v>12.061455435817178</v>
      </c>
      <c r="D1400" s="98">
        <f>SUMIFS(Input!$C$115:$C$3257,Input!$A$115:$A$3257,"="&amp;'Output - County'!A1400,Input!$B$115:$B$3257,"="&amp;'Output - County'!B1400)*VLOOKUP(A1400,'Output - State'!$B$2:$G$52,3,FALSE)</f>
        <v>8.9181196129591793</v>
      </c>
      <c r="E1400" s="98">
        <f>SUMIFS(Input!$C$115:$C$3257,Input!$A$115:$A$3257,"="&amp;'Output - County'!A1400,Input!$B$115:$B$3257,"="&amp;'Output - County'!B1400)*VLOOKUP(A1400,'Output - State'!$B$2:$G$52,4,FALSE)</f>
        <v>31.172613256538689</v>
      </c>
      <c r="F1400" s="98">
        <f>SUMIFS(Input!$C$115:$C$3257,Input!$A$115:$A$3257,"="&amp;'Output - County'!A1400,Input!$B$115:$B$3257,"="&amp;'Output - County'!B1400)*VLOOKUP(A1400,'Output - State'!$B$2:$G$52,5,FALSE)</f>
        <v>82.873309045459138</v>
      </c>
      <c r="G1400" s="99">
        <f>SUMIFS(Input!$D$115:$D$3257,Input!$A$115:$A$3257,"="&amp;'Output - County'!A1400,Input!$B$115:$B$3257,"="&amp;'Output - County'!B1400)*VLOOKUP(A1400,'Output - State'!$B$2:$G$52,6,FALSE)</f>
        <v>10.12518009128064</v>
      </c>
    </row>
    <row r="1401" spans="1:7" x14ac:dyDescent="0.25">
      <c r="A1401" s="88">
        <v>27</v>
      </c>
      <c r="B1401" s="88">
        <v>171</v>
      </c>
      <c r="C1401" s="97">
        <f>SUMIFS(Input!$C$115:$C$3257,Input!$A$115:$A$3257,"="&amp;'Output - County'!A1401,Input!$B$115:$B$3257,"="&amp;'Output - County'!B1401)*VLOOKUP(A1401,'Output - State'!$B$2:$G$52,2,FALSE)</f>
        <v>29.769327922901955</v>
      </c>
      <c r="D1401" s="98">
        <f>SUMIFS(Input!$C$115:$C$3257,Input!$A$115:$A$3257,"="&amp;'Output - County'!A1401,Input!$B$115:$B$3257,"="&amp;'Output - County'!B1401)*VLOOKUP(A1401,'Output - State'!$B$2:$G$52,3,FALSE)</f>
        <v>22.011143566096365</v>
      </c>
      <c r="E1401" s="98">
        <f>SUMIFS(Input!$C$115:$C$3257,Input!$A$115:$A$3257,"="&amp;'Output - County'!A1401,Input!$B$115:$B$3257,"="&amp;'Output - County'!B1401)*VLOOKUP(A1401,'Output - State'!$B$2:$G$52,4,FALSE)</f>
        <v>76.93828917959506</v>
      </c>
      <c r="F1401" s="98">
        <f>SUMIFS(Input!$C$115:$C$3257,Input!$A$115:$A$3257,"="&amp;'Output - County'!A1401,Input!$B$115:$B$3257,"="&amp;'Output - County'!B1401)*VLOOKUP(A1401,'Output - State'!$B$2:$G$52,5,FALSE)</f>
        <v>204.54270433269002</v>
      </c>
      <c r="G1401" s="99">
        <f>SUMIFS(Input!$D$115:$D$3257,Input!$A$115:$A$3257,"="&amp;'Output - County'!A1401,Input!$B$115:$B$3257,"="&amp;'Output - County'!B1401)*VLOOKUP(A1401,'Output - State'!$B$2:$G$52,6,FALSE)</f>
        <v>27.160246398701521</v>
      </c>
    </row>
    <row r="1402" spans="1:7" x14ac:dyDescent="0.25">
      <c r="A1402" s="88">
        <v>27</v>
      </c>
      <c r="B1402" s="88">
        <v>173</v>
      </c>
      <c r="C1402" s="97">
        <f>SUMIFS(Input!$C$115:$C$3257,Input!$A$115:$A$3257,"="&amp;'Output - County'!A1402,Input!$B$115:$B$3257,"="&amp;'Output - County'!B1402)*VLOOKUP(A1402,'Output - State'!$B$2:$G$52,2,FALSE)</f>
        <v>1.2874169776191269</v>
      </c>
      <c r="D1402" s="98">
        <f>SUMIFS(Input!$C$115:$C$3257,Input!$A$115:$A$3257,"="&amp;'Output - County'!A1402,Input!$B$115:$B$3257,"="&amp;'Output - County'!B1402)*VLOOKUP(A1402,'Output - State'!$B$2:$G$52,3,FALSE)</f>
        <v>0.95190324743623211</v>
      </c>
      <c r="E1402" s="98">
        <f>SUMIFS(Input!$C$115:$C$3257,Input!$A$115:$A$3257,"="&amp;'Output - County'!A1402,Input!$B$115:$B$3257,"="&amp;'Output - County'!B1402)*VLOOKUP(A1402,'Output - State'!$B$2:$G$52,4,FALSE)</f>
        <v>3.3273058758769913</v>
      </c>
      <c r="F1402" s="98">
        <f>SUMIFS(Input!$C$115:$C$3257,Input!$A$115:$A$3257,"="&amp;'Output - County'!A1402,Input!$B$115:$B$3257,"="&amp;'Output - County'!B1402)*VLOOKUP(A1402,'Output - State'!$B$2:$G$52,5,FALSE)</f>
        <v>8.8457405181609676</v>
      </c>
      <c r="G1402" s="99">
        <f>SUMIFS(Input!$D$115:$D$3257,Input!$A$115:$A$3257,"="&amp;'Output - County'!A1402,Input!$B$115:$B$3257,"="&amp;'Output - County'!B1402)*VLOOKUP(A1402,'Output - State'!$B$2:$G$52,6,FALSE)</f>
        <v>1.9571354022593743</v>
      </c>
    </row>
    <row r="1403" spans="1:7" x14ac:dyDescent="0.25">
      <c r="A1403" s="88">
        <v>28</v>
      </c>
      <c r="B1403" s="88">
        <v>1</v>
      </c>
      <c r="C1403" s="97">
        <f>SUMIFS(Input!$C$115:$C$3257,Input!$A$115:$A$3257,"="&amp;'Output - County'!A1403,Input!$B$115:$B$3257,"="&amp;'Output - County'!B1403)*VLOOKUP(A1403,'Output - State'!$B$2:$G$52,2,FALSE)</f>
        <v>6.1810484610347327</v>
      </c>
      <c r="D1403" s="98">
        <f>SUMIFS(Input!$C$115:$C$3257,Input!$A$115:$A$3257,"="&amp;'Output - County'!A1403,Input!$B$115:$B$3257,"="&amp;'Output - County'!B1403)*VLOOKUP(A1403,'Output - State'!$B$2:$G$52,3,FALSE)</f>
        <v>0.97328449647636484</v>
      </c>
      <c r="E1403" s="98">
        <f>SUMIFS(Input!$C$115:$C$3257,Input!$A$115:$A$3257,"="&amp;'Output - County'!A1403,Input!$B$115:$B$3257,"="&amp;'Output - County'!B1403)*VLOOKUP(A1403,'Output - State'!$B$2:$G$52,4,FALSE)</f>
        <v>1.5139450030841377</v>
      </c>
      <c r="F1403" s="98">
        <f>SUMIFS(Input!$C$115:$C$3257,Input!$A$115:$A$3257,"="&amp;'Output - County'!A1403,Input!$B$115:$B$3257,"="&amp;'Output - County'!B1403)*VLOOKUP(A1403,'Output - State'!$B$2:$G$52,5,FALSE)</f>
        <v>27.33226958299489</v>
      </c>
      <c r="G1403" s="99">
        <f>SUMIFS(Input!$D$115:$D$3257,Input!$A$115:$A$3257,"="&amp;'Output - County'!A1403,Input!$B$115:$B$3257,"="&amp;'Output - County'!B1403)*VLOOKUP(A1403,'Output - State'!$B$2:$G$52,6,FALSE)</f>
        <v>8.5029658331531977</v>
      </c>
    </row>
    <row r="1404" spans="1:7" x14ac:dyDescent="0.25">
      <c r="A1404" s="88">
        <v>28</v>
      </c>
      <c r="B1404" s="88">
        <v>3</v>
      </c>
      <c r="C1404" s="97">
        <f>SUMIFS(Input!$C$115:$C$3257,Input!$A$115:$A$3257,"="&amp;'Output - County'!A1404,Input!$B$115:$B$3257,"="&amp;'Output - County'!B1404)*VLOOKUP(A1404,'Output - State'!$B$2:$G$52,2,FALSE)</f>
        <v>8.242986270364927</v>
      </c>
      <c r="D1404" s="98">
        <f>SUMIFS(Input!$C$115:$C$3257,Input!$A$115:$A$3257,"="&amp;'Output - County'!A1404,Input!$B$115:$B$3257,"="&amp;'Output - County'!B1404)*VLOOKUP(A1404,'Output - State'!$B$2:$G$52,3,FALSE)</f>
        <v>1.2979627634679103</v>
      </c>
      <c r="E1404" s="98">
        <f>SUMIFS(Input!$C$115:$C$3257,Input!$A$115:$A$3257,"="&amp;'Output - County'!A1404,Input!$B$115:$B$3257,"="&amp;'Output - County'!B1404)*VLOOKUP(A1404,'Output - State'!$B$2:$G$52,4,FALSE)</f>
        <v>2.0189823705768237</v>
      </c>
      <c r="F1404" s="98">
        <f>SUMIFS(Input!$C$115:$C$3257,Input!$A$115:$A$3257,"="&amp;'Output - County'!A1404,Input!$B$115:$B$3257,"="&amp;'Output - County'!B1404)*VLOOKUP(A1404,'Output - State'!$B$2:$G$52,5,FALSE)</f>
        <v>36.450049587998812</v>
      </c>
      <c r="G1404" s="99">
        <f>SUMIFS(Input!$D$115:$D$3257,Input!$A$115:$A$3257,"="&amp;'Output - County'!A1404,Input!$B$115:$B$3257,"="&amp;'Output - County'!B1404)*VLOOKUP(A1404,'Output - State'!$B$2:$G$52,6,FALSE)</f>
        <v>10.093843311614117</v>
      </c>
    </row>
    <row r="1405" spans="1:7" x14ac:dyDescent="0.25">
      <c r="A1405" s="88">
        <v>28</v>
      </c>
      <c r="B1405" s="88">
        <v>5</v>
      </c>
      <c r="C1405" s="97">
        <f>SUMIFS(Input!$C$115:$C$3257,Input!$A$115:$A$3257,"="&amp;'Output - County'!A1405,Input!$B$115:$B$3257,"="&amp;'Output - County'!B1405)*VLOOKUP(A1405,'Output - State'!$B$2:$G$52,2,FALSE)</f>
        <v>2.4842462059909263</v>
      </c>
      <c r="D1405" s="98">
        <f>SUMIFS(Input!$C$115:$C$3257,Input!$A$115:$A$3257,"="&amp;'Output - County'!A1405,Input!$B$115:$B$3257,"="&amp;'Output - County'!B1405)*VLOOKUP(A1405,'Output - State'!$B$2:$G$52,3,FALSE)</f>
        <v>0.39117608168961604</v>
      </c>
      <c r="E1405" s="98">
        <f>SUMIFS(Input!$C$115:$C$3257,Input!$A$115:$A$3257,"="&amp;'Output - County'!A1405,Input!$B$115:$B$3257,"="&amp;'Output - County'!B1405)*VLOOKUP(A1405,'Output - State'!$B$2:$G$52,4,FALSE)</f>
        <v>0.60847478444799008</v>
      </c>
      <c r="F1405" s="98">
        <f>SUMIFS(Input!$C$115:$C$3257,Input!$A$115:$A$3257,"="&amp;'Output - County'!A1405,Input!$B$115:$B$3257,"="&amp;'Output - County'!B1405)*VLOOKUP(A1405,'Output - State'!$B$2:$G$52,5,FALSE)</f>
        <v>10.985205413081246</v>
      </c>
      <c r="G1405" s="99">
        <f>SUMIFS(Input!$D$115:$D$3257,Input!$A$115:$A$3257,"="&amp;'Output - County'!A1405,Input!$B$115:$B$3257,"="&amp;'Output - County'!B1405)*VLOOKUP(A1405,'Output - State'!$B$2:$G$52,6,FALSE)</f>
        <v>3.3737574112188491</v>
      </c>
    </row>
    <row r="1406" spans="1:7" x14ac:dyDescent="0.25">
      <c r="A1406" s="88">
        <v>28</v>
      </c>
      <c r="B1406" s="88">
        <v>7</v>
      </c>
      <c r="C1406" s="97">
        <f>SUMIFS(Input!$C$115:$C$3257,Input!$A$115:$A$3257,"="&amp;'Output - County'!A1406,Input!$B$115:$B$3257,"="&amp;'Output - County'!B1406)*VLOOKUP(A1406,'Output - State'!$B$2:$G$52,2,FALSE)</f>
        <v>3.601134055663231</v>
      </c>
      <c r="D1406" s="98">
        <f>SUMIFS(Input!$C$115:$C$3257,Input!$A$115:$A$3257,"="&amp;'Output - County'!A1406,Input!$B$115:$B$3257,"="&amp;'Output - County'!B1406)*VLOOKUP(A1406,'Output - State'!$B$2:$G$52,3,FALSE)</f>
        <v>0.5670442430932402</v>
      </c>
      <c r="E1406" s="98">
        <f>SUMIFS(Input!$C$115:$C$3257,Input!$A$115:$A$3257,"="&amp;'Output - County'!A1406,Input!$B$115:$B$3257,"="&amp;'Output - County'!B1406)*VLOOKUP(A1406,'Output - State'!$B$2:$G$52,4,FALSE)</f>
        <v>0.88203788457189825</v>
      </c>
      <c r="F1406" s="98">
        <f>SUMIFS(Input!$C$115:$C$3257,Input!$A$115:$A$3257,"="&amp;'Output - County'!A1406,Input!$B$115:$B$3257,"="&amp;'Output - County'!B1406)*VLOOKUP(A1406,'Output - State'!$B$2:$G$52,5,FALSE)</f>
        <v>15.924024448987096</v>
      </c>
      <c r="G1406" s="99">
        <f>SUMIFS(Input!$D$115:$D$3257,Input!$A$115:$A$3257,"="&amp;'Output - County'!A1406,Input!$B$115:$B$3257,"="&amp;'Output - County'!B1406)*VLOOKUP(A1406,'Output - State'!$B$2:$G$52,6,FALSE)</f>
        <v>5.0194927337646291</v>
      </c>
    </row>
    <row r="1407" spans="1:7" x14ac:dyDescent="0.25">
      <c r="A1407" s="88">
        <v>28</v>
      </c>
      <c r="B1407" s="88">
        <v>9</v>
      </c>
      <c r="C1407" s="97">
        <f>SUMIFS(Input!$C$115:$C$3257,Input!$A$115:$A$3257,"="&amp;'Output - County'!A1407,Input!$B$115:$B$3257,"="&amp;'Output - County'!B1407)*VLOOKUP(A1407,'Output - State'!$B$2:$G$52,2,FALSE)</f>
        <v>3.349448649798163</v>
      </c>
      <c r="D1407" s="98">
        <f>SUMIFS(Input!$C$115:$C$3257,Input!$A$115:$A$3257,"="&amp;'Output - County'!A1407,Input!$B$115:$B$3257,"="&amp;'Output - County'!B1407)*VLOOKUP(A1407,'Output - State'!$B$2:$G$52,3,FALSE)</f>
        <v>0.52741318291597949</v>
      </c>
      <c r="E1407" s="98">
        <f>SUMIFS(Input!$C$115:$C$3257,Input!$A$115:$A$3257,"="&amp;'Output - County'!A1407,Input!$B$115:$B$3257,"="&amp;'Output - County'!B1407)*VLOOKUP(A1407,'Output - State'!$B$2:$G$52,4,FALSE)</f>
        <v>0.82039173101709573</v>
      </c>
      <c r="F1407" s="98">
        <f>SUMIFS(Input!$C$115:$C$3257,Input!$A$115:$A$3257,"="&amp;'Output - County'!A1407,Input!$B$115:$B$3257,"="&amp;'Output - County'!B1407)*VLOOKUP(A1407,'Output - State'!$B$2:$G$52,5,FALSE)</f>
        <v>14.811084887588168</v>
      </c>
      <c r="G1407" s="99">
        <f>SUMIFS(Input!$D$115:$D$3257,Input!$A$115:$A$3257,"="&amp;'Output - County'!A1407,Input!$B$115:$B$3257,"="&amp;'Output - County'!B1407)*VLOOKUP(A1407,'Output - State'!$B$2:$G$52,6,FALSE)</f>
        <v>2.2601431762962045</v>
      </c>
    </row>
    <row r="1408" spans="1:7" x14ac:dyDescent="0.25">
      <c r="A1408" s="88">
        <v>28</v>
      </c>
      <c r="B1408" s="88">
        <v>11</v>
      </c>
      <c r="C1408" s="97">
        <f>SUMIFS(Input!$C$115:$C$3257,Input!$A$115:$A$3257,"="&amp;'Output - County'!A1408,Input!$B$115:$B$3257,"="&amp;'Output - County'!B1408)*VLOOKUP(A1408,'Output - State'!$B$2:$G$52,2,FALSE)</f>
        <v>6.3835594943923546</v>
      </c>
      <c r="D1408" s="98">
        <f>SUMIFS(Input!$C$115:$C$3257,Input!$A$115:$A$3257,"="&amp;'Output - County'!A1408,Input!$B$115:$B$3257,"="&amp;'Output - County'!B1408)*VLOOKUP(A1408,'Output - State'!$B$2:$G$52,3,FALSE)</f>
        <v>1.0051724278483485</v>
      </c>
      <c r="E1408" s="98">
        <f>SUMIFS(Input!$C$115:$C$3257,Input!$A$115:$A$3257,"="&amp;'Output - County'!A1408,Input!$B$115:$B$3257,"="&amp;'Output - County'!B1408)*VLOOKUP(A1408,'Output - State'!$B$2:$G$52,4,FALSE)</f>
        <v>1.5635467120747595</v>
      </c>
      <c r="F1408" s="98">
        <f>SUMIFS(Input!$C$115:$C$3257,Input!$A$115:$A$3257,"="&amp;'Output - County'!A1408,Input!$B$115:$B$3257,"="&amp;'Output - County'!B1408)*VLOOKUP(A1408,'Output - State'!$B$2:$G$52,5,FALSE)</f>
        <v>28.227762668375878</v>
      </c>
      <c r="G1408" s="99">
        <f>SUMIFS(Input!$D$115:$D$3257,Input!$A$115:$A$3257,"="&amp;'Output - County'!A1408,Input!$B$115:$B$3257,"="&amp;'Output - County'!B1408)*VLOOKUP(A1408,'Output - State'!$B$2:$G$52,6,FALSE)</f>
        <v>8.5303947551956263</v>
      </c>
    </row>
    <row r="1409" spans="1:7" x14ac:dyDescent="0.25">
      <c r="A1409" s="88">
        <v>28</v>
      </c>
      <c r="B1409" s="88">
        <v>13</v>
      </c>
      <c r="C1409" s="97">
        <f>SUMIFS(Input!$C$115:$C$3257,Input!$A$115:$A$3257,"="&amp;'Output - County'!A1409,Input!$B$115:$B$3257,"="&amp;'Output - County'!B1409)*VLOOKUP(A1409,'Output - State'!$B$2:$G$52,2,FALSE)</f>
        <v>2.4370923072356043</v>
      </c>
      <c r="D1409" s="98">
        <f>SUMIFS(Input!$C$115:$C$3257,Input!$A$115:$A$3257,"="&amp;'Output - County'!A1409,Input!$B$115:$B$3257,"="&amp;'Output - County'!B1409)*VLOOKUP(A1409,'Output - State'!$B$2:$G$52,3,FALSE)</f>
        <v>0.38375110210948699</v>
      </c>
      <c r="E1409" s="98">
        <f>SUMIFS(Input!$C$115:$C$3257,Input!$A$115:$A$3257,"="&amp;'Output - County'!A1409,Input!$B$115:$B$3257,"="&amp;'Output - County'!B1409)*VLOOKUP(A1409,'Output - State'!$B$2:$G$52,4,FALSE)</f>
        <v>0.59692522132021542</v>
      </c>
      <c r="F1409" s="98">
        <f>SUMIFS(Input!$C$115:$C$3257,Input!$A$115:$A$3257,"="&amp;'Output - County'!A1409,Input!$B$115:$B$3257,"="&amp;'Output - County'!B1409)*VLOOKUP(A1409,'Output - State'!$B$2:$G$52,5,FALSE)</f>
        <v>10.776693365199009</v>
      </c>
      <c r="G1409" s="99">
        <f>SUMIFS(Input!$D$115:$D$3257,Input!$A$115:$A$3257,"="&amp;'Output - County'!A1409,Input!$B$115:$B$3257,"="&amp;'Output - County'!B1409)*VLOOKUP(A1409,'Output - State'!$B$2:$G$52,6,FALSE)</f>
        <v>3.9497647741098718</v>
      </c>
    </row>
    <row r="1410" spans="1:7" x14ac:dyDescent="0.25">
      <c r="A1410" s="88">
        <v>28</v>
      </c>
      <c r="B1410" s="88">
        <v>15</v>
      </c>
      <c r="C1410" s="97">
        <f>SUMIFS(Input!$C$115:$C$3257,Input!$A$115:$A$3257,"="&amp;'Output - County'!A1410,Input!$B$115:$B$3257,"="&amp;'Output - County'!B1410)*VLOOKUP(A1410,'Output - State'!$B$2:$G$52,2,FALSE)</f>
        <v>4.270710389964127</v>
      </c>
      <c r="D1410" s="98">
        <f>SUMIFS(Input!$C$115:$C$3257,Input!$A$115:$A$3257,"="&amp;'Output - County'!A1410,Input!$B$115:$B$3257,"="&amp;'Output - County'!B1410)*VLOOKUP(A1410,'Output - State'!$B$2:$G$52,3,FALSE)</f>
        <v>0.67247753155405299</v>
      </c>
      <c r="E1410" s="98">
        <f>SUMIFS(Input!$C$115:$C$3257,Input!$A$115:$A$3257,"="&amp;'Output - County'!A1410,Input!$B$115:$B$3257,"="&amp;'Output - County'!B1410)*VLOOKUP(A1410,'Output - State'!$B$2:$G$52,4,FALSE)</f>
        <v>1.0460394697218289</v>
      </c>
      <c r="F1410" s="98">
        <f>SUMIFS(Input!$C$115:$C$3257,Input!$A$115:$A$3257,"="&amp;'Output - County'!A1410,Input!$B$115:$B$3257,"="&amp;'Output - County'!B1410)*VLOOKUP(A1410,'Output - State'!$B$2:$G$52,5,FALSE)</f>
        <v>18.884855607466953</v>
      </c>
      <c r="G1410" s="99">
        <f>SUMIFS(Input!$D$115:$D$3257,Input!$A$115:$A$3257,"="&amp;'Output - County'!A1410,Input!$B$115:$B$3257,"="&amp;'Output - County'!B1410)*VLOOKUP(A1410,'Output - State'!$B$2:$G$52,6,FALSE)</f>
        <v>2.7209490666090232</v>
      </c>
    </row>
    <row r="1411" spans="1:7" x14ac:dyDescent="0.25">
      <c r="A1411" s="88">
        <v>28</v>
      </c>
      <c r="B1411" s="88">
        <v>17</v>
      </c>
      <c r="C1411" s="97">
        <f>SUMIFS(Input!$C$115:$C$3257,Input!$A$115:$A$3257,"="&amp;'Output - County'!A1411,Input!$B$115:$B$3257,"="&amp;'Output - County'!B1411)*VLOOKUP(A1411,'Output - State'!$B$2:$G$52,2,FALSE)</f>
        <v>3.945187937294945</v>
      </c>
      <c r="D1411" s="98">
        <f>SUMIFS(Input!$C$115:$C$3257,Input!$A$115:$A$3257,"="&amp;'Output - County'!A1411,Input!$B$115:$B$3257,"="&amp;'Output - County'!B1411)*VLOOKUP(A1411,'Output - State'!$B$2:$G$52,3,FALSE)</f>
        <v>0.62121989161883095</v>
      </c>
      <c r="E1411" s="98">
        <f>SUMIFS(Input!$C$115:$C$3257,Input!$A$115:$A$3257,"="&amp;'Output - County'!A1411,Input!$B$115:$B$3257,"="&amp;'Output - County'!B1411)*VLOOKUP(A1411,'Output - State'!$B$2:$G$52,4,FALSE)</f>
        <v>0.96630815978032747</v>
      </c>
      <c r="F1411" s="98">
        <f>SUMIFS(Input!$C$115:$C$3257,Input!$A$115:$A$3257,"="&amp;'Output - County'!A1411,Input!$B$115:$B$3257,"="&amp;'Output - County'!B1411)*VLOOKUP(A1411,'Output - State'!$B$2:$G$52,5,FALSE)</f>
        <v>17.44541252790528</v>
      </c>
      <c r="G1411" s="99">
        <f>SUMIFS(Input!$D$115:$D$3257,Input!$A$115:$A$3257,"="&amp;'Output - County'!A1411,Input!$B$115:$B$3257,"="&amp;'Output - County'!B1411)*VLOOKUP(A1411,'Output - State'!$B$2:$G$52,6,FALSE)</f>
        <v>4.690345669255473</v>
      </c>
    </row>
    <row r="1412" spans="1:7" x14ac:dyDescent="0.25">
      <c r="A1412" s="88">
        <v>28</v>
      </c>
      <c r="B1412" s="88">
        <v>19</v>
      </c>
      <c r="C1412" s="97">
        <f>SUMIFS(Input!$C$115:$C$3257,Input!$A$115:$A$3257,"="&amp;'Output - County'!A1412,Input!$B$115:$B$3257,"="&amp;'Output - County'!B1412)*VLOOKUP(A1412,'Output - State'!$B$2:$G$52,2,FALSE)</f>
        <v>1.6171271674906478</v>
      </c>
      <c r="D1412" s="98">
        <f>SUMIFS(Input!$C$115:$C$3257,Input!$A$115:$A$3257,"="&amp;'Output - County'!A1412,Input!$B$115:$B$3257,"="&amp;'Output - County'!B1412)*VLOOKUP(A1412,'Output - State'!$B$2:$G$52,3,FALSE)</f>
        <v>0.25463718831382592</v>
      </c>
      <c r="E1412" s="98">
        <f>SUMIFS(Input!$C$115:$C$3257,Input!$A$115:$A$3257,"="&amp;'Output - County'!A1412,Input!$B$115:$B$3257,"="&amp;'Output - County'!B1412)*VLOOKUP(A1412,'Output - State'!$B$2:$G$52,4,FALSE)</f>
        <v>0.39608839989004485</v>
      </c>
      <c r="F1412" s="98">
        <f>SUMIFS(Input!$C$115:$C$3257,Input!$A$115:$A$3257,"="&amp;'Output - County'!A1412,Input!$B$115:$B$3257,"="&amp;'Output - County'!B1412)*VLOOKUP(A1412,'Output - State'!$B$2:$G$52,5,FALSE)</f>
        <v>7.1508508581471455</v>
      </c>
      <c r="G1412" s="99">
        <f>SUMIFS(Input!$D$115:$D$3257,Input!$A$115:$A$3257,"="&amp;'Output - County'!A1412,Input!$B$115:$B$3257,"="&amp;'Output - County'!B1412)*VLOOKUP(A1412,'Output - State'!$B$2:$G$52,6,FALSE)</f>
        <v>2.2683718529089334</v>
      </c>
    </row>
    <row r="1413" spans="1:7" x14ac:dyDescent="0.25">
      <c r="A1413" s="88">
        <v>28</v>
      </c>
      <c r="B1413" s="88">
        <v>21</v>
      </c>
      <c r="C1413" s="97">
        <f>SUMIFS(Input!$C$115:$C$3257,Input!$A$115:$A$3257,"="&amp;'Output - County'!A1413,Input!$B$115:$B$3257,"="&amp;'Output - County'!B1413)*VLOOKUP(A1413,'Output - State'!$B$2:$G$52,2,FALSE)</f>
        <v>1.9019515863657952</v>
      </c>
      <c r="D1413" s="98">
        <f>SUMIFS(Input!$C$115:$C$3257,Input!$A$115:$A$3257,"="&amp;'Output - County'!A1413,Input!$B$115:$B$3257,"="&amp;'Output - County'!B1413)*VLOOKUP(A1413,'Output - State'!$B$2:$G$52,3,FALSE)</f>
        <v>0.29948640650983793</v>
      </c>
      <c r="E1413" s="98">
        <f>SUMIFS(Input!$C$115:$C$3257,Input!$A$115:$A$3257,"="&amp;'Output - County'!A1413,Input!$B$115:$B$3257,"="&amp;'Output - County'!B1413)*VLOOKUP(A1413,'Output - State'!$B$2:$G$52,4,FALSE)</f>
        <v>0.4658514034372111</v>
      </c>
      <c r="F1413" s="98">
        <f>SUMIFS(Input!$C$115:$C$3257,Input!$A$115:$A$3257,"="&amp;'Output - County'!A1413,Input!$B$115:$B$3257,"="&amp;'Output - County'!B1413)*VLOOKUP(A1413,'Output - State'!$B$2:$G$52,5,FALSE)</f>
        <v>8.4103293834477171</v>
      </c>
      <c r="G1413" s="99">
        <f>SUMIFS(Input!$D$115:$D$3257,Input!$A$115:$A$3257,"="&amp;'Output - County'!A1413,Input!$B$115:$B$3257,"="&amp;'Output - County'!B1413)*VLOOKUP(A1413,'Output - State'!$B$2:$G$52,6,FALSE)</f>
        <v>2.4878032292483705</v>
      </c>
    </row>
    <row r="1414" spans="1:7" x14ac:dyDescent="0.25">
      <c r="A1414" s="88">
        <v>28</v>
      </c>
      <c r="B1414" s="88">
        <v>23</v>
      </c>
      <c r="C1414" s="97">
        <f>SUMIFS(Input!$C$115:$C$3257,Input!$A$115:$A$3257,"="&amp;'Output - County'!A1414,Input!$B$115:$B$3257,"="&amp;'Output - County'!B1414)*VLOOKUP(A1414,'Output - State'!$B$2:$G$52,2,FALSE)</f>
        <v>4.4114474882057548</v>
      </c>
      <c r="D1414" s="98">
        <f>SUMIFS(Input!$C$115:$C$3257,Input!$A$115:$A$3257,"="&amp;'Output - County'!A1414,Input!$B$115:$B$3257,"="&amp;'Output - County'!B1414)*VLOOKUP(A1414,'Output - State'!$B$2:$G$52,3,FALSE)</f>
        <v>0.69463837314284649</v>
      </c>
      <c r="E1414" s="98">
        <f>SUMIFS(Input!$C$115:$C$3257,Input!$A$115:$A$3257,"="&amp;'Output - County'!A1414,Input!$B$115:$B$3257,"="&amp;'Output - County'!B1414)*VLOOKUP(A1414,'Output - State'!$B$2:$G$52,4,FALSE)</f>
        <v>1.0805106808722758</v>
      </c>
      <c r="F1414" s="98">
        <f>SUMIFS(Input!$C$115:$C$3257,Input!$A$115:$A$3257,"="&amp;'Output - County'!A1414,Input!$B$115:$B$3257,"="&amp;'Output - County'!B1414)*VLOOKUP(A1414,'Output - State'!$B$2:$G$52,5,FALSE)</f>
        <v>19.507187616950123</v>
      </c>
      <c r="G1414" s="99">
        <f>SUMIFS(Input!$D$115:$D$3257,Input!$A$115:$A$3257,"="&amp;'Output - County'!A1414,Input!$B$115:$B$3257,"="&amp;'Output - County'!B1414)*VLOOKUP(A1414,'Output - State'!$B$2:$G$52,6,FALSE)</f>
        <v>4.2789118386190275</v>
      </c>
    </row>
    <row r="1415" spans="1:7" x14ac:dyDescent="0.25">
      <c r="A1415" s="88">
        <v>28</v>
      </c>
      <c r="B1415" s="88">
        <v>25</v>
      </c>
      <c r="C1415" s="97">
        <f>SUMIFS(Input!$C$115:$C$3257,Input!$A$115:$A$3257,"="&amp;'Output - County'!A1415,Input!$B$115:$B$3257,"="&amp;'Output - County'!B1415)*VLOOKUP(A1415,'Output - State'!$B$2:$G$52,2,FALSE)</f>
        <v>3.8919057076044927</v>
      </c>
      <c r="D1415" s="98">
        <f>SUMIFS(Input!$C$115:$C$3257,Input!$A$115:$A$3257,"="&amp;'Output - County'!A1415,Input!$B$115:$B$3257,"="&amp;'Output - County'!B1415)*VLOOKUP(A1415,'Output - State'!$B$2:$G$52,3,FALSE)</f>
        <v>0.61282992858548369</v>
      </c>
      <c r="E1415" s="98">
        <f>SUMIFS(Input!$C$115:$C$3257,Input!$A$115:$A$3257,"="&amp;'Output - County'!A1415,Input!$B$115:$B$3257,"="&amp;'Output - County'!B1415)*VLOOKUP(A1415,'Output - State'!$B$2:$G$52,4,FALSE)</f>
        <v>0.95325756393051964</v>
      </c>
      <c r="F1415" s="98">
        <f>SUMIFS(Input!$C$115:$C$3257,Input!$A$115:$A$3257,"="&amp;'Output - County'!A1415,Input!$B$115:$B$3257,"="&amp;'Output - County'!B1415)*VLOOKUP(A1415,'Output - State'!$B$2:$G$52,5,FALSE)</f>
        <v>17.209801324553105</v>
      </c>
      <c r="G1415" s="99">
        <f>SUMIFS(Input!$D$115:$D$3257,Input!$A$115:$A$3257,"="&amp;'Output - County'!A1415,Input!$B$115:$B$3257,"="&amp;'Output - County'!B1415)*VLOOKUP(A1415,'Output - State'!$B$2:$G$52,6,FALSE)</f>
        <v>5.3212108762313557</v>
      </c>
    </row>
    <row r="1416" spans="1:7" x14ac:dyDescent="0.25">
      <c r="A1416" s="88">
        <v>28</v>
      </c>
      <c r="B1416" s="88">
        <v>27</v>
      </c>
      <c r="C1416" s="97">
        <f>SUMIFS(Input!$C$115:$C$3257,Input!$A$115:$A$3257,"="&amp;'Output - County'!A1416,Input!$B$115:$B$3257,"="&amp;'Output - County'!B1416)*VLOOKUP(A1416,'Output - State'!$B$2:$G$52,2,FALSE)</f>
        <v>4.7075375424053352</v>
      </c>
      <c r="D1416" s="98">
        <f>SUMIFS(Input!$C$115:$C$3257,Input!$A$115:$A$3257,"="&amp;'Output - County'!A1416,Input!$B$115:$B$3257,"="&amp;'Output - County'!B1416)*VLOOKUP(A1416,'Output - State'!$B$2:$G$52,3,FALSE)</f>
        <v>0.74126150854292971</v>
      </c>
      <c r="E1416" s="98">
        <f>SUMIFS(Input!$C$115:$C$3257,Input!$A$115:$A$3257,"="&amp;'Output - County'!A1416,Input!$B$115:$B$3257,"="&amp;'Output - County'!B1416)*VLOOKUP(A1416,'Output - State'!$B$2:$G$52,4,FALSE)</f>
        <v>1.1530330143961462</v>
      </c>
      <c r="F1416" s="98">
        <f>SUMIFS(Input!$C$115:$C$3257,Input!$A$115:$A$3257,"="&amp;'Output - County'!A1416,Input!$B$115:$B$3257,"="&amp;'Output - County'!B1416)*VLOOKUP(A1416,'Output - State'!$B$2:$G$52,5,FALSE)</f>
        <v>20.81648218618761</v>
      </c>
      <c r="G1416" s="99">
        <f>SUMIFS(Input!$D$115:$D$3257,Input!$A$115:$A$3257,"="&amp;'Output - County'!A1416,Input!$B$115:$B$3257,"="&amp;'Output - County'!B1416)*VLOOKUP(A1416,'Output - State'!$B$2:$G$52,6,FALSE)</f>
        <v>6.198936381589105</v>
      </c>
    </row>
    <row r="1417" spans="1:7" x14ac:dyDescent="0.25">
      <c r="A1417" s="88">
        <v>28</v>
      </c>
      <c r="B1417" s="88">
        <v>29</v>
      </c>
      <c r="C1417" s="97">
        <f>SUMIFS(Input!$C$115:$C$3257,Input!$A$115:$A$3257,"="&amp;'Output - County'!A1417,Input!$B$115:$B$3257,"="&amp;'Output - County'!B1417)*VLOOKUP(A1417,'Output - State'!$B$2:$G$52,2,FALSE)</f>
        <v>9.5768539123681862</v>
      </c>
      <c r="D1417" s="98">
        <f>SUMIFS(Input!$C$115:$C$3257,Input!$A$115:$A$3257,"="&amp;'Output - County'!A1417,Input!$B$115:$B$3257,"="&amp;'Output - County'!B1417)*VLOOKUP(A1417,'Output - State'!$B$2:$G$52,3,FALSE)</f>
        <v>1.5079971459027521</v>
      </c>
      <c r="E1417" s="98">
        <f>SUMIFS(Input!$C$115:$C$3257,Input!$A$115:$A$3257,"="&amp;'Output - County'!A1417,Input!$B$115:$B$3257,"="&amp;'Output - County'!B1417)*VLOOKUP(A1417,'Output - State'!$B$2:$G$52,4,FALSE)</f>
        <v>2.34569106152412</v>
      </c>
      <c r="F1417" s="98">
        <f>SUMIFS(Input!$C$115:$C$3257,Input!$A$115:$A$3257,"="&amp;'Output - County'!A1417,Input!$B$115:$B$3257,"="&amp;'Output - County'!B1417)*VLOOKUP(A1417,'Output - State'!$B$2:$G$52,5,FALSE)</f>
        <v>42.348341796690491</v>
      </c>
      <c r="G1417" s="99">
        <f>SUMIFS(Input!$D$115:$D$3257,Input!$A$115:$A$3257,"="&amp;'Output - County'!A1417,Input!$B$115:$B$3257,"="&amp;'Output - County'!B1417)*VLOOKUP(A1417,'Output - State'!$B$2:$G$52,6,FALSE)</f>
        <v>7.7898138600500246</v>
      </c>
    </row>
    <row r="1418" spans="1:7" x14ac:dyDescent="0.25">
      <c r="A1418" s="88">
        <v>28</v>
      </c>
      <c r="B1418" s="88">
        <v>31</v>
      </c>
      <c r="C1418" s="97">
        <f>SUMIFS(Input!$C$115:$C$3257,Input!$A$115:$A$3257,"="&amp;'Output - County'!A1418,Input!$B$115:$B$3257,"="&amp;'Output - County'!B1418)*VLOOKUP(A1418,'Output - State'!$B$2:$G$52,2,FALSE)</f>
        <v>6.5806348157953494</v>
      </c>
      <c r="D1418" s="98">
        <f>SUMIFS(Input!$C$115:$C$3257,Input!$A$115:$A$3257,"="&amp;'Output - County'!A1418,Input!$B$115:$B$3257,"="&amp;'Output - County'!B1418)*VLOOKUP(A1418,'Output - State'!$B$2:$G$52,3,FALSE)</f>
        <v>1.0362044374125514</v>
      </c>
      <c r="E1418" s="98">
        <f>SUMIFS(Input!$C$115:$C$3257,Input!$A$115:$A$3257,"="&amp;'Output - County'!A1418,Input!$B$115:$B$3257,"="&amp;'Output - County'!B1418)*VLOOKUP(A1418,'Output - State'!$B$2:$G$52,4,FALSE)</f>
        <v>1.6118170338413871</v>
      </c>
      <c r="F1418" s="98">
        <f>SUMIFS(Input!$C$115:$C$3257,Input!$A$115:$A$3257,"="&amp;'Output - County'!A1418,Input!$B$115:$B$3257,"="&amp;'Output - County'!B1418)*VLOOKUP(A1418,'Output - State'!$B$2:$G$52,5,FALSE)</f>
        <v>29.099219322808946</v>
      </c>
      <c r="G1418" s="99">
        <f>SUMIFS(Input!$D$115:$D$3257,Input!$A$115:$A$3257,"="&amp;'Output - County'!A1418,Input!$B$115:$B$3257,"="&amp;'Output - County'!B1418)*VLOOKUP(A1418,'Output - State'!$B$2:$G$52,6,FALSE)</f>
        <v>5.1566373439767776</v>
      </c>
    </row>
    <row r="1419" spans="1:7" x14ac:dyDescent="0.25">
      <c r="A1419" s="88">
        <v>28</v>
      </c>
      <c r="B1419" s="88">
        <v>33</v>
      </c>
      <c r="C1419" s="97">
        <f>SUMIFS(Input!$C$115:$C$3257,Input!$A$115:$A$3257,"="&amp;'Output - County'!A1419,Input!$B$115:$B$3257,"="&amp;'Output - County'!B1419)*VLOOKUP(A1419,'Output - State'!$B$2:$G$52,2,FALSE)</f>
        <v>44.806491801857646</v>
      </c>
      <c r="D1419" s="98">
        <f>SUMIFS(Input!$C$115:$C$3257,Input!$A$115:$A$3257,"="&amp;'Output - County'!A1419,Input!$B$115:$B$3257,"="&amp;'Output - County'!B1419)*VLOOKUP(A1419,'Output - State'!$B$2:$G$52,3,FALSE)</f>
        <v>7.0553505747701228</v>
      </c>
      <c r="E1419" s="98">
        <f>SUMIFS(Input!$C$115:$C$3257,Input!$A$115:$A$3257,"="&amp;'Output - County'!A1419,Input!$B$115:$B$3257,"="&amp;'Output - County'!B1419)*VLOOKUP(A1419,'Output - State'!$B$2:$G$52,4,FALSE)</f>
        <v>10.974604842007173</v>
      </c>
      <c r="F1419" s="98">
        <f>SUMIFS(Input!$C$115:$C$3257,Input!$A$115:$A$3257,"="&amp;'Output - County'!A1419,Input!$B$115:$B$3257,"="&amp;'Output - County'!B1419)*VLOOKUP(A1419,'Output - State'!$B$2:$G$52,5,FALSE)</f>
        <v>198.13193841091646</v>
      </c>
      <c r="G1419" s="99">
        <f>SUMIFS(Input!$D$115:$D$3257,Input!$A$115:$A$3257,"="&amp;'Output - County'!A1419,Input!$B$115:$B$3257,"="&amp;'Output - County'!B1419)*VLOOKUP(A1419,'Output - State'!$B$2:$G$52,6,FALSE)</f>
        <v>49.920638117221998</v>
      </c>
    </row>
    <row r="1420" spans="1:7" x14ac:dyDescent="0.25">
      <c r="A1420" s="88">
        <v>28</v>
      </c>
      <c r="B1420" s="88">
        <v>35</v>
      </c>
      <c r="C1420" s="97">
        <f>SUMIFS(Input!$C$115:$C$3257,Input!$A$115:$A$3257,"="&amp;'Output - County'!A1420,Input!$B$115:$B$3257,"="&amp;'Output - County'!B1420)*VLOOKUP(A1420,'Output - State'!$B$2:$G$52,2,FALSE)</f>
        <v>20.235219237314325</v>
      </c>
      <c r="D1420" s="98">
        <f>SUMIFS(Input!$C$115:$C$3257,Input!$A$115:$A$3257,"="&amp;'Output - County'!A1420,Input!$B$115:$B$3257,"="&amp;'Output - County'!B1420)*VLOOKUP(A1420,'Output - State'!$B$2:$G$52,3,FALSE)</f>
        <v>3.186291984383077</v>
      </c>
      <c r="E1420" s="98">
        <f>SUMIFS(Input!$C$115:$C$3257,Input!$A$115:$A$3257,"="&amp;'Output - County'!A1420,Input!$B$115:$B$3257,"="&amp;'Output - County'!B1420)*VLOOKUP(A1420,'Output - State'!$B$2:$G$52,4,FALSE)</f>
        <v>4.9562803533683359</v>
      </c>
      <c r="F1420" s="98">
        <f>SUMIFS(Input!$C$115:$C$3257,Input!$A$115:$A$3257,"="&amp;'Output - County'!A1420,Input!$B$115:$B$3257,"="&amp;'Output - County'!B1420)*VLOOKUP(A1420,'Output - State'!$B$2:$G$52,5,FALSE)</f>
        <v>89.479069894348058</v>
      </c>
      <c r="G1420" s="99">
        <f>SUMIFS(Input!$D$115:$D$3257,Input!$A$115:$A$3257,"="&amp;'Output - County'!A1420,Input!$B$115:$B$3257,"="&amp;'Output - County'!B1420)*VLOOKUP(A1420,'Output - State'!$B$2:$G$52,6,FALSE)</f>
        <v>20.544262609779821</v>
      </c>
    </row>
    <row r="1421" spans="1:7" x14ac:dyDescent="0.25">
      <c r="A1421" s="88">
        <v>28</v>
      </c>
      <c r="B1421" s="88">
        <v>37</v>
      </c>
      <c r="C1421" s="97">
        <f>SUMIFS(Input!$C$115:$C$3257,Input!$A$115:$A$3257,"="&amp;'Output - County'!A1421,Input!$B$115:$B$3257,"="&amp;'Output - County'!B1421)*VLOOKUP(A1421,'Output - State'!$B$2:$G$52,2,FALSE)</f>
        <v>2.1067887818221309</v>
      </c>
      <c r="D1421" s="98">
        <f>SUMIFS(Input!$C$115:$C$3257,Input!$A$115:$A$3257,"="&amp;'Output - County'!A1421,Input!$B$115:$B$3257,"="&amp;'Output - County'!B1421)*VLOOKUP(A1421,'Output - State'!$B$2:$G$52,3,FALSE)</f>
        <v>0.3317406216152759</v>
      </c>
      <c r="E1421" s="98">
        <f>SUMIFS(Input!$C$115:$C$3257,Input!$A$115:$A$3257,"="&amp;'Output - County'!A1421,Input!$B$115:$B$3257,"="&amp;'Output - County'!B1421)*VLOOKUP(A1421,'Output - State'!$B$2:$G$52,4,FALSE)</f>
        <v>0.51602286713982293</v>
      </c>
      <c r="F1421" s="98">
        <f>SUMIFS(Input!$C$115:$C$3257,Input!$A$115:$A$3257,"="&amp;'Output - County'!A1421,Input!$B$115:$B$3257,"="&amp;'Output - County'!B1421)*VLOOKUP(A1421,'Output - State'!$B$2:$G$52,5,FALSE)</f>
        <v>9.316108634675258</v>
      </c>
      <c r="G1421" s="99">
        <f>SUMIFS(Input!$D$115:$D$3257,Input!$A$115:$A$3257,"="&amp;'Output - County'!A1421,Input!$B$115:$B$3257,"="&amp;'Output - County'!B1421)*VLOOKUP(A1421,'Output - State'!$B$2:$G$52,6,FALSE)</f>
        <v>2.1284843504925419</v>
      </c>
    </row>
    <row r="1422" spans="1:7" x14ac:dyDescent="0.25">
      <c r="A1422" s="88">
        <v>28</v>
      </c>
      <c r="B1422" s="88">
        <v>39</v>
      </c>
      <c r="C1422" s="97">
        <f>SUMIFS(Input!$C$115:$C$3257,Input!$A$115:$A$3257,"="&amp;'Output - County'!A1422,Input!$B$115:$B$3257,"="&amp;'Output - County'!B1422)*VLOOKUP(A1422,'Output - State'!$B$2:$G$52,2,FALSE)</f>
        <v>4.4679327780991418</v>
      </c>
      <c r="D1422" s="98">
        <f>SUMIFS(Input!$C$115:$C$3257,Input!$A$115:$A$3257,"="&amp;'Output - County'!A1422,Input!$B$115:$B$3257,"="&amp;'Output - County'!B1422)*VLOOKUP(A1422,'Output - State'!$B$2:$G$52,3,FALSE)</f>
        <v>0.70353269864098444</v>
      </c>
      <c r="E1422" s="98">
        <f>SUMIFS(Input!$C$115:$C$3257,Input!$A$115:$A$3257,"="&amp;'Output - County'!A1422,Input!$B$115:$B$3257,"="&amp;'Output - County'!B1422)*VLOOKUP(A1422,'Output - State'!$B$2:$G$52,4,FALSE)</f>
        <v>1.0943458130381118</v>
      </c>
      <c r="F1422" s="98">
        <f>SUMIFS(Input!$C$115:$C$3257,Input!$A$115:$A$3257,"="&amp;'Output - County'!A1422,Input!$B$115:$B$3257,"="&amp;'Output - County'!B1422)*VLOOKUP(A1422,'Output - State'!$B$2:$G$52,5,FALSE)</f>
        <v>19.756962583215511</v>
      </c>
      <c r="G1422" s="99">
        <f>SUMIFS(Input!$D$115:$D$3257,Input!$A$115:$A$3257,"="&amp;'Output - County'!A1422,Input!$B$115:$B$3257,"="&amp;'Output - County'!B1422)*VLOOKUP(A1422,'Output - State'!$B$2:$G$52,6,FALSE)</f>
        <v>6.6103702122255497</v>
      </c>
    </row>
    <row r="1423" spans="1:7" x14ac:dyDescent="0.25">
      <c r="A1423" s="88">
        <v>28</v>
      </c>
      <c r="B1423" s="88">
        <v>41</v>
      </c>
      <c r="C1423" s="97">
        <f>SUMIFS(Input!$C$115:$C$3257,Input!$A$115:$A$3257,"="&amp;'Output - County'!A1423,Input!$B$115:$B$3257,"="&amp;'Output - County'!B1423)*VLOOKUP(A1423,'Output - State'!$B$2:$G$52,2,FALSE)</f>
        <v>2.6543437922719466</v>
      </c>
      <c r="D1423" s="98">
        <f>SUMIFS(Input!$C$115:$C$3257,Input!$A$115:$A$3257,"="&amp;'Output - County'!A1423,Input!$B$115:$B$3257,"="&amp;'Output - County'!B1423)*VLOOKUP(A1423,'Output - State'!$B$2:$G$52,3,FALSE)</f>
        <v>0.4179601046040155</v>
      </c>
      <c r="E1423" s="98">
        <f>SUMIFS(Input!$C$115:$C$3257,Input!$A$115:$A$3257,"="&amp;'Output - County'!A1423,Input!$B$115:$B$3257,"="&amp;'Output - County'!B1423)*VLOOKUP(A1423,'Output - State'!$B$2:$G$52,4,FALSE)</f>
        <v>0.65013735875236855</v>
      </c>
      <c r="F1423" s="98">
        <f>SUMIFS(Input!$C$115:$C$3257,Input!$A$115:$A$3257,"="&amp;'Output - County'!A1423,Input!$B$115:$B$3257,"="&amp;'Output - County'!B1423)*VLOOKUP(A1423,'Output - State'!$B$2:$G$52,5,FALSE)</f>
        <v>11.737367948767188</v>
      </c>
      <c r="G1423" s="99">
        <f>SUMIFS(Input!$D$115:$D$3257,Input!$A$115:$A$3257,"="&amp;'Output - County'!A1423,Input!$B$115:$B$3257,"="&amp;'Output - County'!B1423)*VLOOKUP(A1423,'Output - State'!$B$2:$G$52,6,FALSE)</f>
        <v>3.8400490859401537</v>
      </c>
    </row>
    <row r="1424" spans="1:7" x14ac:dyDescent="0.25">
      <c r="A1424" s="88">
        <v>28</v>
      </c>
      <c r="B1424" s="88">
        <v>43</v>
      </c>
      <c r="C1424" s="97">
        <f>SUMIFS(Input!$C$115:$C$3257,Input!$A$115:$A$3257,"="&amp;'Output - County'!A1424,Input!$B$115:$B$3257,"="&amp;'Output - County'!B1424)*VLOOKUP(A1424,'Output - State'!$B$2:$G$52,2,FALSE)</f>
        <v>6.3044763931511669</v>
      </c>
      <c r="D1424" s="98">
        <f>SUMIFS(Input!$C$115:$C$3257,Input!$A$115:$A$3257,"="&amp;'Output - County'!A1424,Input!$B$115:$B$3257,"="&amp;'Output - County'!B1424)*VLOOKUP(A1424,'Output - State'!$B$2:$G$52,3,FALSE)</f>
        <v>0.99271979026484813</v>
      </c>
      <c r="E1424" s="98">
        <f>SUMIFS(Input!$C$115:$C$3257,Input!$A$115:$A$3257,"="&amp;'Output - County'!A1424,Input!$B$115:$B$3257,"="&amp;'Output - County'!B1424)*VLOOKUP(A1424,'Output - State'!$B$2:$G$52,4,FALSE)</f>
        <v>1.5441766219181698</v>
      </c>
      <c r="F1424" s="98">
        <f>SUMIFS(Input!$C$115:$C$3257,Input!$A$115:$A$3257,"="&amp;'Output - County'!A1424,Input!$B$115:$B$3257,"="&amp;'Output - County'!B1424)*VLOOKUP(A1424,'Output - State'!$B$2:$G$52,5,FALSE)</f>
        <v>27.878061374783112</v>
      </c>
      <c r="G1424" s="99">
        <f>SUMIFS(Input!$D$115:$D$3257,Input!$A$115:$A$3257,"="&amp;'Output - County'!A1424,Input!$B$115:$B$3257,"="&amp;'Output - County'!B1424)*VLOOKUP(A1424,'Output - State'!$B$2:$G$52,6,FALSE)</f>
        <v>5.7600736289102308</v>
      </c>
    </row>
    <row r="1425" spans="1:7" x14ac:dyDescent="0.25">
      <c r="A1425" s="88">
        <v>28</v>
      </c>
      <c r="B1425" s="88">
        <v>45</v>
      </c>
      <c r="C1425" s="97">
        <f>SUMIFS(Input!$C$115:$C$3257,Input!$A$115:$A$3257,"="&amp;'Output - County'!A1425,Input!$B$115:$B$3257,"="&amp;'Output - County'!B1425)*VLOOKUP(A1425,'Output - State'!$B$2:$G$52,2,FALSE)</f>
        <v>14.897996590242702</v>
      </c>
      <c r="D1425" s="98">
        <f>SUMIFS(Input!$C$115:$C$3257,Input!$A$115:$A$3257,"="&amp;'Output - County'!A1425,Input!$B$115:$B$3257,"="&amp;'Output - County'!B1425)*VLOOKUP(A1425,'Output - State'!$B$2:$G$52,3,FALSE)</f>
        <v>2.3458785675680676</v>
      </c>
      <c r="E1425" s="98">
        <f>SUMIFS(Input!$C$115:$C$3257,Input!$A$115:$A$3257,"="&amp;'Output - County'!A1425,Input!$B$115:$B$3257,"="&amp;'Output - County'!B1425)*VLOOKUP(A1425,'Output - State'!$B$2:$G$52,4,FALSE)</f>
        <v>3.6490164469583695</v>
      </c>
      <c r="F1425" s="98">
        <f>SUMIFS(Input!$C$115:$C$3257,Input!$A$115:$A$3257,"="&amp;'Output - County'!A1425,Input!$B$115:$B$3257,"="&amp;'Output - County'!B1425)*VLOOKUP(A1425,'Output - State'!$B$2:$G$52,5,FALSE)</f>
        <v>65.878153458593957</v>
      </c>
      <c r="G1425" s="99">
        <f>SUMIFS(Input!$D$115:$D$3257,Input!$A$115:$A$3257,"="&amp;'Output - County'!A1425,Input!$B$115:$B$3257,"="&amp;'Output - County'!B1425)*VLOOKUP(A1425,'Output - State'!$B$2:$G$52,6,FALSE)</f>
        <v>12.973880126069234</v>
      </c>
    </row>
    <row r="1426" spans="1:7" x14ac:dyDescent="0.25">
      <c r="A1426" s="88">
        <v>28</v>
      </c>
      <c r="B1426" s="88">
        <v>47</v>
      </c>
      <c r="C1426" s="97">
        <f>SUMIFS(Input!$C$115:$C$3257,Input!$A$115:$A$3257,"="&amp;'Output - County'!A1426,Input!$B$115:$B$3257,"="&amp;'Output - County'!B1426)*VLOOKUP(A1426,'Output - State'!$B$2:$G$52,2,FALSE)</f>
        <v>54.40844265545995</v>
      </c>
      <c r="D1426" s="98">
        <f>SUMIFS(Input!$C$115:$C$3257,Input!$A$115:$A$3257,"="&amp;'Output - County'!A1426,Input!$B$115:$B$3257,"="&amp;'Output - County'!B1426)*VLOOKUP(A1426,'Output - State'!$B$2:$G$52,3,FALSE)</f>
        <v>8.5672995524642168</v>
      </c>
      <c r="E1426" s="98">
        <f>SUMIFS(Input!$C$115:$C$3257,Input!$A$115:$A$3257,"="&amp;'Output - County'!A1426,Input!$B$115:$B$3257,"="&amp;'Output - County'!B1426)*VLOOKUP(A1426,'Output - State'!$B$2:$G$52,4,FALSE)</f>
        <v>13.32644298181641</v>
      </c>
      <c r="F1426" s="98">
        <f>SUMIFS(Input!$C$115:$C$3257,Input!$A$115:$A$3257,"="&amp;'Output - County'!A1426,Input!$B$115:$B$3257,"="&amp;'Output - County'!B1426)*VLOOKUP(A1426,'Output - State'!$B$2:$G$52,5,FALSE)</f>
        <v>240.59125755519509</v>
      </c>
      <c r="G1426" s="99">
        <f>SUMIFS(Input!$D$115:$D$3257,Input!$A$115:$A$3257,"="&amp;'Output - County'!A1426,Input!$B$115:$B$3257,"="&amp;'Output - County'!B1426)*VLOOKUP(A1426,'Output - State'!$B$2:$G$52,6,FALSE)</f>
        <v>56.50357940740512</v>
      </c>
    </row>
    <row r="1427" spans="1:7" x14ac:dyDescent="0.25">
      <c r="A1427" s="88">
        <v>28</v>
      </c>
      <c r="B1427" s="88">
        <v>49</v>
      </c>
      <c r="C1427" s="97">
        <f>SUMIFS(Input!$C$115:$C$3257,Input!$A$115:$A$3257,"="&amp;'Output - County'!A1427,Input!$B$115:$B$3257,"="&amp;'Output - County'!B1427)*VLOOKUP(A1427,'Output - State'!$B$2:$G$52,2,FALSE)</f>
        <v>63.726932051562791</v>
      </c>
      <c r="D1427" s="98">
        <f>SUMIFS(Input!$C$115:$C$3257,Input!$A$115:$A$3257,"="&amp;'Output - County'!A1427,Input!$B$115:$B$3257,"="&amp;'Output - County'!B1427)*VLOOKUP(A1427,'Output - State'!$B$2:$G$52,3,FALSE)</f>
        <v>10.034613927522201</v>
      </c>
      <c r="E1427" s="98">
        <f>SUMIFS(Input!$C$115:$C$3257,Input!$A$115:$A$3257,"="&amp;'Output - County'!A1427,Input!$B$115:$B$3257,"="&amp;'Output - County'!B1427)*VLOOKUP(A1427,'Output - State'!$B$2:$G$52,4,FALSE)</f>
        <v>15.60885195279554</v>
      </c>
      <c r="F1427" s="98">
        <f>SUMIFS(Input!$C$115:$C$3257,Input!$A$115:$A$3257,"="&amp;'Output - County'!A1427,Input!$B$115:$B$3257,"="&amp;'Output - County'!B1427)*VLOOKUP(A1427,'Output - State'!$B$2:$G$52,5,FALSE)</f>
        <v>281.79712511733436</v>
      </c>
      <c r="G1427" s="99">
        <f>SUMIFS(Input!$D$115:$D$3257,Input!$A$115:$A$3257,"="&amp;'Output - County'!A1427,Input!$B$115:$B$3257,"="&amp;'Output - County'!B1427)*VLOOKUP(A1427,'Output - State'!$B$2:$G$52,6,FALSE)</f>
        <v>64.732256020134017</v>
      </c>
    </row>
    <row r="1428" spans="1:7" x14ac:dyDescent="0.25">
      <c r="A1428" s="88">
        <v>28</v>
      </c>
      <c r="B1428" s="88">
        <v>51</v>
      </c>
      <c r="C1428" s="97">
        <f>SUMIFS(Input!$C$115:$C$3257,Input!$A$115:$A$3257,"="&amp;'Output - County'!A1428,Input!$B$115:$B$3257,"="&amp;'Output - County'!B1428)*VLOOKUP(A1428,'Output - State'!$B$2:$G$52,2,FALSE)</f>
        <v>6.1292633675952173</v>
      </c>
      <c r="D1428" s="98">
        <f>SUMIFS(Input!$C$115:$C$3257,Input!$A$115:$A$3257,"="&amp;'Output - County'!A1428,Input!$B$115:$B$3257,"="&amp;'Output - County'!B1428)*VLOOKUP(A1428,'Output - State'!$B$2:$G$52,3,FALSE)</f>
        <v>0.9651302765392471</v>
      </c>
      <c r="E1428" s="98">
        <f>SUMIFS(Input!$C$115:$C$3257,Input!$A$115:$A$3257,"="&amp;'Output - County'!A1428,Input!$B$115:$B$3257,"="&amp;'Output - County'!B1428)*VLOOKUP(A1428,'Output - State'!$B$2:$G$52,4,FALSE)</f>
        <v>1.5012611058551755</v>
      </c>
      <c r="F1428" s="98">
        <f>SUMIFS(Input!$C$115:$C$3257,Input!$A$115:$A$3257,"="&amp;'Output - County'!A1428,Input!$B$115:$B$3257,"="&amp;'Output - County'!B1428)*VLOOKUP(A1428,'Output - State'!$B$2:$G$52,5,FALSE)</f>
        <v>27.103278637010224</v>
      </c>
      <c r="G1428" s="99">
        <f>SUMIFS(Input!$D$115:$D$3257,Input!$A$115:$A$3257,"="&amp;'Output - County'!A1428,Input!$B$115:$B$3257,"="&amp;'Output - County'!B1428)*VLOOKUP(A1428,'Output - State'!$B$2:$G$52,6,FALSE)</f>
        <v>4.7726324353827625</v>
      </c>
    </row>
    <row r="1429" spans="1:7" x14ac:dyDescent="0.25">
      <c r="A1429" s="88">
        <v>28</v>
      </c>
      <c r="B1429" s="88">
        <v>53</v>
      </c>
      <c r="C1429" s="97">
        <f>SUMIFS(Input!$C$115:$C$3257,Input!$A$115:$A$3257,"="&amp;'Output - County'!A1429,Input!$B$115:$B$3257,"="&amp;'Output - County'!B1429)*VLOOKUP(A1429,'Output - State'!$B$2:$G$52,2,FALSE)</f>
        <v>1.8178830866138467</v>
      </c>
      <c r="D1429" s="98">
        <f>SUMIFS(Input!$C$115:$C$3257,Input!$A$115:$A$3257,"="&amp;'Output - County'!A1429,Input!$B$115:$B$3257,"="&amp;'Output - County'!B1429)*VLOOKUP(A1429,'Output - State'!$B$2:$G$52,3,FALSE)</f>
        <v>0.28624875468322514</v>
      </c>
      <c r="E1429" s="98">
        <f>SUMIFS(Input!$C$115:$C$3257,Input!$A$115:$A$3257,"="&amp;'Output - County'!A1429,Input!$B$115:$B$3257,"="&amp;'Output - County'!B1429)*VLOOKUP(A1429,'Output - State'!$B$2:$G$52,4,FALSE)</f>
        <v>0.44526022284405065</v>
      </c>
      <c r="F1429" s="98">
        <f>SUMIFS(Input!$C$115:$C$3257,Input!$A$115:$A$3257,"="&amp;'Output - County'!A1429,Input!$B$115:$B$3257,"="&amp;'Output - County'!B1429)*VLOOKUP(A1429,'Output - State'!$B$2:$G$52,5,FALSE)</f>
        <v>8.0385829211535924</v>
      </c>
      <c r="G1429" s="99">
        <f>SUMIFS(Input!$D$115:$D$3257,Input!$A$115:$A$3257,"="&amp;'Output - County'!A1429,Input!$B$115:$B$3257,"="&amp;'Output - County'!B1429)*VLOOKUP(A1429,'Output - State'!$B$2:$G$52,6,FALSE)</f>
        <v>2.2656289607046904</v>
      </c>
    </row>
    <row r="1430" spans="1:7" x14ac:dyDescent="0.25">
      <c r="A1430" s="88">
        <v>28</v>
      </c>
      <c r="B1430" s="88">
        <v>55</v>
      </c>
      <c r="C1430" s="97">
        <f>SUMIFS(Input!$C$115:$C$3257,Input!$A$115:$A$3257,"="&amp;'Output - County'!A1430,Input!$B$115:$B$3257,"="&amp;'Output - County'!B1430)*VLOOKUP(A1430,'Output - State'!$B$2:$G$52,2,FALSE)</f>
        <v>0.34704491559131739</v>
      </c>
      <c r="D1430" s="98">
        <f>SUMIFS(Input!$C$115:$C$3257,Input!$A$115:$A$3257,"="&amp;'Output - County'!A1430,Input!$B$115:$B$3257,"="&amp;'Output - County'!B1430)*VLOOKUP(A1430,'Output - State'!$B$2:$G$52,3,FALSE)</f>
        <v>5.4646624768483573E-2</v>
      </c>
      <c r="E1430" s="98">
        <f>SUMIFS(Input!$C$115:$C$3257,Input!$A$115:$A$3257,"="&amp;'Output - County'!A1430,Input!$B$115:$B$3257,"="&amp;'Output - County'!B1430)*VLOOKUP(A1430,'Output - State'!$B$2:$G$52,4,FALSE)</f>
        <v>8.5002879223062433E-2</v>
      </c>
      <c r="F1430" s="98">
        <f>SUMIFS(Input!$C$115:$C$3257,Input!$A$115:$A$3257,"="&amp;'Output - County'!A1430,Input!$B$115:$B$3257,"="&amp;'Output - County'!B1430)*VLOOKUP(A1430,'Output - State'!$B$2:$G$52,5,FALSE)</f>
        <v>1.5346142729904562</v>
      </c>
      <c r="G1430" s="99">
        <f>SUMIFS(Input!$D$115:$D$3257,Input!$A$115:$A$3257,"="&amp;'Output - County'!A1430,Input!$B$115:$B$3257,"="&amp;'Output - County'!B1430)*VLOOKUP(A1430,'Output - State'!$B$2:$G$52,6,FALSE)</f>
        <v>0.35931887875582863</v>
      </c>
    </row>
    <row r="1431" spans="1:7" x14ac:dyDescent="0.25">
      <c r="A1431" s="88">
        <v>28</v>
      </c>
      <c r="B1431" s="88">
        <v>57</v>
      </c>
      <c r="C1431" s="97">
        <f>SUMIFS(Input!$C$115:$C$3257,Input!$A$115:$A$3257,"="&amp;'Output - County'!A1431,Input!$B$115:$B$3257,"="&amp;'Output - County'!B1431)*VLOOKUP(A1431,'Output - State'!$B$2:$G$52,2,FALSE)</f>
        <v>6.6594517030973588</v>
      </c>
      <c r="D1431" s="98">
        <f>SUMIFS(Input!$C$115:$C$3257,Input!$A$115:$A$3257,"="&amp;'Output - County'!A1431,Input!$B$115:$B$3257,"="&amp;'Output - County'!B1431)*VLOOKUP(A1431,'Output - State'!$B$2:$G$52,3,FALSE)</f>
        <v>1.0486151562339872</v>
      </c>
      <c r="E1431" s="98">
        <f>SUMIFS(Input!$C$115:$C$3257,Input!$A$115:$A$3257,"="&amp;'Output - County'!A1431,Input!$B$115:$B$3257,"="&amp;'Output - County'!B1431)*VLOOKUP(A1431,'Output - State'!$B$2:$G$52,4,FALSE)</f>
        <v>1.6311219193218589</v>
      </c>
      <c r="F1431" s="98">
        <f>SUMIFS(Input!$C$115:$C$3257,Input!$A$115:$A$3257,"="&amp;'Output - County'!A1431,Input!$B$115:$B$3257,"="&amp;'Output - County'!B1431)*VLOOKUP(A1431,'Output - State'!$B$2:$G$52,5,FALSE)</f>
        <v>29.447743432433938</v>
      </c>
      <c r="G1431" s="99">
        <f>SUMIFS(Input!$D$115:$D$3257,Input!$A$115:$A$3257,"="&amp;'Output - County'!A1431,Input!$B$115:$B$3257,"="&amp;'Output - County'!B1431)*VLOOKUP(A1431,'Output - State'!$B$2:$G$52,6,FALSE)</f>
        <v>6.4457966799709725</v>
      </c>
    </row>
    <row r="1432" spans="1:7" x14ac:dyDescent="0.25">
      <c r="A1432" s="88">
        <v>28</v>
      </c>
      <c r="B1432" s="88">
        <v>59</v>
      </c>
      <c r="C1432" s="97">
        <f>SUMIFS(Input!$C$115:$C$3257,Input!$A$115:$A$3257,"="&amp;'Output - County'!A1432,Input!$B$115:$B$3257,"="&amp;'Output - County'!B1432)*VLOOKUP(A1432,'Output - State'!$B$2:$G$52,2,FALSE)</f>
        <v>39.205565380179564</v>
      </c>
      <c r="D1432" s="98">
        <f>SUMIFS(Input!$C$115:$C$3257,Input!$A$115:$A$3257,"="&amp;'Output - County'!A1432,Input!$B$115:$B$3257,"="&amp;'Output - County'!B1432)*VLOOKUP(A1432,'Output - State'!$B$2:$G$52,3,FALSE)</f>
        <v>6.1734136531476791</v>
      </c>
      <c r="E1432" s="98">
        <f>SUMIFS(Input!$C$115:$C$3257,Input!$A$115:$A$3257,"="&amp;'Output - County'!A1432,Input!$B$115:$B$3257,"="&amp;'Output - County'!B1432)*VLOOKUP(A1432,'Output - State'!$B$2:$G$52,4,FALSE)</f>
        <v>9.6027510825364129</v>
      </c>
      <c r="F1432" s="98">
        <f>SUMIFS(Input!$C$115:$C$3257,Input!$A$115:$A$3257,"="&amp;'Output - County'!A1432,Input!$B$115:$B$3257,"="&amp;'Output - County'!B1432)*VLOOKUP(A1432,'Output - State'!$B$2:$G$52,5,FALSE)</f>
        <v>173.36493782244395</v>
      </c>
      <c r="G1432" s="99">
        <f>SUMIFS(Input!$D$115:$D$3257,Input!$A$115:$A$3257,"="&amp;'Output - County'!A1432,Input!$B$115:$B$3257,"="&amp;'Output - County'!B1432)*VLOOKUP(A1432,'Output - State'!$B$2:$G$52,6,FALSE)</f>
        <v>39.223358520674424</v>
      </c>
    </row>
    <row r="1433" spans="1:7" x14ac:dyDescent="0.25">
      <c r="A1433" s="88">
        <v>28</v>
      </c>
      <c r="B1433" s="88">
        <v>61</v>
      </c>
      <c r="C1433" s="97">
        <f>SUMIFS(Input!$C$115:$C$3257,Input!$A$115:$A$3257,"="&amp;'Output - County'!A1433,Input!$B$115:$B$3257,"="&amp;'Output - County'!B1433)*VLOOKUP(A1433,'Output - State'!$B$2:$G$52,2,FALSE)</f>
        <v>4.8718945611429163</v>
      </c>
      <c r="D1433" s="98">
        <f>SUMIFS(Input!$C$115:$C$3257,Input!$A$115:$A$3257,"="&amp;'Output - County'!A1433,Input!$B$115:$B$3257,"="&amp;'Output - County'!B1433)*VLOOKUP(A1433,'Output - State'!$B$2:$G$52,3,FALSE)</f>
        <v>0.76714160626951899</v>
      </c>
      <c r="E1433" s="98">
        <f>SUMIFS(Input!$C$115:$C$3257,Input!$A$115:$A$3257,"="&amp;'Output - County'!A1433,Input!$B$115:$B$3257,"="&amp;'Output - County'!B1433)*VLOOKUP(A1433,'Output - State'!$B$2:$G$52,4,FALSE)</f>
        <v>1.1932895321711114</v>
      </c>
      <c r="F1433" s="98">
        <f>SUMIFS(Input!$C$115:$C$3257,Input!$A$115:$A$3257,"="&amp;'Output - County'!A1433,Input!$B$115:$B$3257,"="&amp;'Output - County'!B1433)*VLOOKUP(A1433,'Output - State'!$B$2:$G$52,5,FALSE)</f>
        <v>21.543260235625663</v>
      </c>
      <c r="G1433" s="99">
        <f>SUMIFS(Input!$D$115:$D$3257,Input!$A$115:$A$3257,"="&amp;'Output - County'!A1433,Input!$B$115:$B$3257,"="&amp;'Output - County'!B1433)*VLOOKUP(A1433,'Output - State'!$B$2:$G$52,6,FALSE)</f>
        <v>4.4983432149584655</v>
      </c>
    </row>
    <row r="1434" spans="1:7" x14ac:dyDescent="0.25">
      <c r="A1434" s="88">
        <v>28</v>
      </c>
      <c r="B1434" s="88">
        <v>63</v>
      </c>
      <c r="C1434" s="97">
        <f>SUMIFS(Input!$C$115:$C$3257,Input!$A$115:$A$3257,"="&amp;'Output - County'!A1434,Input!$B$115:$B$3257,"="&amp;'Output - County'!B1434)*VLOOKUP(A1434,'Output - State'!$B$2:$G$52,2,FALSE)</f>
        <v>1.7444884511303729</v>
      </c>
      <c r="D1434" s="98">
        <f>SUMIFS(Input!$C$115:$C$3257,Input!$A$115:$A$3257,"="&amp;'Output - County'!A1434,Input!$B$115:$B$3257,"="&amp;'Output - County'!B1434)*VLOOKUP(A1434,'Output - State'!$B$2:$G$52,3,FALSE)</f>
        <v>0.27469183820037968</v>
      </c>
      <c r="E1434" s="98">
        <f>SUMIFS(Input!$C$115:$C$3257,Input!$A$115:$A$3257,"="&amp;'Output - County'!A1434,Input!$B$115:$B$3257,"="&amp;'Output - County'!B1434)*VLOOKUP(A1434,'Output - State'!$B$2:$G$52,4,FALSE)</f>
        <v>0.42728342775113765</v>
      </c>
      <c r="F1434" s="98">
        <f>SUMIFS(Input!$C$115:$C$3257,Input!$A$115:$A$3257,"="&amp;'Output - County'!A1434,Input!$B$115:$B$3257,"="&amp;'Output - County'!B1434)*VLOOKUP(A1434,'Output - State'!$B$2:$G$52,5,FALSE)</f>
        <v>7.7140357224661837</v>
      </c>
      <c r="G1434" s="99">
        <f>SUMIFS(Input!$D$115:$D$3257,Input!$A$115:$A$3257,"="&amp;'Output - County'!A1434,Input!$B$115:$B$3257,"="&amp;'Output - County'!B1434)*VLOOKUP(A1434,'Output - State'!$B$2:$G$52,6,FALSE)</f>
        <v>1.9447105728082634</v>
      </c>
    </row>
    <row r="1435" spans="1:7" x14ac:dyDescent="0.25">
      <c r="A1435" s="88">
        <v>28</v>
      </c>
      <c r="B1435" s="88">
        <v>65</v>
      </c>
      <c r="C1435" s="97">
        <f>SUMIFS(Input!$C$115:$C$3257,Input!$A$115:$A$3257,"="&amp;'Output - County'!A1435,Input!$B$115:$B$3257,"="&amp;'Output - County'!B1435)*VLOOKUP(A1435,'Output - State'!$B$2:$G$52,2,FALSE)</f>
        <v>2.3431376401785848</v>
      </c>
      <c r="D1435" s="98">
        <f>SUMIFS(Input!$C$115:$C$3257,Input!$A$115:$A$3257,"="&amp;'Output - County'!A1435,Input!$B$115:$B$3257,"="&amp;'Output - County'!B1435)*VLOOKUP(A1435,'Output - State'!$B$2:$G$52,3,FALSE)</f>
        <v>0.36895674781916526</v>
      </c>
      <c r="E1435" s="98">
        <f>SUMIFS(Input!$C$115:$C$3257,Input!$A$115:$A$3257,"="&amp;'Output - County'!A1435,Input!$B$115:$B$3257,"="&amp;'Output - County'!B1435)*VLOOKUP(A1435,'Output - State'!$B$2:$G$52,4,FALSE)</f>
        <v>0.57391258849520166</v>
      </c>
      <c r="F1435" s="98">
        <f>SUMIFS(Input!$C$115:$C$3257,Input!$A$115:$A$3257,"="&amp;'Output - County'!A1435,Input!$B$115:$B$3257,"="&amp;'Output - County'!B1435)*VLOOKUP(A1435,'Output - State'!$B$2:$G$52,5,FALSE)</f>
        <v>10.361230793635041</v>
      </c>
      <c r="G1435" s="99">
        <f>SUMIFS(Input!$D$115:$D$3257,Input!$A$115:$A$3257,"="&amp;'Output - County'!A1435,Input!$B$115:$B$3257,"="&amp;'Output - County'!B1435)*VLOOKUP(A1435,'Output - State'!$B$2:$G$52,6,FALSE)</f>
        <v>3.072039268752123</v>
      </c>
    </row>
    <row r="1436" spans="1:7" x14ac:dyDescent="0.25">
      <c r="A1436" s="88">
        <v>28</v>
      </c>
      <c r="B1436" s="88">
        <v>67</v>
      </c>
      <c r="C1436" s="97">
        <f>SUMIFS(Input!$C$115:$C$3257,Input!$A$115:$A$3257,"="&amp;'Output - County'!A1436,Input!$B$115:$B$3257,"="&amp;'Output - County'!B1436)*VLOOKUP(A1436,'Output - State'!$B$2:$G$52,2,FALSE)</f>
        <v>18.823599546828358</v>
      </c>
      <c r="D1436" s="98">
        <f>SUMIFS(Input!$C$115:$C$3257,Input!$A$115:$A$3257,"="&amp;'Output - County'!A1436,Input!$B$115:$B$3257,"="&amp;'Output - County'!B1436)*VLOOKUP(A1436,'Output - State'!$B$2:$G$52,3,FALSE)</f>
        <v>2.9640145555080477</v>
      </c>
      <c r="E1436" s="98">
        <f>SUMIFS(Input!$C$115:$C$3257,Input!$A$115:$A$3257,"="&amp;'Output - County'!A1436,Input!$B$115:$B$3257,"="&amp;'Output - County'!B1436)*VLOOKUP(A1436,'Output - State'!$B$2:$G$52,4,FALSE)</f>
        <v>4.6105275914965018</v>
      </c>
      <c r="F1436" s="98">
        <f>SUMIFS(Input!$C$115:$C$3257,Input!$A$115:$A$3257,"="&amp;'Output - County'!A1436,Input!$B$115:$B$3257,"="&amp;'Output - County'!B1436)*VLOOKUP(A1436,'Output - State'!$B$2:$G$52,5,FALSE)</f>
        <v>83.236962237006168</v>
      </c>
      <c r="G1436" s="99">
        <f>SUMIFS(Input!$D$115:$D$3257,Input!$A$115:$A$3257,"="&amp;'Output - County'!A1436,Input!$B$115:$B$3257,"="&amp;'Output - County'!B1436)*VLOOKUP(A1436,'Output - State'!$B$2:$G$52,6,FALSE)</f>
        <v>18.706524832937035</v>
      </c>
    </row>
    <row r="1437" spans="1:7" x14ac:dyDescent="0.25">
      <c r="A1437" s="88">
        <v>28</v>
      </c>
      <c r="B1437" s="88">
        <v>69</v>
      </c>
      <c r="C1437" s="97">
        <f>SUMIFS(Input!$C$115:$C$3257,Input!$A$115:$A$3257,"="&amp;'Output - County'!A1437,Input!$B$115:$B$3257,"="&amp;'Output - County'!B1437)*VLOOKUP(A1437,'Output - State'!$B$2:$G$52,2,FALSE)</f>
        <v>2.2648691134480123</v>
      </c>
      <c r="D1437" s="98">
        <f>SUMIFS(Input!$C$115:$C$3257,Input!$A$115:$A$3257,"="&amp;'Output - County'!A1437,Input!$B$115:$B$3257,"="&amp;'Output - County'!B1437)*VLOOKUP(A1437,'Output - State'!$B$2:$G$52,3,FALSE)</f>
        <v>0.35663237532651543</v>
      </c>
      <c r="E1437" s="98">
        <f>SUMIFS(Input!$C$115:$C$3257,Input!$A$115:$A$3257,"="&amp;'Output - County'!A1437,Input!$B$115:$B$3257,"="&amp;'Output - County'!B1437)*VLOOKUP(A1437,'Output - State'!$B$2:$G$52,4,FALSE)</f>
        <v>0.5547420148151061</v>
      </c>
      <c r="F1437" s="98">
        <f>SUMIFS(Input!$C$115:$C$3257,Input!$A$115:$A$3257,"="&amp;'Output - County'!A1437,Input!$B$115:$B$3257,"="&amp;'Output - County'!B1437)*VLOOKUP(A1437,'Output - State'!$B$2:$G$52,5,FALSE)</f>
        <v>10.015131505472247</v>
      </c>
      <c r="G1437" s="99">
        <f>SUMIFS(Input!$D$115:$D$3257,Input!$A$115:$A$3257,"="&amp;'Output - County'!A1437,Input!$B$115:$B$3257,"="&amp;'Output - County'!B1437)*VLOOKUP(A1437,'Output - State'!$B$2:$G$52,6,FALSE)</f>
        <v>2.6688341147284067</v>
      </c>
    </row>
    <row r="1438" spans="1:7" x14ac:dyDescent="0.25">
      <c r="A1438" s="88">
        <v>28</v>
      </c>
      <c r="B1438" s="88">
        <v>71</v>
      </c>
      <c r="C1438" s="97">
        <f>SUMIFS(Input!$C$115:$C$3257,Input!$A$115:$A$3257,"="&amp;'Output - County'!A1438,Input!$B$115:$B$3257,"="&amp;'Output - County'!B1438)*VLOOKUP(A1438,'Output - State'!$B$2:$G$52,2,FALSE)</f>
        <v>11.382473504588008</v>
      </c>
      <c r="D1438" s="98">
        <f>SUMIFS(Input!$C$115:$C$3257,Input!$A$115:$A$3257,"="&amp;'Output - County'!A1438,Input!$B$115:$B$3257,"="&amp;'Output - County'!B1438)*VLOOKUP(A1438,'Output - State'!$B$2:$G$52,3,FALSE)</f>
        <v>1.7923148578119925</v>
      </c>
      <c r="E1438" s="98">
        <f>SUMIFS(Input!$C$115:$C$3257,Input!$A$115:$A$3257,"="&amp;'Output - County'!A1438,Input!$B$115:$B$3257,"="&amp;'Output - County'!B1438)*VLOOKUP(A1438,'Output - State'!$B$2:$G$52,4,FALSE)</f>
        <v>2.787947545411062</v>
      </c>
      <c r="F1438" s="98">
        <f>SUMIFS(Input!$C$115:$C$3257,Input!$A$115:$A$3257,"="&amp;'Output - County'!A1438,Input!$B$115:$B$3257,"="&amp;'Output - County'!B1438)*VLOOKUP(A1438,'Output - State'!$B$2:$G$52,5,FALSE)</f>
        <v>50.332696193845265</v>
      </c>
      <c r="G1438" s="99">
        <f>SUMIFS(Input!$D$115:$D$3257,Input!$A$115:$A$3257,"="&amp;'Output - County'!A1438,Input!$B$115:$B$3257,"="&amp;'Output - County'!B1438)*VLOOKUP(A1438,'Output - State'!$B$2:$G$52,6,FALSE)</f>
        <v>14.674473292699872</v>
      </c>
    </row>
    <row r="1439" spans="1:7" x14ac:dyDescent="0.25">
      <c r="A1439" s="88">
        <v>28</v>
      </c>
      <c r="B1439" s="88">
        <v>73</v>
      </c>
      <c r="C1439" s="97">
        <f>SUMIFS(Input!$C$115:$C$3257,Input!$A$115:$A$3257,"="&amp;'Output - County'!A1439,Input!$B$115:$B$3257,"="&amp;'Output - County'!B1439)*VLOOKUP(A1439,'Output - State'!$B$2:$G$52,2,FALSE)</f>
        <v>14.654296995183458</v>
      </c>
      <c r="D1439" s="98">
        <f>SUMIFS(Input!$C$115:$C$3257,Input!$A$115:$A$3257,"="&amp;'Output - County'!A1439,Input!$B$115:$B$3257,"="&amp;'Output - County'!B1439)*VLOOKUP(A1439,'Output - State'!$B$2:$G$52,3,FALSE)</f>
        <v>2.3075049746147092</v>
      </c>
      <c r="E1439" s="98">
        <f>SUMIFS(Input!$C$115:$C$3257,Input!$A$115:$A$3257,"="&amp;'Output - County'!A1439,Input!$B$115:$B$3257,"="&amp;'Output - County'!B1439)*VLOOKUP(A1439,'Output - State'!$B$2:$G$52,4,FALSE)</f>
        <v>3.5893262849220395</v>
      </c>
      <c r="F1439" s="98">
        <f>SUMIFS(Input!$C$115:$C$3257,Input!$A$115:$A$3257,"="&amp;'Output - County'!A1439,Input!$B$115:$B$3257,"="&amp;'Output - County'!B1439)*VLOOKUP(A1439,'Output - State'!$B$2:$G$52,5,FALSE)</f>
        <v>64.800526730472356</v>
      </c>
      <c r="G1439" s="99">
        <f>SUMIFS(Input!$D$115:$D$3257,Input!$A$115:$A$3257,"="&amp;'Output - County'!A1439,Input!$B$115:$B$3257,"="&amp;'Output - County'!B1439)*VLOOKUP(A1439,'Output - State'!$B$2:$G$52,6,FALSE)</f>
        <v>17.170505198560971</v>
      </c>
    </row>
    <row r="1440" spans="1:7" x14ac:dyDescent="0.25">
      <c r="A1440" s="88">
        <v>28</v>
      </c>
      <c r="B1440" s="88">
        <v>75</v>
      </c>
      <c r="C1440" s="97">
        <f>SUMIFS(Input!$C$115:$C$3257,Input!$A$115:$A$3257,"="&amp;'Output - County'!A1440,Input!$B$115:$B$3257,"="&amp;'Output - County'!B1440)*VLOOKUP(A1440,'Output - State'!$B$2:$G$52,2,FALSE)</f>
        <v>21.616580808153735</v>
      </c>
      <c r="D1440" s="98">
        <f>SUMIFS(Input!$C$115:$C$3257,Input!$A$115:$A$3257,"="&amp;'Output - County'!A1440,Input!$B$115:$B$3257,"="&amp;'Output - County'!B1440)*VLOOKUP(A1440,'Output - State'!$B$2:$G$52,3,FALSE)</f>
        <v>3.4038048884480885</v>
      </c>
      <c r="E1440" s="98">
        <f>SUMIFS(Input!$C$115:$C$3257,Input!$A$115:$A$3257,"="&amp;'Output - County'!A1440,Input!$B$115:$B$3257,"="&amp;'Output - County'!B1440)*VLOOKUP(A1440,'Output - State'!$B$2:$G$52,4,FALSE)</f>
        <v>5.2946218921555417</v>
      </c>
      <c r="F1440" s="98">
        <f>SUMIFS(Input!$C$115:$C$3257,Input!$A$115:$A$3257,"="&amp;'Output - County'!A1440,Input!$B$115:$B$3257,"="&amp;'Output - County'!B1440)*VLOOKUP(A1440,'Output - State'!$B$2:$G$52,5,FALSE)</f>
        <v>95.587377745966421</v>
      </c>
      <c r="G1440" s="99">
        <f>SUMIFS(Input!$D$115:$D$3257,Input!$A$115:$A$3257,"="&amp;'Output - County'!A1440,Input!$B$115:$B$3257,"="&amp;'Output - County'!B1440)*VLOOKUP(A1440,'Output - State'!$B$2:$G$52,6,FALSE)</f>
        <v>20.626549375907111</v>
      </c>
    </row>
    <row r="1441" spans="1:7" x14ac:dyDescent="0.25">
      <c r="A1441" s="88">
        <v>28</v>
      </c>
      <c r="B1441" s="88">
        <v>77</v>
      </c>
      <c r="C1441" s="97">
        <f>SUMIFS(Input!$C$115:$C$3257,Input!$A$115:$A$3257,"="&amp;'Output - County'!A1441,Input!$B$115:$B$3257,"="&amp;'Output - County'!B1441)*VLOOKUP(A1441,'Output - State'!$B$2:$G$52,2,FALSE)</f>
        <v>2.2787194230776282</v>
      </c>
      <c r="D1441" s="98">
        <f>SUMIFS(Input!$C$115:$C$3257,Input!$A$115:$A$3257,"="&amp;'Output - County'!A1441,Input!$B$115:$B$3257,"="&amp;'Output - County'!B1441)*VLOOKUP(A1441,'Output - State'!$B$2:$G$52,3,FALSE)</f>
        <v>0.35881328229058179</v>
      </c>
      <c r="E1441" s="98">
        <f>SUMIFS(Input!$C$115:$C$3257,Input!$A$115:$A$3257,"="&amp;'Output - County'!A1441,Input!$B$115:$B$3257,"="&amp;'Output - County'!B1441)*VLOOKUP(A1441,'Output - State'!$B$2:$G$52,4,FALSE)</f>
        <v>0.55813441776860362</v>
      </c>
      <c r="F1441" s="98">
        <f>SUMIFS(Input!$C$115:$C$3257,Input!$A$115:$A$3257,"="&amp;'Output - County'!A1441,Input!$B$115:$B$3257,"="&amp;'Output - County'!B1441)*VLOOKUP(A1441,'Output - State'!$B$2:$G$52,5,FALSE)</f>
        <v>10.076376842568544</v>
      </c>
      <c r="G1441" s="99">
        <f>SUMIFS(Input!$D$115:$D$3257,Input!$A$115:$A$3257,"="&amp;'Output - County'!A1441,Input!$B$115:$B$3257,"="&amp;'Output - County'!B1441)*VLOOKUP(A1441,'Output - State'!$B$2:$G$52,6,FALSE)</f>
        <v>3.4011863332612786</v>
      </c>
    </row>
    <row r="1442" spans="1:7" x14ac:dyDescent="0.25">
      <c r="A1442" s="88">
        <v>28</v>
      </c>
      <c r="B1442" s="88">
        <v>79</v>
      </c>
      <c r="C1442" s="97">
        <f>SUMIFS(Input!$C$115:$C$3257,Input!$A$115:$A$3257,"="&amp;'Output - County'!A1442,Input!$B$115:$B$3257,"="&amp;'Output - County'!B1442)*VLOOKUP(A1442,'Output - State'!$B$2:$G$52,2,FALSE)</f>
        <v>5.0134292565763792</v>
      </c>
      <c r="D1442" s="98">
        <f>SUMIFS(Input!$C$115:$C$3257,Input!$A$115:$A$3257,"="&amp;'Output - County'!A1442,Input!$B$115:$B$3257,"="&amp;'Output - County'!B1442)*VLOOKUP(A1442,'Output - State'!$B$2:$G$52,3,FALSE)</f>
        <v>0.78942803965493746</v>
      </c>
      <c r="E1442" s="98">
        <f>SUMIFS(Input!$C$115:$C$3257,Input!$A$115:$A$3257,"="&amp;'Output - County'!A1442,Input!$B$115:$B$3257,"="&amp;'Output - County'!B1442)*VLOOKUP(A1442,'Output - State'!$B$2:$G$52,4,FALSE)</f>
        <v>1.2279561014862235</v>
      </c>
      <c r="F1442" s="98">
        <f>SUMIFS(Input!$C$115:$C$3257,Input!$A$115:$A$3257,"="&amp;'Output - County'!A1442,Input!$B$115:$B$3257,"="&amp;'Output - County'!B1442)*VLOOKUP(A1442,'Output - State'!$B$2:$G$52,5,FALSE)</f>
        <v>22.169119177732533</v>
      </c>
      <c r="G1442" s="99">
        <f>SUMIFS(Input!$D$115:$D$3257,Input!$A$115:$A$3257,"="&amp;'Output - County'!A1442,Input!$B$115:$B$3257,"="&amp;'Output - County'!B1442)*VLOOKUP(A1442,'Output - State'!$B$2:$G$52,6,FALSE)</f>
        <v>6.253794225673964</v>
      </c>
    </row>
    <row r="1443" spans="1:7" x14ac:dyDescent="0.25">
      <c r="A1443" s="88">
        <v>28</v>
      </c>
      <c r="B1443" s="88">
        <v>81</v>
      </c>
      <c r="C1443" s="97">
        <f>SUMIFS(Input!$C$115:$C$3257,Input!$A$115:$A$3257,"="&amp;'Output - County'!A1443,Input!$B$115:$B$3257,"="&amp;'Output - County'!B1443)*VLOOKUP(A1443,'Output - State'!$B$2:$G$52,2,FALSE)</f>
        <v>24.955038362808676</v>
      </c>
      <c r="D1443" s="98">
        <f>SUMIFS(Input!$C$115:$C$3257,Input!$A$115:$A$3257,"="&amp;'Output - County'!A1443,Input!$B$115:$B$3257,"="&amp;'Output - County'!B1443)*VLOOKUP(A1443,'Output - State'!$B$2:$G$52,3,FALSE)</f>
        <v>3.929487383994501</v>
      </c>
      <c r="E1443" s="98">
        <f>SUMIFS(Input!$C$115:$C$3257,Input!$A$115:$A$3257,"="&amp;'Output - County'!A1443,Input!$B$115:$B$3257,"="&amp;'Output - County'!B1443)*VLOOKUP(A1443,'Output - State'!$B$2:$G$52,4,FALSE)</f>
        <v>6.1123215372465358</v>
      </c>
      <c r="F1443" s="98">
        <f>SUMIFS(Input!$C$115:$C$3257,Input!$A$115:$A$3257,"="&amp;'Output - County'!A1443,Input!$B$115:$B$3257,"="&amp;'Output - County'!B1443)*VLOOKUP(A1443,'Output - State'!$B$2:$G$52,5,FALSE)</f>
        <v>110.34986059178762</v>
      </c>
      <c r="G1443" s="99">
        <f>SUMIFS(Input!$D$115:$D$3257,Input!$A$115:$A$3257,"="&amp;'Output - County'!A1443,Input!$B$115:$B$3257,"="&amp;'Output - County'!B1443)*VLOOKUP(A1443,'Output - State'!$B$2:$G$52,6,FALSE)</f>
        <v>23.396870502192506</v>
      </c>
    </row>
    <row r="1444" spans="1:7" x14ac:dyDescent="0.25">
      <c r="A1444" s="88">
        <v>28</v>
      </c>
      <c r="B1444" s="88">
        <v>83</v>
      </c>
      <c r="C1444" s="97">
        <f>SUMIFS(Input!$C$115:$C$3257,Input!$A$115:$A$3257,"="&amp;'Output - County'!A1444,Input!$B$115:$B$3257,"="&amp;'Output - County'!B1444)*VLOOKUP(A1444,'Output - State'!$B$2:$G$52,2,FALSE)</f>
        <v>6.0710783225825695</v>
      </c>
      <c r="D1444" s="98">
        <f>SUMIFS(Input!$C$115:$C$3257,Input!$A$115:$A$3257,"="&amp;'Output - County'!A1444,Input!$B$115:$B$3257,"="&amp;'Output - County'!B1444)*VLOOKUP(A1444,'Output - State'!$B$2:$G$52,3,FALSE)</f>
        <v>0.9559683030335242</v>
      </c>
      <c r="E1444" s="98">
        <f>SUMIFS(Input!$C$115:$C$3257,Input!$A$115:$A$3257,"="&amp;'Output - County'!A1444,Input!$B$115:$B$3257,"="&amp;'Output - County'!B1444)*VLOOKUP(A1444,'Output - State'!$B$2:$G$52,4,FALSE)</f>
        <v>1.4870096469471219</v>
      </c>
      <c r="F1444" s="98">
        <f>SUMIFS(Input!$C$115:$C$3257,Input!$A$115:$A$3257,"="&amp;'Output - County'!A1444,Input!$B$115:$B$3257,"="&amp;'Output - County'!B1444)*VLOOKUP(A1444,'Output - State'!$B$2:$G$52,5,FALSE)</f>
        <v>26.845987443451428</v>
      </c>
      <c r="G1444" s="99">
        <f>SUMIFS(Input!$D$115:$D$3257,Input!$A$115:$A$3257,"="&amp;'Output - County'!A1444,Input!$B$115:$B$3257,"="&amp;'Output - County'!B1444)*VLOOKUP(A1444,'Output - State'!$B$2:$G$52,6,FALSE)</f>
        <v>7.8446717041348846</v>
      </c>
    </row>
    <row r="1445" spans="1:7" x14ac:dyDescent="0.25">
      <c r="A1445" s="88">
        <v>28</v>
      </c>
      <c r="B1445" s="88">
        <v>85</v>
      </c>
      <c r="C1445" s="97">
        <f>SUMIFS(Input!$C$115:$C$3257,Input!$A$115:$A$3257,"="&amp;'Output - County'!A1445,Input!$B$115:$B$3257,"="&amp;'Output - County'!B1445)*VLOOKUP(A1445,'Output - State'!$B$2:$G$52,2,FALSE)</f>
        <v>10.293304030468944</v>
      </c>
      <c r="D1445" s="98">
        <f>SUMIFS(Input!$C$115:$C$3257,Input!$A$115:$A$3257,"="&amp;'Output - County'!A1445,Input!$B$115:$B$3257,"="&amp;'Output - County'!B1445)*VLOOKUP(A1445,'Output - State'!$B$2:$G$52,3,FALSE)</f>
        <v>1.6208113062902594</v>
      </c>
      <c r="E1445" s="98">
        <f>SUMIFS(Input!$C$115:$C$3257,Input!$A$115:$A$3257,"="&amp;'Output - County'!A1445,Input!$B$115:$B$3257,"="&amp;'Output - County'!B1445)*VLOOKUP(A1445,'Output - State'!$B$2:$G$52,4,FALSE)</f>
        <v>2.5211736003030025</v>
      </c>
      <c r="F1445" s="98">
        <f>SUMIFS(Input!$C$115:$C$3257,Input!$A$115:$A$3257,"="&amp;'Output - County'!A1445,Input!$B$115:$B$3257,"="&amp;'Output - County'!B1445)*VLOOKUP(A1445,'Output - State'!$B$2:$G$52,5,FALSE)</f>
        <v>45.516446349525573</v>
      </c>
      <c r="G1445" s="99">
        <f>SUMIFS(Input!$D$115:$D$3257,Input!$A$115:$A$3257,"="&amp;'Output - County'!A1445,Input!$B$115:$B$3257,"="&amp;'Output - County'!B1445)*VLOOKUP(A1445,'Output - State'!$B$2:$G$52,6,FALSE)</f>
        <v>9.3806913385109461</v>
      </c>
    </row>
    <row r="1446" spans="1:7" x14ac:dyDescent="0.25">
      <c r="A1446" s="88">
        <v>28</v>
      </c>
      <c r="B1446" s="88">
        <v>87</v>
      </c>
      <c r="C1446" s="97">
        <f>SUMIFS(Input!$C$115:$C$3257,Input!$A$115:$A$3257,"="&amp;'Output - County'!A1446,Input!$B$115:$B$3257,"="&amp;'Output - County'!B1446)*VLOOKUP(A1446,'Output - State'!$B$2:$G$52,2,FALSE)</f>
        <v>13.887526919071783</v>
      </c>
      <c r="D1446" s="98">
        <f>SUMIFS(Input!$C$115:$C$3257,Input!$A$115:$A$3257,"="&amp;'Output - County'!A1446,Input!$B$115:$B$3257,"="&amp;'Output - County'!B1446)*VLOOKUP(A1446,'Output - State'!$B$2:$G$52,3,FALSE)</f>
        <v>2.1867672984508557</v>
      </c>
      <c r="E1446" s="98">
        <f>SUMIFS(Input!$C$115:$C$3257,Input!$A$115:$A$3257,"="&amp;'Output - County'!A1446,Input!$B$115:$B$3257,"="&amp;'Output - County'!B1446)*VLOOKUP(A1446,'Output - State'!$B$2:$G$52,4,FALSE)</f>
        <v>3.4015187094659196</v>
      </c>
      <c r="F1446" s="98">
        <f>SUMIFS(Input!$C$115:$C$3257,Input!$A$115:$A$3257,"="&amp;'Output - County'!A1446,Input!$B$115:$B$3257,"="&amp;'Output - County'!B1446)*VLOOKUP(A1446,'Output - State'!$B$2:$G$52,5,FALSE)</f>
        <v>61.409909983075195</v>
      </c>
      <c r="G1446" s="99">
        <f>SUMIFS(Input!$D$115:$D$3257,Input!$A$115:$A$3257,"="&amp;'Output - County'!A1446,Input!$B$115:$B$3257,"="&amp;'Output - County'!B1446)*VLOOKUP(A1446,'Output - State'!$B$2:$G$52,6,FALSE)</f>
        <v>16.128206160948647</v>
      </c>
    </row>
    <row r="1447" spans="1:7" x14ac:dyDescent="0.25">
      <c r="A1447" s="88">
        <v>28</v>
      </c>
      <c r="B1447" s="88">
        <v>89</v>
      </c>
      <c r="C1447" s="97">
        <f>SUMIFS(Input!$C$115:$C$3257,Input!$A$115:$A$3257,"="&amp;'Output - County'!A1447,Input!$B$115:$B$3257,"="&amp;'Output - County'!B1447)*VLOOKUP(A1447,'Output - State'!$B$2:$G$52,2,FALSE)</f>
        <v>31.501839586090785</v>
      </c>
      <c r="D1447" s="98">
        <f>SUMIFS(Input!$C$115:$C$3257,Input!$A$115:$A$3257,"="&amp;'Output - County'!A1447,Input!$B$115:$B$3257,"="&amp;'Output - County'!B1447)*VLOOKUP(A1447,'Output - State'!$B$2:$G$52,3,FALSE)</f>
        <v>4.9603642930336997</v>
      </c>
      <c r="E1447" s="98">
        <f>SUMIFS(Input!$C$115:$C$3257,Input!$A$115:$A$3257,"="&amp;'Output - County'!A1447,Input!$B$115:$B$3257,"="&amp;'Output - County'!B1447)*VLOOKUP(A1447,'Output - State'!$B$2:$G$52,4,FALSE)</f>
        <v>7.7158515954001077</v>
      </c>
      <c r="F1447" s="98">
        <f>SUMIFS(Input!$C$115:$C$3257,Input!$A$115:$A$3257,"="&amp;'Output - County'!A1447,Input!$B$115:$B$3257,"="&amp;'Output - County'!B1447)*VLOOKUP(A1447,'Output - State'!$B$2:$G$52,5,FALSE)</f>
        <v>139.29946955684534</v>
      </c>
      <c r="G1447" s="99">
        <f>SUMIFS(Input!$D$115:$D$3257,Input!$A$115:$A$3257,"="&amp;'Output - County'!A1447,Input!$B$115:$B$3257,"="&amp;'Output - County'!B1447)*VLOOKUP(A1447,'Output - State'!$B$2:$G$52,6,FALSE)</f>
        <v>29.074657364975444</v>
      </c>
    </row>
    <row r="1448" spans="1:7" x14ac:dyDescent="0.25">
      <c r="A1448" s="88">
        <v>28</v>
      </c>
      <c r="B1448" s="88">
        <v>91</v>
      </c>
      <c r="C1448" s="97">
        <f>SUMIFS(Input!$C$115:$C$3257,Input!$A$115:$A$3257,"="&amp;'Output - County'!A1448,Input!$B$115:$B$3257,"="&amp;'Output - County'!B1448)*VLOOKUP(A1448,'Output - State'!$B$2:$G$52,2,FALSE)</f>
        <v>5.1415447505452541</v>
      </c>
      <c r="D1448" s="98">
        <f>SUMIFS(Input!$C$115:$C$3257,Input!$A$115:$A$3257,"="&amp;'Output - County'!A1448,Input!$B$115:$B$3257,"="&amp;'Output - County'!B1448)*VLOOKUP(A1448,'Output - State'!$B$2:$G$52,3,FALSE)</f>
        <v>0.80960144952615587</v>
      </c>
      <c r="E1448" s="98">
        <f>SUMIFS(Input!$C$115:$C$3257,Input!$A$115:$A$3257,"="&amp;'Output - County'!A1448,Input!$B$115:$B$3257,"="&amp;'Output - County'!B1448)*VLOOKUP(A1448,'Output - State'!$B$2:$G$52,4,FALSE)</f>
        <v>1.2593358606216767</v>
      </c>
      <c r="F1448" s="98">
        <f>SUMIFS(Input!$C$115:$C$3257,Input!$A$115:$A$3257,"="&amp;'Output - County'!A1448,Input!$B$115:$B$3257,"="&amp;'Output - County'!B1448)*VLOOKUP(A1448,'Output - State'!$B$2:$G$52,5,FALSE)</f>
        <v>22.735639120261773</v>
      </c>
      <c r="G1448" s="99">
        <f>SUMIFS(Input!$D$115:$D$3257,Input!$A$115:$A$3257,"="&amp;'Output - County'!A1448,Input!$B$115:$B$3257,"="&amp;'Output - County'!B1448)*VLOOKUP(A1448,'Output - State'!$B$2:$G$52,6,FALSE)</f>
        <v>6.8023726665225572</v>
      </c>
    </row>
    <row r="1449" spans="1:7" x14ac:dyDescent="0.25">
      <c r="A1449" s="88">
        <v>28</v>
      </c>
      <c r="B1449" s="88">
        <v>93</v>
      </c>
      <c r="C1449" s="97">
        <f>SUMIFS(Input!$C$115:$C$3257,Input!$A$115:$A$3257,"="&amp;'Output - County'!A1449,Input!$B$115:$B$3257,"="&amp;'Output - County'!B1449)*VLOOKUP(A1449,'Output - State'!$B$2:$G$52,2,FALSE)</f>
        <v>13.595629263979568</v>
      </c>
      <c r="D1449" s="98">
        <f>SUMIFS(Input!$C$115:$C$3257,Input!$A$115:$A$3257,"="&amp;'Output - County'!A1449,Input!$B$115:$B$3257,"="&amp;'Output - County'!B1449)*VLOOKUP(A1449,'Output - State'!$B$2:$G$52,3,FALSE)</f>
        <v>2.1408043094773799</v>
      </c>
      <c r="E1449" s="98">
        <f>SUMIFS(Input!$C$115:$C$3257,Input!$A$115:$A$3257,"="&amp;'Output - County'!A1449,Input!$B$115:$B$3257,"="&amp;'Output - County'!B1449)*VLOOKUP(A1449,'Output - State'!$B$2:$G$52,4,FALSE)</f>
        <v>3.3300232343657523</v>
      </c>
      <c r="F1449" s="98">
        <f>SUMIFS(Input!$C$115:$C$3257,Input!$A$115:$A$3257,"="&amp;'Output - County'!A1449,Input!$B$115:$B$3257,"="&amp;'Output - County'!B1449)*VLOOKUP(A1449,'Output - State'!$B$2:$G$52,5,FALSE)</f>
        <v>60.119153981092822</v>
      </c>
      <c r="G1449" s="99">
        <f>SUMIFS(Input!$D$115:$D$3257,Input!$A$115:$A$3257,"="&amp;'Output - County'!A1449,Input!$B$115:$B$3257,"="&amp;'Output - County'!B1449)*VLOOKUP(A1449,'Output - State'!$B$2:$G$52,6,FALSE)</f>
        <v>9.7098384030201021</v>
      </c>
    </row>
    <row r="1450" spans="1:7" x14ac:dyDescent="0.25">
      <c r="A1450" s="88">
        <v>28</v>
      </c>
      <c r="B1450" s="88">
        <v>95</v>
      </c>
      <c r="C1450" s="97">
        <f>SUMIFS(Input!$C$115:$C$3257,Input!$A$115:$A$3257,"="&amp;'Output - County'!A1450,Input!$B$115:$B$3257,"="&amp;'Output - County'!B1450)*VLOOKUP(A1450,'Output - State'!$B$2:$G$52,2,FALSE)</f>
        <v>8.6658648993664027</v>
      </c>
      <c r="D1450" s="98">
        <f>SUMIFS(Input!$C$115:$C$3257,Input!$A$115:$A$3257,"="&amp;'Output - County'!A1450,Input!$B$115:$B$3257,"="&amp;'Output - County'!B1450)*VLOOKUP(A1450,'Output - State'!$B$2:$G$52,3,FALSE)</f>
        <v>1.3645503684823217</v>
      </c>
      <c r="E1450" s="98">
        <f>SUMIFS(Input!$C$115:$C$3257,Input!$A$115:$A$3257,"="&amp;'Output - County'!A1450,Input!$B$115:$B$3257,"="&amp;'Output - County'!B1450)*VLOOKUP(A1450,'Output - State'!$B$2:$G$52,4,FALSE)</f>
        <v>2.1225594564585739</v>
      </c>
      <c r="F1450" s="98">
        <f>SUMIFS(Input!$C$115:$C$3257,Input!$A$115:$A$3257,"="&amp;'Output - County'!A1450,Input!$B$115:$B$3257,"="&amp;'Output - County'!B1450)*VLOOKUP(A1450,'Output - State'!$B$2:$G$52,5,FALSE)</f>
        <v>38.319996533346128</v>
      </c>
      <c r="G1450" s="99">
        <f>SUMIFS(Input!$D$115:$D$3257,Input!$A$115:$A$3257,"="&amp;'Output - County'!A1450,Input!$B$115:$B$3257,"="&amp;'Output - County'!B1450)*VLOOKUP(A1450,'Output - State'!$B$2:$G$52,6,FALSE)</f>
        <v>9.7372673250625326</v>
      </c>
    </row>
    <row r="1451" spans="1:7" x14ac:dyDescent="0.25">
      <c r="A1451" s="88">
        <v>28</v>
      </c>
      <c r="B1451" s="88">
        <v>97</v>
      </c>
      <c r="C1451" s="97">
        <f>SUMIFS(Input!$C$115:$C$3257,Input!$A$115:$A$3257,"="&amp;'Output - County'!A1451,Input!$B$115:$B$3257,"="&amp;'Output - County'!B1451)*VLOOKUP(A1451,'Output - State'!$B$2:$G$52,2,FALSE)</f>
        <v>3.5672977736298415</v>
      </c>
      <c r="D1451" s="98">
        <f>SUMIFS(Input!$C$115:$C$3257,Input!$A$115:$A$3257,"="&amp;'Output - County'!A1451,Input!$B$115:$B$3257,"="&amp;'Output - County'!B1451)*VLOOKUP(A1451,'Output - State'!$B$2:$G$52,3,FALSE)</f>
        <v>0.56171629122081845</v>
      </c>
      <c r="E1451" s="98">
        <f>SUMIFS(Input!$C$115:$C$3257,Input!$A$115:$A$3257,"="&amp;'Output - County'!A1451,Input!$B$115:$B$3257,"="&amp;'Output - County'!B1451)*VLOOKUP(A1451,'Output - State'!$B$2:$G$52,4,FALSE)</f>
        <v>0.87375025013086038</v>
      </c>
      <c r="F1451" s="98">
        <f>SUMIFS(Input!$C$115:$C$3257,Input!$A$115:$A$3257,"="&amp;'Output - County'!A1451,Input!$B$115:$B$3257,"="&amp;'Output - County'!B1451)*VLOOKUP(A1451,'Output - State'!$B$2:$G$52,5,FALSE)</f>
        <v>15.77440219831993</v>
      </c>
      <c r="G1451" s="99">
        <f>SUMIFS(Input!$D$115:$D$3257,Input!$A$115:$A$3257,"="&amp;'Output - County'!A1451,Input!$B$115:$B$3257,"="&amp;'Output - County'!B1451)*VLOOKUP(A1451,'Output - State'!$B$2:$G$52,6,FALSE)</f>
        <v>2.7401493120387235</v>
      </c>
    </row>
    <row r="1452" spans="1:7" x14ac:dyDescent="0.25">
      <c r="A1452" s="88">
        <v>28</v>
      </c>
      <c r="B1452" s="88">
        <v>99</v>
      </c>
      <c r="C1452" s="97">
        <f>SUMIFS(Input!$C$115:$C$3257,Input!$A$115:$A$3257,"="&amp;'Output - County'!A1452,Input!$B$115:$B$3257,"="&amp;'Output - County'!B1452)*VLOOKUP(A1452,'Output - State'!$B$2:$G$52,2,FALSE)</f>
        <v>6.0825802127706856</v>
      </c>
      <c r="D1452" s="98">
        <f>SUMIFS(Input!$C$115:$C$3257,Input!$A$115:$A$3257,"="&amp;'Output - County'!A1452,Input!$B$115:$B$3257,"="&amp;'Output - County'!B1452)*VLOOKUP(A1452,'Output - State'!$B$2:$G$52,3,FALSE)</f>
        <v>0.95777942156314544</v>
      </c>
      <c r="E1452" s="98">
        <f>SUMIFS(Input!$C$115:$C$3257,Input!$A$115:$A$3257,"="&amp;'Output - County'!A1452,Input!$B$115:$B$3257,"="&amp;'Output - County'!B1452)*VLOOKUP(A1452,'Output - State'!$B$2:$G$52,4,FALSE)</f>
        <v>1.4898268436227495</v>
      </c>
      <c r="F1452" s="98">
        <f>SUMIFS(Input!$C$115:$C$3257,Input!$A$115:$A$3257,"="&amp;'Output - County'!A1452,Input!$B$115:$B$3257,"="&amp;'Output - County'!B1452)*VLOOKUP(A1452,'Output - State'!$B$2:$G$52,5,FALSE)</f>
        <v>26.896848193907825</v>
      </c>
      <c r="G1452" s="99">
        <f>SUMIFS(Input!$D$115:$D$3257,Input!$A$115:$A$3257,"="&amp;'Output - County'!A1452,Input!$B$115:$B$3257,"="&amp;'Output - County'!B1452)*VLOOKUP(A1452,'Output - State'!$B$2:$G$52,6,FALSE)</f>
        <v>8.0092452363894626</v>
      </c>
    </row>
    <row r="1453" spans="1:7" x14ac:dyDescent="0.25">
      <c r="A1453" s="88">
        <v>28</v>
      </c>
      <c r="B1453" s="88">
        <v>101</v>
      </c>
      <c r="C1453" s="97">
        <f>SUMIFS(Input!$C$115:$C$3257,Input!$A$115:$A$3257,"="&amp;'Output - County'!A1453,Input!$B$115:$B$3257,"="&amp;'Output - County'!B1453)*VLOOKUP(A1453,'Output - State'!$B$2:$G$52,2,FALSE)</f>
        <v>7.4468992713273767</v>
      </c>
      <c r="D1453" s="98">
        <f>SUMIFS(Input!$C$115:$C$3257,Input!$A$115:$A$3257,"="&amp;'Output - County'!A1453,Input!$B$115:$B$3257,"="&amp;'Output - County'!B1453)*VLOOKUP(A1453,'Output - State'!$B$2:$G$52,3,FALSE)</f>
        <v>1.1726087658582662</v>
      </c>
      <c r="E1453" s="98">
        <f>SUMIFS(Input!$C$115:$C$3257,Input!$A$115:$A$3257,"="&amp;'Output - County'!A1453,Input!$B$115:$B$3257,"="&amp;'Output - County'!B1453)*VLOOKUP(A1453,'Output - State'!$B$2:$G$52,4,FALSE)</f>
        <v>1.8239941025166531</v>
      </c>
      <c r="F1453" s="98">
        <f>SUMIFS(Input!$C$115:$C$3257,Input!$A$115:$A$3257,"="&amp;'Output - County'!A1453,Input!$B$115:$B$3257,"="&amp;'Output - County'!B1453)*VLOOKUP(A1453,'Output - State'!$B$2:$G$52,5,FALSE)</f>
        <v>32.929794957028136</v>
      </c>
      <c r="G1453" s="99">
        <f>SUMIFS(Input!$D$115:$D$3257,Input!$A$115:$A$3257,"="&amp;'Output - County'!A1453,Input!$B$115:$B$3257,"="&amp;'Output - County'!B1453)*VLOOKUP(A1453,'Output - State'!$B$2:$G$52,6,FALSE)</f>
        <v>5.8697893170799489</v>
      </c>
    </row>
    <row r="1454" spans="1:7" x14ac:dyDescent="0.25">
      <c r="A1454" s="88">
        <v>28</v>
      </c>
      <c r="B1454" s="88">
        <v>103</v>
      </c>
      <c r="C1454" s="97">
        <f>SUMIFS(Input!$C$115:$C$3257,Input!$A$115:$A$3257,"="&amp;'Output - County'!A1454,Input!$B$115:$B$3257,"="&amp;'Output - County'!B1454)*VLOOKUP(A1454,'Output - State'!$B$2:$G$52,2,FALSE)</f>
        <v>2.5542490247421115</v>
      </c>
      <c r="D1454" s="98">
        <f>SUMIFS(Input!$C$115:$C$3257,Input!$A$115:$A$3257,"="&amp;'Output - County'!A1454,Input!$B$115:$B$3257,"="&amp;'Output - County'!B1454)*VLOOKUP(A1454,'Output - State'!$B$2:$G$52,3,FALSE)</f>
        <v>0.40219891359745191</v>
      </c>
      <c r="E1454" s="98">
        <f>SUMIFS(Input!$C$115:$C$3257,Input!$A$115:$A$3257,"="&amp;'Output - County'!A1454,Input!$B$115:$B$3257,"="&amp;'Output - County'!B1454)*VLOOKUP(A1454,'Output - State'!$B$2:$G$52,4,FALSE)</f>
        <v>0.62562081045284357</v>
      </c>
      <c r="F1454" s="98">
        <f>SUMIFS(Input!$C$115:$C$3257,Input!$A$115:$A$3257,"="&amp;'Output - County'!A1454,Input!$B$115:$B$3257,"="&amp;'Output - County'!B1454)*VLOOKUP(A1454,'Output - State'!$B$2:$G$52,5,FALSE)</f>
        <v>11.294754177459744</v>
      </c>
      <c r="G1454" s="99">
        <f>SUMIFS(Input!$D$115:$D$3257,Input!$A$115:$A$3257,"="&amp;'Output - County'!A1454,Input!$B$115:$B$3257,"="&amp;'Output - County'!B1454)*VLOOKUP(A1454,'Output - State'!$B$2:$G$52,6,FALSE)</f>
        <v>2.9074657364975445</v>
      </c>
    </row>
    <row r="1455" spans="1:7" x14ac:dyDescent="0.25">
      <c r="A1455" s="88">
        <v>28</v>
      </c>
      <c r="B1455" s="88">
        <v>105</v>
      </c>
      <c r="C1455" s="97">
        <f>SUMIFS(Input!$C$115:$C$3257,Input!$A$115:$A$3257,"="&amp;'Output - County'!A1455,Input!$B$115:$B$3257,"="&amp;'Output - County'!B1455)*VLOOKUP(A1455,'Output - State'!$B$2:$G$52,2,FALSE)</f>
        <v>10.206940454578513</v>
      </c>
      <c r="D1455" s="98">
        <f>SUMIFS(Input!$C$115:$C$3257,Input!$A$115:$A$3257,"="&amp;'Output - County'!A1455,Input!$B$115:$B$3257,"="&amp;'Output - County'!B1455)*VLOOKUP(A1455,'Output - State'!$B$2:$G$52,3,FALSE)</f>
        <v>1.6072122656090049</v>
      </c>
      <c r="E1455" s="98">
        <f>SUMIFS(Input!$C$115:$C$3257,Input!$A$115:$A$3257,"="&amp;'Output - County'!A1455,Input!$B$115:$B$3257,"="&amp;'Output - County'!B1455)*VLOOKUP(A1455,'Output - State'!$B$2:$G$52,4,FALSE)</f>
        <v>2.5000202789867179</v>
      </c>
      <c r="F1455" s="98">
        <f>SUMIFS(Input!$C$115:$C$3257,Input!$A$115:$A$3257,"="&amp;'Output - County'!A1455,Input!$B$115:$B$3257,"="&amp;'Output - County'!B1455)*VLOOKUP(A1455,'Output - State'!$B$2:$G$52,5,FALSE)</f>
        <v>45.134551181857923</v>
      </c>
      <c r="G1455" s="99">
        <f>SUMIFS(Input!$D$115:$D$3257,Input!$A$115:$A$3257,"="&amp;'Output - County'!A1455,Input!$B$115:$B$3257,"="&amp;'Output - County'!B1455)*VLOOKUP(A1455,'Output - State'!$B$2:$G$52,6,FALSE)</f>
        <v>13.495029644875396</v>
      </c>
    </row>
    <row r="1456" spans="1:7" x14ac:dyDescent="0.25">
      <c r="A1456" s="88">
        <v>28</v>
      </c>
      <c r="B1456" s="88">
        <v>107</v>
      </c>
      <c r="C1456" s="97">
        <f>SUMIFS(Input!$C$115:$C$3257,Input!$A$115:$A$3257,"="&amp;'Output - County'!A1456,Input!$B$115:$B$3257,"="&amp;'Output - County'!B1456)*VLOOKUP(A1456,'Output - State'!$B$2:$G$52,2,FALSE)</f>
        <v>11.70684131822855</v>
      </c>
      <c r="D1456" s="98">
        <f>SUMIFS(Input!$C$115:$C$3257,Input!$A$115:$A$3257,"="&amp;'Output - County'!A1456,Input!$B$115:$B$3257,"="&amp;'Output - County'!B1456)*VLOOKUP(A1456,'Output - State'!$B$2:$G$52,3,FALSE)</f>
        <v>1.8433906851837496</v>
      </c>
      <c r="E1456" s="98">
        <f>SUMIFS(Input!$C$115:$C$3257,Input!$A$115:$A$3257,"="&amp;'Output - County'!A1456,Input!$B$115:$B$3257,"="&amp;'Output - County'!B1456)*VLOOKUP(A1456,'Output - State'!$B$2:$G$52,4,FALSE)</f>
        <v>2.8673960457291159</v>
      </c>
      <c r="F1456" s="98">
        <f>SUMIFS(Input!$C$115:$C$3257,Input!$A$115:$A$3257,"="&amp;'Output - County'!A1456,Input!$B$115:$B$3257,"="&amp;'Output - County'!B1456)*VLOOKUP(A1456,'Output - State'!$B$2:$G$52,5,FALSE)</f>
        <v>51.767033520653051</v>
      </c>
      <c r="G1456" s="99">
        <f>SUMIFS(Input!$D$115:$D$3257,Input!$A$115:$A$3257,"="&amp;'Output - County'!A1456,Input!$B$115:$B$3257,"="&amp;'Output - County'!B1456)*VLOOKUP(A1456,'Output - State'!$B$2:$G$52,6,FALSE)</f>
        <v>9.3806913385109461</v>
      </c>
    </row>
    <row r="1457" spans="1:7" x14ac:dyDescent="0.25">
      <c r="A1457" s="88">
        <v>28</v>
      </c>
      <c r="B1457" s="88">
        <v>109</v>
      </c>
      <c r="C1457" s="97">
        <f>SUMIFS(Input!$C$115:$C$3257,Input!$A$115:$A$3257,"="&amp;'Output - County'!A1457,Input!$B$115:$B$3257,"="&amp;'Output - County'!B1457)*VLOOKUP(A1457,'Output - State'!$B$2:$G$52,2,FALSE)</f>
        <v>14.004020856034773</v>
      </c>
      <c r="D1457" s="98">
        <f>SUMIFS(Input!$C$115:$C$3257,Input!$A$115:$A$3257,"="&amp;'Output - County'!A1457,Input!$B$115:$B$3257,"="&amp;'Output - County'!B1457)*VLOOKUP(A1457,'Output - State'!$B$2:$G$52,3,FALSE)</f>
        <v>2.2051107467338342</v>
      </c>
      <c r="E1457" s="98">
        <f>SUMIFS(Input!$C$115:$C$3257,Input!$A$115:$A$3257,"="&amp;'Output - County'!A1457,Input!$B$115:$B$3257,"="&amp;'Output - County'!B1457)*VLOOKUP(A1457,'Output - State'!$B$2:$G$52,4,FALSE)</f>
        <v>3.4300519615293075</v>
      </c>
      <c r="F1457" s="98">
        <f>SUMIFS(Input!$C$115:$C$3257,Input!$A$115:$A$3257,"="&amp;'Output - County'!A1457,Input!$B$115:$B$3257,"="&amp;'Output - County'!B1457)*VLOOKUP(A1457,'Output - State'!$B$2:$G$52,5,FALSE)</f>
        <v>61.925040014805099</v>
      </c>
      <c r="G1457" s="99">
        <f>SUMIFS(Input!$D$115:$D$3257,Input!$A$115:$A$3257,"="&amp;'Output - County'!A1457,Input!$B$115:$B$3257,"="&amp;'Output - County'!B1457)*VLOOKUP(A1457,'Output - State'!$B$2:$G$52,6,FALSE)</f>
        <v>15.168193889463607</v>
      </c>
    </row>
    <row r="1458" spans="1:7" x14ac:dyDescent="0.25">
      <c r="A1458" s="88">
        <v>28</v>
      </c>
      <c r="B1458" s="88">
        <v>111</v>
      </c>
      <c r="C1458" s="97">
        <f>SUMIFS(Input!$C$115:$C$3257,Input!$A$115:$A$3257,"="&amp;'Output - County'!A1458,Input!$B$115:$B$3257,"="&amp;'Output - County'!B1458)*VLOOKUP(A1458,'Output - State'!$B$2:$G$52,2,FALSE)</f>
        <v>3.1908443801580595</v>
      </c>
      <c r="D1458" s="98">
        <f>SUMIFS(Input!$C$115:$C$3257,Input!$A$115:$A$3257,"="&amp;'Output - County'!A1458,Input!$B$115:$B$3257,"="&amp;'Output - County'!B1458)*VLOOKUP(A1458,'Output - State'!$B$2:$G$52,3,FALSE)</f>
        <v>0.50243892851742589</v>
      </c>
      <c r="E1458" s="98">
        <f>SUMIFS(Input!$C$115:$C$3257,Input!$A$115:$A$3257,"="&amp;'Output - County'!A1458,Input!$B$115:$B$3257,"="&amp;'Output - County'!B1458)*VLOOKUP(A1458,'Output - State'!$B$2:$G$52,4,FALSE)</f>
        <v>0.78154425344057366</v>
      </c>
      <c r="F1458" s="98">
        <f>SUMIFS(Input!$C$115:$C$3257,Input!$A$115:$A$3257,"="&amp;'Output - County'!A1458,Input!$B$115:$B$3257,"="&amp;'Output - County'!B1458)*VLOOKUP(A1458,'Output - State'!$B$2:$G$52,5,FALSE)</f>
        <v>14.10974519058608</v>
      </c>
      <c r="G1458" s="99">
        <f>SUMIFS(Input!$D$115:$D$3257,Input!$A$115:$A$3257,"="&amp;'Output - County'!A1458,Input!$B$115:$B$3257,"="&amp;'Output - County'!B1458)*VLOOKUP(A1458,'Output - State'!$B$2:$G$52,6,FALSE)</f>
        <v>3.2640417230491305</v>
      </c>
    </row>
    <row r="1459" spans="1:7" x14ac:dyDescent="0.25">
      <c r="A1459" s="88">
        <v>28</v>
      </c>
      <c r="B1459" s="88">
        <v>113</v>
      </c>
      <c r="C1459" s="97">
        <f>SUMIFS(Input!$C$115:$C$3257,Input!$A$115:$A$3257,"="&amp;'Output - County'!A1459,Input!$B$115:$B$3257,"="&amp;'Output - County'!B1459)*VLOOKUP(A1459,'Output - State'!$B$2:$G$52,2,FALSE)</f>
        <v>10.033968208883554</v>
      </c>
      <c r="D1459" s="98">
        <f>SUMIFS(Input!$C$115:$C$3257,Input!$A$115:$A$3257,"="&amp;'Output - County'!A1459,Input!$B$115:$B$3257,"="&amp;'Output - County'!B1459)*VLOOKUP(A1459,'Output - State'!$B$2:$G$52,3,FALSE)</f>
        <v>1.579975591100321</v>
      </c>
      <c r="E1459" s="98">
        <f>SUMIFS(Input!$C$115:$C$3257,Input!$A$115:$A$3257,"="&amp;'Output - County'!A1459,Input!$B$115:$B$3257,"="&amp;'Output - County'!B1459)*VLOOKUP(A1459,'Output - State'!$B$2:$G$52,4,FALSE)</f>
        <v>2.4576536046768571</v>
      </c>
      <c r="F1459" s="98">
        <f>SUMIFS(Input!$C$115:$C$3257,Input!$A$115:$A$3257,"="&amp;'Output - County'!A1459,Input!$B$115:$B$3257,"="&amp;'Output - County'!B1459)*VLOOKUP(A1459,'Output - State'!$B$2:$G$52,5,FALSE)</f>
        <v>44.369677054189431</v>
      </c>
      <c r="G1459" s="99">
        <f>SUMIFS(Input!$D$115:$D$3257,Input!$A$115:$A$3257,"="&amp;'Output - County'!A1459,Input!$B$115:$B$3257,"="&amp;'Output - County'!B1459)*VLOOKUP(A1459,'Output - State'!$B$2:$G$52,6,FALSE)</f>
        <v>10.80699528471729</v>
      </c>
    </row>
    <row r="1460" spans="1:7" x14ac:dyDescent="0.25">
      <c r="A1460" s="88">
        <v>28</v>
      </c>
      <c r="B1460" s="88">
        <v>115</v>
      </c>
      <c r="C1460" s="97">
        <f>SUMIFS(Input!$C$115:$C$3257,Input!$A$115:$A$3257,"="&amp;'Output - County'!A1460,Input!$B$115:$B$3257,"="&amp;'Output - County'!B1460)*VLOOKUP(A1460,'Output - State'!$B$2:$G$52,2,FALSE)</f>
        <v>7.5588991882848671</v>
      </c>
      <c r="D1460" s="98">
        <f>SUMIFS(Input!$C$115:$C$3257,Input!$A$115:$A$3257,"="&amp;'Output - County'!A1460,Input!$B$115:$B$3257,"="&amp;'Output - County'!B1460)*VLOOKUP(A1460,'Output - State'!$B$2:$G$52,3,FALSE)</f>
        <v>1.1902445736776919</v>
      </c>
      <c r="E1460" s="98">
        <f>SUMIFS(Input!$C$115:$C$3257,Input!$A$115:$A$3257,"="&amp;'Output - County'!A1460,Input!$B$115:$B$3257,"="&amp;'Output - County'!B1460)*VLOOKUP(A1460,'Output - State'!$B$2:$G$52,4,FALSE)</f>
        <v>1.8514266191345936</v>
      </c>
      <c r="F1460" s="98">
        <f>SUMIFS(Input!$C$115:$C$3257,Input!$A$115:$A$3257,"="&amp;'Output - County'!A1460,Input!$B$115:$B$3257,"="&amp;'Output - County'!B1460)*VLOOKUP(A1460,'Output - State'!$B$2:$G$52,5,FALSE)</f>
        <v>33.425052669834145</v>
      </c>
      <c r="G1460" s="99">
        <f>SUMIFS(Input!$D$115:$D$3257,Input!$A$115:$A$3257,"="&amp;'Output - County'!A1460,Input!$B$115:$B$3257,"="&amp;'Output - County'!B1460)*VLOOKUP(A1460,'Output - State'!$B$2:$G$52,6,FALSE)</f>
        <v>8.7498261315350625</v>
      </c>
    </row>
    <row r="1461" spans="1:7" x14ac:dyDescent="0.25">
      <c r="A1461" s="88">
        <v>28</v>
      </c>
      <c r="B1461" s="88">
        <v>117</v>
      </c>
      <c r="C1461" s="97">
        <f>SUMIFS(Input!$C$115:$C$3257,Input!$A$115:$A$3257,"="&amp;'Output - County'!A1461,Input!$B$115:$B$3257,"="&amp;'Output - County'!B1461)*VLOOKUP(A1461,'Output - State'!$B$2:$G$52,2,FALSE)</f>
        <v>5.7026366992864679</v>
      </c>
      <c r="D1461" s="98">
        <f>SUMIFS(Input!$C$115:$C$3257,Input!$A$115:$A$3257,"="&amp;'Output - County'!A1461,Input!$B$115:$B$3257,"="&amp;'Output - County'!B1461)*VLOOKUP(A1461,'Output - State'!$B$2:$G$52,3,FALSE)</f>
        <v>0.89795249518615294</v>
      </c>
      <c r="E1461" s="98">
        <f>SUMIFS(Input!$C$115:$C$3257,Input!$A$115:$A$3257,"="&amp;'Output - County'!A1461,Input!$B$115:$B$3257,"="&amp;'Output - County'!B1461)*VLOOKUP(A1461,'Output - State'!$B$2:$G$52,4,FALSE)</f>
        <v>1.3967660000911379</v>
      </c>
      <c r="F1461" s="98">
        <f>SUMIFS(Input!$C$115:$C$3257,Input!$A$115:$A$3257,"="&amp;'Output - County'!A1461,Input!$B$115:$B$3257,"="&amp;'Output - County'!B1461)*VLOOKUP(A1461,'Output - State'!$B$2:$G$52,5,FALSE)</f>
        <v>25.21675805995627</v>
      </c>
      <c r="G1461" s="99">
        <f>SUMIFS(Input!$D$115:$D$3257,Input!$A$115:$A$3257,"="&amp;'Output - County'!A1461,Input!$B$115:$B$3257,"="&amp;'Output - County'!B1461)*VLOOKUP(A1461,'Output - State'!$B$2:$G$52,6,FALSE)</f>
        <v>6.8846594326498458</v>
      </c>
    </row>
    <row r="1462" spans="1:7" x14ac:dyDescent="0.25">
      <c r="A1462" s="88">
        <v>28</v>
      </c>
      <c r="B1462" s="88">
        <v>119</v>
      </c>
      <c r="C1462" s="97">
        <f>SUMIFS(Input!$C$115:$C$3257,Input!$A$115:$A$3257,"="&amp;'Output - County'!A1462,Input!$B$115:$B$3257,"="&amp;'Output - County'!B1462)*VLOOKUP(A1462,'Output - State'!$B$2:$G$52,2,FALSE)</f>
        <v>1.3182095787680184</v>
      </c>
      <c r="D1462" s="98">
        <f>SUMIFS(Input!$C$115:$C$3257,Input!$A$115:$A$3257,"="&amp;'Output - County'!A1462,Input!$B$115:$B$3257,"="&amp;'Output - County'!B1462)*VLOOKUP(A1462,'Output - State'!$B$2:$G$52,3,FALSE)</f>
        <v>0.20756882173138202</v>
      </c>
      <c r="E1462" s="98">
        <f>SUMIFS(Input!$C$115:$C$3257,Input!$A$115:$A$3257,"="&amp;'Output - County'!A1462,Input!$B$115:$B$3257,"="&amp;'Output - County'!B1462)*VLOOKUP(A1462,'Output - State'!$B$2:$G$52,4,FALSE)</f>
        <v>0.32287350881882576</v>
      </c>
      <c r="F1462" s="98">
        <f>SUMIFS(Input!$C$115:$C$3257,Input!$A$115:$A$3257,"="&amp;'Output - County'!A1462,Input!$B$115:$B$3257,"="&amp;'Output - County'!B1462)*VLOOKUP(A1462,'Output - State'!$B$2:$G$52,5,FALSE)</f>
        <v>5.8290530807037388</v>
      </c>
      <c r="G1462" s="99">
        <f>SUMIFS(Input!$D$115:$D$3257,Input!$A$115:$A$3257,"="&amp;'Output - County'!A1462,Input!$B$115:$B$3257,"="&amp;'Output - County'!B1462)*VLOOKUP(A1462,'Output - State'!$B$2:$G$52,6,FALSE)</f>
        <v>1.9364818961955343</v>
      </c>
    </row>
    <row r="1463" spans="1:7" x14ac:dyDescent="0.25">
      <c r="A1463" s="88">
        <v>28</v>
      </c>
      <c r="B1463" s="88">
        <v>121</v>
      </c>
      <c r="C1463" s="97">
        <f>SUMIFS(Input!$C$115:$C$3257,Input!$A$115:$A$3257,"="&amp;'Output - County'!A1463,Input!$B$115:$B$3257,"="&amp;'Output - County'!B1463)*VLOOKUP(A1463,'Output - State'!$B$2:$G$52,2,FALSE)</f>
        <v>43.920608100495954</v>
      </c>
      <c r="D1463" s="98">
        <f>SUMIFS(Input!$C$115:$C$3257,Input!$A$115:$A$3257,"="&amp;'Output - County'!A1463,Input!$B$115:$B$3257,"="&amp;'Output - County'!B1463)*VLOOKUP(A1463,'Output - State'!$B$2:$G$52,3,FALSE)</f>
        <v>6.9158569471676481</v>
      </c>
      <c r="E1463" s="98">
        <f>SUMIFS(Input!$C$115:$C$3257,Input!$A$115:$A$3257,"="&amp;'Output - County'!A1463,Input!$B$115:$B$3257,"="&amp;'Output - County'!B1463)*VLOOKUP(A1463,'Output - State'!$B$2:$G$52,4,FALSE)</f>
        <v>10.757622365418452</v>
      </c>
      <c r="F1463" s="98">
        <f>SUMIFS(Input!$C$115:$C$3257,Input!$A$115:$A$3257,"="&amp;'Output - County'!A1463,Input!$B$115:$B$3257,"="&amp;'Output - County'!B1463)*VLOOKUP(A1463,'Output - State'!$B$2:$G$52,5,FALSE)</f>
        <v>194.21460750865305</v>
      </c>
      <c r="G1463" s="99">
        <f>SUMIFS(Input!$D$115:$D$3257,Input!$A$115:$A$3257,"="&amp;'Output - County'!A1463,Input!$B$115:$B$3257,"="&amp;'Output - County'!B1463)*VLOOKUP(A1463,'Output - State'!$B$2:$G$52,6,FALSE)</f>
        <v>42.240539945341688</v>
      </c>
    </row>
    <row r="1464" spans="1:7" x14ac:dyDescent="0.25">
      <c r="A1464" s="88">
        <v>28</v>
      </c>
      <c r="B1464" s="88">
        <v>123</v>
      </c>
      <c r="C1464" s="97">
        <f>SUMIFS(Input!$C$115:$C$3257,Input!$A$115:$A$3257,"="&amp;'Output - County'!A1464,Input!$B$115:$B$3257,"="&amp;'Output - County'!B1464)*VLOOKUP(A1464,'Output - State'!$B$2:$G$52,2,FALSE)</f>
        <v>9.3446866181454435</v>
      </c>
      <c r="D1464" s="98">
        <f>SUMIFS(Input!$C$115:$C$3257,Input!$A$115:$A$3257,"="&amp;'Output - County'!A1464,Input!$B$115:$B$3257,"="&amp;'Output - County'!B1464)*VLOOKUP(A1464,'Output - State'!$B$2:$G$52,3,FALSE)</f>
        <v>1.4714394600214096</v>
      </c>
      <c r="E1464" s="98">
        <f>SUMIFS(Input!$C$115:$C$3257,Input!$A$115:$A$3257,"="&amp;'Output - County'!A1464,Input!$B$115:$B$3257,"="&amp;'Output - County'!B1464)*VLOOKUP(A1464,'Output - State'!$B$2:$G$52,4,FALSE)</f>
        <v>2.2888255447458796</v>
      </c>
      <c r="F1464" s="98">
        <f>SUMIFS(Input!$C$115:$C$3257,Input!$A$115:$A$3257,"="&amp;'Output - County'!A1464,Input!$B$115:$B$3257,"="&amp;'Output - County'!B1464)*VLOOKUP(A1464,'Output - State'!$B$2:$G$52,5,FALSE)</f>
        <v>41.321710293305024</v>
      </c>
      <c r="G1464" s="99">
        <f>SUMIFS(Input!$D$115:$D$3257,Input!$A$115:$A$3257,"="&amp;'Output - County'!A1464,Input!$B$115:$B$3257,"="&amp;'Output - County'!B1464)*VLOOKUP(A1464,'Output - State'!$B$2:$G$52,6,FALSE)</f>
        <v>7.762384938007596</v>
      </c>
    </row>
    <row r="1465" spans="1:7" x14ac:dyDescent="0.25">
      <c r="A1465" s="88">
        <v>28</v>
      </c>
      <c r="B1465" s="88">
        <v>125</v>
      </c>
      <c r="C1465" s="97">
        <f>SUMIFS(Input!$C$115:$C$3257,Input!$A$115:$A$3257,"="&amp;'Output - County'!A1465,Input!$B$115:$B$3257,"="&amp;'Output - County'!B1465)*VLOOKUP(A1465,'Output - State'!$B$2:$G$52,2,FALSE)</f>
        <v>0.88219293443323721</v>
      </c>
      <c r="D1465" s="98">
        <f>SUMIFS(Input!$C$115:$C$3257,Input!$A$115:$A$3257,"="&amp;'Output - County'!A1465,Input!$B$115:$B$3257,"="&amp;'Output - County'!B1465)*VLOOKUP(A1465,'Output - State'!$B$2:$G$52,3,FALSE)</f>
        <v>0.13891246952642766</v>
      </c>
      <c r="E1465" s="98">
        <f>SUMIFS(Input!$C$115:$C$3257,Input!$A$115:$A$3257,"="&amp;'Output - County'!A1465,Input!$B$115:$B$3257,"="&amp;'Output - County'!B1465)*VLOOKUP(A1465,'Output - State'!$B$2:$G$52,4,FALSE)</f>
        <v>0.21607848462293858</v>
      </c>
      <c r="F1465" s="98">
        <f>SUMIFS(Input!$C$115:$C$3257,Input!$A$115:$A$3257,"="&amp;'Output - County'!A1465,Input!$B$115:$B$3257,"="&amp;'Output - County'!B1465)*VLOOKUP(A1465,'Output - State'!$B$2:$G$52,5,FALSE)</f>
        <v>3.9010105259886716</v>
      </c>
      <c r="G1465" s="99">
        <f>SUMIFS(Input!$D$115:$D$3257,Input!$A$115:$A$3257,"="&amp;'Output - County'!A1465,Input!$B$115:$B$3257,"="&amp;'Output - County'!B1465)*VLOOKUP(A1465,'Output - State'!$B$2:$G$52,6,FALSE)</f>
        <v>1.2013867854584195</v>
      </c>
    </row>
    <row r="1466" spans="1:7" x14ac:dyDescent="0.25">
      <c r="A1466" s="88">
        <v>28</v>
      </c>
      <c r="B1466" s="88">
        <v>127</v>
      </c>
      <c r="C1466" s="97">
        <f>SUMIFS(Input!$C$115:$C$3257,Input!$A$115:$A$3257,"="&amp;'Output - County'!A1466,Input!$B$115:$B$3257,"="&amp;'Output - County'!B1466)*VLOOKUP(A1466,'Output - State'!$B$2:$G$52,2,FALSE)</f>
        <v>6.6614936943438305</v>
      </c>
      <c r="D1466" s="98">
        <f>SUMIFS(Input!$C$115:$C$3257,Input!$A$115:$A$3257,"="&amp;'Output - County'!A1466,Input!$B$115:$B$3257,"="&amp;'Output - County'!B1466)*VLOOKUP(A1466,'Output - State'!$B$2:$G$52,3,FALSE)</f>
        <v>1.0489366936616034</v>
      </c>
      <c r="E1466" s="98">
        <f>SUMIFS(Input!$C$115:$C$3257,Input!$A$115:$A$3257,"="&amp;'Output - County'!A1466,Input!$B$115:$B$3257,"="&amp;'Output - County'!B1466)*VLOOKUP(A1466,'Output - State'!$B$2:$G$52,4,FALSE)</f>
        <v>1.6316220711105767</v>
      </c>
      <c r="F1466" s="98">
        <f>SUMIFS(Input!$C$115:$C$3257,Input!$A$115:$A$3257,"="&amp;'Output - County'!A1466,Input!$B$115:$B$3257,"="&amp;'Output - County'!B1466)*VLOOKUP(A1466,'Output - State'!$B$2:$G$52,5,FALSE)</f>
        <v>29.456773009792297</v>
      </c>
      <c r="G1466" s="99">
        <f>SUMIFS(Input!$D$115:$D$3257,Input!$A$115:$A$3257,"="&amp;'Output - County'!A1466,Input!$B$115:$B$3257,"="&amp;'Output - County'!B1466)*VLOOKUP(A1466,'Output - State'!$B$2:$G$52,6,FALSE)</f>
        <v>7.3235221853287209</v>
      </c>
    </row>
    <row r="1467" spans="1:7" x14ac:dyDescent="0.25">
      <c r="A1467" s="88">
        <v>28</v>
      </c>
      <c r="B1467" s="88">
        <v>129</v>
      </c>
      <c r="C1467" s="97">
        <f>SUMIFS(Input!$C$115:$C$3257,Input!$A$115:$A$3257,"="&amp;'Output - County'!A1467,Input!$B$115:$B$3257,"="&amp;'Output - County'!B1467)*VLOOKUP(A1467,'Output - State'!$B$2:$G$52,2,FALSE)</f>
        <v>2.9194552643272806</v>
      </c>
      <c r="D1467" s="98">
        <f>SUMIFS(Input!$C$115:$C$3257,Input!$A$115:$A$3257,"="&amp;'Output - County'!A1467,Input!$B$115:$B$3257,"="&amp;'Output - County'!B1467)*VLOOKUP(A1467,'Output - State'!$B$2:$G$52,3,FALSE)</f>
        <v>0.45970526923362409</v>
      </c>
      <c r="E1467" s="98">
        <f>SUMIFS(Input!$C$115:$C$3257,Input!$A$115:$A$3257,"="&amp;'Output - County'!A1467,Input!$B$115:$B$3257,"="&amp;'Output - County'!B1467)*VLOOKUP(A1467,'Output - State'!$B$2:$G$52,4,FALSE)</f>
        <v>0.71507200388719461</v>
      </c>
      <c r="F1467" s="98">
        <f>SUMIFS(Input!$C$115:$C$3257,Input!$A$115:$A$3257,"="&amp;'Output - County'!A1467,Input!$B$115:$B$3257,"="&amp;'Output - County'!B1467)*VLOOKUP(A1467,'Output - State'!$B$2:$G$52,5,FALSE)</f>
        <v>12.909676865197845</v>
      </c>
      <c r="G1467" s="99">
        <f>SUMIFS(Input!$D$115:$D$3257,Input!$A$115:$A$3257,"="&amp;'Output - County'!A1467,Input!$B$115:$B$3257,"="&amp;'Output - County'!B1467)*VLOOKUP(A1467,'Output - State'!$B$2:$G$52,6,FALSE)</f>
        <v>4.3886275267887465</v>
      </c>
    </row>
    <row r="1468" spans="1:7" x14ac:dyDescent="0.25">
      <c r="A1468" s="88">
        <v>28</v>
      </c>
      <c r="B1468" s="88">
        <v>131</v>
      </c>
      <c r="C1468" s="97">
        <f>SUMIFS(Input!$C$115:$C$3257,Input!$A$115:$A$3257,"="&amp;'Output - County'!A1468,Input!$B$115:$B$3257,"="&amp;'Output - County'!B1468)*VLOOKUP(A1468,'Output - State'!$B$2:$G$52,2,FALSE)</f>
        <v>3.8081639733389845</v>
      </c>
      <c r="D1468" s="98">
        <f>SUMIFS(Input!$C$115:$C$3257,Input!$A$115:$A$3257,"="&amp;'Output - County'!A1468,Input!$B$115:$B$3257,"="&amp;'Output - County'!B1468)*VLOOKUP(A1468,'Output - State'!$B$2:$G$52,3,FALSE)</f>
        <v>0.59964373013024319</v>
      </c>
      <c r="E1468" s="98">
        <f>SUMIFS(Input!$C$115:$C$3257,Input!$A$115:$A$3257,"="&amp;'Output - County'!A1468,Input!$B$115:$B$3257,"="&amp;'Output - County'!B1468)*VLOOKUP(A1468,'Output - State'!$B$2:$G$52,4,FALSE)</f>
        <v>0.93274641910774581</v>
      </c>
      <c r="F1468" s="98">
        <f>SUMIFS(Input!$C$115:$C$3257,Input!$A$115:$A$3257,"="&amp;'Output - County'!A1468,Input!$B$115:$B$3257,"="&amp;'Output - County'!B1468)*VLOOKUP(A1468,'Output - State'!$B$2:$G$52,5,FALSE)</f>
        <v>16.839499801968177</v>
      </c>
      <c r="G1468" s="99">
        <f>SUMIFS(Input!$D$115:$D$3257,Input!$A$115:$A$3257,"="&amp;'Output - County'!A1468,Input!$B$115:$B$3257,"="&amp;'Output - County'!B1468)*VLOOKUP(A1468,'Output - State'!$B$2:$G$52,6,FALSE)</f>
        <v>4.9372059676373405</v>
      </c>
    </row>
    <row r="1469" spans="1:7" x14ac:dyDescent="0.25">
      <c r="A1469" s="88">
        <v>28</v>
      </c>
      <c r="B1469" s="88">
        <v>133</v>
      </c>
      <c r="C1469" s="97">
        <f>SUMIFS(Input!$C$115:$C$3257,Input!$A$115:$A$3257,"="&amp;'Output - County'!A1469,Input!$B$115:$B$3257,"="&amp;'Output - County'!B1469)*VLOOKUP(A1469,'Output - State'!$B$2:$G$52,2,FALSE)</f>
        <v>5.0670618400231717</v>
      </c>
      <c r="D1469" s="98">
        <f>SUMIFS(Input!$C$115:$C$3257,Input!$A$115:$A$3257,"="&amp;'Output - County'!A1469,Input!$B$115:$B$3257,"="&amp;'Output - County'!B1469)*VLOOKUP(A1469,'Output - State'!$B$2:$G$52,3,FALSE)</f>
        <v>0.797873170332007</v>
      </c>
      <c r="E1469" s="98">
        <f>SUMIFS(Input!$C$115:$C$3257,Input!$A$115:$A$3257,"="&amp;'Output - County'!A1469,Input!$B$115:$B$3257,"="&amp;'Output - County'!B1469)*VLOOKUP(A1469,'Output - State'!$B$2:$G$52,4,FALSE)</f>
        <v>1.2410925106607558</v>
      </c>
      <c r="F1469" s="98">
        <f>SUMIFS(Input!$C$115:$C$3257,Input!$A$115:$A$3257,"="&amp;'Output - County'!A1469,Input!$B$115:$B$3257,"="&amp;'Output - County'!B1469)*VLOOKUP(A1469,'Output - State'!$B$2:$G$52,5,FALSE)</f>
        <v>22.406279626876593</v>
      </c>
      <c r="G1469" s="99">
        <f>SUMIFS(Input!$D$115:$D$3257,Input!$A$115:$A$3257,"="&amp;'Output - County'!A1469,Input!$B$115:$B$3257,"="&amp;'Output - County'!B1469)*VLOOKUP(A1469,'Output - State'!$B$2:$G$52,6,FALSE)</f>
        <v>7.1863775751165724</v>
      </c>
    </row>
    <row r="1470" spans="1:7" x14ac:dyDescent="0.25">
      <c r="A1470" s="88">
        <v>28</v>
      </c>
      <c r="B1470" s="88">
        <v>135</v>
      </c>
      <c r="C1470" s="97">
        <f>SUMIFS(Input!$C$115:$C$3257,Input!$A$115:$A$3257,"="&amp;'Output - County'!A1470,Input!$B$115:$B$3257,"="&amp;'Output - County'!B1470)*VLOOKUP(A1470,'Output - State'!$B$2:$G$52,2,FALSE)</f>
        <v>2.0176584862791462</v>
      </c>
      <c r="D1470" s="98">
        <f>SUMIFS(Input!$C$115:$C$3257,Input!$A$115:$A$3257,"="&amp;'Output - County'!A1470,Input!$B$115:$B$3257,"="&amp;'Output - County'!B1470)*VLOOKUP(A1470,'Output - State'!$B$2:$G$52,3,FALSE)</f>
        <v>0.3177059258245522</v>
      </c>
      <c r="E1470" s="98">
        <f>SUMIFS(Input!$C$115:$C$3257,Input!$A$115:$A$3257,"="&amp;'Output - County'!A1470,Input!$B$115:$B$3257,"="&amp;'Output - County'!B1470)*VLOOKUP(A1470,'Output - State'!$B$2:$G$52,4,FALSE)</f>
        <v>0.494191883867104</v>
      </c>
      <c r="F1470" s="98">
        <f>SUMIFS(Input!$C$115:$C$3257,Input!$A$115:$A$3257,"="&amp;'Output - County'!A1470,Input!$B$115:$B$3257,"="&amp;'Output - County'!B1470)*VLOOKUP(A1470,'Output - State'!$B$2:$G$52,5,FALSE)</f>
        <v>8.9219791789445306</v>
      </c>
      <c r="G1470" s="99">
        <f>SUMIFS(Input!$D$115:$D$3257,Input!$A$115:$A$3257,"="&amp;'Output - County'!A1470,Input!$B$115:$B$3257,"="&amp;'Output - County'!B1470)*VLOOKUP(A1470,'Output - State'!$B$2:$G$52,6,FALSE)</f>
        <v>3.8400490859401537</v>
      </c>
    </row>
    <row r="1471" spans="1:7" x14ac:dyDescent="0.25">
      <c r="A1471" s="88">
        <v>28</v>
      </c>
      <c r="B1471" s="88">
        <v>137</v>
      </c>
      <c r="C1471" s="97">
        <f>SUMIFS(Input!$C$115:$C$3257,Input!$A$115:$A$3257,"="&amp;'Output - County'!A1471,Input!$B$115:$B$3257,"="&amp;'Output - County'!B1471)*VLOOKUP(A1471,'Output - State'!$B$2:$G$52,2,FALSE)</f>
        <v>7.7006529199427804</v>
      </c>
      <c r="D1471" s="98">
        <f>SUMIFS(Input!$C$115:$C$3257,Input!$A$115:$A$3257,"="&amp;'Output - County'!A1471,Input!$B$115:$B$3257,"="&amp;'Output - County'!B1471)*VLOOKUP(A1471,'Output - State'!$B$2:$G$52,3,FALSE)</f>
        <v>1.212565497095468</v>
      </c>
      <c r="E1471" s="98">
        <f>SUMIFS(Input!$C$115:$C$3257,Input!$A$115:$A$3257,"="&amp;'Output - County'!A1471,Input!$B$115:$B$3257,"="&amp;'Output - County'!B1471)*VLOOKUP(A1471,'Output - State'!$B$2:$G$52,4,FALSE)</f>
        <v>1.8861468377293693</v>
      </c>
      <c r="F1471" s="98">
        <f>SUMIFS(Input!$C$115:$C$3257,Input!$A$115:$A$3257,"="&amp;'Output - County'!A1471,Input!$B$115:$B$3257,"="&amp;'Output - County'!B1471)*VLOOKUP(A1471,'Output - State'!$B$2:$G$52,5,FALSE)</f>
        <v>34.05188017854794</v>
      </c>
      <c r="G1471" s="99">
        <f>SUMIFS(Input!$D$115:$D$3257,Input!$A$115:$A$3257,"="&amp;'Output - County'!A1471,Input!$B$115:$B$3257,"="&amp;'Output - County'!B1471)*VLOOKUP(A1471,'Output - State'!$B$2:$G$52,6,FALSE)</f>
        <v>7.762384938007596</v>
      </c>
    </row>
    <row r="1472" spans="1:7" x14ac:dyDescent="0.25">
      <c r="A1472" s="88">
        <v>28</v>
      </c>
      <c r="B1472" s="88">
        <v>139</v>
      </c>
      <c r="C1472" s="97">
        <f>SUMIFS(Input!$C$115:$C$3257,Input!$A$115:$A$3257,"="&amp;'Output - County'!A1472,Input!$B$115:$B$3257,"="&amp;'Output - County'!B1472)*VLOOKUP(A1472,'Output - State'!$B$2:$G$52,2,FALSE)</f>
        <v>4.0880508597220206</v>
      </c>
      <c r="D1472" s="98">
        <f>SUMIFS(Input!$C$115:$C$3257,Input!$A$115:$A$3257,"="&amp;'Output - County'!A1472,Input!$B$115:$B$3257,"="&amp;'Output - County'!B1472)*VLOOKUP(A1472,'Output - State'!$B$2:$G$52,3,FALSE)</f>
        <v>0.64371547119503469</v>
      </c>
      <c r="E1472" s="98">
        <f>SUMIFS(Input!$C$115:$C$3257,Input!$A$115:$A$3257,"="&amp;'Output - County'!A1472,Input!$B$115:$B$3257,"="&amp;'Output - County'!B1472)*VLOOKUP(A1472,'Output - State'!$B$2:$G$52,4,FALSE)</f>
        <v>1.0013000562033918</v>
      </c>
      <c r="F1472" s="98">
        <f>SUMIFS(Input!$C$115:$C$3257,Input!$A$115:$A$3257,"="&amp;'Output - County'!A1472,Input!$B$115:$B$3257,"="&amp;'Output - County'!B1472)*VLOOKUP(A1472,'Output - State'!$B$2:$G$52,5,FALSE)</f>
        <v>18.077144819571807</v>
      </c>
      <c r="G1472" s="99">
        <f>SUMIFS(Input!$D$115:$D$3257,Input!$A$115:$A$3257,"="&amp;'Output - County'!A1472,Input!$B$115:$B$3257,"="&amp;'Output - County'!B1472)*VLOOKUP(A1472,'Output - State'!$B$2:$G$52,6,FALSE)</f>
        <v>6.0343628493345269</v>
      </c>
    </row>
    <row r="1473" spans="1:7" x14ac:dyDescent="0.25">
      <c r="A1473" s="88">
        <v>28</v>
      </c>
      <c r="B1473" s="88">
        <v>141</v>
      </c>
      <c r="C1473" s="97">
        <f>SUMIFS(Input!$C$115:$C$3257,Input!$A$115:$A$3257,"="&amp;'Output - County'!A1473,Input!$B$115:$B$3257,"="&amp;'Output - County'!B1473)*VLOOKUP(A1473,'Output - State'!$B$2:$G$52,2,FALSE)</f>
        <v>4.2075187716401414</v>
      </c>
      <c r="D1473" s="98">
        <f>SUMIFS(Input!$C$115:$C$3257,Input!$A$115:$A$3257,"="&amp;'Output - County'!A1473,Input!$B$115:$B$3257,"="&amp;'Output - County'!B1473)*VLOOKUP(A1473,'Output - State'!$B$2:$G$52,3,FALSE)</f>
        <v>0.66252720956423128</v>
      </c>
      <c r="E1473" s="98">
        <f>SUMIFS(Input!$C$115:$C$3257,Input!$A$115:$A$3257,"="&amp;'Output - County'!A1473,Input!$B$115:$B$3257,"="&amp;'Output - County'!B1473)*VLOOKUP(A1473,'Output - State'!$B$2:$G$52,4,FALSE)</f>
        <v>1.0305617339620314</v>
      </c>
      <c r="F1473" s="98">
        <f>SUMIFS(Input!$C$115:$C$3257,Input!$A$115:$A$3257,"="&amp;'Output - County'!A1473,Input!$B$115:$B$3257,"="&amp;'Output - County'!B1473)*VLOOKUP(A1473,'Output - State'!$B$2:$G$52,5,FALSE)</f>
        <v>18.605425611357884</v>
      </c>
      <c r="G1473" s="99">
        <f>SUMIFS(Input!$D$115:$D$3257,Input!$A$115:$A$3257,"="&amp;'Output - County'!A1473,Input!$B$115:$B$3257,"="&amp;'Output - County'!B1473)*VLOOKUP(A1473,'Output - State'!$B$2:$G$52,6,FALSE)</f>
        <v>5.3212108762313557</v>
      </c>
    </row>
    <row r="1474" spans="1:7" x14ac:dyDescent="0.25">
      <c r="A1474" s="88">
        <v>28</v>
      </c>
      <c r="B1474" s="88">
        <v>143</v>
      </c>
      <c r="C1474" s="97">
        <f>SUMIFS(Input!$C$115:$C$3257,Input!$A$115:$A$3257,"="&amp;'Output - County'!A1474,Input!$B$115:$B$3257,"="&amp;'Output - County'!B1474)*VLOOKUP(A1474,'Output - State'!$B$2:$G$52,2,FALSE)</f>
        <v>3.2154079487047862</v>
      </c>
      <c r="D1474" s="98">
        <f>SUMIFS(Input!$C$115:$C$3257,Input!$A$115:$A$3257,"="&amp;'Output - County'!A1474,Input!$B$115:$B$3257,"="&amp;'Output - County'!B1474)*VLOOKUP(A1474,'Output - State'!$B$2:$G$52,3,FALSE)</f>
        <v>0.50630677401247015</v>
      </c>
      <c r="E1474" s="98">
        <f>SUMIFS(Input!$C$115:$C$3257,Input!$A$115:$A$3257,"="&amp;'Output - County'!A1474,Input!$B$115:$B$3257,"="&amp;'Output - County'!B1474)*VLOOKUP(A1474,'Output - State'!$B$2:$G$52,4,FALSE)</f>
        <v>0.78756069095819925</v>
      </c>
      <c r="F1474" s="98">
        <f>SUMIFS(Input!$C$115:$C$3257,Input!$A$115:$A$3257,"="&amp;'Output - County'!A1474,Input!$B$115:$B$3257,"="&amp;'Output - County'!B1474)*VLOOKUP(A1474,'Output - State'!$B$2:$G$52,5,FALSE)</f>
        <v>14.218363992343074</v>
      </c>
      <c r="G1474" s="99">
        <f>SUMIFS(Input!$D$115:$D$3257,Input!$A$115:$A$3257,"="&amp;'Output - County'!A1474,Input!$B$115:$B$3257,"="&amp;'Output - County'!B1474)*VLOOKUP(A1474,'Output - State'!$B$2:$G$52,6,FALSE)</f>
        <v>2.7209490666090232</v>
      </c>
    </row>
    <row r="1475" spans="1:7" x14ac:dyDescent="0.25">
      <c r="A1475" s="88">
        <v>28</v>
      </c>
      <c r="B1475" s="88">
        <v>145</v>
      </c>
      <c r="C1475" s="97">
        <f>SUMIFS(Input!$C$115:$C$3257,Input!$A$115:$A$3257,"="&amp;'Output - County'!A1475,Input!$B$115:$B$3257,"="&amp;'Output - County'!B1475)*VLOOKUP(A1475,'Output - State'!$B$2:$G$52,2,FALSE)</f>
        <v>9.468592199405812</v>
      </c>
      <c r="D1475" s="98">
        <f>SUMIFS(Input!$C$115:$C$3257,Input!$A$115:$A$3257,"="&amp;'Output - County'!A1475,Input!$B$115:$B$3257,"="&amp;'Output - County'!B1475)*VLOOKUP(A1475,'Output - State'!$B$2:$G$52,3,FALSE)</f>
        <v>1.4909499657273333</v>
      </c>
      <c r="E1475" s="98">
        <f>SUMIFS(Input!$C$115:$C$3257,Input!$A$115:$A$3257,"="&amp;'Output - County'!A1475,Input!$B$115:$B$3257,"="&amp;'Output - County'!B1475)*VLOOKUP(A1475,'Output - State'!$B$2:$G$52,4,FALSE)</f>
        <v>2.3191741557923566</v>
      </c>
      <c r="F1475" s="98">
        <f>SUMIFS(Input!$C$115:$C$3257,Input!$A$115:$A$3257,"="&amp;'Output - County'!A1475,Input!$B$115:$B$3257,"="&amp;'Output - County'!B1475)*VLOOKUP(A1475,'Output - State'!$B$2:$G$52,5,FALSE)</f>
        <v>41.869614224360618</v>
      </c>
      <c r="G1475" s="99">
        <f>SUMIFS(Input!$D$115:$D$3257,Input!$A$115:$A$3257,"="&amp;'Output - County'!A1475,Input!$B$115:$B$3257,"="&amp;'Output - County'!B1475)*VLOOKUP(A1475,'Output - State'!$B$2:$G$52,6,FALSE)</f>
        <v>7.8446717041348846</v>
      </c>
    </row>
    <row r="1476" spans="1:7" x14ac:dyDescent="0.25">
      <c r="A1476" s="88">
        <v>28</v>
      </c>
      <c r="B1476" s="88">
        <v>147</v>
      </c>
      <c r="C1476" s="97">
        <f>SUMIFS(Input!$C$115:$C$3257,Input!$A$115:$A$3257,"="&amp;'Output - County'!A1476,Input!$B$115:$B$3257,"="&amp;'Output - County'!B1476)*VLOOKUP(A1476,'Output - State'!$B$2:$G$52,2,FALSE)</f>
        <v>2.3884918257322121</v>
      </c>
      <c r="D1476" s="98">
        <f>SUMIFS(Input!$C$115:$C$3257,Input!$A$115:$A$3257,"="&amp;'Output - County'!A1476,Input!$B$115:$B$3257,"="&amp;'Output - County'!B1476)*VLOOKUP(A1476,'Output - State'!$B$2:$G$52,3,FALSE)</f>
        <v>0.37609833972350515</v>
      </c>
      <c r="E1476" s="98">
        <f>SUMIFS(Input!$C$115:$C$3257,Input!$A$115:$A$3257,"="&amp;'Output - County'!A1476,Input!$B$115:$B$3257,"="&amp;'Output - County'!B1476)*VLOOKUP(A1476,'Output - State'!$B$2:$G$52,4,FALSE)</f>
        <v>0.58502134181119991</v>
      </c>
      <c r="F1476" s="98">
        <f>SUMIFS(Input!$C$115:$C$3257,Input!$A$115:$A$3257,"="&amp;'Output - County'!A1476,Input!$B$115:$B$3257,"="&amp;'Output - County'!B1476)*VLOOKUP(A1476,'Output - State'!$B$2:$G$52,5,FALSE)</f>
        <v>10.561784604866833</v>
      </c>
      <c r="G1476" s="99">
        <f>SUMIFS(Input!$D$115:$D$3257,Input!$A$115:$A$3257,"="&amp;'Output - County'!A1476,Input!$B$115:$B$3257,"="&amp;'Output - County'!B1476)*VLOOKUP(A1476,'Output - State'!$B$2:$G$52,6,FALSE)</f>
        <v>3.9497647741098718</v>
      </c>
    </row>
    <row r="1477" spans="1:7" x14ac:dyDescent="0.25">
      <c r="A1477" s="88">
        <v>28</v>
      </c>
      <c r="B1477" s="88">
        <v>149</v>
      </c>
      <c r="C1477" s="97">
        <f>SUMIFS(Input!$C$115:$C$3257,Input!$A$115:$A$3257,"="&amp;'Output - County'!A1477,Input!$B$115:$B$3257,"="&amp;'Output - County'!B1477)*VLOOKUP(A1477,'Output - State'!$B$2:$G$52,2,FALSE)</f>
        <v>12.225752302841915</v>
      </c>
      <c r="D1477" s="98">
        <f>SUMIFS(Input!$C$115:$C$3257,Input!$A$115:$A$3257,"="&amp;'Output - County'!A1477,Input!$B$115:$B$3257,"="&amp;'Output - County'!B1477)*VLOOKUP(A1477,'Output - State'!$B$2:$G$52,3,FALSE)</f>
        <v>1.9250998029101825</v>
      </c>
      <c r="E1477" s="98">
        <f>SUMIFS(Input!$C$115:$C$3257,Input!$A$115:$A$3257,"="&amp;'Output - County'!A1477,Input!$B$115:$B$3257,"="&amp;'Output - County'!B1477)*VLOOKUP(A1477,'Output - State'!$B$2:$G$52,4,FALSE)</f>
        <v>2.9944946596864899</v>
      </c>
      <c r="F1477" s="98">
        <f>SUMIFS(Input!$C$115:$C$3257,Input!$A$115:$A$3257,"="&amp;'Output - County'!A1477,Input!$B$115:$B$3257,"="&amp;'Output - County'!B1477)*VLOOKUP(A1477,'Output - State'!$B$2:$G$52,5,FALSE)</f>
        <v>54.061630466533579</v>
      </c>
      <c r="G1477" s="99">
        <f>SUMIFS(Input!$D$115:$D$3257,Input!$A$115:$A$3257,"="&amp;'Output - County'!A1477,Input!$B$115:$B$3257,"="&amp;'Output - County'!B1477)*VLOOKUP(A1477,'Output - State'!$B$2:$G$52,6,FALSE)</f>
        <v>12.644733061560077</v>
      </c>
    </row>
    <row r="1478" spans="1:7" x14ac:dyDescent="0.25">
      <c r="A1478" s="88">
        <v>28</v>
      </c>
      <c r="B1478" s="88">
        <v>151</v>
      </c>
      <c r="C1478" s="97">
        <f>SUMIFS(Input!$C$115:$C$3257,Input!$A$115:$A$3257,"="&amp;'Output - County'!A1478,Input!$B$115:$B$3257,"="&amp;'Output - County'!B1478)*VLOOKUP(A1478,'Output - State'!$B$2:$G$52,2,FALSE)</f>
        <v>9.1763950080321592</v>
      </c>
      <c r="D1478" s="98">
        <f>SUMIFS(Input!$C$115:$C$3257,Input!$A$115:$A$3257,"="&amp;'Output - County'!A1478,Input!$B$115:$B$3257,"="&amp;'Output - County'!B1478)*VLOOKUP(A1478,'Output - State'!$B$2:$G$52,3,FALSE)</f>
        <v>1.4449398109662581</v>
      </c>
      <c r="E1478" s="98">
        <f>SUMIFS(Input!$C$115:$C$3257,Input!$A$115:$A$3257,"="&amp;'Output - County'!A1478,Input!$B$115:$B$3257,"="&amp;'Output - County'!B1478)*VLOOKUP(A1478,'Output - State'!$B$2:$G$52,4,FALSE)</f>
        <v>2.2476053142626293</v>
      </c>
      <c r="F1478" s="98">
        <f>SUMIFS(Input!$C$115:$C$3257,Input!$A$115:$A$3257,"="&amp;'Output - County'!A1478,Input!$B$115:$B$3257,"="&amp;'Output - County'!B1478)*VLOOKUP(A1478,'Output - State'!$B$2:$G$52,5,FALSE)</f>
        <v>40.577533688774317</v>
      </c>
      <c r="G1478" s="99">
        <f>SUMIFS(Input!$D$115:$D$3257,Input!$A$115:$A$3257,"="&amp;'Output - County'!A1478,Input!$B$115:$B$3257,"="&amp;'Output - County'!B1478)*VLOOKUP(A1478,'Output - State'!$B$2:$G$52,6,FALSE)</f>
        <v>12.343014919093351</v>
      </c>
    </row>
    <row r="1479" spans="1:7" x14ac:dyDescent="0.25">
      <c r="A1479" s="88">
        <v>28</v>
      </c>
      <c r="B1479" s="88">
        <v>153</v>
      </c>
      <c r="C1479" s="97">
        <f>SUMIFS(Input!$C$115:$C$3257,Input!$A$115:$A$3257,"="&amp;'Output - County'!A1479,Input!$B$115:$B$3257,"="&amp;'Output - County'!B1479)*VLOOKUP(A1479,'Output - State'!$B$2:$G$52,2,FALSE)</f>
        <v>3.9948766474138222</v>
      </c>
      <c r="D1479" s="98">
        <f>SUMIFS(Input!$C$115:$C$3257,Input!$A$115:$A$3257,"="&amp;'Output - County'!A1479,Input!$B$115:$B$3257,"="&amp;'Output - County'!B1479)*VLOOKUP(A1479,'Output - State'!$B$2:$G$52,3,FALSE)</f>
        <v>0.62904400940620642</v>
      </c>
      <c r="E1479" s="98">
        <f>SUMIFS(Input!$C$115:$C$3257,Input!$A$115:$A$3257,"="&amp;'Output - County'!A1479,Input!$B$115:$B$3257,"="&amp;'Output - County'!B1479)*VLOOKUP(A1479,'Output - State'!$B$2:$G$52,4,FALSE)</f>
        <v>0.97847858278677924</v>
      </c>
      <c r="F1479" s="98">
        <f>SUMIFS(Input!$C$115:$C$3257,Input!$A$115:$A$3257,"="&amp;'Output - County'!A1479,Input!$B$115:$B$3257,"="&amp;'Output - County'!B1479)*VLOOKUP(A1479,'Output - State'!$B$2:$G$52,5,FALSE)</f>
        <v>17.665133377654623</v>
      </c>
      <c r="G1479" s="99">
        <f>SUMIFS(Input!$D$115:$D$3257,Input!$A$115:$A$3257,"="&amp;'Output - County'!A1479,Input!$B$115:$B$3257,"="&amp;'Output - County'!B1479)*VLOOKUP(A1479,'Output - State'!$B$2:$G$52,6,FALSE)</f>
        <v>5.5680711746132223</v>
      </c>
    </row>
    <row r="1480" spans="1:7" x14ac:dyDescent="0.25">
      <c r="A1480" s="88">
        <v>28</v>
      </c>
      <c r="B1480" s="88">
        <v>155</v>
      </c>
      <c r="C1480" s="97">
        <f>SUMIFS(Input!$C$115:$C$3257,Input!$A$115:$A$3257,"="&amp;'Output - County'!A1480,Input!$B$115:$B$3257,"="&amp;'Output - County'!B1480)*VLOOKUP(A1480,'Output - State'!$B$2:$G$52,2,FALSE)</f>
        <v>2.2075011592345479</v>
      </c>
      <c r="D1480" s="98">
        <f>SUMIFS(Input!$C$115:$C$3257,Input!$A$115:$A$3257,"="&amp;'Output - County'!A1480,Input!$B$115:$B$3257,"="&amp;'Output - County'!B1480)*VLOOKUP(A1480,'Output - State'!$B$2:$G$52,3,FALSE)</f>
        <v>0.34759906313320121</v>
      </c>
      <c r="E1480" s="98">
        <f>SUMIFS(Input!$C$115:$C$3257,Input!$A$115:$A$3257,"="&amp;'Output - County'!A1480,Input!$B$115:$B$3257,"="&amp;'Output - County'!B1480)*VLOOKUP(A1480,'Output - State'!$B$2:$G$52,4,FALSE)</f>
        <v>0.54069068870657488</v>
      </c>
      <c r="F1480" s="98">
        <f>SUMIFS(Input!$C$115:$C$3257,Input!$A$115:$A$3257,"="&amp;'Output - County'!A1480,Input!$B$115:$B$3257,"="&amp;'Output - County'!B1480)*VLOOKUP(A1480,'Output - State'!$B$2:$G$52,5,FALSE)</f>
        <v>9.7614534442384695</v>
      </c>
      <c r="G1480" s="99">
        <f>SUMIFS(Input!$D$115:$D$3257,Input!$A$115:$A$3257,"="&amp;'Output - County'!A1480,Input!$B$115:$B$3257,"="&amp;'Output - County'!B1480)*VLOOKUP(A1480,'Output - State'!$B$2:$G$52,6,FALSE)</f>
        <v>2.6852914679538644</v>
      </c>
    </row>
    <row r="1481" spans="1:7" x14ac:dyDescent="0.25">
      <c r="A1481" s="88">
        <v>28</v>
      </c>
      <c r="B1481" s="88">
        <v>157</v>
      </c>
      <c r="C1481" s="97">
        <f>SUMIFS(Input!$C$115:$C$3257,Input!$A$115:$A$3257,"="&amp;'Output - County'!A1481,Input!$B$115:$B$3257,"="&amp;'Output - County'!B1481)*VLOOKUP(A1481,'Output - State'!$B$2:$G$52,2,FALSE)</f>
        <v>1.9664046842247664</v>
      </c>
      <c r="D1481" s="98">
        <f>SUMIFS(Input!$C$115:$C$3257,Input!$A$115:$A$3257,"="&amp;'Output - County'!A1481,Input!$B$115:$B$3257,"="&amp;'Output - County'!B1481)*VLOOKUP(A1481,'Output - State'!$B$2:$G$52,3,FALSE)</f>
        <v>0.30963536445628786</v>
      </c>
      <c r="E1481" s="98">
        <f>SUMIFS(Input!$C$115:$C$3257,Input!$A$115:$A$3257,"="&amp;'Output - County'!A1481,Input!$B$115:$B$3257,"="&amp;'Output - County'!B1481)*VLOOKUP(A1481,'Output - State'!$B$2:$G$52,4,FALSE)</f>
        <v>0.4816381176252677</v>
      </c>
      <c r="F1481" s="98">
        <f>SUMIFS(Input!$C$115:$C$3257,Input!$A$115:$A$3257,"="&amp;'Output - County'!A1481,Input!$B$115:$B$3257,"="&amp;'Output - County'!B1481)*VLOOKUP(A1481,'Output - State'!$B$2:$G$52,5,FALSE)</f>
        <v>8.695337575382462</v>
      </c>
      <c r="G1481" s="99">
        <f>SUMIFS(Input!$D$115:$D$3257,Input!$A$115:$A$3257,"="&amp;'Output - County'!A1481,Input!$B$115:$B$3257,"="&amp;'Output - County'!B1481)*VLOOKUP(A1481,'Output - State'!$B$2:$G$52,6,FALSE)</f>
        <v>2.4082593553253249</v>
      </c>
    </row>
    <row r="1482" spans="1:7" x14ac:dyDescent="0.25">
      <c r="A1482" s="88">
        <v>28</v>
      </c>
      <c r="B1482" s="88">
        <v>159</v>
      </c>
      <c r="C1482" s="97">
        <f>SUMIFS(Input!$C$115:$C$3257,Input!$A$115:$A$3257,"="&amp;'Output - County'!A1482,Input!$B$115:$B$3257,"="&amp;'Output - County'!B1482)*VLOOKUP(A1482,'Output - State'!$B$2:$G$52,2,FALSE)</f>
        <v>3.6900329038767929</v>
      </c>
      <c r="D1482" s="98">
        <f>SUMIFS(Input!$C$115:$C$3257,Input!$A$115:$A$3257,"="&amp;'Output - County'!A1482,Input!$B$115:$B$3257,"="&amp;'Output - County'!B1482)*VLOOKUP(A1482,'Output - State'!$B$2:$G$52,3,FALSE)</f>
        <v>0.58104249456567425</v>
      </c>
      <c r="E1482" s="98">
        <f>SUMIFS(Input!$C$115:$C$3257,Input!$A$115:$A$3257,"="&amp;'Output - County'!A1482,Input!$B$115:$B$3257,"="&amp;'Output - County'!B1482)*VLOOKUP(A1482,'Output - State'!$B$2:$G$52,4,FALSE)</f>
        <v>0.90381217867124064</v>
      </c>
      <c r="F1482" s="98">
        <f>SUMIFS(Input!$C$115:$C$3257,Input!$A$115:$A$3257,"="&amp;'Output - County'!A1482,Input!$B$115:$B$3257,"="&amp;'Output - County'!B1482)*VLOOKUP(A1482,'Output - State'!$B$2:$G$52,5,FALSE)</f>
        <v>16.317130456860728</v>
      </c>
      <c r="G1482" s="99">
        <f>SUMIFS(Input!$D$115:$D$3257,Input!$A$115:$A$3257,"="&amp;'Output - County'!A1482,Input!$B$115:$B$3257,"="&amp;'Output - County'!B1482)*VLOOKUP(A1482,'Output - State'!$B$2:$G$52,6,FALSE)</f>
        <v>4.9920638117221996</v>
      </c>
    </row>
    <row r="1483" spans="1:7" x14ac:dyDescent="0.25">
      <c r="A1483" s="88">
        <v>28</v>
      </c>
      <c r="B1483" s="88">
        <v>161</v>
      </c>
      <c r="C1483" s="97">
        <f>SUMIFS(Input!$C$115:$C$3257,Input!$A$115:$A$3257,"="&amp;'Output - County'!A1483,Input!$B$115:$B$3257,"="&amp;'Output - County'!B1483)*VLOOKUP(A1483,'Output - State'!$B$2:$G$52,2,FALSE)</f>
        <v>4.6324952144422049</v>
      </c>
      <c r="D1483" s="98">
        <f>SUMIFS(Input!$C$115:$C$3257,Input!$A$115:$A$3257,"="&amp;'Output - County'!A1483,Input!$B$115:$B$3257,"="&amp;'Output - County'!B1483)*VLOOKUP(A1483,'Output - State'!$B$2:$G$52,3,FALSE)</f>
        <v>0.72944514197560095</v>
      </c>
      <c r="E1483" s="98">
        <f>SUMIFS(Input!$C$115:$C$3257,Input!$A$115:$A$3257,"="&amp;'Output - County'!A1483,Input!$B$115:$B$3257,"="&amp;'Output - County'!B1483)*VLOOKUP(A1483,'Output - State'!$B$2:$G$52,4,FALSE)</f>
        <v>1.1346526444385607</v>
      </c>
      <c r="F1483" s="98">
        <f>SUMIFS(Input!$C$115:$C$3257,Input!$A$115:$A$3257,"="&amp;'Output - County'!A1483,Input!$B$115:$B$3257,"="&amp;'Output - County'!B1483)*VLOOKUP(A1483,'Output - State'!$B$2:$G$52,5,FALSE)</f>
        <v>20.484648978447247</v>
      </c>
      <c r="G1483" s="99">
        <f>SUMIFS(Input!$D$115:$D$3257,Input!$A$115:$A$3257,"="&amp;'Output - County'!A1483,Input!$B$115:$B$3257,"="&amp;'Output - County'!B1483)*VLOOKUP(A1483,'Output - State'!$B$2:$G$52,6,FALSE)</f>
        <v>3.4011863332612786</v>
      </c>
    </row>
    <row r="1484" spans="1:7" x14ac:dyDescent="0.25">
      <c r="A1484" s="88">
        <v>28</v>
      </c>
      <c r="B1484" s="88">
        <v>163</v>
      </c>
      <c r="C1484" s="97">
        <f>SUMIFS(Input!$C$115:$C$3257,Input!$A$115:$A$3257,"="&amp;'Output - County'!A1484,Input!$B$115:$B$3257,"="&amp;'Output - County'!B1484)*VLOOKUP(A1484,'Output - State'!$B$2:$G$52,2,FALSE)</f>
        <v>7.6363461146511566</v>
      </c>
      <c r="D1484" s="98">
        <f>SUMIFS(Input!$C$115:$C$3257,Input!$A$115:$A$3257,"="&amp;'Output - County'!A1484,Input!$B$115:$B$3257,"="&amp;'Output - County'!B1484)*VLOOKUP(A1484,'Output - State'!$B$2:$G$52,3,FALSE)</f>
        <v>1.2024395747696972</v>
      </c>
      <c r="E1484" s="98">
        <f>SUMIFS(Input!$C$115:$C$3257,Input!$A$115:$A$3257,"="&amp;'Output - County'!A1484,Input!$B$115:$B$3257,"="&amp;'Output - County'!B1484)*VLOOKUP(A1484,'Output - State'!$B$2:$G$52,4,FALSE)</f>
        <v>1.8703959554722092</v>
      </c>
      <c r="F1484" s="98">
        <f>SUMIFS(Input!$C$115:$C$3257,Input!$A$115:$A$3257,"="&amp;'Output - County'!A1484,Input!$B$115:$B$3257,"="&amp;'Output - County'!B1484)*VLOOKUP(A1484,'Output - State'!$B$2:$G$52,5,FALSE)</f>
        <v>33.767518884613409</v>
      </c>
      <c r="G1484" s="99">
        <f>SUMIFS(Input!$D$115:$D$3257,Input!$A$115:$A$3257,"="&amp;'Output - County'!A1484,Input!$B$115:$B$3257,"="&amp;'Output - County'!B1484)*VLOOKUP(A1484,'Output - State'!$B$2:$G$52,6,FALSE)</f>
        <v>7.9818163143470322</v>
      </c>
    </row>
    <row r="1485" spans="1:7" x14ac:dyDescent="0.25">
      <c r="A1485" s="88">
        <v>29</v>
      </c>
      <c r="B1485" s="88">
        <v>1</v>
      </c>
      <c r="C1485" s="97">
        <f>SUMIFS(Input!$C$115:$C$3257,Input!$A$115:$A$3257,"="&amp;'Output - County'!A1485,Input!$B$115:$B$3257,"="&amp;'Output - County'!B1485)*VLOOKUP(A1485,'Output - State'!$B$2:$G$52,2,FALSE)</f>
        <v>4.0245609887745806</v>
      </c>
      <c r="D1485" s="98">
        <f>SUMIFS(Input!$C$115:$C$3257,Input!$A$115:$A$3257,"="&amp;'Output - County'!A1485,Input!$B$115:$B$3257,"="&amp;'Output - County'!B1485)*VLOOKUP(A1485,'Output - State'!$B$2:$G$52,3,FALSE)</f>
        <v>0.46088595312425323</v>
      </c>
      <c r="E1485" s="98">
        <f>SUMIFS(Input!$C$115:$C$3257,Input!$A$115:$A$3257,"="&amp;'Output - County'!A1485,Input!$B$115:$B$3257,"="&amp;'Output - County'!B1485)*VLOOKUP(A1485,'Output - State'!$B$2:$G$52,4,FALSE)</f>
        <v>11.604430419906157</v>
      </c>
      <c r="F1485" s="98">
        <f>SUMIFS(Input!$C$115:$C$3257,Input!$A$115:$A$3257,"="&amp;'Output - County'!A1485,Input!$B$115:$B$3257,"="&amp;'Output - County'!B1485)*VLOOKUP(A1485,'Output - State'!$B$2:$G$52,5,FALSE)</f>
        <v>13.785195435625432</v>
      </c>
      <c r="G1485" s="99">
        <f>SUMIFS(Input!$D$115:$D$3257,Input!$A$115:$A$3257,"="&amp;'Output - County'!A1485,Input!$B$115:$B$3257,"="&amp;'Output - County'!B1485)*VLOOKUP(A1485,'Output - State'!$B$2:$G$52,6,FALSE)</f>
        <v>4.4973569315357969</v>
      </c>
    </row>
    <row r="1486" spans="1:7" x14ac:dyDescent="0.25">
      <c r="A1486" s="88">
        <v>29</v>
      </c>
      <c r="B1486" s="88">
        <v>3</v>
      </c>
      <c r="C1486" s="97">
        <f>SUMIFS(Input!$C$115:$C$3257,Input!$A$115:$A$3257,"="&amp;'Output - County'!A1486,Input!$B$115:$B$3257,"="&amp;'Output - County'!B1486)*VLOOKUP(A1486,'Output - State'!$B$2:$G$52,2,FALSE)</f>
        <v>6.1721431068629933</v>
      </c>
      <c r="D1486" s="98">
        <f>SUMIFS(Input!$C$115:$C$3257,Input!$A$115:$A$3257,"="&amp;'Output - County'!A1486,Input!$B$115:$B$3257,"="&amp;'Output - County'!B1486)*VLOOKUP(A1486,'Output - State'!$B$2:$G$52,3,FALSE)</f>
        <v>0.70682344398810959</v>
      </c>
      <c r="E1486" s="98">
        <f>SUMIFS(Input!$C$115:$C$3257,Input!$A$115:$A$3257,"="&amp;'Output - County'!A1486,Input!$B$115:$B$3257,"="&amp;'Output - County'!B1486)*VLOOKUP(A1486,'Output - State'!$B$2:$G$52,4,FALSE)</f>
        <v>17.79677471035258</v>
      </c>
      <c r="F1486" s="98">
        <f>SUMIFS(Input!$C$115:$C$3257,Input!$A$115:$A$3257,"="&amp;'Output - County'!A1486,Input!$B$115:$B$3257,"="&amp;'Output - County'!B1486)*VLOOKUP(A1486,'Output - State'!$B$2:$G$52,5,FALSE)</f>
        <v>21.141237323045665</v>
      </c>
      <c r="G1486" s="99">
        <f>SUMIFS(Input!$D$115:$D$3257,Input!$A$115:$A$3257,"="&amp;'Output - County'!A1486,Input!$B$115:$B$3257,"="&amp;'Output - County'!B1486)*VLOOKUP(A1486,'Output - State'!$B$2:$G$52,6,FALSE)</f>
        <v>3.1216948113013174</v>
      </c>
    </row>
    <row r="1487" spans="1:7" x14ac:dyDescent="0.25">
      <c r="A1487" s="88">
        <v>29</v>
      </c>
      <c r="B1487" s="88">
        <v>5</v>
      </c>
      <c r="C1487" s="97">
        <f>SUMIFS(Input!$C$115:$C$3257,Input!$A$115:$A$3257,"="&amp;'Output - County'!A1487,Input!$B$115:$B$3257,"="&amp;'Output - County'!B1487)*VLOOKUP(A1487,'Output - State'!$B$2:$G$52,2,FALSE)</f>
        <v>2.9038584160972594</v>
      </c>
      <c r="D1487" s="98">
        <f>SUMIFS(Input!$C$115:$C$3257,Input!$A$115:$A$3257,"="&amp;'Output - County'!A1487,Input!$B$115:$B$3257,"="&amp;'Output - County'!B1487)*VLOOKUP(A1487,'Output - State'!$B$2:$G$52,3,FALSE)</f>
        <v>0.33254498007952343</v>
      </c>
      <c r="E1487" s="98">
        <f>SUMIFS(Input!$C$115:$C$3257,Input!$A$115:$A$3257,"="&amp;'Output - County'!A1487,Input!$B$115:$B$3257,"="&amp;'Output - County'!B1487)*VLOOKUP(A1487,'Output - State'!$B$2:$G$52,4,FALSE)</f>
        <v>8.3729934849664147</v>
      </c>
      <c r="F1487" s="98">
        <f>SUMIFS(Input!$C$115:$C$3257,Input!$A$115:$A$3257,"="&amp;'Output - County'!A1487,Input!$B$115:$B$3257,"="&amp;'Output - County'!B1487)*VLOOKUP(A1487,'Output - State'!$B$2:$G$52,5,FALSE)</f>
        <v>9.9464900382774584</v>
      </c>
      <c r="G1487" s="99">
        <f>SUMIFS(Input!$D$115:$D$3257,Input!$A$115:$A$3257,"="&amp;'Output - County'!A1487,Input!$B$115:$B$3257,"="&amp;'Output - County'!B1487)*VLOOKUP(A1487,'Output - State'!$B$2:$G$52,6,FALSE)</f>
        <v>0.91358074138648737</v>
      </c>
    </row>
    <row r="1488" spans="1:7" x14ac:dyDescent="0.25">
      <c r="A1488" s="88">
        <v>29</v>
      </c>
      <c r="B1488" s="88">
        <v>7</v>
      </c>
      <c r="C1488" s="97">
        <f>SUMIFS(Input!$C$115:$C$3257,Input!$A$115:$A$3257,"="&amp;'Output - County'!A1488,Input!$B$115:$B$3257,"="&amp;'Output - County'!B1488)*VLOOKUP(A1488,'Output - State'!$B$2:$G$52,2,FALSE)</f>
        <v>4.2091783975148944</v>
      </c>
      <c r="D1488" s="98">
        <f>SUMIFS(Input!$C$115:$C$3257,Input!$A$115:$A$3257,"="&amp;'Output - County'!A1488,Input!$B$115:$B$3257,"="&amp;'Output - County'!B1488)*VLOOKUP(A1488,'Output - State'!$B$2:$G$52,3,FALSE)</f>
        <v>0.48202802815503004</v>
      </c>
      <c r="E1488" s="98">
        <f>SUMIFS(Input!$C$115:$C$3257,Input!$A$115:$A$3257,"="&amp;'Output - County'!A1488,Input!$B$115:$B$3257,"="&amp;'Output - County'!B1488)*VLOOKUP(A1488,'Output - State'!$B$2:$G$52,4,FALSE)</f>
        <v>12.136756773017947</v>
      </c>
      <c r="F1488" s="98">
        <f>SUMIFS(Input!$C$115:$C$3257,Input!$A$115:$A$3257,"="&amp;'Output - County'!A1488,Input!$B$115:$B$3257,"="&amp;'Output - County'!B1488)*VLOOKUP(A1488,'Output - State'!$B$2:$G$52,5,FALSE)</f>
        <v>14.417559330073178</v>
      </c>
      <c r="G1488" s="99">
        <f>SUMIFS(Input!$D$115:$D$3257,Input!$A$115:$A$3257,"="&amp;'Output - County'!A1488,Input!$B$115:$B$3257,"="&amp;'Output - County'!B1488)*VLOOKUP(A1488,'Output - State'!$B$2:$G$52,6,FALSE)</f>
        <v>4.479720237686637</v>
      </c>
    </row>
    <row r="1489" spans="1:7" x14ac:dyDescent="0.25">
      <c r="A1489" s="88">
        <v>29</v>
      </c>
      <c r="B1489" s="88">
        <v>9</v>
      </c>
      <c r="C1489" s="97">
        <f>SUMIFS(Input!$C$115:$C$3257,Input!$A$115:$A$3257,"="&amp;'Output - County'!A1489,Input!$B$115:$B$3257,"="&amp;'Output - County'!B1489)*VLOOKUP(A1489,'Output - State'!$B$2:$G$52,2,FALSE)</f>
        <v>4.7420243301985279</v>
      </c>
      <c r="D1489" s="98">
        <f>SUMIFS(Input!$C$115:$C$3257,Input!$A$115:$A$3257,"="&amp;'Output - County'!A1489,Input!$B$115:$B$3257,"="&amp;'Output - County'!B1489)*VLOOKUP(A1489,'Output - State'!$B$2:$G$52,3,FALSE)</f>
        <v>0.54304864785448559</v>
      </c>
      <c r="E1489" s="98">
        <f>SUMIFS(Input!$C$115:$C$3257,Input!$A$115:$A$3257,"="&amp;'Output - County'!A1489,Input!$B$115:$B$3257,"="&amp;'Output - County'!B1489)*VLOOKUP(A1489,'Output - State'!$B$2:$G$52,4,FALSE)</f>
        <v>13.67316622677056</v>
      </c>
      <c r="F1489" s="98">
        <f>SUMIFS(Input!$C$115:$C$3257,Input!$A$115:$A$3257,"="&amp;'Output - County'!A1489,Input!$B$115:$B$3257,"="&amp;'Output - County'!B1489)*VLOOKUP(A1489,'Output - State'!$B$2:$G$52,5,FALSE)</f>
        <v>16.242698852025999</v>
      </c>
      <c r="G1489" s="99">
        <f>SUMIFS(Input!$D$115:$D$3257,Input!$A$115:$A$3257,"="&amp;'Output - County'!A1489,Input!$B$115:$B$3257,"="&amp;'Output - County'!B1489)*VLOOKUP(A1489,'Output - State'!$B$2:$G$52,6,FALSE)</f>
        <v>6.2962997041501154</v>
      </c>
    </row>
    <row r="1490" spans="1:7" x14ac:dyDescent="0.25">
      <c r="A1490" s="88">
        <v>29</v>
      </c>
      <c r="B1490" s="88">
        <v>11</v>
      </c>
      <c r="C1490" s="97">
        <f>SUMIFS(Input!$C$115:$C$3257,Input!$A$115:$A$3257,"="&amp;'Output - County'!A1490,Input!$B$115:$B$3257,"="&amp;'Output - County'!B1490)*VLOOKUP(A1490,'Output - State'!$B$2:$G$52,2,FALSE)</f>
        <v>3.4373625007813167</v>
      </c>
      <c r="D1490" s="98">
        <f>SUMIFS(Input!$C$115:$C$3257,Input!$A$115:$A$3257,"="&amp;'Output - County'!A1490,Input!$B$115:$B$3257,"="&amp;'Output - County'!B1490)*VLOOKUP(A1490,'Output - State'!$B$2:$G$52,3,FALSE)</f>
        <v>0.3936409702387289</v>
      </c>
      <c r="E1490" s="98">
        <f>SUMIFS(Input!$C$115:$C$3257,Input!$A$115:$A$3257,"="&amp;'Output - County'!A1490,Input!$B$115:$B$3257,"="&amp;'Output - County'!B1490)*VLOOKUP(A1490,'Output - State'!$B$2:$G$52,4,FALSE)</f>
        <v>9.911300656039236</v>
      </c>
      <c r="F1490" s="98">
        <f>SUMIFS(Input!$C$115:$C$3257,Input!$A$115:$A$3257,"="&amp;'Output - County'!A1490,Input!$B$115:$B$3257,"="&amp;'Output - County'!B1490)*VLOOKUP(A1490,'Output - State'!$B$2:$G$52,5,FALSE)</f>
        <v>11.77388390647512</v>
      </c>
      <c r="G1490" s="99">
        <f>SUMIFS(Input!$D$115:$D$3257,Input!$A$115:$A$3257,"="&amp;'Output - County'!A1490,Input!$B$115:$B$3257,"="&amp;'Output - County'!B1490)*VLOOKUP(A1490,'Output - State'!$B$2:$G$52,6,FALSE)</f>
        <v>2.0811298742008786</v>
      </c>
    </row>
    <row r="1491" spans="1:7" x14ac:dyDescent="0.25">
      <c r="A1491" s="88">
        <v>29</v>
      </c>
      <c r="B1491" s="88">
        <v>13</v>
      </c>
      <c r="C1491" s="97">
        <f>SUMIFS(Input!$C$115:$C$3257,Input!$A$115:$A$3257,"="&amp;'Output - County'!A1491,Input!$B$115:$B$3257,"="&amp;'Output - County'!B1491)*VLOOKUP(A1491,'Output - State'!$B$2:$G$52,2,FALSE)</f>
        <v>4.8472326063267257</v>
      </c>
      <c r="D1491" s="98">
        <f>SUMIFS(Input!$C$115:$C$3257,Input!$A$115:$A$3257,"="&amp;'Output - County'!A1491,Input!$B$115:$B$3257,"="&amp;'Output - County'!B1491)*VLOOKUP(A1491,'Output - State'!$B$2:$G$52,3,FALSE)</f>
        <v>0.55509692262411903</v>
      </c>
      <c r="E1491" s="98">
        <f>SUMIFS(Input!$C$115:$C$3257,Input!$A$115:$A$3257,"="&amp;'Output - County'!A1491,Input!$B$115:$B$3257,"="&amp;'Output - County'!B1491)*VLOOKUP(A1491,'Output - State'!$B$2:$G$52,4,FALSE)</f>
        <v>13.976524064639898</v>
      </c>
      <c r="F1491" s="98">
        <f>SUMIFS(Input!$C$115:$C$3257,Input!$A$115:$A$3257,"="&amp;'Output - County'!A1491,Input!$B$115:$B$3257,"="&amp;'Output - County'!B1491)*VLOOKUP(A1491,'Output - State'!$B$2:$G$52,5,FALSE)</f>
        <v>16.603065275076293</v>
      </c>
      <c r="G1491" s="99">
        <f>SUMIFS(Input!$D$115:$D$3257,Input!$A$115:$A$3257,"="&amp;'Output - County'!A1491,Input!$B$115:$B$3257,"="&amp;'Output - County'!B1491)*VLOOKUP(A1491,'Output - State'!$B$2:$G$52,6,FALSE)</f>
        <v>2.8747810974130781</v>
      </c>
    </row>
    <row r="1492" spans="1:7" x14ac:dyDescent="0.25">
      <c r="A1492" s="88">
        <v>29</v>
      </c>
      <c r="B1492" s="88">
        <v>15</v>
      </c>
      <c r="C1492" s="97">
        <f>SUMIFS(Input!$C$115:$C$3257,Input!$A$115:$A$3257,"="&amp;'Output - County'!A1492,Input!$B$115:$B$3257,"="&amp;'Output - County'!B1492)*VLOOKUP(A1492,'Output - State'!$B$2:$G$52,2,FALSE)</f>
        <v>3.6250551950354155</v>
      </c>
      <c r="D1492" s="98">
        <f>SUMIFS(Input!$C$115:$C$3257,Input!$A$115:$A$3257,"="&amp;'Output - County'!A1492,Input!$B$115:$B$3257,"="&amp;'Output - County'!B1492)*VLOOKUP(A1492,'Output - State'!$B$2:$G$52,3,FALSE)</f>
        <v>0.41513522179238693</v>
      </c>
      <c r="E1492" s="98">
        <f>SUMIFS(Input!$C$115:$C$3257,Input!$A$115:$A$3257,"="&amp;'Output - County'!A1492,Input!$B$115:$B$3257,"="&amp;'Output - County'!B1492)*VLOOKUP(A1492,'Output - State'!$B$2:$G$52,4,FALSE)</f>
        <v>10.452494296009295</v>
      </c>
      <c r="F1492" s="98">
        <f>SUMIFS(Input!$C$115:$C$3257,Input!$A$115:$A$3257,"="&amp;'Output - County'!A1492,Input!$B$115:$B$3257,"="&amp;'Output - County'!B1492)*VLOOKUP(A1492,'Output - State'!$B$2:$G$52,5,FALSE)</f>
        <v>12.416781474520091</v>
      </c>
      <c r="G1492" s="99">
        <f>SUMIFS(Input!$D$115:$D$3257,Input!$A$115:$A$3257,"="&amp;'Output - County'!A1492,Input!$B$115:$B$3257,"="&amp;'Output - County'!B1492)*VLOOKUP(A1492,'Output - State'!$B$2:$G$52,6,FALSE)</f>
        <v>3.4038819128878774</v>
      </c>
    </row>
    <row r="1493" spans="1:7" x14ac:dyDescent="0.25">
      <c r="A1493" s="88">
        <v>29</v>
      </c>
      <c r="B1493" s="88">
        <v>17</v>
      </c>
      <c r="C1493" s="97">
        <f>SUMIFS(Input!$C$115:$C$3257,Input!$A$115:$A$3257,"="&amp;'Output - County'!A1493,Input!$B$115:$B$3257,"="&amp;'Output - County'!B1493)*VLOOKUP(A1493,'Output - State'!$B$2:$G$52,2,FALSE)</f>
        <v>1.3119998681804033</v>
      </c>
      <c r="D1493" s="98">
        <f>SUMIFS(Input!$C$115:$C$3257,Input!$A$115:$A$3257,"="&amp;'Output - County'!A1493,Input!$B$115:$B$3257,"="&amp;'Output - County'!B1493)*VLOOKUP(A1493,'Output - State'!$B$2:$G$52,3,FALSE)</f>
        <v>0.1502480174686921</v>
      </c>
      <c r="E1493" s="98">
        <f>SUMIFS(Input!$C$115:$C$3257,Input!$A$115:$A$3257,"="&amp;'Output - County'!A1493,Input!$B$115:$B$3257,"="&amp;'Output - County'!B1493)*VLOOKUP(A1493,'Output - State'!$B$2:$G$52,4,FALSE)</f>
        <v>3.7830240922405136</v>
      </c>
      <c r="F1493" s="98">
        <f>SUMIFS(Input!$C$115:$C$3257,Input!$A$115:$A$3257,"="&amp;'Output - County'!A1493,Input!$B$115:$B$3257,"="&amp;'Output - County'!B1493)*VLOOKUP(A1493,'Output - State'!$B$2:$G$52,5,FALSE)</f>
        <v>4.4939496866436208</v>
      </c>
      <c r="G1493" s="99">
        <f>SUMIFS(Input!$D$115:$D$3257,Input!$A$115:$A$3257,"="&amp;'Output - County'!A1493,Input!$B$115:$B$3257,"="&amp;'Output - County'!B1493)*VLOOKUP(A1493,'Output - State'!$B$2:$G$52,6,FALSE)</f>
        <v>2.1516766495975186</v>
      </c>
    </row>
    <row r="1494" spans="1:7" x14ac:dyDescent="0.25">
      <c r="A1494" s="88">
        <v>29</v>
      </c>
      <c r="B1494" s="88">
        <v>19</v>
      </c>
      <c r="C1494" s="97">
        <f>SUMIFS(Input!$C$115:$C$3257,Input!$A$115:$A$3257,"="&amp;'Output - County'!A1494,Input!$B$115:$B$3257,"="&amp;'Output - County'!B1494)*VLOOKUP(A1494,'Output - State'!$B$2:$G$52,2,FALSE)</f>
        <v>39.294434902128174</v>
      </c>
      <c r="D1494" s="98">
        <f>SUMIFS(Input!$C$115:$C$3257,Input!$A$115:$A$3257,"="&amp;'Output - County'!A1494,Input!$B$115:$B$3257,"="&amp;'Output - County'!B1494)*VLOOKUP(A1494,'Output - State'!$B$2:$G$52,3,FALSE)</f>
        <v>4.499932572238289</v>
      </c>
      <c r="E1494" s="98">
        <f>SUMIFS(Input!$C$115:$C$3257,Input!$A$115:$A$3257,"="&amp;'Output - County'!A1494,Input!$B$115:$B$3257,"="&amp;'Output - County'!B1494)*VLOOKUP(A1494,'Output - State'!$B$2:$G$52,4,FALSE)</f>
        <v>113.30168358316284</v>
      </c>
      <c r="F1494" s="98">
        <f>SUMIFS(Input!$C$115:$C$3257,Input!$A$115:$A$3257,"="&amp;'Output - County'!A1494,Input!$B$115:$B$3257,"="&amp;'Output - County'!B1494)*VLOOKUP(A1494,'Output - State'!$B$2:$G$52,5,FALSE)</f>
        <v>134.59392618702296</v>
      </c>
      <c r="G1494" s="99">
        <f>SUMIFS(Input!$D$115:$D$3257,Input!$A$115:$A$3257,"="&amp;'Output - County'!A1494,Input!$B$115:$B$3257,"="&amp;'Output - County'!B1494)*VLOOKUP(A1494,'Output - State'!$B$2:$G$52,6,FALSE)</f>
        <v>31.569681989996376</v>
      </c>
    </row>
    <row r="1495" spans="1:7" x14ac:dyDescent="0.25">
      <c r="A1495" s="88">
        <v>29</v>
      </c>
      <c r="B1495" s="88">
        <v>21</v>
      </c>
      <c r="C1495" s="97">
        <f>SUMIFS(Input!$C$115:$C$3257,Input!$A$115:$A$3257,"="&amp;'Output - County'!A1495,Input!$B$115:$B$3257,"="&amp;'Output - County'!B1495)*VLOOKUP(A1495,'Output - State'!$B$2:$G$52,2,FALSE)</f>
        <v>19.331990113878966</v>
      </c>
      <c r="D1495" s="98">
        <f>SUMIFS(Input!$C$115:$C$3257,Input!$A$115:$A$3257,"="&amp;'Output - County'!A1495,Input!$B$115:$B$3257,"="&amp;'Output - County'!B1495)*VLOOKUP(A1495,'Output - State'!$B$2:$G$52,3,FALSE)</f>
        <v>2.2138669818336298</v>
      </c>
      <c r="E1495" s="98">
        <f>SUMIFS(Input!$C$115:$C$3257,Input!$A$115:$A$3257,"="&amp;'Output - County'!A1495,Input!$B$115:$B$3257,"="&amp;'Output - County'!B1495)*VLOOKUP(A1495,'Output - State'!$B$2:$G$52,4,FALSE)</f>
        <v>55.741914405210551</v>
      </c>
      <c r="F1495" s="98">
        <f>SUMIFS(Input!$C$115:$C$3257,Input!$A$115:$A$3257,"="&amp;'Output - County'!A1495,Input!$B$115:$B$3257,"="&amp;'Output - County'!B1495)*VLOOKUP(A1495,'Output - State'!$B$2:$G$52,5,FALSE)</f>
        <v>66.217225337798695</v>
      </c>
      <c r="G1495" s="99">
        <f>SUMIFS(Input!$D$115:$D$3257,Input!$A$115:$A$3257,"="&amp;'Output - County'!A1495,Input!$B$115:$B$3257,"="&amp;'Output - County'!B1495)*VLOOKUP(A1495,'Output - State'!$B$2:$G$52,6,FALSE)</f>
        <v>15.55556397495911</v>
      </c>
    </row>
    <row r="1496" spans="1:7" x14ac:dyDescent="0.25">
      <c r="A1496" s="88">
        <v>29</v>
      </c>
      <c r="B1496" s="88">
        <v>23</v>
      </c>
      <c r="C1496" s="97">
        <f>SUMIFS(Input!$C$115:$C$3257,Input!$A$115:$A$3257,"="&amp;'Output - County'!A1496,Input!$B$115:$B$3257,"="&amp;'Output - County'!B1496)*VLOOKUP(A1496,'Output - State'!$B$2:$G$52,2,FALSE)</f>
        <v>10.643959286334267</v>
      </c>
      <c r="D1496" s="98">
        <f>SUMIFS(Input!$C$115:$C$3257,Input!$A$115:$A$3257,"="&amp;'Output - County'!A1496,Input!$B$115:$B$3257,"="&amp;'Output - County'!B1496)*VLOOKUP(A1496,'Output - State'!$B$2:$G$52,3,FALSE)</f>
        <v>1.2189283090456071</v>
      </c>
      <c r="E1496" s="98">
        <f>SUMIFS(Input!$C$115:$C$3257,Input!$A$115:$A$3257,"="&amp;'Output - County'!A1496,Input!$B$115:$B$3257,"="&amp;'Output - County'!B1496)*VLOOKUP(A1496,'Output - State'!$B$2:$G$52,4,FALSE)</f>
        <v>30.690821998995013</v>
      </c>
      <c r="F1496" s="98">
        <f>SUMIFS(Input!$C$115:$C$3257,Input!$A$115:$A$3257,"="&amp;'Output - County'!A1496,Input!$B$115:$B$3257,"="&amp;'Output - County'!B1496)*VLOOKUP(A1496,'Output - State'!$B$2:$G$52,5,FALSE)</f>
        <v>36.458401147409354</v>
      </c>
      <c r="G1496" s="99">
        <f>SUMIFS(Input!$D$115:$D$3257,Input!$A$115:$A$3257,"="&amp;'Output - County'!A1496,Input!$B$115:$B$3257,"="&amp;'Output - County'!B1496)*VLOOKUP(A1496,'Output - State'!$B$2:$G$52,6,FALSE)</f>
        <v>7.5132315797421549</v>
      </c>
    </row>
    <row r="1497" spans="1:7" x14ac:dyDescent="0.25">
      <c r="A1497" s="88">
        <v>29</v>
      </c>
      <c r="B1497" s="88">
        <v>25</v>
      </c>
      <c r="C1497" s="97">
        <f>SUMIFS(Input!$C$115:$C$3257,Input!$A$115:$A$3257,"="&amp;'Output - County'!A1497,Input!$B$115:$B$3257,"="&amp;'Output - County'!B1497)*VLOOKUP(A1497,'Output - State'!$B$2:$G$52,2,FALSE)</f>
        <v>3.0692471668556296</v>
      </c>
      <c r="D1497" s="98">
        <f>SUMIFS(Input!$C$115:$C$3257,Input!$A$115:$A$3257,"="&amp;'Output - County'!A1497,Input!$B$115:$B$3257,"="&amp;'Output - County'!B1497)*VLOOKUP(A1497,'Output - State'!$B$2:$G$52,3,FALSE)</f>
        <v>0.35148502155035982</v>
      </c>
      <c r="E1497" s="98">
        <f>SUMIFS(Input!$C$115:$C$3257,Input!$A$115:$A$3257,"="&amp;'Output - County'!A1497,Input!$B$115:$B$3257,"="&amp;'Output - County'!B1497)*VLOOKUP(A1497,'Output - State'!$B$2:$G$52,4,FALSE)</f>
        <v>8.8498758718314452</v>
      </c>
      <c r="F1497" s="98">
        <f>SUMIFS(Input!$C$115:$C$3257,Input!$A$115:$A$3257,"="&amp;'Output - County'!A1497,Input!$B$115:$B$3257,"="&amp;'Output - County'!B1497)*VLOOKUP(A1497,'Output - State'!$B$2:$G$52,5,FALSE)</f>
        <v>10.512990647515903</v>
      </c>
      <c r="G1497" s="99">
        <f>SUMIFS(Input!$D$115:$D$3257,Input!$A$115:$A$3257,"="&amp;'Output - County'!A1497,Input!$B$115:$B$3257,"="&amp;'Output - County'!B1497)*VLOOKUP(A1497,'Output - State'!$B$2:$G$52,6,FALSE)</f>
        <v>1.5996481321188107</v>
      </c>
    </row>
    <row r="1498" spans="1:7" x14ac:dyDescent="0.25">
      <c r="A1498" s="88">
        <v>29</v>
      </c>
      <c r="B1498" s="88">
        <v>27</v>
      </c>
      <c r="C1498" s="97">
        <f>SUMIFS(Input!$C$115:$C$3257,Input!$A$115:$A$3257,"="&amp;'Output - County'!A1498,Input!$B$115:$B$3257,"="&amp;'Output - County'!B1498)*VLOOKUP(A1498,'Output - State'!$B$2:$G$52,2,FALSE)</f>
        <v>18.450910754981951</v>
      </c>
      <c r="D1498" s="98">
        <f>SUMIFS(Input!$C$115:$C$3257,Input!$A$115:$A$3257,"="&amp;'Output - County'!A1498,Input!$B$115:$B$3257,"="&amp;'Output - County'!B1498)*VLOOKUP(A1498,'Output - State'!$B$2:$G$52,3,FALSE)</f>
        <v>2.1129672560657764</v>
      </c>
      <c r="E1498" s="98">
        <f>SUMIFS(Input!$C$115:$C$3257,Input!$A$115:$A$3257,"="&amp;'Output - County'!A1498,Input!$B$115:$B$3257,"="&amp;'Output - County'!B1498)*VLOOKUP(A1498,'Output - State'!$B$2:$G$52,4,FALSE)</f>
        <v>53.201407715597895</v>
      </c>
      <c r="F1498" s="98">
        <f>SUMIFS(Input!$C$115:$C$3257,Input!$A$115:$A$3257,"="&amp;'Output - County'!A1498,Input!$B$115:$B$3257,"="&amp;'Output - County'!B1498)*VLOOKUP(A1498,'Output - State'!$B$2:$G$52,5,FALSE)</f>
        <v>63.199293396757554</v>
      </c>
      <c r="G1498" s="99">
        <f>SUMIFS(Input!$D$115:$D$3257,Input!$A$115:$A$3257,"="&amp;'Output - County'!A1498,Input!$B$115:$B$3257,"="&amp;'Output - County'!B1498)*VLOOKUP(A1498,'Output - State'!$B$2:$G$52,6,FALSE)</f>
        <v>7.9365122321219941</v>
      </c>
    </row>
    <row r="1499" spans="1:7" x14ac:dyDescent="0.25">
      <c r="A1499" s="88">
        <v>29</v>
      </c>
      <c r="B1499" s="88">
        <v>29</v>
      </c>
      <c r="C1499" s="97">
        <f>SUMIFS(Input!$C$115:$C$3257,Input!$A$115:$A$3257,"="&amp;'Output - County'!A1499,Input!$B$115:$B$3257,"="&amp;'Output - County'!B1499)*VLOOKUP(A1499,'Output - State'!$B$2:$G$52,2,FALSE)</f>
        <v>8.4398110958589232</v>
      </c>
      <c r="D1499" s="98">
        <f>SUMIFS(Input!$C$115:$C$3257,Input!$A$115:$A$3257,"="&amp;'Output - County'!A1499,Input!$B$115:$B$3257,"="&amp;'Output - County'!B1499)*VLOOKUP(A1499,'Output - State'!$B$2:$G$52,3,FALSE)</f>
        <v>0.96651296674422427</v>
      </c>
      <c r="E1499" s="98">
        <f>SUMIFS(Input!$C$115:$C$3257,Input!$A$115:$A$3257,"="&amp;'Output - County'!A1499,Input!$B$115:$B$3257,"="&amp;'Output - County'!B1499)*VLOOKUP(A1499,'Output - State'!$B$2:$G$52,4,FALSE)</f>
        <v>24.335374937097889</v>
      </c>
      <c r="F1499" s="98">
        <f>SUMIFS(Input!$C$115:$C$3257,Input!$A$115:$A$3257,"="&amp;'Output - County'!A1499,Input!$B$115:$B$3257,"="&amp;'Output - County'!B1499)*VLOOKUP(A1499,'Output - State'!$B$2:$G$52,5,FALSE)</f>
        <v>28.908605366072607</v>
      </c>
      <c r="G1499" s="99">
        <f>SUMIFS(Input!$D$115:$D$3257,Input!$A$115:$A$3257,"="&amp;'Output - County'!A1499,Input!$B$115:$B$3257,"="&amp;'Output - County'!B1499)*VLOOKUP(A1499,'Output - State'!$B$2:$G$52,6,FALSE)</f>
        <v>8.0952424767644349</v>
      </c>
    </row>
    <row r="1500" spans="1:7" x14ac:dyDescent="0.25">
      <c r="A1500" s="88">
        <v>29</v>
      </c>
      <c r="B1500" s="88">
        <v>31</v>
      </c>
      <c r="C1500" s="97">
        <f>SUMIFS(Input!$C$115:$C$3257,Input!$A$115:$A$3257,"="&amp;'Output - County'!A1500,Input!$B$115:$B$3257,"="&amp;'Output - County'!B1500)*VLOOKUP(A1500,'Output - State'!$B$2:$G$52,2,FALSE)</f>
        <v>17.844409621405855</v>
      </c>
      <c r="D1500" s="98">
        <f>SUMIFS(Input!$C$115:$C$3257,Input!$A$115:$A$3257,"="&amp;'Output - County'!A1500,Input!$B$115:$B$3257,"="&amp;'Output - County'!B1500)*VLOOKUP(A1500,'Output - State'!$B$2:$G$52,3,FALSE)</f>
        <v>2.0435117666847415</v>
      </c>
      <c r="E1500" s="98">
        <f>SUMIFS(Input!$C$115:$C$3257,Input!$A$115:$A$3257,"="&amp;'Output - County'!A1500,Input!$B$115:$B$3257,"="&amp;'Output - County'!B1500)*VLOOKUP(A1500,'Output - State'!$B$2:$G$52,4,FALSE)</f>
        <v>51.452620649428724</v>
      </c>
      <c r="F1500" s="98">
        <f>SUMIFS(Input!$C$115:$C$3257,Input!$A$115:$A$3257,"="&amp;'Output - County'!A1500,Input!$B$115:$B$3257,"="&amp;'Output - County'!B1500)*VLOOKUP(A1500,'Output - State'!$B$2:$G$52,5,FALSE)</f>
        <v>61.121865155119565</v>
      </c>
      <c r="G1500" s="99">
        <f>SUMIFS(Input!$D$115:$D$3257,Input!$A$115:$A$3257,"="&amp;'Output - County'!A1500,Input!$B$115:$B$3257,"="&amp;'Output - County'!B1500)*VLOOKUP(A1500,'Output - State'!$B$2:$G$52,6,FALSE)</f>
        <v>13.86244136543975</v>
      </c>
    </row>
    <row r="1501" spans="1:7" x14ac:dyDescent="0.25">
      <c r="A1501" s="88">
        <v>29</v>
      </c>
      <c r="B1501" s="88">
        <v>33</v>
      </c>
      <c r="C1501" s="97">
        <f>SUMIFS(Input!$C$115:$C$3257,Input!$A$115:$A$3257,"="&amp;'Output - County'!A1501,Input!$B$115:$B$3257,"="&amp;'Output - County'!B1501)*VLOOKUP(A1501,'Output - State'!$B$2:$G$52,2,FALSE)</f>
        <v>1.1547432054730209</v>
      </c>
      <c r="D1501" s="98">
        <f>SUMIFS(Input!$C$115:$C$3257,Input!$A$115:$A$3257,"="&amp;'Output - County'!A1501,Input!$B$115:$B$3257,"="&amp;'Output - County'!B1501)*VLOOKUP(A1501,'Output - State'!$B$2:$G$52,3,FALSE)</f>
        <v>0.13223924903924422</v>
      </c>
      <c r="E1501" s="98">
        <f>SUMIFS(Input!$C$115:$C$3257,Input!$A$115:$A$3257,"="&amp;'Output - County'!A1501,Input!$B$115:$B$3257,"="&amp;'Output - County'!B1501)*VLOOKUP(A1501,'Output - State'!$B$2:$G$52,4,FALSE)</f>
        <v>3.3295897908236736</v>
      </c>
      <c r="F1501" s="98">
        <f>SUMIFS(Input!$C$115:$C$3257,Input!$A$115:$A$3257,"="&amp;'Output - County'!A1501,Input!$B$115:$B$3257,"="&amp;'Output - County'!B1501)*VLOOKUP(A1501,'Output - State'!$B$2:$G$52,5,FALSE)</f>
        <v>3.9553036492194087</v>
      </c>
      <c r="G1501" s="99">
        <f>SUMIFS(Input!$D$115:$D$3257,Input!$A$115:$A$3257,"="&amp;'Output - County'!A1501,Input!$B$115:$B$3257,"="&amp;'Output - County'!B1501)*VLOOKUP(A1501,'Output - State'!$B$2:$G$52,6,FALSE)</f>
        <v>1.539683373031667</v>
      </c>
    </row>
    <row r="1502" spans="1:7" x14ac:dyDescent="0.25">
      <c r="A1502" s="88">
        <v>29</v>
      </c>
      <c r="B1502" s="88">
        <v>35</v>
      </c>
      <c r="C1502" s="97">
        <f>SUMIFS(Input!$C$115:$C$3257,Input!$A$115:$A$3257,"="&amp;'Output - County'!A1502,Input!$B$115:$B$3257,"="&amp;'Output - County'!B1502)*VLOOKUP(A1502,'Output - State'!$B$2:$G$52,2,FALSE)</f>
        <v>2.1789094948674026</v>
      </c>
      <c r="D1502" s="98">
        <f>SUMIFS(Input!$C$115:$C$3257,Input!$A$115:$A$3257,"="&amp;'Output - County'!A1502,Input!$B$115:$B$3257,"="&amp;'Output - County'!B1502)*VLOOKUP(A1502,'Output - State'!$B$2:$G$52,3,FALSE)</f>
        <v>0.24952504934438105</v>
      </c>
      <c r="E1502" s="98">
        <f>SUMIFS(Input!$C$115:$C$3257,Input!$A$115:$A$3257,"="&amp;'Output - County'!A1502,Input!$B$115:$B$3257,"="&amp;'Output - County'!B1502)*VLOOKUP(A1502,'Output - State'!$B$2:$G$52,4,FALSE)</f>
        <v>6.28267373633728</v>
      </c>
      <c r="F1502" s="98">
        <f>SUMIFS(Input!$C$115:$C$3257,Input!$A$115:$A$3257,"="&amp;'Output - County'!A1502,Input!$B$115:$B$3257,"="&amp;'Output - County'!B1502)*VLOOKUP(A1502,'Output - State'!$B$2:$G$52,5,FALSE)</f>
        <v>7.4633465133380348</v>
      </c>
      <c r="G1502" s="99">
        <f>SUMIFS(Input!$D$115:$D$3257,Input!$A$115:$A$3257,"="&amp;'Output - County'!A1502,Input!$B$115:$B$3257,"="&amp;'Output - County'!B1502)*VLOOKUP(A1502,'Output - State'!$B$2:$G$52,6,FALSE)</f>
        <v>1.0723109860289273</v>
      </c>
    </row>
    <row r="1503" spans="1:7" x14ac:dyDescent="0.25">
      <c r="A1503" s="88">
        <v>29</v>
      </c>
      <c r="B1503" s="88">
        <v>37</v>
      </c>
      <c r="C1503" s="97">
        <f>SUMIFS(Input!$C$115:$C$3257,Input!$A$115:$A$3257,"="&amp;'Output - County'!A1503,Input!$B$115:$B$3257,"="&amp;'Output - County'!B1503)*VLOOKUP(A1503,'Output - State'!$B$2:$G$52,2,FALSE)</f>
        <v>22.507254487324914</v>
      </c>
      <c r="D1503" s="98">
        <f>SUMIFS(Input!$C$115:$C$3257,Input!$A$115:$A$3257,"="&amp;'Output - County'!A1503,Input!$B$115:$B$3257,"="&amp;'Output - County'!B1503)*VLOOKUP(A1503,'Output - State'!$B$2:$G$52,3,FALSE)</f>
        <v>2.5774929155091222</v>
      </c>
      <c r="E1503" s="98">
        <f>SUMIFS(Input!$C$115:$C$3257,Input!$A$115:$A$3257,"="&amp;'Output - County'!A1503,Input!$B$115:$B$3257,"="&amp;'Output - County'!B1503)*VLOOKUP(A1503,'Output - State'!$B$2:$G$52,4,FALSE)</f>
        <v>64.897480587270024</v>
      </c>
      <c r="F1503" s="98">
        <f>SUMIFS(Input!$C$115:$C$3257,Input!$A$115:$A$3257,"="&amp;'Output - County'!A1503,Input!$B$115:$B$3257,"="&amp;'Output - County'!B1503)*VLOOKUP(A1503,'Output - State'!$B$2:$G$52,5,FALSE)</f>
        <v>77.09335321107983</v>
      </c>
      <c r="G1503" s="99">
        <f>SUMIFS(Input!$D$115:$D$3257,Input!$A$115:$A$3257,"="&amp;'Output - County'!A1503,Input!$B$115:$B$3257,"="&amp;'Output - County'!B1503)*VLOOKUP(A1503,'Output - State'!$B$2:$G$52,6,FALSE)</f>
        <v>18.518528541617986</v>
      </c>
    </row>
    <row r="1504" spans="1:7" x14ac:dyDescent="0.25">
      <c r="A1504" s="88">
        <v>29</v>
      </c>
      <c r="B1504" s="88">
        <v>39</v>
      </c>
      <c r="C1504" s="97">
        <f>SUMIFS(Input!$C$115:$C$3257,Input!$A$115:$A$3257,"="&amp;'Output - County'!A1504,Input!$B$115:$B$3257,"="&amp;'Output - County'!B1504)*VLOOKUP(A1504,'Output - State'!$B$2:$G$52,2,FALSE)</f>
        <v>1.5083736412827751</v>
      </c>
      <c r="D1504" s="98">
        <f>SUMIFS(Input!$C$115:$C$3257,Input!$A$115:$A$3257,"="&amp;'Output - County'!A1504,Input!$B$115:$B$3257,"="&amp;'Output - County'!B1504)*VLOOKUP(A1504,'Output - State'!$B$2:$G$52,3,FALSE)</f>
        <v>0.17273641156616859</v>
      </c>
      <c r="E1504" s="98">
        <f>SUMIFS(Input!$C$115:$C$3257,Input!$A$115:$A$3257,"="&amp;'Output - County'!A1504,Input!$B$115:$B$3257,"="&amp;'Output - County'!B1504)*VLOOKUP(A1504,'Output - State'!$B$2:$G$52,4,FALSE)</f>
        <v>4.3492487792602965</v>
      </c>
      <c r="F1504" s="98">
        <f>SUMIFS(Input!$C$115:$C$3257,Input!$A$115:$A$3257,"="&amp;'Output - County'!A1504,Input!$B$115:$B$3257,"="&amp;'Output - County'!B1504)*VLOOKUP(A1504,'Output - State'!$B$2:$G$52,5,FALSE)</f>
        <v>5.1665822664946761</v>
      </c>
      <c r="G1504" s="99">
        <f>SUMIFS(Input!$D$115:$D$3257,Input!$A$115:$A$3257,"="&amp;'Output - County'!A1504,Input!$B$115:$B$3257,"="&amp;'Output - County'!B1504)*VLOOKUP(A1504,'Output - State'!$B$2:$G$52,6,FALSE)</f>
        <v>2.4867738327315583</v>
      </c>
    </row>
    <row r="1505" spans="1:7" x14ac:dyDescent="0.25">
      <c r="A1505" s="88">
        <v>29</v>
      </c>
      <c r="B1505" s="88">
        <v>41</v>
      </c>
      <c r="C1505" s="97">
        <f>SUMIFS(Input!$C$115:$C$3257,Input!$A$115:$A$3257,"="&amp;'Output - County'!A1505,Input!$B$115:$B$3257,"="&amp;'Output - County'!B1505)*VLOOKUP(A1505,'Output - State'!$B$2:$G$52,2,FALSE)</f>
        <v>0.88980916873086346</v>
      </c>
      <c r="D1505" s="98">
        <f>SUMIFS(Input!$C$115:$C$3257,Input!$A$115:$A$3257,"="&amp;'Output - County'!A1505,Input!$B$115:$B$3257,"="&amp;'Output - County'!B1505)*VLOOKUP(A1505,'Output - State'!$B$2:$G$52,3,FALSE)</f>
        <v>0.10189944890215047</v>
      </c>
      <c r="E1505" s="98">
        <f>SUMIFS(Input!$C$115:$C$3257,Input!$A$115:$A$3257,"="&amp;'Output - County'!A1505,Input!$B$115:$B$3257,"="&amp;'Output - County'!B1505)*VLOOKUP(A1505,'Output - State'!$B$2:$G$52,4,FALSE)</f>
        <v>2.5656782477225857</v>
      </c>
      <c r="F1505" s="98">
        <f>SUMIFS(Input!$C$115:$C$3257,Input!$A$115:$A$3257,"="&amp;'Output - County'!A1505,Input!$B$115:$B$3257,"="&amp;'Output - County'!B1505)*VLOOKUP(A1505,'Output - State'!$B$2:$G$52,5,FALSE)</f>
        <v>3.0478338694778322</v>
      </c>
      <c r="G1505" s="99">
        <f>SUMIFS(Input!$D$115:$D$3257,Input!$A$115:$A$3257,"="&amp;'Output - County'!A1505,Input!$B$115:$B$3257,"="&amp;'Output - County'!B1505)*VLOOKUP(A1505,'Output - State'!$B$2:$G$52,6,FALSE)</f>
        <v>1.315697361147335</v>
      </c>
    </row>
    <row r="1506" spans="1:7" x14ac:dyDescent="0.25">
      <c r="A1506" s="88">
        <v>29</v>
      </c>
      <c r="B1506" s="88">
        <v>43</v>
      </c>
      <c r="C1506" s="97">
        <f>SUMIFS(Input!$C$115:$C$3257,Input!$A$115:$A$3257,"="&amp;'Output - County'!A1506,Input!$B$115:$B$3257,"="&amp;'Output - County'!B1506)*VLOOKUP(A1506,'Output - State'!$B$2:$G$52,2,FALSE)</f>
        <v>16.012089093234604</v>
      </c>
      <c r="D1506" s="98">
        <f>SUMIFS(Input!$C$115:$C$3257,Input!$A$115:$A$3257,"="&amp;'Output - County'!A1506,Input!$B$115:$B$3257,"="&amp;'Output - County'!B1506)*VLOOKUP(A1506,'Output - State'!$B$2:$G$52,3,FALSE)</f>
        <v>1.833677502671643</v>
      </c>
      <c r="E1506" s="98">
        <f>SUMIFS(Input!$C$115:$C$3257,Input!$A$115:$A$3257,"="&amp;'Output - County'!A1506,Input!$B$115:$B$3257,"="&amp;'Output - County'!B1506)*VLOOKUP(A1506,'Output - State'!$B$2:$G$52,4,FALSE)</f>
        <v>46.169302509776607</v>
      </c>
      <c r="F1506" s="98">
        <f>SUMIFS(Input!$C$115:$C$3257,Input!$A$115:$A$3257,"="&amp;'Output - County'!A1506,Input!$B$115:$B$3257,"="&amp;'Output - County'!B1506)*VLOOKUP(A1506,'Output - State'!$B$2:$G$52,5,FALSE)</f>
        <v>54.845678348160504</v>
      </c>
      <c r="G1506" s="99">
        <f>SUMIFS(Input!$D$115:$D$3257,Input!$A$115:$A$3257,"="&amp;'Output - County'!A1506,Input!$B$115:$B$3257,"="&amp;'Output - County'!B1506)*VLOOKUP(A1506,'Output - State'!$B$2:$G$52,6,FALSE)</f>
        <v>15.34392364876919</v>
      </c>
    </row>
    <row r="1507" spans="1:7" x14ac:dyDescent="0.25">
      <c r="A1507" s="88">
        <v>29</v>
      </c>
      <c r="B1507" s="88">
        <v>45</v>
      </c>
      <c r="C1507" s="97">
        <f>SUMIFS(Input!$C$115:$C$3257,Input!$A$115:$A$3257,"="&amp;'Output - County'!A1507,Input!$B$115:$B$3257,"="&amp;'Output - County'!B1507)*VLOOKUP(A1507,'Output - State'!$B$2:$G$52,2,FALSE)</f>
        <v>1.6053087767317915</v>
      </c>
      <c r="D1507" s="98">
        <f>SUMIFS(Input!$C$115:$C$3257,Input!$A$115:$A$3257,"="&amp;'Output - County'!A1507,Input!$B$115:$B$3257,"="&amp;'Output - County'!B1507)*VLOOKUP(A1507,'Output - State'!$B$2:$G$52,3,FALSE)</f>
        <v>0.18383726018475335</v>
      </c>
      <c r="E1507" s="98">
        <f>SUMIFS(Input!$C$115:$C$3257,Input!$A$115:$A$3257,"="&amp;'Output - County'!A1507,Input!$B$115:$B$3257,"="&amp;'Output - County'!B1507)*VLOOKUP(A1507,'Output - State'!$B$2:$G$52,4,FALSE)</f>
        <v>4.6287518201385005</v>
      </c>
      <c r="F1507" s="98">
        <f>SUMIFS(Input!$C$115:$C$3257,Input!$A$115:$A$3257,"="&amp;'Output - County'!A1507,Input!$B$115:$B$3257,"="&amp;'Output - County'!B1507)*VLOOKUP(A1507,'Output - State'!$B$2:$G$52,5,FALSE)</f>
        <v>5.4986109748359517</v>
      </c>
      <c r="G1507" s="99">
        <f>SUMIFS(Input!$D$115:$D$3257,Input!$A$115:$A$3257,"="&amp;'Output - County'!A1507,Input!$B$115:$B$3257,"="&amp;'Output - County'!B1507)*VLOOKUP(A1507,'Output - State'!$B$2:$G$52,6,FALSE)</f>
        <v>1.2045861898976271</v>
      </c>
    </row>
    <row r="1508" spans="1:7" x14ac:dyDescent="0.25">
      <c r="A1508" s="88">
        <v>29</v>
      </c>
      <c r="B1508" s="88">
        <v>47</v>
      </c>
      <c r="C1508" s="97">
        <f>SUMIFS(Input!$C$115:$C$3257,Input!$A$115:$A$3257,"="&amp;'Output - County'!A1508,Input!$B$115:$B$3257,"="&amp;'Output - County'!B1508)*VLOOKUP(A1508,'Output - State'!$B$2:$G$52,2,FALSE)</f>
        <v>58.204144146794981</v>
      </c>
      <c r="D1508" s="98">
        <f>SUMIFS(Input!$C$115:$C$3257,Input!$A$115:$A$3257,"="&amp;'Output - County'!A1508,Input!$B$115:$B$3257,"="&amp;'Output - County'!B1508)*VLOOKUP(A1508,'Output - State'!$B$2:$G$52,3,FALSE)</f>
        <v>6.6654406594158715</v>
      </c>
      <c r="E1508" s="98">
        <f>SUMIFS(Input!$C$115:$C$3257,Input!$A$115:$A$3257,"="&amp;'Output - County'!A1508,Input!$B$115:$B$3257,"="&amp;'Output - County'!B1508)*VLOOKUP(A1508,'Output - State'!$B$2:$G$52,4,FALSE)</f>
        <v>167.82599214810952</v>
      </c>
      <c r="F1508" s="98">
        <f>SUMIFS(Input!$C$115:$C$3257,Input!$A$115:$A$3257,"="&amp;'Output - County'!A1508,Input!$B$115:$B$3257,"="&amp;'Output - County'!B1508)*VLOOKUP(A1508,'Output - State'!$B$2:$G$52,5,FALSE)</f>
        <v>199.36472685215494</v>
      </c>
      <c r="G1508" s="99">
        <f>SUMIFS(Input!$D$115:$D$3257,Input!$A$115:$A$3257,"="&amp;'Output - County'!A1508,Input!$B$115:$B$3257,"="&amp;'Output - County'!B1508)*VLOOKUP(A1508,'Output - State'!$B$2:$G$52,6,FALSE)</f>
        <v>43.386266868933568</v>
      </c>
    </row>
    <row r="1509" spans="1:7" x14ac:dyDescent="0.25">
      <c r="A1509" s="88">
        <v>29</v>
      </c>
      <c r="B1509" s="88">
        <v>49</v>
      </c>
      <c r="C1509" s="97">
        <f>SUMIFS(Input!$C$115:$C$3257,Input!$A$115:$A$3257,"="&amp;'Output - County'!A1509,Input!$B$115:$B$3257,"="&amp;'Output - County'!B1509)*VLOOKUP(A1509,'Output - State'!$B$2:$G$52,2,FALSE)</f>
        <v>6.1013124784038366</v>
      </c>
      <c r="D1509" s="98">
        <f>SUMIFS(Input!$C$115:$C$3257,Input!$A$115:$A$3257,"="&amp;'Output - County'!A1509,Input!$B$115:$B$3257,"="&amp;'Output - County'!B1509)*VLOOKUP(A1509,'Output - State'!$B$2:$G$52,3,FALSE)</f>
        <v>0.69871203958925909</v>
      </c>
      <c r="E1509" s="98">
        <f>SUMIFS(Input!$C$115:$C$3257,Input!$A$115:$A$3257,"="&amp;'Output - County'!A1509,Input!$B$115:$B$3257,"="&amp;'Output - County'!B1509)*VLOOKUP(A1509,'Output - State'!$B$2:$G$52,4,FALSE)</f>
        <v>17.592541477996278</v>
      </c>
      <c r="F1509" s="98">
        <f>SUMIFS(Input!$C$115:$C$3257,Input!$A$115:$A$3257,"="&amp;'Output - County'!A1509,Input!$B$115:$B$3257,"="&amp;'Output - County'!B1509)*VLOOKUP(A1509,'Output - State'!$B$2:$G$52,5,FALSE)</f>
        <v>20.898623517748366</v>
      </c>
      <c r="G1509" s="99">
        <f>SUMIFS(Input!$D$115:$D$3257,Input!$A$115:$A$3257,"="&amp;'Output - County'!A1509,Input!$B$115:$B$3257,"="&amp;'Output - County'!B1509)*VLOOKUP(A1509,'Output - State'!$B$2:$G$52,6,FALSE)</f>
        <v>3.5978855452286376</v>
      </c>
    </row>
    <row r="1510" spans="1:7" x14ac:dyDescent="0.25">
      <c r="A1510" s="88">
        <v>29</v>
      </c>
      <c r="B1510" s="88">
        <v>51</v>
      </c>
      <c r="C1510" s="97">
        <f>SUMIFS(Input!$C$115:$C$3257,Input!$A$115:$A$3257,"="&amp;'Output - County'!A1510,Input!$B$115:$B$3257,"="&amp;'Output - County'!B1510)*VLOOKUP(A1510,'Output - State'!$B$2:$G$52,2,FALSE)</f>
        <v>17.580745581152357</v>
      </c>
      <c r="D1510" s="98">
        <f>SUMIFS(Input!$C$115:$C$3257,Input!$A$115:$A$3257,"="&amp;'Output - County'!A1510,Input!$B$115:$B$3257,"="&amp;'Output - County'!B1510)*VLOOKUP(A1510,'Output - State'!$B$2:$G$52,3,FALSE)</f>
        <v>2.0133174044087641</v>
      </c>
      <c r="E1510" s="98">
        <f>SUMIFS(Input!$C$115:$C$3257,Input!$A$115:$A$3257,"="&amp;'Output - County'!A1510,Input!$B$115:$B$3257,"="&amp;'Output - County'!B1510)*VLOOKUP(A1510,'Output - State'!$B$2:$G$52,4,FALSE)</f>
        <v>50.692371017757793</v>
      </c>
      <c r="F1510" s="98">
        <f>SUMIFS(Input!$C$115:$C$3257,Input!$A$115:$A$3257,"="&amp;'Output - County'!A1510,Input!$B$115:$B$3257,"="&amp;'Output - County'!B1510)*VLOOKUP(A1510,'Output - State'!$B$2:$G$52,5,FALSE)</f>
        <v>60.218745452280174</v>
      </c>
      <c r="G1510" s="99">
        <f>SUMIFS(Input!$D$115:$D$3257,Input!$A$115:$A$3257,"="&amp;'Output - County'!A1510,Input!$B$115:$B$3257,"="&amp;'Output - County'!B1510)*VLOOKUP(A1510,'Output - State'!$B$2:$G$52,6,FALSE)</f>
        <v>13.527344182305709</v>
      </c>
    </row>
    <row r="1511" spans="1:7" x14ac:dyDescent="0.25">
      <c r="A1511" s="88">
        <v>29</v>
      </c>
      <c r="B1511" s="88">
        <v>53</v>
      </c>
      <c r="C1511" s="97">
        <f>SUMIFS(Input!$C$115:$C$3257,Input!$A$115:$A$3257,"="&amp;'Output - County'!A1511,Input!$B$115:$B$3257,"="&amp;'Output - County'!B1511)*VLOOKUP(A1511,'Output - State'!$B$2:$G$52,2,FALSE)</f>
        <v>8.6171370361596669</v>
      </c>
      <c r="D1511" s="98">
        <f>SUMIFS(Input!$C$115:$C$3257,Input!$A$115:$A$3257,"="&amp;'Output - County'!A1511,Input!$B$115:$B$3257,"="&amp;'Output - County'!B1511)*VLOOKUP(A1511,'Output - State'!$B$2:$G$52,3,FALSE)</f>
        <v>0.98682003507717253</v>
      </c>
      <c r="E1511" s="98">
        <f>SUMIFS(Input!$C$115:$C$3257,Input!$A$115:$A$3257,"="&amp;'Output - County'!A1511,Input!$B$115:$B$3257,"="&amp;'Output - County'!B1511)*VLOOKUP(A1511,'Output - State'!$B$2:$G$52,4,FALSE)</f>
        <v>24.84667704970197</v>
      </c>
      <c r="F1511" s="98">
        <f>SUMIFS(Input!$C$115:$C$3257,Input!$A$115:$A$3257,"="&amp;'Output - County'!A1511,Input!$B$115:$B$3257,"="&amp;'Output - County'!B1511)*VLOOKUP(A1511,'Output - State'!$B$2:$G$52,5,FALSE)</f>
        <v>29.515994035214408</v>
      </c>
      <c r="G1511" s="99">
        <f>SUMIFS(Input!$D$115:$D$3257,Input!$A$115:$A$3257,"="&amp;'Output - County'!A1511,Input!$B$115:$B$3257,"="&amp;'Output - County'!B1511)*VLOOKUP(A1511,'Output - State'!$B$2:$G$52,6,FALSE)</f>
        <v>3.104058117452158</v>
      </c>
    </row>
    <row r="1512" spans="1:7" x14ac:dyDescent="0.25">
      <c r="A1512" s="88">
        <v>29</v>
      </c>
      <c r="B1512" s="88">
        <v>55</v>
      </c>
      <c r="C1512" s="97">
        <f>SUMIFS(Input!$C$115:$C$3257,Input!$A$115:$A$3257,"="&amp;'Output - County'!A1512,Input!$B$115:$B$3257,"="&amp;'Output - County'!B1512)*VLOOKUP(A1512,'Output - State'!$B$2:$G$52,2,FALSE)</f>
        <v>7.0451788375264233</v>
      </c>
      <c r="D1512" s="98">
        <f>SUMIFS(Input!$C$115:$C$3257,Input!$A$115:$A$3257,"="&amp;'Output - County'!A1512,Input!$B$115:$B$3257,"="&amp;'Output - County'!B1512)*VLOOKUP(A1512,'Output - State'!$B$2:$G$52,3,FALSE)</f>
        <v>0.80680202698403014</v>
      </c>
      <c r="E1512" s="98">
        <f>SUMIFS(Input!$C$115:$C$3257,Input!$A$115:$A$3257,"="&amp;'Output - County'!A1512,Input!$B$115:$B$3257,"="&amp;'Output - County'!B1512)*VLOOKUP(A1512,'Output - State'!$B$2:$G$52,4,FALSE)</f>
        <v>20.314088379802143</v>
      </c>
      <c r="F1512" s="98">
        <f>SUMIFS(Input!$C$115:$C$3257,Input!$A$115:$A$3257,"="&amp;'Output - County'!A1512,Input!$B$115:$B$3257,"="&amp;'Output - County'!B1512)*VLOOKUP(A1512,'Output - State'!$B$2:$G$52,5,FALSE)</f>
        <v>24.131617690754762</v>
      </c>
      <c r="G1512" s="99">
        <f>SUMIFS(Input!$D$115:$D$3257,Input!$A$115:$A$3257,"="&amp;'Output - County'!A1512,Input!$B$115:$B$3257,"="&amp;'Output - County'!B1512)*VLOOKUP(A1512,'Output - State'!$B$2:$G$52,6,FALSE)</f>
        <v>4.2328065237983967</v>
      </c>
    </row>
    <row r="1513" spans="1:7" x14ac:dyDescent="0.25">
      <c r="A1513" s="88">
        <v>29</v>
      </c>
      <c r="B1513" s="88">
        <v>57</v>
      </c>
      <c r="C1513" s="97">
        <f>SUMIFS(Input!$C$115:$C$3257,Input!$A$115:$A$3257,"="&amp;'Output - County'!A1513,Input!$B$115:$B$3257,"="&amp;'Output - County'!B1513)*VLOOKUP(A1513,'Output - State'!$B$2:$G$52,2,FALSE)</f>
        <v>0.92790438976769807</v>
      </c>
      <c r="D1513" s="98">
        <f>SUMIFS(Input!$C$115:$C$3257,Input!$A$115:$A$3257,"="&amp;'Output - County'!A1513,Input!$B$115:$B$3257,"="&amp;'Output - County'!B1513)*VLOOKUP(A1513,'Output - State'!$B$2:$G$52,3,FALSE)</f>
        <v>0.1062620495202086</v>
      </c>
      <c r="E1513" s="98">
        <f>SUMIFS(Input!$C$115:$C$3257,Input!$A$115:$A$3257,"="&amp;'Output - County'!A1513,Input!$B$115:$B$3257,"="&amp;'Output - County'!B1513)*VLOOKUP(A1513,'Output - State'!$B$2:$G$52,4,FALSE)</f>
        <v>2.6755221146899237</v>
      </c>
      <c r="F1513" s="98">
        <f>SUMIFS(Input!$C$115:$C$3257,Input!$A$115:$A$3257,"="&amp;'Output - County'!A1513,Input!$B$115:$B$3257,"="&amp;'Output - County'!B1513)*VLOOKUP(A1513,'Output - State'!$B$2:$G$52,5,FALSE)</f>
        <v>3.1783201681377053</v>
      </c>
      <c r="G1513" s="99">
        <f>SUMIFS(Input!$D$115:$D$3257,Input!$A$115:$A$3257,"="&amp;'Output - County'!A1513,Input!$B$115:$B$3257,"="&amp;'Output - County'!B1513)*VLOOKUP(A1513,'Output - State'!$B$2:$G$52,6,FALSE)</f>
        <v>1.3333340549964949</v>
      </c>
    </row>
    <row r="1514" spans="1:7" x14ac:dyDescent="0.25">
      <c r="A1514" s="88">
        <v>29</v>
      </c>
      <c r="B1514" s="88">
        <v>59</v>
      </c>
      <c r="C1514" s="97">
        <f>SUMIFS(Input!$C$115:$C$3257,Input!$A$115:$A$3257,"="&amp;'Output - County'!A1514,Input!$B$115:$B$3257,"="&amp;'Output - County'!B1514)*VLOOKUP(A1514,'Output - State'!$B$2:$G$52,2,FALSE)</f>
        <v>2.7429968973737502</v>
      </c>
      <c r="D1514" s="98">
        <f>SUMIFS(Input!$C$115:$C$3257,Input!$A$115:$A$3257,"="&amp;'Output - County'!A1514,Input!$B$115:$B$3257,"="&amp;'Output - County'!B1514)*VLOOKUP(A1514,'Output - State'!$B$2:$G$52,3,FALSE)</f>
        <v>0.31412338960426672</v>
      </c>
      <c r="E1514" s="98">
        <f>SUMIFS(Input!$C$115:$C$3257,Input!$A$115:$A$3257,"="&amp;'Output - County'!A1514,Input!$B$115:$B$3257,"="&amp;'Output - County'!B1514)*VLOOKUP(A1514,'Output - State'!$B$2:$G$52,4,FALSE)</f>
        <v>7.9091649316225681</v>
      </c>
      <c r="F1514" s="98">
        <f>SUMIFS(Input!$C$115:$C$3257,Input!$A$115:$A$3257,"="&amp;'Output - County'!A1514,Input!$B$115:$B$3257,"="&amp;'Output - County'!B1514)*VLOOKUP(A1514,'Output - State'!$B$2:$G$52,5,FALSE)</f>
        <v>9.3954964069571165</v>
      </c>
      <c r="G1514" s="99">
        <f>SUMIFS(Input!$D$115:$D$3257,Input!$A$115:$A$3257,"="&amp;'Output - County'!A1514,Input!$B$115:$B$3257,"="&amp;'Output - County'!B1514)*VLOOKUP(A1514,'Output - State'!$B$2:$G$52,6,FALSE)</f>
        <v>2.962964566658878</v>
      </c>
    </row>
    <row r="1515" spans="1:7" x14ac:dyDescent="0.25">
      <c r="A1515" s="88">
        <v>29</v>
      </c>
      <c r="B1515" s="88">
        <v>61</v>
      </c>
      <c r="C1515" s="97">
        <f>SUMIFS(Input!$C$115:$C$3257,Input!$A$115:$A$3257,"="&amp;'Output - County'!A1515,Input!$B$115:$B$3257,"="&amp;'Output - County'!B1515)*VLOOKUP(A1515,'Output - State'!$B$2:$G$52,2,FALSE)</f>
        <v>4.0329098550744007</v>
      </c>
      <c r="D1515" s="98">
        <f>SUMIFS(Input!$C$115:$C$3257,Input!$A$115:$A$3257,"="&amp;'Output - County'!A1515,Input!$B$115:$B$3257,"="&amp;'Output - County'!B1515)*VLOOKUP(A1515,'Output - State'!$B$2:$G$52,3,FALSE)</f>
        <v>0.4618420512459695</v>
      </c>
      <c r="E1515" s="98">
        <f>SUMIFS(Input!$C$115:$C$3257,Input!$A$115:$A$3257,"="&amp;'Output - County'!A1515,Input!$B$115:$B$3257,"="&amp;'Output - County'!B1515)*VLOOKUP(A1515,'Output - State'!$B$2:$G$52,4,FALSE)</f>
        <v>11.628503564363802</v>
      </c>
      <c r="F1515" s="98">
        <f>SUMIFS(Input!$C$115:$C$3257,Input!$A$115:$A$3257,"="&amp;'Output - County'!A1515,Input!$B$115:$B$3257,"="&amp;'Output - County'!B1515)*VLOOKUP(A1515,'Output - State'!$B$2:$G$52,5,FALSE)</f>
        <v>13.813792530794309</v>
      </c>
      <c r="G1515" s="99">
        <f>SUMIFS(Input!$D$115:$D$3257,Input!$A$115:$A$3257,"="&amp;'Output - County'!A1515,Input!$B$115:$B$3257,"="&amp;'Output - County'!B1515)*VLOOKUP(A1515,'Output - State'!$B$2:$G$52,6,FALSE)</f>
        <v>1.469136597635027</v>
      </c>
    </row>
    <row r="1516" spans="1:7" x14ac:dyDescent="0.25">
      <c r="A1516" s="88">
        <v>29</v>
      </c>
      <c r="B1516" s="88">
        <v>63</v>
      </c>
      <c r="C1516" s="97">
        <f>SUMIFS(Input!$C$115:$C$3257,Input!$A$115:$A$3257,"="&amp;'Output - County'!A1516,Input!$B$115:$B$3257,"="&amp;'Output - County'!B1516)*VLOOKUP(A1516,'Output - State'!$B$2:$G$52,2,FALSE)</f>
        <v>3.6724393807651134</v>
      </c>
      <c r="D1516" s="98">
        <f>SUMIFS(Input!$C$115:$C$3257,Input!$A$115:$A$3257,"="&amp;'Output - County'!A1516,Input!$B$115:$B$3257,"="&amp;'Output - County'!B1516)*VLOOKUP(A1516,'Output - State'!$B$2:$G$52,3,FALSE)</f>
        <v>0.42056157901842012</v>
      </c>
      <c r="E1516" s="98">
        <f>SUMIFS(Input!$C$115:$C$3257,Input!$A$115:$A$3257,"="&amp;'Output - County'!A1516,Input!$B$115:$B$3257,"="&amp;'Output - County'!B1516)*VLOOKUP(A1516,'Output - State'!$B$2:$G$52,4,FALSE)</f>
        <v>10.58912198977214</v>
      </c>
      <c r="F1516" s="98">
        <f>SUMIFS(Input!$C$115:$C$3257,Input!$A$115:$A$3257,"="&amp;'Output - County'!A1516,Input!$B$115:$B$3257,"="&amp;'Output - County'!B1516)*VLOOKUP(A1516,'Output - State'!$B$2:$G$52,5,FALSE)</f>
        <v>12.579084956232453</v>
      </c>
      <c r="G1516" s="99">
        <f>SUMIFS(Input!$D$115:$D$3257,Input!$A$115:$A$3257,"="&amp;'Output - County'!A1516,Input!$B$115:$B$3257,"="&amp;'Output - County'!B1516)*VLOOKUP(A1516,'Output - State'!$B$2:$G$52,6,FALSE)</f>
        <v>2.2045867311449983</v>
      </c>
    </row>
    <row r="1517" spans="1:7" x14ac:dyDescent="0.25">
      <c r="A1517" s="88">
        <v>29</v>
      </c>
      <c r="B1517" s="88">
        <v>65</v>
      </c>
      <c r="C1517" s="97">
        <f>SUMIFS(Input!$C$115:$C$3257,Input!$A$115:$A$3257,"="&amp;'Output - County'!A1517,Input!$B$115:$B$3257,"="&amp;'Output - County'!B1517)*VLOOKUP(A1517,'Output - State'!$B$2:$G$52,2,FALSE)</f>
        <v>1.7484426025414974</v>
      </c>
      <c r="D1517" s="98">
        <f>SUMIFS(Input!$C$115:$C$3257,Input!$A$115:$A$3257,"="&amp;'Output - County'!A1517,Input!$B$115:$B$3257,"="&amp;'Output - County'!B1517)*VLOOKUP(A1517,'Output - State'!$B$2:$G$52,3,FALSE)</f>
        <v>0.20022870509430452</v>
      </c>
      <c r="E1517" s="98">
        <f>SUMIFS(Input!$C$115:$C$3257,Input!$A$115:$A$3257,"="&amp;'Output - County'!A1517,Input!$B$115:$B$3257,"="&amp;'Output - County'!B1517)*VLOOKUP(A1517,'Output - State'!$B$2:$G$52,4,FALSE)</f>
        <v>5.0414642941143137</v>
      </c>
      <c r="F1517" s="98">
        <f>SUMIFS(Input!$C$115:$C$3257,Input!$A$115:$A$3257,"="&amp;'Output - County'!A1517,Input!$B$115:$B$3257,"="&amp;'Output - County'!B1517)*VLOOKUP(A1517,'Output - State'!$B$2:$G$52,5,FALSE)</f>
        <v>5.9888825268733221</v>
      </c>
      <c r="G1517" s="99">
        <f>SUMIFS(Input!$D$115:$D$3257,Input!$A$115:$A$3257,"="&amp;'Output - County'!A1517,Input!$B$115:$B$3257,"="&amp;'Output - County'!B1517)*VLOOKUP(A1517,'Output - State'!$B$2:$G$52,6,FALSE)</f>
        <v>2.7336875466197981</v>
      </c>
    </row>
    <row r="1518" spans="1:7" x14ac:dyDescent="0.25">
      <c r="A1518" s="88">
        <v>29</v>
      </c>
      <c r="B1518" s="88">
        <v>67</v>
      </c>
      <c r="C1518" s="97">
        <f>SUMIFS(Input!$C$115:$C$3257,Input!$A$115:$A$3257,"="&amp;'Output - County'!A1518,Input!$B$115:$B$3257,"="&amp;'Output - County'!B1518)*VLOOKUP(A1518,'Output - State'!$B$2:$G$52,2,FALSE)</f>
        <v>1.5008587740864872</v>
      </c>
      <c r="D1518" s="98">
        <f>SUMIFS(Input!$C$115:$C$3257,Input!$A$115:$A$3257,"="&amp;'Output - County'!A1518,Input!$B$115:$B$3257,"="&amp;'Output - County'!B1518)*VLOOKUP(A1518,'Output - State'!$B$2:$G$52,3,FALSE)</f>
        <v>0.17187582161858828</v>
      </c>
      <c r="E1518" s="98">
        <f>SUMIFS(Input!$C$115:$C$3257,Input!$A$115:$A$3257,"="&amp;'Output - County'!A1518,Input!$B$115:$B$3257,"="&amp;'Output - County'!B1518)*VLOOKUP(A1518,'Output - State'!$B$2:$G$52,4,FALSE)</f>
        <v>4.3275803901521686</v>
      </c>
      <c r="F1518" s="98">
        <f>SUMIFS(Input!$C$115:$C$3257,Input!$A$115:$A$3257,"="&amp;'Output - County'!A1518,Input!$B$115:$B$3257,"="&amp;'Output - County'!B1518)*VLOOKUP(A1518,'Output - State'!$B$2:$G$52,5,FALSE)</f>
        <v>5.1408418408277408</v>
      </c>
      <c r="G1518" s="99">
        <f>SUMIFS(Input!$D$115:$D$3257,Input!$A$115:$A$3257,"="&amp;'Output - County'!A1518,Input!$B$115:$B$3257,"="&amp;'Output - County'!B1518)*VLOOKUP(A1518,'Output - State'!$B$2:$G$52,6,FALSE)</f>
        <v>2.3633169757874382</v>
      </c>
    </row>
    <row r="1519" spans="1:7" x14ac:dyDescent="0.25">
      <c r="A1519" s="88">
        <v>29</v>
      </c>
      <c r="B1519" s="88">
        <v>69</v>
      </c>
      <c r="C1519" s="97">
        <f>SUMIFS(Input!$C$115:$C$3257,Input!$A$115:$A$3257,"="&amp;'Output - County'!A1519,Input!$B$115:$B$3257,"="&amp;'Output - County'!B1519)*VLOOKUP(A1519,'Output - State'!$B$2:$G$52,2,FALSE)</f>
        <v>4.4197030220454598</v>
      </c>
      <c r="D1519" s="98">
        <f>SUMIFS(Input!$C$115:$C$3257,Input!$A$115:$A$3257,"="&amp;'Output - County'!A1519,Input!$B$115:$B$3257,"="&amp;'Output - County'!B1519)*VLOOKUP(A1519,'Output - State'!$B$2:$G$52,3,FALSE)</f>
        <v>0.5061369539493038</v>
      </c>
      <c r="E1519" s="98">
        <f>SUMIFS(Input!$C$115:$C$3257,Input!$A$115:$A$3257,"="&amp;'Output - County'!A1519,Input!$B$115:$B$3257,"="&amp;'Output - County'!B1519)*VLOOKUP(A1519,'Output - State'!$B$2:$G$52,4,FALSE)</f>
        <v>12.743784064654465</v>
      </c>
      <c r="F1519" s="98">
        <f>SUMIFS(Input!$C$115:$C$3257,Input!$A$115:$A$3257,"="&amp;'Output - County'!A1519,Input!$B$115:$B$3257,"="&amp;'Output - County'!B1519)*VLOOKUP(A1519,'Output - State'!$B$2:$G$52,5,FALSE)</f>
        <v>15.138662352554439</v>
      </c>
      <c r="G1519" s="99">
        <f>SUMIFS(Input!$D$115:$D$3257,Input!$A$115:$A$3257,"="&amp;'Output - County'!A1519,Input!$B$115:$B$3257,"="&amp;'Output - County'!B1519)*VLOOKUP(A1519,'Output - State'!$B$2:$G$52,6,FALSE)</f>
        <v>5.2028246855021969</v>
      </c>
    </row>
    <row r="1520" spans="1:7" x14ac:dyDescent="0.25">
      <c r="A1520" s="88">
        <v>29</v>
      </c>
      <c r="B1520" s="88">
        <v>71</v>
      </c>
      <c r="C1520" s="97">
        <f>SUMIFS(Input!$C$115:$C$3257,Input!$A$115:$A$3257,"="&amp;'Output - County'!A1520,Input!$B$115:$B$3257,"="&amp;'Output - County'!B1520)*VLOOKUP(A1520,'Output - State'!$B$2:$G$52,2,FALSE)</f>
        <v>25.817507330466203</v>
      </c>
      <c r="D1520" s="98">
        <f>SUMIFS(Input!$C$115:$C$3257,Input!$A$115:$A$3257,"="&amp;'Output - County'!A1520,Input!$B$115:$B$3257,"="&amp;'Output - County'!B1520)*VLOOKUP(A1520,'Output - State'!$B$2:$G$52,3,FALSE)</f>
        <v>2.9565775016164833</v>
      </c>
      <c r="E1520" s="98">
        <f>SUMIFS(Input!$C$115:$C$3257,Input!$A$115:$A$3257,"="&amp;'Output - County'!A1520,Input!$B$115:$B$3257,"="&amp;'Output - County'!B1520)*VLOOKUP(A1520,'Output - State'!$B$2:$G$52,4,FALSE)</f>
        <v>74.442272900686049</v>
      </c>
      <c r="F1520" s="98">
        <f>SUMIFS(Input!$C$115:$C$3257,Input!$A$115:$A$3257,"="&amp;'Output - County'!A1520,Input!$B$115:$B$3257,"="&amp;'Output - County'!B1520)*VLOOKUP(A1520,'Output - State'!$B$2:$G$52,5,FALSE)</f>
        <v>88.431852617926154</v>
      </c>
      <c r="G1520" s="99">
        <f>SUMIFS(Input!$D$115:$D$3257,Input!$A$115:$A$3257,"="&amp;'Output - County'!A1520,Input!$B$115:$B$3257,"="&amp;'Output - County'!B1520)*VLOOKUP(A1520,'Output - State'!$B$2:$G$52,6,FALSE)</f>
        <v>18.342161603126389</v>
      </c>
    </row>
    <row r="1521" spans="1:7" x14ac:dyDescent="0.25">
      <c r="A1521" s="88">
        <v>29</v>
      </c>
      <c r="B1521" s="88">
        <v>73</v>
      </c>
      <c r="C1521" s="97">
        <f>SUMIFS(Input!$C$115:$C$3257,Input!$A$115:$A$3257,"="&amp;'Output - County'!A1521,Input!$B$115:$B$3257,"="&amp;'Output - County'!B1521)*VLOOKUP(A1521,'Output - State'!$B$2:$G$52,2,FALSE)</f>
        <v>1.8091204758451371</v>
      </c>
      <c r="D1521" s="98">
        <f>SUMIFS(Input!$C$115:$C$3257,Input!$A$115:$A$3257,"="&amp;'Output - County'!A1521,Input!$B$115:$B$3257,"="&amp;'Output - County'!B1521)*VLOOKUP(A1521,'Output - State'!$B$2:$G$52,3,FALSE)</f>
        <v>0.20717743305472133</v>
      </c>
      <c r="E1521" s="98">
        <f>SUMIFS(Input!$C$115:$C$3257,Input!$A$115:$A$3257,"="&amp;'Output - County'!A1521,Input!$B$115:$B$3257,"="&amp;'Output - County'!B1521)*VLOOKUP(A1521,'Output - State'!$B$2:$G$52,4,FALSE)</f>
        <v>5.2164230438373158</v>
      </c>
      <c r="F1521" s="98">
        <f>SUMIFS(Input!$C$115:$C$3257,Input!$A$115:$A$3257,"="&amp;'Output - County'!A1521,Input!$B$115:$B$3257,"="&amp;'Output - County'!B1521)*VLOOKUP(A1521,'Output - State'!$B$2:$G$52,5,FALSE)</f>
        <v>6.1967204362606711</v>
      </c>
      <c r="G1521" s="99">
        <f>SUMIFS(Input!$D$115:$D$3257,Input!$A$115:$A$3257,"="&amp;'Output - County'!A1521,Input!$B$115:$B$3257,"="&amp;'Output - County'!B1521)*VLOOKUP(A1521,'Output - State'!$B$2:$G$52,6,FALSE)</f>
        <v>2.5925939958265185</v>
      </c>
    </row>
    <row r="1522" spans="1:7" x14ac:dyDescent="0.25">
      <c r="A1522" s="88">
        <v>29</v>
      </c>
      <c r="B1522" s="88">
        <v>75</v>
      </c>
      <c r="C1522" s="97">
        <f>SUMIFS(Input!$C$115:$C$3257,Input!$A$115:$A$3257,"="&amp;'Output - County'!A1522,Input!$B$115:$B$3257,"="&amp;'Output - County'!B1522)*VLOOKUP(A1522,'Output - State'!$B$2:$G$52,2,FALSE)</f>
        <v>0.72023147579336488</v>
      </c>
      <c r="D1522" s="98">
        <f>SUMIFS(Input!$C$115:$C$3257,Input!$A$115:$A$3257,"="&amp;'Output - County'!A1522,Input!$B$115:$B$3257,"="&amp;'Output - County'!B1522)*VLOOKUP(A1522,'Output - State'!$B$2:$G$52,3,FALSE)</f>
        <v>8.2479696820841275E-2</v>
      </c>
      <c r="E1522" s="98">
        <f>SUMIFS(Input!$C$115:$C$3257,Input!$A$115:$A$3257,"="&amp;'Output - County'!A1522,Input!$B$115:$B$3257,"="&amp;'Output - County'!B1522)*VLOOKUP(A1522,'Output - State'!$B$2:$G$52,4,FALSE)</f>
        <v>2.0767174532532753</v>
      </c>
      <c r="F1522" s="98">
        <f>SUMIFS(Input!$C$115:$C$3257,Input!$A$115:$A$3257,"="&amp;'Output - County'!A1522,Input!$B$115:$B$3257,"="&amp;'Output - County'!B1522)*VLOOKUP(A1522,'Output - State'!$B$2:$G$52,5,FALSE)</f>
        <v>2.4669850153578006</v>
      </c>
      <c r="G1522" s="99">
        <f>SUMIFS(Input!$D$115:$D$3257,Input!$A$115:$A$3257,"="&amp;'Output - County'!A1522,Input!$B$115:$B$3257,"="&amp;'Output - County'!B1522)*VLOOKUP(A1522,'Output - State'!$B$2:$G$52,6,FALSE)</f>
        <v>1.1640217940445592</v>
      </c>
    </row>
    <row r="1523" spans="1:7" x14ac:dyDescent="0.25">
      <c r="A1523" s="88">
        <v>29</v>
      </c>
      <c r="B1523" s="88">
        <v>77</v>
      </c>
      <c r="C1523" s="97">
        <f>SUMIFS(Input!$C$115:$C$3257,Input!$A$115:$A$3257,"="&amp;'Output - County'!A1523,Input!$B$115:$B$3257,"="&amp;'Output - County'!B1523)*VLOOKUP(A1523,'Output - State'!$B$2:$G$52,2,FALSE)</f>
        <v>71.603861231487528</v>
      </c>
      <c r="D1523" s="98">
        <f>SUMIFS(Input!$C$115:$C$3257,Input!$A$115:$A$3257,"="&amp;'Output - County'!A1523,Input!$B$115:$B$3257,"="&amp;'Output - County'!B1523)*VLOOKUP(A1523,'Output - State'!$B$2:$G$52,3,FALSE)</f>
        <v>8.1999537149763224</v>
      </c>
      <c r="E1523" s="98">
        <f>SUMIFS(Input!$C$115:$C$3257,Input!$A$115:$A$3257,"="&amp;'Output - County'!A1523,Input!$B$115:$B$3257,"="&amp;'Output - County'!B1523)*VLOOKUP(A1523,'Output - State'!$B$2:$G$52,4,FALSE)</f>
        <v>206.46277389634409</v>
      </c>
      <c r="F1523" s="98">
        <f>SUMIFS(Input!$C$115:$C$3257,Input!$A$115:$A$3257,"="&amp;'Output - County'!A1523,Input!$B$115:$B$3257,"="&amp;'Output - County'!B1523)*VLOOKUP(A1523,'Output - State'!$B$2:$G$52,5,FALSE)</f>
        <v>245.26233389794103</v>
      </c>
      <c r="G1523" s="99">
        <f>SUMIFS(Input!$D$115:$D$3257,Input!$A$115:$A$3257,"="&amp;'Output - County'!A1523,Input!$B$115:$B$3257,"="&amp;'Output - County'!B1523)*VLOOKUP(A1523,'Output - State'!$B$2:$G$52,6,FALSE)</f>
        <v>51.322779101055559</v>
      </c>
    </row>
    <row r="1524" spans="1:7" x14ac:dyDescent="0.25">
      <c r="A1524" s="88">
        <v>29</v>
      </c>
      <c r="B1524" s="88">
        <v>79</v>
      </c>
      <c r="C1524" s="97">
        <f>SUMIFS(Input!$C$115:$C$3257,Input!$A$115:$A$3257,"="&amp;'Output - County'!A1524,Input!$B$115:$B$3257,"="&amp;'Output - County'!B1524)*VLOOKUP(A1524,'Output - State'!$B$2:$G$52,2,FALSE)</f>
        <v>1.426650804038414</v>
      </c>
      <c r="D1524" s="98">
        <f>SUMIFS(Input!$C$115:$C$3257,Input!$A$115:$A$3257,"="&amp;'Output - County'!A1524,Input!$B$115:$B$3257,"="&amp;'Output - County'!B1524)*VLOOKUP(A1524,'Output - State'!$B$2:$G$52,3,FALSE)</f>
        <v>0.16337764974334082</v>
      </c>
      <c r="E1524" s="98">
        <f>SUMIFS(Input!$C$115:$C$3257,Input!$A$115:$A$3257,"="&amp;'Output - County'!A1524,Input!$B$115:$B$3257,"="&amp;'Output - County'!B1524)*VLOOKUP(A1524,'Output - State'!$B$2:$G$52,4,FALSE)</f>
        <v>4.1136089216050991</v>
      </c>
      <c r="F1524" s="98">
        <f>SUMIFS(Input!$C$115:$C$3257,Input!$A$115:$A$3257,"="&amp;'Output - County'!A1524,Input!$B$115:$B$3257,"="&amp;'Output - County'!B1524)*VLOOKUP(A1524,'Output - State'!$B$2:$G$52,5,FALSE)</f>
        <v>4.8866597392651041</v>
      </c>
      <c r="G1524" s="99">
        <f>SUMIFS(Input!$D$115:$D$3257,Input!$A$115:$A$3257,"="&amp;'Output - County'!A1524,Input!$B$115:$B$3257,"="&amp;'Output - County'!B1524)*VLOOKUP(A1524,'Output - State'!$B$2:$G$52,6,FALSE)</f>
        <v>1.7601420461461668</v>
      </c>
    </row>
    <row r="1525" spans="1:7" x14ac:dyDescent="0.25">
      <c r="A1525" s="88">
        <v>29</v>
      </c>
      <c r="B1525" s="88">
        <v>81</v>
      </c>
      <c r="C1525" s="97">
        <f>SUMIFS(Input!$C$115:$C$3257,Input!$A$115:$A$3257,"="&amp;'Output - County'!A1525,Input!$B$115:$B$3257,"="&amp;'Output - County'!B1525)*VLOOKUP(A1525,'Output - State'!$B$2:$G$52,2,FALSE)</f>
        <v>3.9673896331612934</v>
      </c>
      <c r="D1525" s="98">
        <f>SUMIFS(Input!$C$115:$C$3257,Input!$A$115:$A$3257,"="&amp;'Output - County'!A1525,Input!$B$115:$B$3257,"="&amp;'Output - County'!B1525)*VLOOKUP(A1525,'Output - State'!$B$2:$G$52,3,FALSE)</f>
        <v>0.45433878567003155</v>
      </c>
      <c r="E1525" s="98">
        <f>SUMIFS(Input!$C$115:$C$3257,Input!$A$115:$A$3257,"="&amp;'Output - County'!A1525,Input!$B$115:$B$3257,"="&amp;'Output - County'!B1525)*VLOOKUP(A1525,'Output - State'!$B$2:$G$52,4,FALSE)</f>
        <v>11.439582373106372</v>
      </c>
      <c r="F1525" s="98">
        <f>SUMIFS(Input!$C$115:$C$3257,Input!$A$115:$A$3257,"="&amp;'Output - County'!A1525,Input!$B$115:$B$3257,"="&amp;'Output - County'!B1525)*VLOOKUP(A1525,'Output - State'!$B$2:$G$52,5,FALSE)</f>
        <v>13.589368285124534</v>
      </c>
      <c r="G1525" s="99">
        <f>SUMIFS(Input!$D$115:$D$3257,Input!$A$115:$A$3257,"="&amp;'Output - County'!A1525,Input!$B$115:$B$3257,"="&amp;'Output - County'!B1525)*VLOOKUP(A1525,'Output - State'!$B$2:$G$52,6,FALSE)</f>
        <v>1.4797186139445229</v>
      </c>
    </row>
    <row r="1526" spans="1:7" x14ac:dyDescent="0.25">
      <c r="A1526" s="88">
        <v>29</v>
      </c>
      <c r="B1526" s="88">
        <v>83</v>
      </c>
      <c r="C1526" s="97">
        <f>SUMIFS(Input!$C$115:$C$3257,Input!$A$115:$A$3257,"="&amp;'Output - County'!A1526,Input!$B$115:$B$3257,"="&amp;'Output - County'!B1526)*VLOOKUP(A1526,'Output - State'!$B$2:$G$52,2,FALSE)</f>
        <v>6.4112782520234832</v>
      </c>
      <c r="D1526" s="98">
        <f>SUMIFS(Input!$C$115:$C$3257,Input!$A$115:$A$3257,"="&amp;'Output - County'!A1526,Input!$B$115:$B$3257,"="&amp;'Output - County'!B1526)*VLOOKUP(A1526,'Output - State'!$B$2:$G$52,3,FALSE)</f>
        <v>0.73420879846781839</v>
      </c>
      <c r="E1526" s="98">
        <f>SUMIFS(Input!$C$115:$C$3257,Input!$A$115:$A$3257,"="&amp;'Output - County'!A1526,Input!$B$115:$B$3257,"="&amp;'Output - County'!B1526)*VLOOKUP(A1526,'Output - State'!$B$2:$G$52,4,FALSE)</f>
        <v>18.486297657255175</v>
      </c>
      <c r="F1526" s="98">
        <f>SUMIFS(Input!$C$115:$C$3257,Input!$A$115:$A$3257,"="&amp;'Output - County'!A1526,Input!$B$115:$B$3257,"="&amp;'Output - County'!B1526)*VLOOKUP(A1526,'Output - State'!$B$2:$G$52,5,FALSE)</f>
        <v>21.960339014077</v>
      </c>
      <c r="G1526" s="99">
        <f>SUMIFS(Input!$D$115:$D$3257,Input!$A$115:$A$3257,"="&amp;'Output - County'!A1526,Input!$B$115:$B$3257,"="&amp;'Output - County'!B1526)*VLOOKUP(A1526,'Output - State'!$B$2:$G$52,6,FALSE)</f>
        <v>3.8447992591168774</v>
      </c>
    </row>
    <row r="1527" spans="1:7" x14ac:dyDescent="0.25">
      <c r="A1527" s="88">
        <v>29</v>
      </c>
      <c r="B1527" s="88">
        <v>85</v>
      </c>
      <c r="C1527" s="97">
        <f>SUMIFS(Input!$C$115:$C$3257,Input!$A$115:$A$3257,"="&amp;'Output - County'!A1527,Input!$B$115:$B$3257,"="&amp;'Output - County'!B1527)*VLOOKUP(A1527,'Output - State'!$B$2:$G$52,2,FALSE)</f>
        <v>1.1564868472122551</v>
      </c>
      <c r="D1527" s="98">
        <f>SUMIFS(Input!$C$115:$C$3257,Input!$A$115:$A$3257,"="&amp;'Output - County'!A1527,Input!$B$115:$B$3257,"="&amp;'Output - County'!B1527)*VLOOKUP(A1527,'Output - State'!$B$2:$G$52,3,FALSE)</f>
        <v>0.13243892795755</v>
      </c>
      <c r="E1527" s="98">
        <f>SUMIFS(Input!$C$115:$C$3257,Input!$A$115:$A$3257,"="&amp;'Output - County'!A1527,Input!$B$115:$B$3257,"="&amp;'Output - County'!B1527)*VLOOKUP(A1527,'Output - State'!$B$2:$G$52,4,FALSE)</f>
        <v>3.3346174122950893</v>
      </c>
      <c r="F1527" s="98">
        <f>SUMIFS(Input!$C$115:$C$3257,Input!$A$115:$A$3257,"="&amp;'Output - County'!A1527,Input!$B$115:$B$3257,"="&amp;'Output - County'!B1527)*VLOOKUP(A1527,'Output - State'!$B$2:$G$52,5,FALSE)</f>
        <v>3.9612760875082307</v>
      </c>
      <c r="G1527" s="99">
        <f>SUMIFS(Input!$D$115:$D$3257,Input!$A$115:$A$3257,"="&amp;'Output - County'!A1527,Input!$B$115:$B$3257,"="&amp;'Output - County'!B1527)*VLOOKUP(A1527,'Output - State'!$B$2:$G$52,6,FALSE)</f>
        <v>1.6684312381305348</v>
      </c>
    </row>
    <row r="1528" spans="1:7" x14ac:dyDescent="0.25">
      <c r="A1528" s="88">
        <v>29</v>
      </c>
      <c r="B1528" s="88">
        <v>87</v>
      </c>
      <c r="C1528" s="97">
        <f>SUMIFS(Input!$C$115:$C$3257,Input!$A$115:$A$3257,"="&amp;'Output - County'!A1528,Input!$B$115:$B$3257,"="&amp;'Output - County'!B1528)*VLOOKUP(A1528,'Output - State'!$B$2:$G$52,2,FALSE)</f>
        <v>4.3057761666786831</v>
      </c>
      <c r="D1528" s="98">
        <f>SUMIFS(Input!$C$115:$C$3257,Input!$A$115:$A$3257,"="&amp;'Output - County'!A1528,Input!$B$115:$B$3257,"="&amp;'Output - County'!B1528)*VLOOKUP(A1528,'Output - State'!$B$2:$G$52,3,FALSE)</f>
        <v>0.49309024215424818</v>
      </c>
      <c r="E1528" s="98">
        <f>SUMIFS(Input!$C$115:$C$3257,Input!$A$115:$A$3257,"="&amp;'Output - County'!A1528,Input!$B$115:$B$3257,"="&amp;'Output - County'!B1528)*VLOOKUP(A1528,'Output - State'!$B$2:$G$52,4,FALSE)</f>
        <v>12.415287051005027</v>
      </c>
      <c r="F1528" s="98">
        <f>SUMIFS(Input!$C$115:$C$3257,Input!$A$115:$A$3257,"="&amp;'Output - County'!A1528,Input!$B$115:$B$3257,"="&amp;'Output - County'!B1528)*VLOOKUP(A1528,'Output - State'!$B$2:$G$52,5,FALSE)</f>
        <v>14.748432468853396</v>
      </c>
      <c r="G1528" s="99">
        <f>SUMIFS(Input!$D$115:$D$3257,Input!$A$115:$A$3257,"="&amp;'Output - County'!A1528,Input!$B$115:$B$3257,"="&amp;'Output - County'!B1528)*VLOOKUP(A1528,'Output - State'!$B$2:$G$52,6,FALSE)</f>
        <v>0.77777819874795551</v>
      </c>
    </row>
    <row r="1529" spans="1:7" x14ac:dyDescent="0.25">
      <c r="A1529" s="88">
        <v>29</v>
      </c>
      <c r="B1529" s="88">
        <v>89</v>
      </c>
      <c r="C1529" s="97">
        <f>SUMIFS(Input!$C$115:$C$3257,Input!$A$115:$A$3257,"="&amp;'Output - County'!A1529,Input!$B$115:$B$3257,"="&amp;'Output - County'!B1529)*VLOOKUP(A1529,'Output - State'!$B$2:$G$52,2,FALSE)</f>
        <v>1.2450828398775013</v>
      </c>
      <c r="D1529" s="98">
        <f>SUMIFS(Input!$C$115:$C$3257,Input!$A$115:$A$3257,"="&amp;'Output - County'!A1529,Input!$B$115:$B$3257,"="&amp;'Output - County'!B1529)*VLOOKUP(A1529,'Output - State'!$B$2:$G$52,3,FALSE)</f>
        <v>0.14258479197511689</v>
      </c>
      <c r="E1529" s="98">
        <f>SUMIFS(Input!$C$115:$C$3257,Input!$A$115:$A$3257,"="&amp;'Output - County'!A1529,Input!$B$115:$B$3257,"="&amp;'Output - County'!B1529)*VLOOKUP(A1529,'Output - State'!$B$2:$G$52,4,FALSE)</f>
        <v>3.5900753455290473</v>
      </c>
      <c r="F1529" s="98">
        <f>SUMIFS(Input!$C$115:$C$3257,Input!$A$115:$A$3257,"="&amp;'Output - County'!A1529,Input!$B$115:$B$3257,"="&amp;'Output - County'!B1529)*VLOOKUP(A1529,'Output - State'!$B$2:$G$52,5,FALSE)</f>
        <v>4.2647410063180535</v>
      </c>
      <c r="G1529" s="99">
        <f>SUMIFS(Input!$D$115:$D$3257,Input!$A$115:$A$3257,"="&amp;'Output - County'!A1529,Input!$B$115:$B$3257,"="&amp;'Output - County'!B1529)*VLOOKUP(A1529,'Output - State'!$B$2:$G$52,6,FALSE)</f>
        <v>1.7813060787651589</v>
      </c>
    </row>
    <row r="1530" spans="1:7" x14ac:dyDescent="0.25">
      <c r="A1530" s="88">
        <v>29</v>
      </c>
      <c r="B1530" s="88">
        <v>91</v>
      </c>
      <c r="C1530" s="97">
        <f>SUMIFS(Input!$C$115:$C$3257,Input!$A$115:$A$3257,"="&amp;'Output - County'!A1530,Input!$B$115:$B$3257,"="&amp;'Output - County'!B1530)*VLOOKUP(A1530,'Output - State'!$B$2:$G$52,2,FALSE)</f>
        <v>8.7715005560167221</v>
      </c>
      <c r="D1530" s="98">
        <f>SUMIFS(Input!$C$115:$C$3257,Input!$A$115:$A$3257,"="&amp;'Output - County'!A1530,Input!$B$115:$B$3257,"="&amp;'Output - County'!B1530)*VLOOKUP(A1530,'Output - State'!$B$2:$G$52,3,FALSE)</f>
        <v>1.0044974856551037</v>
      </c>
      <c r="E1530" s="98">
        <f>SUMIFS(Input!$C$115:$C$3257,Input!$A$115:$A$3257,"="&amp;'Output - County'!A1530,Input!$B$115:$B$3257,"="&amp;'Output - County'!B1530)*VLOOKUP(A1530,'Output - State'!$B$2:$G$52,4,FALSE)</f>
        <v>25.291769254926177</v>
      </c>
      <c r="F1530" s="98">
        <f>SUMIFS(Input!$C$115:$C$3257,Input!$A$115:$A$3257,"="&amp;'Output - County'!A1530,Input!$B$115:$B$3257,"="&amp;'Output - County'!B1530)*VLOOKUP(A1530,'Output - State'!$B$2:$G$52,5,FALSE)</f>
        <v>30.044730286272802</v>
      </c>
      <c r="G1530" s="99">
        <f>SUMIFS(Input!$D$115:$D$3257,Input!$A$115:$A$3257,"="&amp;'Output - County'!A1530,Input!$B$115:$B$3257,"="&amp;'Output - County'!B1530)*VLOOKUP(A1530,'Output - State'!$B$2:$G$52,6,FALSE)</f>
        <v>7.072314233513155</v>
      </c>
    </row>
    <row r="1531" spans="1:7" x14ac:dyDescent="0.25">
      <c r="A1531" s="88">
        <v>29</v>
      </c>
      <c r="B1531" s="88">
        <v>93</v>
      </c>
      <c r="C1531" s="97">
        <f>SUMIFS(Input!$C$115:$C$3257,Input!$A$115:$A$3257,"="&amp;'Output - County'!A1531,Input!$B$115:$B$3257,"="&amp;'Output - County'!B1531)*VLOOKUP(A1531,'Output - State'!$B$2:$G$52,2,FALSE)</f>
        <v>1.2299574585687836</v>
      </c>
      <c r="D1531" s="98">
        <f>SUMIFS(Input!$C$115:$C$3257,Input!$A$115:$A$3257,"="&amp;'Output - County'!A1531,Input!$B$115:$B$3257,"="&amp;'Output - County'!B1531)*VLOOKUP(A1531,'Output - State'!$B$2:$G$52,3,FALSE)</f>
        <v>0.14085265875604527</v>
      </c>
      <c r="E1531" s="98">
        <f>SUMIFS(Input!$C$115:$C$3257,Input!$A$115:$A$3257,"="&amp;'Output - County'!A1531,Input!$B$115:$B$3257,"="&amp;'Output - County'!B1531)*VLOOKUP(A1531,'Output - State'!$B$2:$G$52,4,FALSE)</f>
        <v>3.5464627787270695</v>
      </c>
      <c r="F1531" s="98">
        <f>SUMIFS(Input!$C$115:$C$3257,Input!$A$115:$A$3257,"="&amp;'Output - County'!A1531,Input!$B$115:$B$3257,"="&amp;'Output - County'!B1531)*VLOOKUP(A1531,'Output - State'!$B$2:$G$52,5,FALSE)</f>
        <v>4.2129325387707599</v>
      </c>
      <c r="G1531" s="99">
        <f>SUMIFS(Input!$D$115:$D$3257,Input!$A$115:$A$3257,"="&amp;'Output - County'!A1531,Input!$B$115:$B$3257,"="&amp;'Output - County'!B1531)*VLOOKUP(A1531,'Output - State'!$B$2:$G$52,6,FALSE)</f>
        <v>1.7989427726143188</v>
      </c>
    </row>
    <row r="1532" spans="1:7" x14ac:dyDescent="0.25">
      <c r="A1532" s="88">
        <v>29</v>
      </c>
      <c r="B1532" s="88">
        <v>95</v>
      </c>
      <c r="C1532" s="97">
        <f>SUMIFS(Input!$C$115:$C$3257,Input!$A$115:$A$3257,"="&amp;'Output - County'!A1532,Input!$B$115:$B$3257,"="&amp;'Output - County'!B1532)*VLOOKUP(A1532,'Output - State'!$B$2:$G$52,2,FALSE)</f>
        <v>169.70455295443747</v>
      </c>
      <c r="D1532" s="98">
        <f>SUMIFS(Input!$C$115:$C$3257,Input!$A$115:$A$3257,"="&amp;'Output - County'!A1532,Input!$B$115:$B$3257,"="&amp;'Output - County'!B1532)*VLOOKUP(A1532,'Output - State'!$B$2:$G$52,3,FALSE)</f>
        <v>19.434279877007501</v>
      </c>
      <c r="E1532" s="98">
        <f>SUMIFS(Input!$C$115:$C$3257,Input!$A$115:$A$3257,"="&amp;'Output - County'!A1532,Input!$B$115:$B$3257,"="&amp;'Output - County'!B1532)*VLOOKUP(A1532,'Output - State'!$B$2:$G$52,4,FALSE)</f>
        <v>489.32658299723772</v>
      </c>
      <c r="F1532" s="98">
        <f>SUMIFS(Input!$C$115:$C$3257,Input!$A$115:$A$3257,"="&amp;'Output - County'!A1532,Input!$B$115:$B$3257,"="&amp;'Output - County'!B1532)*VLOOKUP(A1532,'Output - State'!$B$2:$G$52,5,FALSE)</f>
        <v>581.28338353363665</v>
      </c>
      <c r="G1532" s="99">
        <f>SUMIFS(Input!$D$115:$D$3257,Input!$A$115:$A$3257,"="&amp;'Output - County'!A1532,Input!$B$115:$B$3257,"="&amp;'Output - County'!B1532)*VLOOKUP(A1532,'Output - State'!$B$2:$G$52,6,FALSE)</f>
        <v>123.63322388261152</v>
      </c>
    </row>
    <row r="1533" spans="1:7" x14ac:dyDescent="0.25">
      <c r="A1533" s="88">
        <v>29</v>
      </c>
      <c r="B1533" s="88">
        <v>97</v>
      </c>
      <c r="C1533" s="97">
        <f>SUMIFS(Input!$C$115:$C$3257,Input!$A$115:$A$3257,"="&amp;'Output - County'!A1533,Input!$B$115:$B$3257,"="&amp;'Output - County'!B1533)*VLOOKUP(A1533,'Output - State'!$B$2:$G$52,2,FALSE)</f>
        <v>28.609456207121706</v>
      </c>
      <c r="D1533" s="98">
        <f>SUMIFS(Input!$C$115:$C$3257,Input!$A$115:$A$3257,"="&amp;'Output - County'!A1533,Input!$B$115:$B$3257,"="&amp;'Output - County'!B1533)*VLOOKUP(A1533,'Output - State'!$B$2:$G$52,3,FALSE)</f>
        <v>3.276306789526557</v>
      </c>
      <c r="E1533" s="98">
        <f>SUMIFS(Input!$C$115:$C$3257,Input!$A$115:$A$3257,"="&amp;'Output - County'!A1533,Input!$B$115:$B$3257,"="&amp;'Output - County'!B1533)*VLOOKUP(A1533,'Output - State'!$B$2:$G$52,4,FALSE)</f>
        <v>82.492586106387776</v>
      </c>
      <c r="F1533" s="98">
        <f>SUMIFS(Input!$C$115:$C$3257,Input!$A$115:$A$3257,"="&amp;'Output - County'!A1533,Input!$B$115:$B$3257,"="&amp;'Output - County'!B1533)*VLOOKUP(A1533,'Output - State'!$B$2:$G$52,5,FALSE)</f>
        <v>97.995022617914131</v>
      </c>
      <c r="G1533" s="99">
        <f>SUMIFS(Input!$D$115:$D$3257,Input!$A$115:$A$3257,"="&amp;'Output - County'!A1533,Input!$B$115:$B$3257,"="&amp;'Output - County'!B1533)*VLOOKUP(A1533,'Output - State'!$B$2:$G$52,6,FALSE)</f>
        <v>21.164032618991985</v>
      </c>
    </row>
    <row r="1534" spans="1:7" x14ac:dyDescent="0.25">
      <c r="A1534" s="88">
        <v>29</v>
      </c>
      <c r="B1534" s="88">
        <v>99</v>
      </c>
      <c r="C1534" s="97">
        <f>SUMIFS(Input!$C$115:$C$3257,Input!$A$115:$A$3257,"="&amp;'Output - County'!A1534,Input!$B$115:$B$3257,"="&amp;'Output - County'!B1534)*VLOOKUP(A1534,'Output - State'!$B$2:$G$52,2,FALSE)</f>
        <v>48.869309478330841</v>
      </c>
      <c r="D1534" s="98">
        <f>SUMIFS(Input!$C$115:$C$3257,Input!$A$115:$A$3257,"="&amp;'Output - County'!A1534,Input!$B$115:$B$3257,"="&amp;'Output - County'!B1534)*VLOOKUP(A1534,'Output - State'!$B$2:$G$52,3,FALSE)</f>
        <v>5.5964310990110233</v>
      </c>
      <c r="E1534" s="98">
        <f>SUMIFS(Input!$C$115:$C$3257,Input!$A$115:$A$3257,"="&amp;'Output - County'!A1534,Input!$B$115:$B$3257,"="&amp;'Output - County'!B1534)*VLOOKUP(A1534,'Output - State'!$B$2:$G$52,4,FALSE)</f>
        <v>140.90990373656246</v>
      </c>
      <c r="F1534" s="98">
        <f>SUMIFS(Input!$C$115:$C$3257,Input!$A$115:$A$3257,"="&amp;'Output - County'!A1534,Input!$B$115:$B$3257,"="&amp;'Output - County'!B1534)*VLOOKUP(A1534,'Output - State'!$B$2:$G$52,5,FALSE)</f>
        <v>167.39042689174815</v>
      </c>
      <c r="G1534" s="99">
        <f>SUMIFS(Input!$D$115:$D$3257,Input!$A$115:$A$3257,"="&amp;'Output - County'!A1534,Input!$B$115:$B$3257,"="&amp;'Output - County'!B1534)*VLOOKUP(A1534,'Output - State'!$B$2:$G$52,6,FALSE)</f>
        <v>39.506194222118374</v>
      </c>
    </row>
    <row r="1535" spans="1:7" x14ac:dyDescent="0.25">
      <c r="A1535" s="88">
        <v>29</v>
      </c>
      <c r="B1535" s="88">
        <v>101</v>
      </c>
      <c r="C1535" s="97">
        <f>SUMIFS(Input!$C$115:$C$3257,Input!$A$115:$A$3257,"="&amp;'Output - County'!A1535,Input!$B$115:$B$3257,"="&amp;'Output - County'!B1535)*VLOOKUP(A1535,'Output - State'!$B$2:$G$52,2,FALSE)</f>
        <v>10.123944573499681</v>
      </c>
      <c r="D1535" s="98">
        <f>SUMIFS(Input!$C$115:$C$3257,Input!$A$115:$A$3257,"="&amp;'Output - County'!A1535,Input!$B$115:$B$3257,"="&amp;'Output - County'!B1535)*VLOOKUP(A1535,'Output - State'!$B$2:$G$52,3,FALSE)</f>
        <v>1.1593770990547805</v>
      </c>
      <c r="E1535" s="98">
        <f>SUMIFS(Input!$C$115:$C$3257,Input!$A$115:$A$3257,"="&amp;'Output - County'!A1535,Input!$B$115:$B$3257,"="&amp;'Output - County'!B1535)*VLOOKUP(A1535,'Output - State'!$B$2:$G$52,4,FALSE)</f>
        <v>29.191410120470131</v>
      </c>
      <c r="F1535" s="98">
        <f>SUMIFS(Input!$C$115:$C$3257,Input!$A$115:$A$3257,"="&amp;'Output - County'!A1535,Input!$B$115:$B$3257,"="&amp;'Output - County'!B1535)*VLOOKUP(A1535,'Output - State'!$B$2:$G$52,5,FALSE)</f>
        <v>34.677211977753331</v>
      </c>
      <c r="G1535" s="99">
        <f>SUMIFS(Input!$D$115:$D$3257,Input!$A$115:$A$3257,"="&amp;'Output - County'!A1535,Input!$B$115:$B$3257,"="&amp;'Output - County'!B1535)*VLOOKUP(A1535,'Output - State'!$B$2:$G$52,6,FALSE)</f>
        <v>9.4532679031497526</v>
      </c>
    </row>
    <row r="1536" spans="1:7" x14ac:dyDescent="0.25">
      <c r="A1536" s="88">
        <v>29</v>
      </c>
      <c r="B1536" s="88">
        <v>103</v>
      </c>
      <c r="C1536" s="97">
        <f>SUMIFS(Input!$C$115:$C$3257,Input!$A$115:$A$3257,"="&amp;'Output - County'!A1536,Input!$B$115:$B$3257,"="&amp;'Output - County'!B1536)*VLOOKUP(A1536,'Output - State'!$B$2:$G$52,2,FALSE)</f>
        <v>0.61453086412601776</v>
      </c>
      <c r="D1536" s="98">
        <f>SUMIFS(Input!$C$115:$C$3257,Input!$A$115:$A$3257,"="&amp;'Output - County'!A1536,Input!$B$115:$B$3257,"="&amp;'Output - County'!B1536)*VLOOKUP(A1536,'Output - State'!$B$2:$G$52,3,FALSE)</f>
        <v>7.0375040613617254E-2</v>
      </c>
      <c r="E1536" s="98">
        <f>SUMIFS(Input!$C$115:$C$3257,Input!$A$115:$A$3257,"="&amp;'Output - County'!A1536,Input!$B$115:$B$3257,"="&amp;'Output - County'!B1536)*VLOOKUP(A1536,'Output - State'!$B$2:$G$52,4,FALSE)</f>
        <v>1.7719400137122905</v>
      </c>
      <c r="F1536" s="98">
        <f>SUMIFS(Input!$C$115:$C$3257,Input!$A$115:$A$3257,"="&amp;'Output - County'!A1536,Input!$B$115:$B$3257,"="&amp;'Output - County'!B1536)*VLOOKUP(A1536,'Output - State'!$B$2:$G$52,5,FALSE)</f>
        <v>2.1049322116945626</v>
      </c>
      <c r="G1536" s="99">
        <f>SUMIFS(Input!$D$115:$D$3257,Input!$A$115:$A$3257,"="&amp;'Output - County'!A1536,Input!$B$115:$B$3257,"="&amp;'Output - County'!B1536)*VLOOKUP(A1536,'Output - State'!$B$2:$G$52,6,FALSE)</f>
        <v>0.70017674581165146</v>
      </c>
    </row>
    <row r="1537" spans="1:7" x14ac:dyDescent="0.25">
      <c r="A1537" s="88">
        <v>29</v>
      </c>
      <c r="B1537" s="88">
        <v>105</v>
      </c>
      <c r="C1537" s="97">
        <f>SUMIFS(Input!$C$115:$C$3257,Input!$A$115:$A$3257,"="&amp;'Output - County'!A1537,Input!$B$115:$B$3257,"="&amp;'Output - County'!B1537)*VLOOKUP(A1537,'Output - State'!$B$2:$G$52,2,FALSE)</f>
        <v>11.912131350421955</v>
      </c>
      <c r="D1537" s="98">
        <f>SUMIFS(Input!$C$115:$C$3257,Input!$A$115:$A$3257,"="&amp;'Output - County'!A1537,Input!$B$115:$B$3257,"="&amp;'Output - County'!B1537)*VLOOKUP(A1537,'Output - State'!$B$2:$G$52,3,FALSE)</f>
        <v>1.3641572401297331</v>
      </c>
      <c r="E1537" s="98">
        <f>SUMIFS(Input!$C$115:$C$3257,Input!$A$115:$A$3257,"="&amp;'Output - County'!A1537,Input!$B$115:$B$3257,"="&amp;'Output - County'!B1537)*VLOOKUP(A1537,'Output - State'!$B$2:$G$52,4,FALSE)</f>
        <v>34.347472878239181</v>
      </c>
      <c r="F1537" s="98">
        <f>SUMIFS(Input!$C$115:$C$3257,Input!$A$115:$A$3257,"="&amp;'Output - County'!A1537,Input!$B$115:$B$3257,"="&amp;'Output - County'!B1537)*VLOOKUP(A1537,'Output - State'!$B$2:$G$52,5,FALSE)</f>
        <v>40.802228908551641</v>
      </c>
      <c r="G1537" s="99">
        <f>SUMIFS(Input!$D$115:$D$3257,Input!$A$115:$A$3257,"="&amp;'Output - County'!A1537,Input!$B$115:$B$3257,"="&amp;'Output - County'!B1537)*VLOOKUP(A1537,'Output - State'!$B$2:$G$52,6,FALSE)</f>
        <v>6.2786630103009555</v>
      </c>
    </row>
    <row r="1538" spans="1:7" x14ac:dyDescent="0.25">
      <c r="A1538" s="88">
        <v>29</v>
      </c>
      <c r="B1538" s="88">
        <v>107</v>
      </c>
      <c r="C1538" s="97">
        <f>SUMIFS(Input!$C$115:$C$3257,Input!$A$115:$A$3257,"="&amp;'Output - County'!A1538,Input!$B$115:$B$3257,"="&amp;'Output - County'!B1538)*VLOOKUP(A1538,'Output - State'!$B$2:$G$52,2,FALSE)</f>
        <v>10.737828978639545</v>
      </c>
      <c r="D1538" s="98">
        <f>SUMIFS(Input!$C$115:$C$3257,Input!$A$115:$A$3257,"="&amp;'Output - County'!A1538,Input!$B$115:$B$3257,"="&amp;'Output - County'!B1538)*VLOOKUP(A1538,'Output - State'!$B$2:$G$52,3,FALSE)</f>
        <v>1.2296781082729686</v>
      </c>
      <c r="E1538" s="98">
        <f>SUMIFS(Input!$C$115:$C$3257,Input!$A$115:$A$3257,"="&amp;'Output - County'!A1538,Input!$B$115:$B$3257,"="&amp;'Output - County'!B1538)*VLOOKUP(A1538,'Output - State'!$B$2:$G$52,4,FALSE)</f>
        <v>30.96148613253229</v>
      </c>
      <c r="F1538" s="98">
        <f>SUMIFS(Input!$C$115:$C$3257,Input!$A$115:$A$3257,"="&amp;'Output - County'!A1538,Input!$B$115:$B$3257,"="&amp;'Output - County'!B1538)*VLOOKUP(A1538,'Output - State'!$B$2:$G$52,5,FALSE)</f>
        <v>36.779929894897485</v>
      </c>
      <c r="G1538" s="99">
        <f>SUMIFS(Input!$D$115:$D$3257,Input!$A$115:$A$3257,"="&amp;'Output - County'!A1538,Input!$B$115:$B$3257,"="&amp;'Output - County'!B1538)*VLOOKUP(A1538,'Output - State'!$B$2:$G$52,6,FALSE)</f>
        <v>5.7319255009769954</v>
      </c>
    </row>
    <row r="1539" spans="1:7" x14ac:dyDescent="0.25">
      <c r="A1539" s="88">
        <v>29</v>
      </c>
      <c r="B1539" s="88">
        <v>109</v>
      </c>
      <c r="C1539" s="97">
        <f>SUMIFS(Input!$C$115:$C$3257,Input!$A$115:$A$3257,"="&amp;'Output - County'!A1539,Input!$B$115:$B$3257,"="&amp;'Output - County'!B1539)*VLOOKUP(A1539,'Output - State'!$B$2:$G$52,2,FALSE)</f>
        <v>11.247350429862742</v>
      </c>
      <c r="D1539" s="98">
        <f>SUMIFS(Input!$C$115:$C$3257,Input!$A$115:$A$3257,"="&amp;'Output - County'!A1539,Input!$B$115:$B$3257,"="&amp;'Output - County'!B1539)*VLOOKUP(A1539,'Output - State'!$B$2:$G$52,3,FALSE)</f>
        <v>1.2880276475989356</v>
      </c>
      <c r="E1539" s="98">
        <f>SUMIFS(Input!$C$115:$C$3257,Input!$A$115:$A$3257,"="&amp;'Output - County'!A1539,Input!$B$115:$B$3257,"="&amp;'Output - County'!B1539)*VLOOKUP(A1539,'Output - State'!$B$2:$G$52,4,FALSE)</f>
        <v>32.430641711155914</v>
      </c>
      <c r="F1539" s="98">
        <f>SUMIFS(Input!$C$115:$C$3257,Input!$A$115:$A$3257,"="&amp;'Output - County'!A1539,Input!$B$115:$B$3257,"="&amp;'Output - County'!B1539)*VLOOKUP(A1539,'Output - State'!$B$2:$G$52,5,FALSE)</f>
        <v>38.525176843160004</v>
      </c>
      <c r="G1539" s="99">
        <f>SUMIFS(Input!$D$115:$D$3257,Input!$A$115:$A$3257,"="&amp;'Output - County'!A1539,Input!$B$115:$B$3257,"="&amp;'Output - County'!B1539)*VLOOKUP(A1539,'Output - State'!$B$2:$G$52,6,FALSE)</f>
        <v>6.7548537442282761</v>
      </c>
    </row>
    <row r="1540" spans="1:7" x14ac:dyDescent="0.25">
      <c r="A1540" s="88">
        <v>29</v>
      </c>
      <c r="B1540" s="88">
        <v>111</v>
      </c>
      <c r="C1540" s="97">
        <f>SUMIFS(Input!$C$115:$C$3257,Input!$A$115:$A$3257,"="&amp;'Output - County'!A1540,Input!$B$115:$B$3257,"="&amp;'Output - County'!B1540)*VLOOKUP(A1540,'Output - State'!$B$2:$G$52,2,FALSE)</f>
        <v>2.7851751490420869</v>
      </c>
      <c r="D1540" s="98">
        <f>SUMIFS(Input!$C$115:$C$3257,Input!$A$115:$A$3257,"="&amp;'Output - County'!A1540,Input!$B$115:$B$3257,"="&amp;'Output - County'!B1540)*VLOOKUP(A1540,'Output - State'!$B$2:$G$52,3,FALSE)</f>
        <v>0.3189535720205593</v>
      </c>
      <c r="E1540" s="98">
        <f>SUMIFS(Input!$C$115:$C$3257,Input!$A$115:$A$3257,"="&amp;'Output - County'!A1540,Input!$B$115:$B$3257,"="&amp;'Output - County'!B1540)*VLOOKUP(A1540,'Output - State'!$B$2:$G$52,4,FALSE)</f>
        <v>8.0307818205413106</v>
      </c>
      <c r="F1540" s="98">
        <f>SUMIFS(Input!$C$115:$C$3257,Input!$A$115:$A$3257,"="&amp;'Output - County'!A1540,Input!$B$115:$B$3257,"="&amp;'Output - County'!B1540)*VLOOKUP(A1540,'Output - State'!$B$2:$G$52,5,FALSE)</f>
        <v>9.5399681751829597</v>
      </c>
      <c r="G1540" s="99">
        <f>SUMIFS(Input!$D$115:$D$3257,Input!$A$115:$A$3257,"="&amp;'Output - County'!A1540,Input!$B$115:$B$3257,"="&amp;'Output - County'!B1540)*VLOOKUP(A1540,'Output - State'!$B$2:$G$52,6,FALSE)</f>
        <v>1.7354506747573426</v>
      </c>
    </row>
    <row r="1541" spans="1:7" x14ac:dyDescent="0.25">
      <c r="A1541" s="88">
        <v>29</v>
      </c>
      <c r="B1541" s="88">
        <v>113</v>
      </c>
      <c r="C1541" s="97">
        <f>SUMIFS(Input!$C$115:$C$3257,Input!$A$115:$A$3257,"="&amp;'Output - County'!A1541,Input!$B$115:$B$3257,"="&amp;'Output - County'!B1541)*VLOOKUP(A1541,'Output - State'!$B$2:$G$52,2,FALSE)</f>
        <v>10.307011047338394</v>
      </c>
      <c r="D1541" s="98">
        <f>SUMIFS(Input!$C$115:$C$3257,Input!$A$115:$A$3257,"="&amp;'Output - County'!A1541,Input!$B$115:$B$3257,"="&amp;'Output - County'!B1541)*VLOOKUP(A1541,'Output - State'!$B$2:$G$52,3,FALSE)</f>
        <v>1.1803415636300687</v>
      </c>
      <c r="E1541" s="98">
        <f>SUMIFS(Input!$C$115:$C$3257,Input!$A$115:$A$3257,"="&amp;'Output - County'!A1541,Input!$B$115:$B$3257,"="&amp;'Output - County'!B1541)*VLOOKUP(A1541,'Output - State'!$B$2:$G$52,4,FALSE)</f>
        <v>29.719264503545531</v>
      </c>
      <c r="F1541" s="98">
        <f>SUMIFS(Input!$C$115:$C$3257,Input!$A$115:$A$3257,"="&amp;'Output - County'!A1541,Input!$B$115:$B$3257,"="&amp;'Output - County'!B1541)*VLOOKUP(A1541,'Output - State'!$B$2:$G$52,5,FALSE)</f>
        <v>35.304263506259517</v>
      </c>
      <c r="G1541" s="99">
        <f>SUMIFS(Input!$D$115:$D$3257,Input!$A$115:$A$3257,"="&amp;'Output - County'!A1541,Input!$B$115:$B$3257,"="&amp;'Output - County'!B1541)*VLOOKUP(A1541,'Output - State'!$B$2:$G$52,6,FALSE)</f>
        <v>10.158735657116154</v>
      </c>
    </row>
    <row r="1542" spans="1:7" x14ac:dyDescent="0.25">
      <c r="A1542" s="88">
        <v>29</v>
      </c>
      <c r="B1542" s="88">
        <v>115</v>
      </c>
      <c r="C1542" s="97">
        <f>SUMIFS(Input!$C$115:$C$3257,Input!$A$115:$A$3257,"="&amp;'Output - County'!A1542,Input!$B$115:$B$3257,"="&amp;'Output - County'!B1542)*VLOOKUP(A1542,'Output - State'!$B$2:$G$52,2,FALSE)</f>
        <v>3.1484981002954613</v>
      </c>
      <c r="D1542" s="98">
        <f>SUMIFS(Input!$C$115:$C$3257,Input!$A$115:$A$3257,"="&amp;'Output - County'!A1542,Input!$B$115:$B$3257,"="&amp;'Output - County'!B1542)*VLOOKUP(A1542,'Output - State'!$B$2:$G$52,3,FALSE)</f>
        <v>0.36056070510846266</v>
      </c>
      <c r="E1542" s="98">
        <f>SUMIFS(Input!$C$115:$C$3257,Input!$A$115:$A$3257,"="&amp;'Output - County'!A1542,Input!$B$115:$B$3257,"="&amp;'Output - County'!B1542)*VLOOKUP(A1542,'Output - State'!$B$2:$G$52,4,FALSE)</f>
        <v>9.0783882351377247</v>
      </c>
      <c r="F1542" s="98">
        <f>SUMIFS(Input!$C$115:$C$3257,Input!$A$115:$A$3257,"="&amp;'Output - County'!A1542,Input!$B$115:$B$3257,"="&amp;'Output - County'!B1542)*VLOOKUP(A1542,'Output - State'!$B$2:$G$52,5,FALSE)</f>
        <v>10.784446244529098</v>
      </c>
      <c r="G1542" s="99">
        <f>SUMIFS(Input!$D$115:$D$3257,Input!$A$115:$A$3257,"="&amp;'Output - County'!A1542,Input!$B$115:$B$3257,"="&amp;'Output - County'!B1542)*VLOOKUP(A1542,'Output - State'!$B$2:$G$52,6,FALSE)</f>
        <v>2.1164032618991984</v>
      </c>
    </row>
    <row r="1543" spans="1:7" x14ac:dyDescent="0.25">
      <c r="A1543" s="88">
        <v>29</v>
      </c>
      <c r="B1543" s="88">
        <v>117</v>
      </c>
      <c r="C1543" s="97">
        <f>SUMIFS(Input!$C$115:$C$3257,Input!$A$115:$A$3257,"="&amp;'Output - County'!A1543,Input!$B$115:$B$3257,"="&amp;'Output - County'!B1543)*VLOOKUP(A1543,'Output - State'!$B$2:$G$52,2,FALSE)</f>
        <v>4.0431897637625891</v>
      </c>
      <c r="D1543" s="98">
        <f>SUMIFS(Input!$C$115:$C$3257,Input!$A$115:$A$3257,"="&amp;'Output - County'!A1543,Input!$B$115:$B$3257,"="&amp;'Output - County'!B1543)*VLOOKUP(A1543,'Output - State'!$B$2:$G$52,3,FALSE)</f>
        <v>0.46301928909302931</v>
      </c>
      <c r="E1543" s="98">
        <f>SUMIFS(Input!$C$115:$C$3257,Input!$A$115:$A$3257,"="&amp;'Output - County'!A1543,Input!$B$115:$B$3257,"="&amp;'Output - County'!B1543)*VLOOKUP(A1543,'Output - State'!$B$2:$G$52,4,FALSE)</f>
        <v>11.658144681849112</v>
      </c>
      <c r="F1543" s="98">
        <f>SUMIFS(Input!$C$115:$C$3257,Input!$A$115:$A$3257,"="&amp;'Output - County'!A1543,Input!$B$115:$B$3257,"="&amp;'Output - County'!B1543)*VLOOKUP(A1543,'Output - State'!$B$2:$G$52,5,FALSE)</f>
        <v>13.849003961487574</v>
      </c>
      <c r="G1543" s="99">
        <f>SUMIFS(Input!$D$115:$D$3257,Input!$A$115:$A$3257,"="&amp;'Output - County'!A1543,Input!$B$115:$B$3257,"="&amp;'Output - County'!B1543)*VLOOKUP(A1543,'Output - State'!$B$2:$G$52,6,FALSE)</f>
        <v>2.680777465072318</v>
      </c>
    </row>
    <row r="1544" spans="1:7" x14ac:dyDescent="0.25">
      <c r="A1544" s="88">
        <v>29</v>
      </c>
      <c r="B1544" s="88">
        <v>119</v>
      </c>
      <c r="C1544" s="97">
        <f>SUMIFS(Input!$C$115:$C$3257,Input!$A$115:$A$3257,"="&amp;'Output - County'!A1544,Input!$B$115:$B$3257,"="&amp;'Output - County'!B1544)*VLOOKUP(A1544,'Output - State'!$B$2:$G$52,2,FALSE)</f>
        <v>4.898675692716365</v>
      </c>
      <c r="D1544" s="98">
        <f>SUMIFS(Input!$C$115:$C$3257,Input!$A$115:$A$3257,"="&amp;'Output - County'!A1544,Input!$B$115:$B$3257,"="&amp;'Output - County'!B1544)*VLOOKUP(A1544,'Output - State'!$B$2:$G$52,3,FALSE)</f>
        <v>0.56098809832464225</v>
      </c>
      <c r="E1544" s="98">
        <f>SUMIFS(Input!$C$115:$C$3257,Input!$A$115:$A$3257,"="&amp;'Output - County'!A1544,Input!$B$115:$B$3257,"="&amp;'Output - County'!B1544)*VLOOKUP(A1544,'Output - State'!$B$2:$G$52,4,FALSE)</f>
        <v>14.124855203926611</v>
      </c>
      <c r="F1544" s="98">
        <f>SUMIFS(Input!$C$115:$C$3257,Input!$A$115:$A$3257,"="&amp;'Output - County'!A1544,Input!$B$115:$B$3257,"="&amp;'Output - County'!B1544)*VLOOKUP(A1544,'Output - State'!$B$2:$G$52,5,FALSE)</f>
        <v>16.77927157476238</v>
      </c>
      <c r="G1544" s="99">
        <f>SUMIFS(Input!$D$115:$D$3257,Input!$A$115:$A$3257,"="&amp;'Output - County'!A1544,Input!$B$115:$B$3257,"="&amp;'Output - County'!B1544)*VLOOKUP(A1544,'Output - State'!$B$2:$G$52,6,FALSE)</f>
        <v>4.0564395853067969</v>
      </c>
    </row>
    <row r="1545" spans="1:7" x14ac:dyDescent="0.25">
      <c r="A1545" s="88">
        <v>29</v>
      </c>
      <c r="B1545" s="88">
        <v>121</v>
      </c>
      <c r="C1545" s="97">
        <f>SUMIFS(Input!$C$115:$C$3257,Input!$A$115:$A$3257,"="&amp;'Output - County'!A1545,Input!$B$115:$B$3257,"="&amp;'Output - County'!B1545)*VLOOKUP(A1545,'Output - State'!$B$2:$G$52,2,FALSE)</f>
        <v>5.4283254286517248</v>
      </c>
      <c r="D1545" s="98">
        <f>SUMIFS(Input!$C$115:$C$3257,Input!$A$115:$A$3257,"="&amp;'Output - County'!A1545,Input!$B$115:$B$3257,"="&amp;'Output - County'!B1545)*VLOOKUP(A1545,'Output - State'!$B$2:$G$52,3,FALSE)</f>
        <v>0.62164269495007551</v>
      </c>
      <c r="E1545" s="98">
        <f>SUMIFS(Input!$C$115:$C$3257,Input!$A$115:$A$3257,"="&amp;'Output - County'!A1545,Input!$B$115:$B$3257,"="&amp;'Output - County'!B1545)*VLOOKUP(A1545,'Output - State'!$B$2:$G$52,4,FALSE)</f>
        <v>15.652048735028995</v>
      </c>
      <c r="F1545" s="98">
        <f>SUMIFS(Input!$C$115:$C$3257,Input!$A$115:$A$3257,"="&amp;'Output - County'!A1545,Input!$B$115:$B$3257,"="&amp;'Output - County'!B1545)*VLOOKUP(A1545,'Output - State'!$B$2:$G$52,5,FALSE)</f>
        <v>18.593463269871833</v>
      </c>
      <c r="G1545" s="99">
        <f>SUMIFS(Input!$D$115:$D$3257,Input!$A$115:$A$3257,"="&amp;'Output - County'!A1545,Input!$B$115:$B$3257,"="&amp;'Output - County'!B1545)*VLOOKUP(A1545,'Output - State'!$B$2:$G$52,6,FALSE)</f>
        <v>2.680777465072318</v>
      </c>
    </row>
    <row r="1546" spans="1:7" x14ac:dyDescent="0.25">
      <c r="A1546" s="88">
        <v>29</v>
      </c>
      <c r="B1546" s="88">
        <v>123</v>
      </c>
      <c r="C1546" s="97">
        <f>SUMIFS(Input!$C$115:$C$3257,Input!$A$115:$A$3257,"="&amp;'Output - County'!A1546,Input!$B$115:$B$3257,"="&amp;'Output - County'!B1546)*VLOOKUP(A1546,'Output - State'!$B$2:$G$52,2,FALSE)</f>
        <v>2.7527772833119735</v>
      </c>
      <c r="D1546" s="98">
        <f>SUMIFS(Input!$C$115:$C$3257,Input!$A$115:$A$3257,"="&amp;'Output - County'!A1546,Input!$B$115:$B$3257,"="&amp;'Output - County'!B1546)*VLOOKUP(A1546,'Output - State'!$B$2:$G$52,3,FALSE)</f>
        <v>0.31524342294644592</v>
      </c>
      <c r="E1546" s="98">
        <f>SUMIFS(Input!$C$115:$C$3257,Input!$A$115:$A$3257,"="&amp;'Output - County'!A1546,Input!$B$115:$B$3257,"="&amp;'Output - County'!B1546)*VLOOKUP(A1546,'Output - State'!$B$2:$G$52,4,FALSE)</f>
        <v>7.9373657238124506</v>
      </c>
      <c r="F1546" s="98">
        <f>SUMIFS(Input!$C$115:$C$3257,Input!$A$115:$A$3257,"="&amp;'Output - County'!A1546,Input!$B$115:$B$3257,"="&amp;'Output - County'!B1546)*VLOOKUP(A1546,'Output - State'!$B$2:$G$52,5,FALSE)</f>
        <v>9.428996838922318</v>
      </c>
      <c r="G1546" s="99">
        <f>SUMIFS(Input!$D$115:$D$3257,Input!$A$115:$A$3257,"="&amp;'Output - County'!A1546,Input!$B$115:$B$3257,"="&amp;'Output - County'!B1546)*VLOOKUP(A1546,'Output - State'!$B$2:$G$52,6,FALSE)</f>
        <v>2.1516766495975186</v>
      </c>
    </row>
    <row r="1547" spans="1:7" x14ac:dyDescent="0.25">
      <c r="A1547" s="88">
        <v>29</v>
      </c>
      <c r="B1547" s="88">
        <v>125</v>
      </c>
      <c r="C1547" s="97">
        <f>SUMIFS(Input!$C$115:$C$3257,Input!$A$115:$A$3257,"="&amp;'Output - County'!A1547,Input!$B$115:$B$3257,"="&amp;'Output - County'!B1547)*VLOOKUP(A1547,'Output - State'!$B$2:$G$52,2,FALSE)</f>
        <v>1.2865431021348899</v>
      </c>
      <c r="D1547" s="98">
        <f>SUMIFS(Input!$C$115:$C$3257,Input!$A$115:$A$3257,"="&amp;'Output - County'!A1547,Input!$B$115:$B$3257,"="&amp;'Output - County'!B1547)*VLOOKUP(A1547,'Output - State'!$B$2:$G$52,3,FALSE)</f>
        <v>0.14733275145208241</v>
      </c>
      <c r="E1547" s="98">
        <f>SUMIFS(Input!$C$115:$C$3257,Input!$A$115:$A$3257,"="&amp;'Output - County'!A1547,Input!$B$115:$B$3257,"="&amp;'Output - County'!B1547)*VLOOKUP(A1547,'Output - State'!$B$2:$G$52,4,FALSE)</f>
        <v>3.7096219817705864</v>
      </c>
      <c r="F1547" s="98">
        <f>SUMIFS(Input!$C$115:$C$3257,Input!$A$115:$A$3257,"="&amp;'Output - County'!A1547,Input!$B$115:$B$3257,"="&amp;'Output - County'!B1547)*VLOOKUP(A1547,'Output - State'!$B$2:$G$52,5,FALSE)</f>
        <v>4.406753469198982</v>
      </c>
      <c r="G1547" s="99">
        <f>SUMIFS(Input!$D$115:$D$3257,Input!$A$115:$A$3257,"="&amp;'Output - County'!A1547,Input!$B$115:$B$3257,"="&amp;'Output - County'!B1547)*VLOOKUP(A1547,'Output - State'!$B$2:$G$52,6,FALSE)</f>
        <v>1.5467380505713308</v>
      </c>
    </row>
    <row r="1548" spans="1:7" x14ac:dyDescent="0.25">
      <c r="A1548" s="88">
        <v>29</v>
      </c>
      <c r="B1548" s="88">
        <v>127</v>
      </c>
      <c r="C1548" s="97">
        <f>SUMIFS(Input!$C$115:$C$3257,Input!$A$115:$A$3257,"="&amp;'Output - County'!A1548,Input!$B$115:$B$3257,"="&amp;'Output - County'!B1548)*VLOOKUP(A1548,'Output - State'!$B$2:$G$52,2,FALSE)</f>
        <v>8.3469140863082654</v>
      </c>
      <c r="D1548" s="98">
        <f>SUMIFS(Input!$C$115:$C$3257,Input!$A$115:$A$3257,"="&amp;'Output - County'!A1548,Input!$B$115:$B$3257,"="&amp;'Output - County'!B1548)*VLOOKUP(A1548,'Output - State'!$B$2:$G$52,3,FALSE)</f>
        <v>0.95587455750938632</v>
      </c>
      <c r="E1548" s="98">
        <f>SUMIFS(Input!$C$115:$C$3257,Input!$A$115:$A$3257,"="&amp;'Output - County'!A1548,Input!$B$115:$B$3257,"="&amp;'Output - County'!B1548)*VLOOKUP(A1548,'Output - State'!$B$2:$G$52,4,FALSE)</f>
        <v>24.06751543973785</v>
      </c>
      <c r="F1548" s="98">
        <f>SUMIFS(Input!$C$115:$C$3257,Input!$A$115:$A$3257,"="&amp;'Output - County'!A1548,Input!$B$115:$B$3257,"="&amp;'Output - County'!B1548)*VLOOKUP(A1548,'Output - State'!$B$2:$G$52,5,FALSE)</f>
        <v>28.590408316602396</v>
      </c>
      <c r="G1548" s="99">
        <f>SUMIFS(Input!$D$115:$D$3257,Input!$A$115:$A$3257,"="&amp;'Output - County'!A1548,Input!$B$115:$B$3257,"="&amp;'Output - County'!B1548)*VLOOKUP(A1548,'Output - State'!$B$2:$G$52,6,FALSE)</f>
        <v>5.0264577470105962</v>
      </c>
    </row>
    <row r="1549" spans="1:7" x14ac:dyDescent="0.25">
      <c r="A1549" s="88">
        <v>29</v>
      </c>
      <c r="B1549" s="88">
        <v>129</v>
      </c>
      <c r="C1549" s="97">
        <f>SUMIFS(Input!$C$115:$C$3257,Input!$A$115:$A$3257,"="&amp;'Output - County'!A1549,Input!$B$115:$B$3257,"="&amp;'Output - County'!B1549)*VLOOKUP(A1549,'Output - State'!$B$2:$G$52,2,FALSE)</f>
        <v>0.55788827647227712</v>
      </c>
      <c r="D1549" s="98">
        <f>SUMIFS(Input!$C$115:$C$3257,Input!$A$115:$A$3257,"="&amp;'Output - County'!A1549,Input!$B$115:$B$3257,"="&amp;'Output - County'!B1549)*VLOOKUP(A1549,'Output - State'!$B$2:$G$52,3,FALSE)</f>
        <v>6.3888426776472454E-2</v>
      </c>
      <c r="E1549" s="98">
        <f>SUMIFS(Input!$C$115:$C$3257,Input!$A$115:$A$3257,"="&amp;'Output - County'!A1549,Input!$B$115:$B$3257,"="&amp;'Output - County'!B1549)*VLOOKUP(A1549,'Output - State'!$B$2:$G$52,4,FALSE)</f>
        <v>1.6086166179270998</v>
      </c>
      <c r="F1549" s="98">
        <f>SUMIFS(Input!$C$115:$C$3257,Input!$A$115:$A$3257,"="&amp;'Output - County'!A1549,Input!$B$115:$B$3257,"="&amp;'Output - County'!B1549)*VLOOKUP(A1549,'Output - State'!$B$2:$G$52,5,FALSE)</f>
        <v>1.910916232569319</v>
      </c>
      <c r="G1549" s="99">
        <f>SUMIFS(Input!$D$115:$D$3257,Input!$A$115:$A$3257,"="&amp;'Output - County'!A1549,Input!$B$115:$B$3257,"="&amp;'Output - County'!B1549)*VLOOKUP(A1549,'Output - State'!$B$2:$G$52,6,FALSE)</f>
        <v>0.64021198672450763</v>
      </c>
    </row>
    <row r="1550" spans="1:7" x14ac:dyDescent="0.25">
      <c r="A1550" s="88">
        <v>29</v>
      </c>
      <c r="B1550" s="88">
        <v>131</v>
      </c>
      <c r="C1550" s="97">
        <f>SUMIFS(Input!$C$115:$C$3257,Input!$A$115:$A$3257,"="&amp;'Output - County'!A1550,Input!$B$115:$B$3257,"="&amp;'Output - County'!B1550)*VLOOKUP(A1550,'Output - State'!$B$2:$G$52,2,FALSE)</f>
        <v>5.8488943373773372</v>
      </c>
      <c r="D1550" s="98">
        <f>SUMIFS(Input!$C$115:$C$3257,Input!$A$115:$A$3257,"="&amp;'Output - County'!A1550,Input!$B$115:$B$3257,"="&amp;'Output - County'!B1550)*VLOOKUP(A1550,'Output - State'!$B$2:$G$52,3,FALSE)</f>
        <v>0.66980553877157034</v>
      </c>
      <c r="E1550" s="98">
        <f>SUMIFS(Input!$C$115:$C$3257,Input!$A$115:$A$3257,"="&amp;'Output - County'!A1550,Input!$B$115:$B$3257,"="&amp;'Output - County'!B1550)*VLOOKUP(A1550,'Output - State'!$B$2:$G$52,4,FALSE)</f>
        <v>16.864718303634106</v>
      </c>
      <c r="F1550" s="98">
        <f>SUMIFS(Input!$C$115:$C$3257,Input!$A$115:$A$3257,"="&amp;'Output - County'!A1550,Input!$B$115:$B$3257,"="&amp;'Output - County'!B1550)*VLOOKUP(A1550,'Output - State'!$B$2:$G$52,5,FALSE)</f>
        <v>20.034024020995044</v>
      </c>
      <c r="G1550" s="99">
        <f>SUMIFS(Input!$D$115:$D$3257,Input!$A$115:$A$3257,"="&amp;'Output - County'!A1550,Input!$B$115:$B$3257,"="&amp;'Output - County'!B1550)*VLOOKUP(A1550,'Output - State'!$B$2:$G$52,6,FALSE)</f>
        <v>4.4620835438374771</v>
      </c>
    </row>
    <row r="1551" spans="1:7" x14ac:dyDescent="0.25">
      <c r="A1551" s="88">
        <v>29</v>
      </c>
      <c r="B1551" s="88">
        <v>133</v>
      </c>
      <c r="C1551" s="97">
        <f>SUMIFS(Input!$C$115:$C$3257,Input!$A$115:$A$3257,"="&amp;'Output - County'!A1551,Input!$B$115:$B$3257,"="&amp;'Output - County'!B1551)*VLOOKUP(A1551,'Output - State'!$B$2:$G$52,2,FALSE)</f>
        <v>4.5573110455601631</v>
      </c>
      <c r="D1551" s="98">
        <f>SUMIFS(Input!$C$115:$C$3257,Input!$A$115:$A$3257,"="&amp;'Output - County'!A1551,Input!$B$115:$B$3257,"="&amp;'Output - County'!B1551)*VLOOKUP(A1551,'Output - State'!$B$2:$G$52,3,FALSE)</f>
        <v>0.52189559327717483</v>
      </c>
      <c r="E1551" s="98">
        <f>SUMIFS(Input!$C$115:$C$3257,Input!$A$115:$A$3257,"="&amp;'Output - County'!A1551,Input!$B$115:$B$3257,"="&amp;'Output - County'!B1551)*VLOOKUP(A1551,'Output - State'!$B$2:$G$52,4,FALSE)</f>
        <v>13.14056342482597</v>
      </c>
      <c r="F1551" s="98">
        <f>SUMIFS(Input!$C$115:$C$3257,Input!$A$115:$A$3257,"="&amp;'Output - County'!A1551,Input!$B$115:$B$3257,"="&amp;'Output - County'!B1551)*VLOOKUP(A1551,'Output - State'!$B$2:$G$52,5,FALSE)</f>
        <v>15.610006557040681</v>
      </c>
      <c r="G1551" s="99">
        <f>SUMIFS(Input!$D$115:$D$3257,Input!$A$115:$A$3257,"="&amp;'Output - County'!A1551,Input!$B$115:$B$3257,"="&amp;'Output - County'!B1551)*VLOOKUP(A1551,'Output - State'!$B$2:$G$52,6,FALSE)</f>
        <v>2.3633169757874382</v>
      </c>
    </row>
    <row r="1552" spans="1:7" x14ac:dyDescent="0.25">
      <c r="A1552" s="88">
        <v>29</v>
      </c>
      <c r="B1552" s="88">
        <v>135</v>
      </c>
      <c r="C1552" s="97">
        <f>SUMIFS(Input!$C$115:$C$3257,Input!$A$115:$A$3257,"="&amp;'Output - County'!A1552,Input!$B$115:$B$3257,"="&amp;'Output - County'!B1552)*VLOOKUP(A1552,'Output - State'!$B$2:$G$52,2,FALSE)</f>
        <v>2.1664626527368886</v>
      </c>
      <c r="D1552" s="98">
        <f>SUMIFS(Input!$C$115:$C$3257,Input!$A$115:$A$3257,"="&amp;'Output - County'!A1552,Input!$B$115:$B$3257,"="&amp;'Output - County'!B1552)*VLOOKUP(A1552,'Output - State'!$B$2:$G$52,3,FALSE)</f>
        <v>0.24809965792536423</v>
      </c>
      <c r="E1552" s="98">
        <f>SUMIFS(Input!$C$115:$C$3257,Input!$A$115:$A$3257,"="&amp;'Output - County'!A1552,Input!$B$115:$B$3257,"="&amp;'Output - County'!B1552)*VLOOKUP(A1552,'Output - State'!$B$2:$G$52,4,FALSE)</f>
        <v>6.2467844768990499</v>
      </c>
      <c r="F1552" s="98">
        <f>SUMIFS(Input!$C$115:$C$3257,Input!$A$115:$A$3257,"="&amp;'Output - County'!A1552,Input!$B$115:$B$3257,"="&amp;'Output - County'!B1552)*VLOOKUP(A1552,'Output - State'!$B$2:$G$52,5,FALSE)</f>
        <v>7.4207127573074771</v>
      </c>
      <c r="G1552" s="99">
        <f>SUMIFS(Input!$D$115:$D$3257,Input!$A$115:$A$3257,"="&amp;'Output - County'!A1552,Input!$B$115:$B$3257,"="&amp;'Output - County'!B1552)*VLOOKUP(A1552,'Output - State'!$B$2:$G$52,6,FALSE)</f>
        <v>2.8571444035639182</v>
      </c>
    </row>
    <row r="1553" spans="1:7" x14ac:dyDescent="0.25">
      <c r="A1553" s="88">
        <v>29</v>
      </c>
      <c r="B1553" s="88">
        <v>137</v>
      </c>
      <c r="C1553" s="97">
        <f>SUMIFS(Input!$C$115:$C$3257,Input!$A$115:$A$3257,"="&amp;'Output - County'!A1553,Input!$B$115:$B$3257,"="&amp;'Output - County'!B1553)*VLOOKUP(A1553,'Output - State'!$B$2:$G$52,2,FALSE)</f>
        <v>1.0647716329784722</v>
      </c>
      <c r="D1553" s="98">
        <f>SUMIFS(Input!$C$115:$C$3257,Input!$A$115:$A$3257,"="&amp;'Output - County'!A1553,Input!$B$115:$B$3257,"="&amp;'Output - County'!B1553)*VLOOKUP(A1553,'Output - State'!$B$2:$G$52,3,FALSE)</f>
        <v>0.12193585593403403</v>
      </c>
      <c r="E1553" s="98">
        <f>SUMIFS(Input!$C$115:$C$3257,Input!$A$115:$A$3257,"="&amp;'Output - County'!A1553,Input!$B$115:$B$3257,"="&amp;'Output - County'!B1553)*VLOOKUP(A1553,'Output - State'!$B$2:$G$52,4,FALSE)</f>
        <v>3.0701655068596136</v>
      </c>
      <c r="F1553" s="98">
        <f>SUMIFS(Input!$C$115:$C$3257,Input!$A$115:$A$3257,"="&amp;'Output - County'!A1553,Input!$B$115:$B$3257,"="&amp;'Output - County'!B1553)*VLOOKUP(A1553,'Output - State'!$B$2:$G$52,5,FALSE)</f>
        <v>3.6471270023882862</v>
      </c>
      <c r="G1553" s="99">
        <f>SUMIFS(Input!$D$115:$D$3257,Input!$A$115:$A$3257,"="&amp;'Output - County'!A1553,Input!$B$115:$B$3257,"="&amp;'Output - County'!B1553)*VLOOKUP(A1553,'Output - State'!$B$2:$G$52,6,FALSE)</f>
        <v>1.523810348567423</v>
      </c>
    </row>
    <row r="1554" spans="1:7" x14ac:dyDescent="0.25">
      <c r="A1554" s="88">
        <v>29</v>
      </c>
      <c r="B1554" s="88">
        <v>139</v>
      </c>
      <c r="C1554" s="97">
        <f>SUMIFS(Input!$C$115:$C$3257,Input!$A$115:$A$3257,"="&amp;'Output - County'!A1554,Input!$B$115:$B$3257,"="&amp;'Output - County'!B1554)*VLOOKUP(A1554,'Output - State'!$B$2:$G$52,2,FALSE)</f>
        <v>7.2111487078234866</v>
      </c>
      <c r="D1554" s="98">
        <f>SUMIFS(Input!$C$115:$C$3257,Input!$A$115:$A$3257,"="&amp;'Output - County'!A1554,Input!$B$115:$B$3257,"="&amp;'Output - County'!B1554)*VLOOKUP(A1554,'Output - State'!$B$2:$G$52,3,FALSE)</f>
        <v>0.82580861728670618</v>
      </c>
      <c r="E1554" s="98">
        <f>SUMIFS(Input!$C$115:$C$3257,Input!$A$115:$A$3257,"="&amp;'Output - County'!A1554,Input!$B$115:$B$3257,"="&amp;'Output - County'!B1554)*VLOOKUP(A1554,'Output - State'!$B$2:$G$52,4,FALSE)</f>
        <v>20.792646368371614</v>
      </c>
      <c r="F1554" s="98">
        <f>SUMIFS(Input!$C$115:$C$3257,Input!$A$115:$A$3257,"="&amp;'Output - County'!A1554,Input!$B$115:$B$3257,"="&amp;'Output - County'!B1554)*VLOOKUP(A1554,'Output - State'!$B$2:$G$52,5,FALSE)</f>
        <v>24.700108789498692</v>
      </c>
      <c r="G1554" s="99">
        <f>SUMIFS(Input!$D$115:$D$3257,Input!$A$115:$A$3257,"="&amp;'Output - County'!A1554,Input!$B$115:$B$3257,"="&amp;'Output - County'!B1554)*VLOOKUP(A1554,'Output - State'!$B$2:$G$52,6,FALSE)</f>
        <v>2.0282197926533985</v>
      </c>
    </row>
    <row r="1555" spans="1:7" x14ac:dyDescent="0.25">
      <c r="A1555" s="88">
        <v>29</v>
      </c>
      <c r="B1555" s="88">
        <v>141</v>
      </c>
      <c r="C1555" s="97">
        <f>SUMIFS(Input!$C$115:$C$3257,Input!$A$115:$A$3257,"="&amp;'Output - County'!A1555,Input!$B$115:$B$3257,"="&amp;'Output - County'!B1555)*VLOOKUP(A1555,'Output - State'!$B$2:$G$52,2,FALSE)</f>
        <v>2.857143037652802</v>
      </c>
      <c r="D1555" s="98">
        <f>SUMIFS(Input!$C$115:$C$3257,Input!$A$115:$A$3257,"="&amp;'Output - County'!A1555,Input!$B$115:$B$3257,"="&amp;'Output - County'!B1555)*VLOOKUP(A1555,'Output - State'!$B$2:$G$52,3,FALSE)</f>
        <v>0.32719521353852993</v>
      </c>
      <c r="E1555" s="98">
        <f>SUMIFS(Input!$C$115:$C$3257,Input!$A$115:$A$3257,"="&amp;'Output - County'!A1555,Input!$B$115:$B$3257,"="&amp;'Output - County'!B1555)*VLOOKUP(A1555,'Output - State'!$B$2:$G$52,4,FALSE)</f>
        <v>8.2382942320018433</v>
      </c>
      <c r="F1555" s="98">
        <f>SUMIFS(Input!$C$115:$C$3257,Input!$A$115:$A$3257,"="&amp;'Output - County'!A1555,Input!$B$115:$B$3257,"="&amp;'Output - County'!B1555)*VLOOKUP(A1555,'Output - State'!$B$2:$G$52,5,FALSE)</f>
        <v>9.7864774000040526</v>
      </c>
      <c r="G1555" s="99">
        <f>SUMIFS(Input!$D$115:$D$3257,Input!$A$115:$A$3257,"="&amp;'Output - County'!A1555,Input!$B$115:$B$3257,"="&amp;'Output - County'!B1555)*VLOOKUP(A1555,'Output - State'!$B$2:$G$52,6,FALSE)</f>
        <v>3.5978855452286376</v>
      </c>
    </row>
    <row r="1556" spans="1:7" x14ac:dyDescent="0.25">
      <c r="A1556" s="88">
        <v>29</v>
      </c>
      <c r="B1556" s="88">
        <v>143</v>
      </c>
      <c r="C1556" s="97">
        <f>SUMIFS(Input!$C$115:$C$3257,Input!$A$115:$A$3257,"="&amp;'Output - County'!A1556,Input!$B$115:$B$3257,"="&amp;'Output - County'!B1556)*VLOOKUP(A1556,'Output - State'!$B$2:$G$52,2,FALSE)</f>
        <v>9.5132852713137215</v>
      </c>
      <c r="D1556" s="98">
        <f>SUMIFS(Input!$C$115:$C$3257,Input!$A$115:$A$3257,"="&amp;'Output - County'!A1556,Input!$B$115:$B$3257,"="&amp;'Output - County'!B1556)*VLOOKUP(A1556,'Output - State'!$B$2:$G$52,3,FALSE)</f>
        <v>1.089445423200649</v>
      </c>
      <c r="E1556" s="98">
        <f>SUMIFS(Input!$C$115:$C$3257,Input!$A$115:$A$3257,"="&amp;'Output - County'!A1556,Input!$B$115:$B$3257,"="&amp;'Output - County'!B1556)*VLOOKUP(A1556,'Output - State'!$B$2:$G$52,4,FALSE)</f>
        <v>27.430633379292431</v>
      </c>
      <c r="F1556" s="98">
        <f>SUMIFS(Input!$C$115:$C$3257,Input!$A$115:$A$3257,"="&amp;'Output - County'!A1556,Input!$B$115:$B$3257,"="&amp;'Output - County'!B1556)*VLOOKUP(A1556,'Output - State'!$B$2:$G$52,5,FALSE)</f>
        <v>32.585540898921131</v>
      </c>
      <c r="G1556" s="99">
        <f>SUMIFS(Input!$D$115:$D$3257,Input!$A$115:$A$3257,"="&amp;'Output - County'!A1556,Input!$B$115:$B$3257,"="&amp;'Output - County'!B1556)*VLOOKUP(A1556,'Output - State'!$B$2:$G$52,6,FALSE)</f>
        <v>3.0511480359046779</v>
      </c>
    </row>
    <row r="1557" spans="1:7" x14ac:dyDescent="0.25">
      <c r="A1557" s="88">
        <v>29</v>
      </c>
      <c r="B1557" s="88">
        <v>145</v>
      </c>
      <c r="C1557" s="97">
        <f>SUMIFS(Input!$C$115:$C$3257,Input!$A$115:$A$3257,"="&amp;'Output - County'!A1557,Input!$B$115:$B$3257,"="&amp;'Output - County'!B1557)*VLOOKUP(A1557,'Output - State'!$B$2:$G$52,2,FALSE)</f>
        <v>15.323538584272759</v>
      </c>
      <c r="D1557" s="98">
        <f>SUMIFS(Input!$C$115:$C$3257,Input!$A$115:$A$3257,"="&amp;'Output - County'!A1557,Input!$B$115:$B$3257,"="&amp;'Output - County'!B1557)*VLOOKUP(A1557,'Output - State'!$B$2:$G$52,3,FALSE)</f>
        <v>1.7548258568692283</v>
      </c>
      <c r="E1557" s="98">
        <f>SUMIFS(Input!$C$115:$C$3257,Input!$A$115:$A$3257,"="&amp;'Output - County'!A1557,Input!$B$115:$B$3257,"="&amp;'Output - County'!B1557)*VLOOKUP(A1557,'Output - State'!$B$2:$G$52,4,FALSE)</f>
        <v>44.183934044961362</v>
      </c>
      <c r="F1557" s="98">
        <f>SUMIFS(Input!$C$115:$C$3257,Input!$A$115:$A$3257,"="&amp;'Output - County'!A1557,Input!$B$115:$B$3257,"="&amp;'Output - County'!B1557)*VLOOKUP(A1557,'Output - State'!$B$2:$G$52,5,FALSE)</f>
        <v>52.487209099014279</v>
      </c>
      <c r="G1557" s="99">
        <f>SUMIFS(Input!$D$115:$D$3257,Input!$A$115:$A$3257,"="&amp;'Output - County'!A1557,Input!$B$115:$B$3257,"="&amp;'Output - County'!B1557)*VLOOKUP(A1557,'Output - State'!$B$2:$G$52,6,FALSE)</f>
        <v>10.264555820211113</v>
      </c>
    </row>
    <row r="1558" spans="1:7" x14ac:dyDescent="0.25">
      <c r="A1558" s="88">
        <v>29</v>
      </c>
      <c r="B1558" s="88">
        <v>147</v>
      </c>
      <c r="C1558" s="97">
        <f>SUMIFS(Input!$C$115:$C$3257,Input!$A$115:$A$3257,"="&amp;'Output - County'!A1558,Input!$B$115:$B$3257,"="&amp;'Output - County'!B1558)*VLOOKUP(A1558,'Output - State'!$B$2:$G$52,2,FALSE)</f>
        <v>3.7077387933423638</v>
      </c>
      <c r="D1558" s="98">
        <f>SUMIFS(Input!$C$115:$C$3257,Input!$A$115:$A$3257,"="&amp;'Output - County'!A1558,Input!$B$115:$B$3257,"="&amp;'Output - County'!B1558)*VLOOKUP(A1558,'Output - State'!$B$2:$G$52,3,FALSE)</f>
        <v>0.42460400835562495</v>
      </c>
      <c r="E1558" s="98">
        <f>SUMIFS(Input!$C$115:$C$3257,Input!$A$115:$A$3257,"="&amp;'Output - County'!A1558,Input!$B$115:$B$3257,"="&amp;'Output - County'!B1558)*VLOOKUP(A1558,'Output - State'!$B$2:$G$52,4,FALSE)</f>
        <v>10.690904414801556</v>
      </c>
      <c r="F1558" s="98">
        <f>SUMIFS(Input!$C$115:$C$3257,Input!$A$115:$A$3257,"="&amp;'Output - County'!A1558,Input!$B$115:$B$3257,"="&amp;'Output - County'!B1558)*VLOOKUP(A1558,'Output - State'!$B$2:$G$52,5,FALSE)</f>
        <v>12.699994864790789</v>
      </c>
      <c r="G1558" s="99">
        <f>SUMIFS(Input!$D$115:$D$3257,Input!$A$115:$A$3257,"="&amp;'Output - County'!A1558,Input!$B$115:$B$3257,"="&amp;'Output - County'!B1558)*VLOOKUP(A1558,'Output - State'!$B$2:$G$52,6,FALSE)</f>
        <v>3.9153460345135174</v>
      </c>
    </row>
    <row r="1559" spans="1:7" x14ac:dyDescent="0.25">
      <c r="A1559" s="88">
        <v>29</v>
      </c>
      <c r="B1559" s="88">
        <v>149</v>
      </c>
      <c r="C1559" s="97">
        <f>SUMIFS(Input!$C$115:$C$3257,Input!$A$115:$A$3257,"="&amp;'Output - County'!A1559,Input!$B$115:$B$3257,"="&amp;'Output - County'!B1559)*VLOOKUP(A1559,'Output - State'!$B$2:$G$52,2,FALSE)</f>
        <v>1.5118299628672975</v>
      </c>
      <c r="D1559" s="98">
        <f>SUMIFS(Input!$C$115:$C$3257,Input!$A$115:$A$3257,"="&amp;'Output - County'!A1559,Input!$B$115:$B$3257,"="&amp;'Output - County'!B1559)*VLOOKUP(A1559,'Output - State'!$B$2:$G$52,3,FALSE)</f>
        <v>0.17313222369877876</v>
      </c>
      <c r="E1559" s="98">
        <f>SUMIFS(Input!$C$115:$C$3257,Input!$A$115:$A$3257,"="&amp;'Output - County'!A1559,Input!$B$115:$B$3257,"="&amp;'Output - County'!B1559)*VLOOKUP(A1559,'Output - State'!$B$2:$G$52,4,FALSE)</f>
        <v>4.3592147465914612</v>
      </c>
      <c r="F1559" s="98">
        <f>SUMIFS(Input!$C$115:$C$3257,Input!$A$115:$A$3257,"="&amp;'Output - County'!A1559,Input!$B$115:$B$3257,"="&amp;'Output - County'!B1559)*VLOOKUP(A1559,'Output - State'!$B$2:$G$52,5,FALSE)</f>
        <v>5.1784210903226429</v>
      </c>
      <c r="G1559" s="99">
        <f>SUMIFS(Input!$D$115:$D$3257,Input!$A$115:$A$3257,"="&amp;'Output - County'!A1559,Input!$B$115:$B$3257,"="&amp;'Output - County'!B1559)*VLOOKUP(A1559,'Output - State'!$B$2:$G$52,6,FALSE)</f>
        <v>1.8694895480109588</v>
      </c>
    </row>
    <row r="1560" spans="1:7" x14ac:dyDescent="0.25">
      <c r="A1560" s="88">
        <v>29</v>
      </c>
      <c r="B1560" s="88">
        <v>151</v>
      </c>
      <c r="C1560" s="97">
        <f>SUMIFS(Input!$C$115:$C$3257,Input!$A$115:$A$3257,"="&amp;'Output - County'!A1560,Input!$B$115:$B$3257,"="&amp;'Output - County'!B1560)*VLOOKUP(A1560,'Output - State'!$B$2:$G$52,2,FALSE)</f>
        <v>2.4499194751353666</v>
      </c>
      <c r="D1560" s="98">
        <f>SUMIFS(Input!$C$115:$C$3257,Input!$A$115:$A$3257,"="&amp;'Output - County'!A1560,Input!$B$115:$B$3257,"="&amp;'Output - County'!B1560)*VLOOKUP(A1560,'Output - State'!$B$2:$G$52,3,FALSE)</f>
        <v>0.28056065631129579</v>
      </c>
      <c r="E1560" s="98">
        <f>SUMIFS(Input!$C$115:$C$3257,Input!$A$115:$A$3257,"="&amp;'Output - County'!A1560,Input!$B$115:$B$3257,"="&amp;'Output - County'!B1560)*VLOOKUP(A1560,'Output - State'!$B$2:$G$52,4,FALSE)</f>
        <v>7.0641046720074359</v>
      </c>
      <c r="F1560" s="98">
        <f>SUMIFS(Input!$C$115:$C$3257,Input!$A$115:$A$3257,"="&amp;'Output - County'!A1560,Input!$B$115:$B$3257,"="&amp;'Output - County'!B1560)*VLOOKUP(A1560,'Output - State'!$B$2:$G$52,5,FALSE)</f>
        <v>8.3916280211644096</v>
      </c>
      <c r="G1560" s="99">
        <f>SUMIFS(Input!$D$115:$D$3257,Input!$A$115:$A$3257,"="&amp;'Output - County'!A1560,Input!$B$115:$B$3257,"="&amp;'Output - County'!B1560)*VLOOKUP(A1560,'Output - State'!$B$2:$G$52,6,FALSE)</f>
        <v>2.4162270573349183</v>
      </c>
    </row>
    <row r="1561" spans="1:7" x14ac:dyDescent="0.25">
      <c r="A1561" s="88">
        <v>29</v>
      </c>
      <c r="B1561" s="88">
        <v>153</v>
      </c>
      <c r="C1561" s="97">
        <f>SUMIFS(Input!$C$115:$C$3257,Input!$A$115:$A$3257,"="&amp;'Output - County'!A1561,Input!$B$115:$B$3257,"="&amp;'Output - County'!B1561)*VLOOKUP(A1561,'Output - State'!$B$2:$G$52,2,FALSE)</f>
        <v>1.0895702157620846</v>
      </c>
      <c r="D1561" s="98">
        <f>SUMIFS(Input!$C$115:$C$3257,Input!$A$115:$A$3257,"="&amp;'Output - County'!A1561,Input!$B$115:$B$3257,"="&amp;'Output - County'!B1561)*VLOOKUP(A1561,'Output - State'!$B$2:$G$52,3,FALSE)</f>
        <v>0.1247757479108819</v>
      </c>
      <c r="E1561" s="98">
        <f>SUMIFS(Input!$C$115:$C$3257,Input!$A$115:$A$3257,"="&amp;'Output - County'!A1561,Input!$B$115:$B$3257,"="&amp;'Output - County'!B1561)*VLOOKUP(A1561,'Output - State'!$B$2:$G$52,4,FALSE)</f>
        <v>3.1416698098698999</v>
      </c>
      <c r="F1561" s="98">
        <f>SUMIFS(Input!$C$115:$C$3257,Input!$A$115:$A$3257,"="&amp;'Output - County'!A1561,Input!$B$115:$B$3257,"="&amp;'Output - County'!B1561)*VLOOKUP(A1561,'Output - State'!$B$2:$G$52,5,FALSE)</f>
        <v>3.7320687665091783</v>
      </c>
      <c r="G1561" s="99">
        <f>SUMIFS(Input!$D$115:$D$3257,Input!$A$115:$A$3257,"="&amp;'Output - County'!A1561,Input!$B$115:$B$3257,"="&amp;'Output - County'!B1561)*VLOOKUP(A1561,'Output - State'!$B$2:$G$52,6,FALSE)</f>
        <v>1.5996481321188107</v>
      </c>
    </row>
    <row r="1562" spans="1:7" x14ac:dyDescent="0.25">
      <c r="A1562" s="88">
        <v>29</v>
      </c>
      <c r="B1562" s="88">
        <v>155</v>
      </c>
      <c r="C1562" s="97">
        <f>SUMIFS(Input!$C$115:$C$3257,Input!$A$115:$A$3257,"="&amp;'Output - County'!A1562,Input!$B$115:$B$3257,"="&amp;'Output - County'!B1562)*VLOOKUP(A1562,'Output - State'!$B$2:$G$52,2,FALSE)</f>
        <v>9.1387161083338846</v>
      </c>
      <c r="D1562" s="98">
        <f>SUMIFS(Input!$C$115:$C$3257,Input!$A$115:$A$3257,"="&amp;'Output - County'!A1562,Input!$B$115:$B$3257,"="&amp;'Output - County'!B1562)*VLOOKUP(A1562,'Output - State'!$B$2:$G$52,3,FALSE)</f>
        <v>1.0465503928675441</v>
      </c>
      <c r="E1562" s="98">
        <f>SUMIFS(Input!$C$115:$C$3257,Input!$A$115:$A$3257,"="&amp;'Output - County'!A1562,Input!$B$115:$B$3257,"="&amp;'Output - County'!B1562)*VLOOKUP(A1562,'Output - State'!$B$2:$G$52,4,FALSE)</f>
        <v>26.350599606325435</v>
      </c>
      <c r="F1562" s="98">
        <f>SUMIFS(Input!$C$115:$C$3257,Input!$A$115:$A$3257,"="&amp;'Output - County'!A1562,Input!$B$115:$B$3257,"="&amp;'Output - County'!B1562)*VLOOKUP(A1562,'Output - State'!$B$2:$G$52,5,FALSE)</f>
        <v>31.302541553094873</v>
      </c>
      <c r="G1562" s="99">
        <f>SUMIFS(Input!$D$115:$D$3257,Input!$A$115:$A$3257,"="&amp;'Output - County'!A1562,Input!$B$115:$B$3257,"="&amp;'Output - County'!B1562)*VLOOKUP(A1562,'Output - State'!$B$2:$G$52,6,FALSE)</f>
        <v>2.8747810974130781</v>
      </c>
    </row>
    <row r="1563" spans="1:7" x14ac:dyDescent="0.25">
      <c r="A1563" s="88">
        <v>29</v>
      </c>
      <c r="B1563" s="88">
        <v>157</v>
      </c>
      <c r="C1563" s="97">
        <f>SUMIFS(Input!$C$115:$C$3257,Input!$A$115:$A$3257,"="&amp;'Output - County'!A1563,Input!$B$115:$B$3257,"="&amp;'Output - County'!B1563)*VLOOKUP(A1563,'Output - State'!$B$2:$G$52,2,FALSE)</f>
        <v>5.7795153133748087</v>
      </c>
      <c r="D1563" s="98">
        <f>SUMIFS(Input!$C$115:$C$3257,Input!$A$115:$A$3257,"="&amp;'Output - County'!A1563,Input!$B$115:$B$3257,"="&amp;'Output - County'!B1563)*VLOOKUP(A1563,'Output - State'!$B$2:$G$52,3,FALSE)</f>
        <v>0.6618603696727734</v>
      </c>
      <c r="E1563" s="98">
        <f>SUMIFS(Input!$C$115:$C$3257,Input!$A$115:$A$3257,"="&amp;'Output - County'!A1563,Input!$B$115:$B$3257,"="&amp;'Output - County'!B1563)*VLOOKUP(A1563,'Output - State'!$B$2:$G$52,4,FALSE)</f>
        <v>16.664670631631132</v>
      </c>
      <c r="F1563" s="98">
        <f>SUMIFS(Input!$C$115:$C$3257,Input!$A$115:$A$3257,"="&amp;'Output - County'!A1563,Input!$B$115:$B$3257,"="&amp;'Output - County'!B1563)*VLOOKUP(A1563,'Output - State'!$B$2:$G$52,5,FALSE)</f>
        <v>19.796382348356605</v>
      </c>
      <c r="G1563" s="99">
        <f>SUMIFS(Input!$D$115:$D$3257,Input!$A$115:$A$3257,"="&amp;'Output - County'!A1563,Input!$B$115:$B$3257,"="&amp;'Output - County'!B1563)*VLOOKUP(A1563,'Output - State'!$B$2:$G$52,6,FALSE)</f>
        <v>3.4038819128878774</v>
      </c>
    </row>
    <row r="1564" spans="1:7" x14ac:dyDescent="0.25">
      <c r="A1564" s="88">
        <v>29</v>
      </c>
      <c r="B1564" s="88">
        <v>159</v>
      </c>
      <c r="C1564" s="97">
        <f>SUMIFS(Input!$C$115:$C$3257,Input!$A$115:$A$3257,"="&amp;'Output - County'!A1564,Input!$B$115:$B$3257,"="&amp;'Output - County'!B1564)*VLOOKUP(A1564,'Output - State'!$B$2:$G$52,2,FALSE)</f>
        <v>9.0366675923846476</v>
      </c>
      <c r="D1564" s="98">
        <f>SUMIFS(Input!$C$115:$C$3257,Input!$A$115:$A$3257,"="&amp;'Output - County'!A1564,Input!$B$115:$B$3257,"="&amp;'Output - County'!B1564)*VLOOKUP(A1564,'Output - State'!$B$2:$G$52,3,FALSE)</f>
        <v>1.0348639685173195</v>
      </c>
      <c r="E1564" s="98">
        <f>SUMIFS(Input!$C$115:$C$3257,Input!$A$115:$A$3257,"="&amp;'Output - County'!A1564,Input!$B$115:$B$3257,"="&amp;'Output - County'!B1564)*VLOOKUP(A1564,'Output - State'!$B$2:$G$52,4,FALSE)</f>
        <v>26.056352629800379</v>
      </c>
      <c r="F1564" s="98">
        <f>SUMIFS(Input!$C$115:$C$3257,Input!$A$115:$A$3257,"="&amp;'Output - County'!A1564,Input!$B$115:$B$3257,"="&amp;'Output - County'!B1564)*VLOOKUP(A1564,'Output - State'!$B$2:$G$52,5,FALSE)</f>
        <v>30.952998151914088</v>
      </c>
      <c r="G1564" s="99">
        <f>SUMIFS(Input!$D$115:$D$3257,Input!$A$115:$A$3257,"="&amp;'Output - County'!A1564,Input!$B$115:$B$3257,"="&amp;'Output - County'!B1564)*VLOOKUP(A1564,'Output - State'!$B$2:$G$52,6,FALSE)</f>
        <v>7.4779581920438352</v>
      </c>
    </row>
    <row r="1565" spans="1:7" x14ac:dyDescent="0.25">
      <c r="A1565" s="88">
        <v>29</v>
      </c>
      <c r="B1565" s="88">
        <v>161</v>
      </c>
      <c r="C1565" s="97">
        <f>SUMIFS(Input!$C$115:$C$3257,Input!$A$115:$A$3257,"="&amp;'Output - County'!A1565,Input!$B$115:$B$3257,"="&amp;'Output - County'!B1565)*VLOOKUP(A1565,'Output - State'!$B$2:$G$52,2,FALSE)</f>
        <v>13.73261983472649</v>
      </c>
      <c r="D1565" s="98">
        <f>SUMIFS(Input!$C$115:$C$3257,Input!$A$115:$A$3257,"="&amp;'Output - County'!A1565,Input!$B$115:$B$3257,"="&amp;'Output - County'!B1565)*VLOOKUP(A1565,'Output - State'!$B$2:$G$52,3,FALSE)</f>
        <v>1.5726365183865891</v>
      </c>
      <c r="E1565" s="98">
        <f>SUMIFS(Input!$C$115:$C$3257,Input!$A$115:$A$3257,"="&amp;'Output - County'!A1565,Input!$B$115:$B$3257,"="&amp;'Output - County'!B1565)*VLOOKUP(A1565,'Output - State'!$B$2:$G$52,4,FALSE)</f>
        <v>39.596674469487745</v>
      </c>
      <c r="F1565" s="98">
        <f>SUMIFS(Input!$C$115:$C$3257,Input!$A$115:$A$3257,"="&amp;'Output - County'!A1565,Input!$B$115:$B$3257,"="&amp;'Output - County'!B1565)*VLOOKUP(A1565,'Output - State'!$B$2:$G$52,5,FALSE)</f>
        <v>47.037887807607078</v>
      </c>
      <c r="G1565" s="99">
        <f>SUMIFS(Input!$D$115:$D$3257,Input!$A$115:$A$3257,"="&amp;'Output - County'!A1565,Input!$B$115:$B$3257,"="&amp;'Output - County'!B1565)*VLOOKUP(A1565,'Output - State'!$B$2:$G$52,6,FALSE)</f>
        <v>7.8659654567253545</v>
      </c>
    </row>
    <row r="1566" spans="1:7" x14ac:dyDescent="0.25">
      <c r="A1566" s="88">
        <v>29</v>
      </c>
      <c r="B1566" s="88">
        <v>163</v>
      </c>
      <c r="C1566" s="97">
        <f>SUMIFS(Input!$C$115:$C$3257,Input!$A$115:$A$3257,"="&amp;'Output - County'!A1566,Input!$B$115:$B$3257,"="&amp;'Output - County'!B1566)*VLOOKUP(A1566,'Output - State'!$B$2:$G$52,2,FALSE)</f>
        <v>4.8389172673634535</v>
      </c>
      <c r="D1566" s="98">
        <f>SUMIFS(Input!$C$115:$C$3257,Input!$A$115:$A$3257,"="&amp;'Output - County'!A1566,Input!$B$115:$B$3257,"="&amp;'Output - County'!B1566)*VLOOKUP(A1566,'Output - State'!$B$2:$G$52,3,FALSE)</f>
        <v>0.5541446639965748</v>
      </c>
      <c r="E1566" s="98">
        <f>SUMIFS(Input!$C$115:$C$3257,Input!$A$115:$A$3257,"="&amp;'Output - County'!A1566,Input!$B$115:$B$3257,"="&amp;'Output - County'!B1566)*VLOOKUP(A1566,'Output - State'!$B$2:$G$52,4,FALSE)</f>
        <v>13.952547592998304</v>
      </c>
      <c r="F1566" s="98">
        <f>SUMIFS(Input!$C$115:$C$3257,Input!$A$115:$A$3257,"="&amp;'Output - County'!A1566,Input!$B$115:$B$3257,"="&amp;'Output - County'!B1566)*VLOOKUP(A1566,'Output - State'!$B$2:$G$52,5,FALSE)</f>
        <v>16.574583019982658</v>
      </c>
      <c r="G1566" s="99">
        <f>SUMIFS(Input!$D$115:$D$3257,Input!$A$115:$A$3257,"="&amp;'Output - County'!A1566,Input!$B$115:$B$3257,"="&amp;'Output - County'!B1566)*VLOOKUP(A1566,'Output - State'!$B$2:$G$52,6,FALSE)</f>
        <v>3.2627883620945979</v>
      </c>
    </row>
    <row r="1567" spans="1:7" x14ac:dyDescent="0.25">
      <c r="A1567" s="88">
        <v>29</v>
      </c>
      <c r="B1567" s="88">
        <v>165</v>
      </c>
      <c r="C1567" s="97">
        <f>SUMIFS(Input!$C$115:$C$3257,Input!$A$115:$A$3257,"="&amp;'Output - County'!A1567,Input!$B$115:$B$3257,"="&amp;'Output - County'!B1567)*VLOOKUP(A1567,'Output - State'!$B$2:$G$52,2,FALSE)</f>
        <v>31.228489092380343</v>
      </c>
      <c r="D1567" s="98">
        <f>SUMIFS(Input!$C$115:$C$3257,Input!$A$115:$A$3257,"="&amp;'Output - County'!A1567,Input!$B$115:$B$3257,"="&amp;'Output - County'!B1567)*VLOOKUP(A1567,'Output - State'!$B$2:$G$52,3,FALSE)</f>
        <v>3.576234029032431</v>
      </c>
      <c r="E1567" s="98">
        <f>SUMIFS(Input!$C$115:$C$3257,Input!$A$115:$A$3257,"="&amp;'Output - County'!A1567,Input!$B$115:$B$3257,"="&amp;'Output - County'!B1567)*VLOOKUP(A1567,'Output - State'!$B$2:$G$52,4,FALSE)</f>
        <v>90.044312858498429</v>
      </c>
      <c r="F1567" s="98">
        <f>SUMIFS(Input!$C$115:$C$3257,Input!$A$115:$A$3257,"="&amp;'Output - County'!A1567,Input!$B$115:$B$3257,"="&amp;'Output - County'!B1567)*VLOOKUP(A1567,'Output - State'!$B$2:$G$52,5,FALSE)</f>
        <v>106.96590920065502</v>
      </c>
      <c r="G1567" s="99">
        <f>SUMIFS(Input!$D$115:$D$3257,Input!$A$115:$A$3257,"="&amp;'Output - County'!A1567,Input!$B$115:$B$3257,"="&amp;'Output - County'!B1567)*VLOOKUP(A1567,'Output - State'!$B$2:$G$52,6,FALSE)</f>
        <v>18.165794664634788</v>
      </c>
    </row>
    <row r="1568" spans="1:7" x14ac:dyDescent="0.25">
      <c r="A1568" s="88">
        <v>29</v>
      </c>
      <c r="B1568" s="88">
        <v>167</v>
      </c>
      <c r="C1568" s="97">
        <f>SUMIFS(Input!$C$115:$C$3257,Input!$A$115:$A$3257,"="&amp;'Output - County'!A1568,Input!$B$115:$B$3257,"="&amp;'Output - County'!B1568)*VLOOKUP(A1568,'Output - State'!$B$2:$G$52,2,FALSE)</f>
        <v>7.3453694536788561</v>
      </c>
      <c r="D1568" s="98">
        <f>SUMIFS(Input!$C$115:$C$3257,Input!$A$115:$A$3257,"="&amp;'Output - County'!A1568,Input!$B$115:$B$3257,"="&amp;'Output - County'!B1568)*VLOOKUP(A1568,'Output - State'!$B$2:$G$52,3,FALSE)</f>
        <v>0.84117935127611343</v>
      </c>
      <c r="E1568" s="98">
        <f>SUMIFS(Input!$C$115:$C$3257,Input!$A$115:$A$3257,"="&amp;'Output - County'!A1568,Input!$B$115:$B$3257,"="&amp;'Output - County'!B1568)*VLOOKUP(A1568,'Output - State'!$B$2:$G$52,4,FALSE)</f>
        <v>21.179658842659101</v>
      </c>
      <c r="F1568" s="98">
        <f>SUMIFS(Input!$C$115:$C$3257,Input!$A$115:$A$3257,"="&amp;'Output - County'!A1568,Input!$B$115:$B$3257,"="&amp;'Output - County'!B1568)*VLOOKUP(A1568,'Output - State'!$B$2:$G$52,5,FALSE)</f>
        <v>25.159850664026742</v>
      </c>
      <c r="G1568" s="99">
        <f>SUMIFS(Input!$D$115:$D$3257,Input!$A$115:$A$3257,"="&amp;'Output - County'!A1568,Input!$B$115:$B$3257,"="&amp;'Output - County'!B1568)*VLOOKUP(A1568,'Output - State'!$B$2:$G$52,6,FALSE)</f>
        <v>5.6790154194295166</v>
      </c>
    </row>
    <row r="1569" spans="1:7" x14ac:dyDescent="0.25">
      <c r="A1569" s="88">
        <v>29</v>
      </c>
      <c r="B1569" s="88">
        <v>169</v>
      </c>
      <c r="C1569" s="97">
        <f>SUMIFS(Input!$C$115:$C$3257,Input!$A$115:$A$3257,"="&amp;'Output - County'!A1569,Input!$B$115:$B$3257,"="&amp;'Output - County'!B1569)*VLOOKUP(A1569,'Output - State'!$B$2:$G$52,2,FALSE)</f>
        <v>11.070258156216328</v>
      </c>
      <c r="D1569" s="98">
        <f>SUMIFS(Input!$C$115:$C$3257,Input!$A$115:$A$3257,"="&amp;'Output - County'!A1569,Input!$B$115:$B$3257,"="&amp;'Output - County'!B1569)*VLOOKUP(A1569,'Output - State'!$B$2:$G$52,3,FALSE)</f>
        <v>1.2677473383780982</v>
      </c>
      <c r="E1569" s="98">
        <f>SUMIFS(Input!$C$115:$C$3257,Input!$A$115:$A$3257,"="&amp;'Output - County'!A1569,Input!$B$115:$B$3257,"="&amp;'Output - County'!B1569)*VLOOKUP(A1569,'Output - State'!$B$2:$G$52,4,FALSE)</f>
        <v>31.920013353636971</v>
      </c>
      <c r="F1569" s="98">
        <f>SUMIFS(Input!$C$115:$C$3257,Input!$A$115:$A$3257,"="&amp;'Output - County'!A1569,Input!$B$115:$B$3257,"="&amp;'Output - County'!B1569)*VLOOKUP(A1569,'Output - State'!$B$2:$G$52,5,FALSE)</f>
        <v>37.918588544668751</v>
      </c>
      <c r="G1569" s="99">
        <f>SUMIFS(Input!$D$115:$D$3257,Input!$A$115:$A$3257,"="&amp;'Output - County'!A1569,Input!$B$115:$B$3257,"="&amp;'Output - County'!B1569)*VLOOKUP(A1569,'Output - State'!$B$2:$G$52,6,FALSE)</f>
        <v>9.1710808015631944</v>
      </c>
    </row>
    <row r="1570" spans="1:7" x14ac:dyDescent="0.25">
      <c r="A1570" s="88">
        <v>29</v>
      </c>
      <c r="B1570" s="88">
        <v>171</v>
      </c>
      <c r="C1570" s="97">
        <f>SUMIFS(Input!$C$115:$C$3257,Input!$A$115:$A$3257,"="&amp;'Output - County'!A1570,Input!$B$115:$B$3257,"="&amp;'Output - County'!B1570)*VLOOKUP(A1570,'Output - State'!$B$2:$G$52,2,FALSE)</f>
        <v>0.61681594678337193</v>
      </c>
      <c r="D1570" s="98">
        <f>SUMIFS(Input!$C$115:$C$3257,Input!$A$115:$A$3257,"="&amp;'Output - County'!A1570,Input!$B$115:$B$3257,"="&amp;'Output - County'!B1570)*VLOOKUP(A1570,'Output - State'!$B$2:$G$52,3,FALSE)</f>
        <v>7.0636724434893633E-2</v>
      </c>
      <c r="E1570" s="98">
        <f>SUMIFS(Input!$C$115:$C$3257,Input!$A$115:$A$3257,"="&amp;'Output - County'!A1570,Input!$B$115:$B$3257,"="&amp;'Output - County'!B1570)*VLOOKUP(A1570,'Output - State'!$B$2:$G$52,4,FALSE)</f>
        <v>1.7785288274425239</v>
      </c>
      <c r="F1570" s="98">
        <f>SUMIFS(Input!$C$115:$C$3257,Input!$A$115:$A$3257,"="&amp;'Output - County'!A1570,Input!$B$115:$B$3257,"="&amp;'Output - County'!B1570)*VLOOKUP(A1570,'Output - State'!$B$2:$G$52,5,FALSE)</f>
        <v>2.1127592296242317</v>
      </c>
      <c r="G1570" s="99">
        <f>SUMIFS(Input!$D$115:$D$3257,Input!$A$115:$A$3257,"="&amp;'Output - County'!A1570,Input!$B$115:$B$3257,"="&amp;'Output - County'!B1570)*VLOOKUP(A1570,'Output - State'!$B$2:$G$52,6,FALSE)</f>
        <v>0.83774295783509944</v>
      </c>
    </row>
    <row r="1571" spans="1:7" x14ac:dyDescent="0.25">
      <c r="A1571" s="88">
        <v>29</v>
      </c>
      <c r="B1571" s="88">
        <v>173</v>
      </c>
      <c r="C1571" s="97">
        <f>SUMIFS(Input!$C$115:$C$3257,Input!$A$115:$A$3257,"="&amp;'Output - County'!A1571,Input!$B$115:$B$3257,"="&amp;'Output - County'!B1571)*VLOOKUP(A1571,'Output - State'!$B$2:$G$52,2,FALSE)</f>
        <v>3.3896104266336513</v>
      </c>
      <c r="D1571" s="98">
        <f>SUMIFS(Input!$C$115:$C$3257,Input!$A$115:$A$3257,"="&amp;'Output - County'!A1571,Input!$B$115:$B$3257,"="&amp;'Output - County'!B1571)*VLOOKUP(A1571,'Output - State'!$B$2:$G$52,3,FALSE)</f>
        <v>0.38817248305004104</v>
      </c>
      <c r="E1571" s="98">
        <f>SUMIFS(Input!$C$115:$C$3257,Input!$A$115:$A$3257,"="&amp;'Output - County'!A1571,Input!$B$115:$B$3257,"="&amp;'Output - County'!B1571)*VLOOKUP(A1571,'Output - State'!$B$2:$G$52,4,FALSE)</f>
        <v>9.7736121917822931</v>
      </c>
      <c r="F1571" s="98">
        <f>SUMIFS(Input!$C$115:$C$3257,Input!$A$115:$A$3257,"="&amp;'Output - County'!A1571,Input!$B$115:$B$3257,"="&amp;'Output - County'!B1571)*VLOOKUP(A1571,'Output - State'!$B$2:$G$52,5,FALSE)</f>
        <v>11.610320308751515</v>
      </c>
      <c r="G1571" s="99">
        <f>SUMIFS(Input!$D$115:$D$3257,Input!$A$115:$A$3257,"="&amp;'Output - County'!A1571,Input!$B$115:$B$3257,"="&amp;'Output - County'!B1571)*VLOOKUP(A1571,'Output - State'!$B$2:$G$52,6,FALSE)</f>
        <v>1.7989427726143188</v>
      </c>
    </row>
    <row r="1572" spans="1:7" x14ac:dyDescent="0.25">
      <c r="A1572" s="88">
        <v>29</v>
      </c>
      <c r="B1572" s="88">
        <v>175</v>
      </c>
      <c r="C1572" s="97">
        <f>SUMIFS(Input!$C$115:$C$3257,Input!$A$115:$A$3257,"="&amp;'Output - County'!A1572,Input!$B$115:$B$3257,"="&amp;'Output - County'!B1572)*VLOOKUP(A1572,'Output - State'!$B$2:$G$52,2,FALSE)</f>
        <v>5.9133194368964261</v>
      </c>
      <c r="D1572" s="98">
        <f>SUMIFS(Input!$C$115:$C$3257,Input!$A$115:$A$3257,"="&amp;'Output - County'!A1572,Input!$B$115:$B$3257,"="&amp;'Output - County'!B1572)*VLOOKUP(A1572,'Output - State'!$B$2:$G$52,3,FALSE)</f>
        <v>0.67718339277348505</v>
      </c>
      <c r="E1572" s="98">
        <f>SUMIFS(Input!$C$115:$C$3257,Input!$A$115:$A$3257,"="&amp;'Output - County'!A1572,Input!$B$115:$B$3257,"="&amp;'Output - County'!B1572)*VLOOKUP(A1572,'Output - State'!$B$2:$G$52,4,FALSE)</f>
        <v>17.05048181591534</v>
      </c>
      <c r="F1572" s="98">
        <f>SUMIFS(Input!$C$115:$C$3257,Input!$A$115:$A$3257,"="&amp;'Output - County'!A1572,Input!$B$115:$B$3257,"="&amp;'Output - County'!B1572)*VLOOKUP(A1572,'Output - State'!$B$2:$G$52,5,FALSE)</f>
        <v>20.254697180206051</v>
      </c>
      <c r="G1572" s="99">
        <f>SUMIFS(Input!$D$115:$D$3257,Input!$A$115:$A$3257,"="&amp;'Output - County'!A1572,Input!$B$115:$B$3257,"="&amp;'Output - County'!B1572)*VLOOKUP(A1572,'Output - State'!$B$2:$G$52,6,FALSE)</f>
        <v>4.3562633807425168</v>
      </c>
    </row>
    <row r="1573" spans="1:7" x14ac:dyDescent="0.25">
      <c r="A1573" s="88">
        <v>29</v>
      </c>
      <c r="B1573" s="88">
        <v>177</v>
      </c>
      <c r="C1573" s="97">
        <f>SUMIFS(Input!$C$115:$C$3257,Input!$A$115:$A$3257,"="&amp;'Output - County'!A1573,Input!$B$115:$B$3257,"="&amp;'Output - County'!B1573)*VLOOKUP(A1573,'Output - State'!$B$2:$G$52,2,FALSE)</f>
        <v>3.0550923727743946</v>
      </c>
      <c r="D1573" s="98">
        <f>SUMIFS(Input!$C$115:$C$3257,Input!$A$115:$A$3257,"="&amp;'Output - County'!A1573,Input!$B$115:$B$3257,"="&amp;'Output - County'!B1573)*VLOOKUP(A1573,'Output - State'!$B$2:$G$52,3,FALSE)</f>
        <v>0.34986403834756979</v>
      </c>
      <c r="E1573" s="98">
        <f>SUMIFS(Input!$C$115:$C$3257,Input!$A$115:$A$3257,"="&amp;'Output - County'!A1573,Input!$B$115:$B$3257,"="&amp;'Output - County'!B1573)*VLOOKUP(A1573,'Output - State'!$B$2:$G$52,4,FALSE)</f>
        <v>8.8090618989578946</v>
      </c>
      <c r="F1573" s="98">
        <f>SUMIFS(Input!$C$115:$C$3257,Input!$A$115:$A$3257,"="&amp;'Output - County'!A1573,Input!$B$115:$B$3257,"="&amp;'Output - County'!B1573)*VLOOKUP(A1573,'Output - State'!$B$2:$G$52,5,FALSE)</f>
        <v>10.464506700246842</v>
      </c>
      <c r="G1573" s="99">
        <f>SUMIFS(Input!$D$115:$D$3257,Input!$A$115:$A$3257,"="&amp;'Output - County'!A1573,Input!$B$115:$B$3257,"="&amp;'Output - County'!B1573)*VLOOKUP(A1573,'Output - State'!$B$2:$G$52,6,FALSE)</f>
        <v>4.038802891457637</v>
      </c>
    </row>
    <row r="1574" spans="1:7" x14ac:dyDescent="0.25">
      <c r="A1574" s="88">
        <v>29</v>
      </c>
      <c r="B1574" s="88">
        <v>179</v>
      </c>
      <c r="C1574" s="97">
        <f>SUMIFS(Input!$C$115:$C$3257,Input!$A$115:$A$3257,"="&amp;'Output - County'!A1574,Input!$B$115:$B$3257,"="&amp;'Output - County'!B1574)*VLOOKUP(A1574,'Output - State'!$B$2:$G$52,2,FALSE)</f>
        <v>0.9032105915832791</v>
      </c>
      <c r="D1574" s="98">
        <f>SUMIFS(Input!$C$115:$C$3257,Input!$A$115:$A$3257,"="&amp;'Output - County'!A1574,Input!$B$115:$B$3257,"="&amp;'Output - County'!B1574)*VLOOKUP(A1574,'Output - State'!$B$2:$G$52,3,FALSE)</f>
        <v>0.10343415729936062</v>
      </c>
      <c r="E1574" s="98">
        <f>SUMIFS(Input!$C$115:$C$3257,Input!$A$115:$A$3257,"="&amp;'Output - County'!A1574,Input!$B$115:$B$3257,"="&amp;'Output - County'!B1574)*VLOOKUP(A1574,'Output - State'!$B$2:$G$52,4,FALSE)</f>
        <v>2.6043199478862475</v>
      </c>
      <c r="F1574" s="98">
        <f>SUMIFS(Input!$C$115:$C$3257,Input!$A$115:$A$3257,"="&amp;'Output - County'!A1574,Input!$B$115:$B$3257,"="&amp;'Output - County'!B1574)*VLOOKUP(A1574,'Output - State'!$B$2:$G$52,5,FALSE)</f>
        <v>3.093737319233294</v>
      </c>
      <c r="G1574" s="99">
        <f>SUMIFS(Input!$D$115:$D$3257,Input!$A$115:$A$3257,"="&amp;'Output - County'!A1574,Input!$B$115:$B$3257,"="&amp;'Output - County'!B1574)*VLOOKUP(A1574,'Output - State'!$B$2:$G$52,6,FALSE)</f>
        <v>1.1075843737272473</v>
      </c>
    </row>
    <row r="1575" spans="1:7" x14ac:dyDescent="0.25">
      <c r="A1575" s="88">
        <v>29</v>
      </c>
      <c r="B1575" s="88">
        <v>181</v>
      </c>
      <c r="C1575" s="97">
        <f>SUMIFS(Input!$C$115:$C$3257,Input!$A$115:$A$3257,"="&amp;'Output - County'!A1575,Input!$B$115:$B$3257,"="&amp;'Output - County'!B1575)*VLOOKUP(A1575,'Output - State'!$B$2:$G$52,2,FALSE)</f>
        <v>1.2847250802128973</v>
      </c>
      <c r="D1575" s="98">
        <f>SUMIFS(Input!$C$115:$C$3257,Input!$A$115:$A$3257,"="&amp;'Output - County'!A1575,Input!$B$115:$B$3257,"="&amp;'Output - County'!B1575)*VLOOKUP(A1575,'Output - State'!$B$2:$G$52,3,FALSE)</f>
        <v>0.14712455464039154</v>
      </c>
      <c r="E1575" s="98">
        <f>SUMIFS(Input!$C$115:$C$3257,Input!$A$115:$A$3257,"="&amp;'Output - County'!A1575,Input!$B$115:$B$3257,"="&amp;'Output - County'!B1575)*VLOOKUP(A1575,'Output - State'!$B$2:$G$52,4,FALSE)</f>
        <v>3.704379892272013</v>
      </c>
      <c r="F1575" s="98">
        <f>SUMIFS(Input!$C$115:$C$3257,Input!$A$115:$A$3257,"="&amp;'Output - County'!A1575,Input!$B$115:$B$3257,"="&amp;'Output - County'!B1575)*VLOOKUP(A1575,'Output - State'!$B$2:$G$52,5,FALSE)</f>
        <v>4.4005262589341063</v>
      </c>
      <c r="G1575" s="99">
        <f>SUMIFS(Input!$D$115:$D$3257,Input!$A$115:$A$3257,"="&amp;'Output - County'!A1575,Input!$B$115:$B$3257,"="&amp;'Output - County'!B1575)*VLOOKUP(A1575,'Output - State'!$B$2:$G$52,6,FALSE)</f>
        <v>2.3633169757874382</v>
      </c>
    </row>
    <row r="1576" spans="1:7" x14ac:dyDescent="0.25">
      <c r="A1576" s="88">
        <v>29</v>
      </c>
      <c r="B1576" s="88">
        <v>183</v>
      </c>
      <c r="C1576" s="97">
        <f>SUMIFS(Input!$C$115:$C$3257,Input!$A$115:$A$3257,"="&amp;'Output - County'!A1576,Input!$B$115:$B$3257,"="&amp;'Output - County'!B1576)*VLOOKUP(A1576,'Output - State'!$B$2:$G$52,2,FALSE)</f>
        <v>92.068689763832296</v>
      </c>
      <c r="D1576" s="98">
        <f>SUMIFS(Input!$C$115:$C$3257,Input!$A$115:$A$3257,"="&amp;'Output - County'!A1576,Input!$B$115:$B$3257,"="&amp;'Output - County'!B1576)*VLOOKUP(A1576,'Output - State'!$B$2:$G$52,3,FALSE)</f>
        <v>10.543551446495858</v>
      </c>
      <c r="E1576" s="98">
        <f>SUMIFS(Input!$C$115:$C$3257,Input!$A$115:$A$3257,"="&amp;'Output - County'!A1576,Input!$B$115:$B$3257,"="&amp;'Output - County'!B1576)*VLOOKUP(A1576,'Output - State'!$B$2:$G$52,4,FALSE)</f>
        <v>265.47111776820947</v>
      </c>
      <c r="F1576" s="98">
        <f>SUMIFS(Input!$C$115:$C$3257,Input!$A$115:$A$3257,"="&amp;'Output - County'!A1576,Input!$B$115:$B$3257,"="&amp;'Output - County'!B1576)*VLOOKUP(A1576,'Output - State'!$B$2:$G$52,5,FALSE)</f>
        <v>315.35983314365006</v>
      </c>
      <c r="G1576" s="99">
        <f>SUMIFS(Input!$D$115:$D$3257,Input!$A$115:$A$3257,"="&amp;'Output - County'!A1576,Input!$B$115:$B$3257,"="&amp;'Output - County'!B1576)*VLOOKUP(A1576,'Output - State'!$B$2:$G$52,6,FALSE)</f>
        <v>70.370408458148347</v>
      </c>
    </row>
    <row r="1577" spans="1:7" x14ac:dyDescent="0.25">
      <c r="A1577" s="88">
        <v>29</v>
      </c>
      <c r="B1577" s="88">
        <v>185</v>
      </c>
      <c r="C1577" s="97">
        <f>SUMIFS(Input!$C$115:$C$3257,Input!$A$115:$A$3257,"="&amp;'Output - County'!A1577,Input!$B$115:$B$3257,"="&amp;'Output - County'!B1577)*VLOOKUP(A1577,'Output - State'!$B$2:$G$52,2,FALSE)</f>
        <v>3.3980710155622704</v>
      </c>
      <c r="D1577" s="98">
        <f>SUMIFS(Input!$C$115:$C$3257,Input!$A$115:$A$3257,"="&amp;'Output - County'!A1577,Input!$B$115:$B$3257,"="&amp;'Output - County'!B1577)*VLOOKUP(A1577,'Output - State'!$B$2:$G$52,3,FALSE)</f>
        <v>0.38914137545923433</v>
      </c>
      <c r="E1577" s="98">
        <f>SUMIFS(Input!$C$115:$C$3257,Input!$A$115:$A$3257,"="&amp;'Output - County'!A1577,Input!$B$115:$B$3257,"="&amp;'Output - County'!B1577)*VLOOKUP(A1577,'Output - State'!$B$2:$G$52,4,FALSE)</f>
        <v>9.7980074775805281</v>
      </c>
      <c r="F1577" s="98">
        <f>SUMIFS(Input!$C$115:$C$3257,Input!$A$115:$A$3257,"="&amp;'Output - County'!A1577,Input!$B$115:$B$3257,"="&amp;'Output - County'!B1577)*VLOOKUP(A1577,'Output - State'!$B$2:$G$52,5,FALSE)</f>
        <v>11.639300083739846</v>
      </c>
      <c r="G1577" s="99">
        <f>SUMIFS(Input!$D$115:$D$3257,Input!$A$115:$A$3257,"="&amp;'Output - County'!A1577,Input!$B$115:$B$3257,"="&amp;'Output - County'!B1577)*VLOOKUP(A1577,'Output - State'!$B$2:$G$52,6,FALSE)</f>
        <v>1.6560855524361229</v>
      </c>
    </row>
    <row r="1578" spans="1:7" x14ac:dyDescent="0.25">
      <c r="A1578" s="88">
        <v>29</v>
      </c>
      <c r="B1578" s="88">
        <v>186</v>
      </c>
      <c r="C1578" s="97">
        <f>SUMIFS(Input!$C$115:$C$3257,Input!$A$115:$A$3257,"="&amp;'Output - County'!A1578,Input!$B$115:$B$3257,"="&amp;'Output - County'!B1578)*VLOOKUP(A1578,'Output - State'!$B$2:$G$52,2,FALSE)</f>
        <v>6.4249457191235022</v>
      </c>
      <c r="D1578" s="98">
        <f>SUMIFS(Input!$C$115:$C$3257,Input!$A$115:$A$3257,"="&amp;'Output - County'!A1578,Input!$B$115:$B$3257,"="&amp;'Output - County'!B1578)*VLOOKUP(A1578,'Output - State'!$B$2:$G$52,3,FALSE)</f>
        <v>0.73577397380464549</v>
      </c>
      <c r="E1578" s="98">
        <f>SUMIFS(Input!$C$115:$C$3257,Input!$A$115:$A$3257,"="&amp;'Output - County'!A1578,Input!$B$115:$B$3257,"="&amp;'Output - County'!B1578)*VLOOKUP(A1578,'Output - State'!$B$2:$G$52,4,FALSE)</f>
        <v>18.525706470147043</v>
      </c>
      <c r="F1578" s="98">
        <f>SUMIFS(Input!$C$115:$C$3257,Input!$A$115:$A$3257,"="&amp;'Output - County'!A1578,Input!$B$115:$B$3257,"="&amp;'Output - County'!B1578)*VLOOKUP(A1578,'Output - State'!$B$2:$G$52,5,FALSE)</f>
        <v>22.00715373638069</v>
      </c>
      <c r="G1578" s="99">
        <f>SUMIFS(Input!$D$115:$D$3257,Input!$A$115:$A$3257,"="&amp;'Output - County'!A1578,Input!$B$115:$B$3257,"="&amp;'Output - County'!B1578)*VLOOKUP(A1578,'Output - State'!$B$2:$G$52,6,FALSE)</f>
        <v>3.1569681989996381</v>
      </c>
    </row>
    <row r="1579" spans="1:7" x14ac:dyDescent="0.25">
      <c r="A1579" s="88">
        <v>29</v>
      </c>
      <c r="B1579" s="88">
        <v>187</v>
      </c>
      <c r="C1579" s="97">
        <f>SUMIFS(Input!$C$115:$C$3257,Input!$A$115:$A$3257,"="&amp;'Output - County'!A1579,Input!$B$115:$B$3257,"="&amp;'Output - County'!B1579)*VLOOKUP(A1579,'Output - State'!$B$2:$G$52,2,FALSE)</f>
        <v>13.03088390367855</v>
      </c>
      <c r="D1579" s="98">
        <f>SUMIFS(Input!$C$115:$C$3257,Input!$A$115:$A$3257,"="&amp;'Output - County'!A1579,Input!$B$115:$B$3257,"="&amp;'Output - County'!B1579)*VLOOKUP(A1579,'Output - State'!$B$2:$G$52,3,FALSE)</f>
        <v>1.4922749002313025</v>
      </c>
      <c r="E1579" s="98">
        <f>SUMIFS(Input!$C$115:$C$3257,Input!$A$115:$A$3257,"="&amp;'Output - County'!A1579,Input!$B$115:$B$3257,"="&amp;'Output - County'!B1579)*VLOOKUP(A1579,'Output - State'!$B$2:$G$52,4,FALSE)</f>
        <v>37.573287121723041</v>
      </c>
      <c r="F1579" s="98">
        <f>SUMIFS(Input!$C$115:$C$3257,Input!$A$115:$A$3257,"="&amp;'Output - County'!A1579,Input!$B$115:$B$3257,"="&amp;'Output - County'!B1579)*VLOOKUP(A1579,'Output - State'!$B$2:$G$52,5,FALSE)</f>
        <v>44.634254968974929</v>
      </c>
      <c r="G1579" s="99">
        <f>SUMIFS(Input!$D$115:$D$3257,Input!$A$115:$A$3257,"="&amp;'Output - County'!A1579,Input!$B$115:$B$3257,"="&amp;'Output - County'!B1579)*VLOOKUP(A1579,'Output - State'!$B$2:$G$52,6,FALSE)</f>
        <v>11.763674797389712</v>
      </c>
    </row>
    <row r="1580" spans="1:7" x14ac:dyDescent="0.25">
      <c r="A1580" s="88">
        <v>29</v>
      </c>
      <c r="B1580" s="88">
        <v>189</v>
      </c>
      <c r="C1580" s="97">
        <f>SUMIFS(Input!$C$115:$C$3257,Input!$A$115:$A$3257,"="&amp;'Output - County'!A1580,Input!$B$115:$B$3257,"="&amp;'Output - County'!B1580)*VLOOKUP(A1580,'Output - State'!$B$2:$G$52,2,FALSE)</f>
        <v>263.91191326387855</v>
      </c>
      <c r="D1580" s="98">
        <f>SUMIFS(Input!$C$115:$C$3257,Input!$A$115:$A$3257,"="&amp;'Output - County'!A1580,Input!$B$115:$B$3257,"="&amp;'Output - County'!B1580)*VLOOKUP(A1580,'Output - State'!$B$2:$G$52,3,FALSE)</f>
        <v>30.222748276080537</v>
      </c>
      <c r="E1580" s="98">
        <f>SUMIFS(Input!$C$115:$C$3257,Input!$A$115:$A$3257,"="&amp;'Output - County'!A1580,Input!$B$115:$B$3257,"="&amp;'Output - County'!B1580)*VLOOKUP(A1580,'Output - State'!$B$2:$G$52,4,FALSE)</f>
        <v>760.96434940286213</v>
      </c>
      <c r="F1580" s="98">
        <f>SUMIFS(Input!$C$115:$C$3257,Input!$A$115:$A$3257,"="&amp;'Output - County'!A1580,Input!$B$115:$B$3257,"="&amp;'Output - County'!B1580)*VLOOKUP(A1580,'Output - State'!$B$2:$G$52,5,FALSE)</f>
        <v>903.96873405070073</v>
      </c>
      <c r="G1580" s="99">
        <f>SUMIFS(Input!$D$115:$D$3257,Input!$A$115:$A$3257,"="&amp;'Output - County'!A1580,Input!$B$115:$B$3257,"="&amp;'Output - County'!B1580)*VLOOKUP(A1580,'Output - State'!$B$2:$G$52,6,FALSE)</f>
        <v>175.48510379914188</v>
      </c>
    </row>
    <row r="1581" spans="1:7" x14ac:dyDescent="0.25">
      <c r="A1581" s="88">
        <v>29</v>
      </c>
      <c r="B1581" s="88">
        <v>195</v>
      </c>
      <c r="C1581" s="97">
        <f>SUMIFS(Input!$C$115:$C$3257,Input!$A$115:$A$3257,"="&amp;'Output - County'!A1581,Input!$B$115:$B$3257,"="&amp;'Output - County'!B1581)*VLOOKUP(A1581,'Output - State'!$B$2:$G$52,2,FALSE)</f>
        <v>8.7942911327574862</v>
      </c>
      <c r="D1581" s="98">
        <f>SUMIFS(Input!$C$115:$C$3257,Input!$A$115:$A$3257,"="&amp;'Output - County'!A1581,Input!$B$115:$B$3257,"="&amp;'Output - County'!B1581)*VLOOKUP(A1581,'Output - State'!$B$2:$G$52,3,FALSE)</f>
        <v>1.0071074241583882</v>
      </c>
      <c r="E1581" s="98">
        <f>SUMIFS(Input!$C$115:$C$3257,Input!$A$115:$A$3257,"="&amp;'Output - County'!A1581,Input!$B$115:$B$3257,"="&amp;'Output - County'!B1581)*VLOOKUP(A1581,'Output - State'!$B$2:$G$52,4,FALSE)</f>
        <v>25.357483667692044</v>
      </c>
      <c r="F1581" s="98">
        <f>SUMIFS(Input!$C$115:$C$3257,Input!$A$115:$A$3257,"="&amp;'Output - County'!A1581,Input!$B$115:$B$3257,"="&amp;'Output - County'!B1581)*VLOOKUP(A1581,'Output - State'!$B$2:$G$52,5,FALSE)</f>
        <v>30.122794093813145</v>
      </c>
      <c r="G1581" s="99">
        <f>SUMIFS(Input!$D$115:$D$3257,Input!$A$115:$A$3257,"="&amp;'Output - County'!A1581,Input!$B$115:$B$3257,"="&amp;'Output - County'!B1581)*VLOOKUP(A1581,'Output - State'!$B$2:$G$52,6,FALSE)</f>
        <v>4.038802891457637</v>
      </c>
    </row>
    <row r="1582" spans="1:7" x14ac:dyDescent="0.25">
      <c r="A1582" s="88">
        <v>29</v>
      </c>
      <c r="B1582" s="88">
        <v>197</v>
      </c>
      <c r="C1582" s="97">
        <f>SUMIFS(Input!$C$115:$C$3257,Input!$A$115:$A$3257,"="&amp;'Output - County'!A1582,Input!$B$115:$B$3257,"="&amp;'Output - County'!B1582)*VLOOKUP(A1582,'Output - State'!$B$2:$G$52,2,FALSE)</f>
        <v>0.69023595483056577</v>
      </c>
      <c r="D1582" s="98">
        <f>SUMIFS(Input!$C$115:$C$3257,Input!$A$115:$A$3257,"="&amp;'Output - County'!A1582,Input!$B$115:$B$3257,"="&amp;'Output - County'!B1582)*VLOOKUP(A1582,'Output - State'!$B$2:$G$52,3,FALSE)</f>
        <v>7.9044660227543778E-2</v>
      </c>
      <c r="E1582" s="98">
        <f>SUMIFS(Input!$C$115:$C$3257,Input!$A$115:$A$3257,"="&amp;'Output - County'!A1582,Input!$B$115:$B$3257,"="&amp;'Output - County'!B1582)*VLOOKUP(A1582,'Output - State'!$B$2:$G$52,4,FALSE)</f>
        <v>1.9902282841507282</v>
      </c>
      <c r="F1582" s="98">
        <f>SUMIFS(Input!$C$115:$C$3257,Input!$A$115:$A$3257,"="&amp;'Output - County'!A1582,Input!$B$115:$B$3257,"="&amp;'Output - County'!B1582)*VLOOKUP(A1582,'Output - State'!$B$2:$G$52,5,FALSE)</f>
        <v>2.3642423510476025</v>
      </c>
      <c r="G1582" s="99">
        <f>SUMIFS(Input!$D$115:$D$3257,Input!$A$115:$A$3257,"="&amp;'Output - County'!A1582,Input!$B$115:$B$3257,"="&amp;'Output - County'!B1582)*VLOOKUP(A1582,'Output - State'!$B$2:$G$52,6,FALSE)</f>
        <v>0.80952424767644349</v>
      </c>
    </row>
    <row r="1583" spans="1:7" x14ac:dyDescent="0.25">
      <c r="A1583" s="88">
        <v>29</v>
      </c>
      <c r="B1583" s="88">
        <v>199</v>
      </c>
      <c r="C1583" s="97">
        <f>SUMIFS(Input!$C$115:$C$3257,Input!$A$115:$A$3257,"="&amp;'Output - County'!A1583,Input!$B$115:$B$3257,"="&amp;'Output - County'!B1583)*VLOOKUP(A1583,'Output - State'!$B$2:$G$52,2,FALSE)</f>
        <v>0.580497800819325</v>
      </c>
      <c r="D1583" s="98">
        <f>SUMIFS(Input!$C$115:$C$3257,Input!$A$115:$A$3257,"="&amp;'Output - County'!A1583,Input!$B$115:$B$3257,"="&amp;'Output - County'!B1583)*VLOOKUP(A1583,'Output - State'!$B$2:$G$52,3,FALSE)</f>
        <v>6.6477631464248371E-2</v>
      </c>
      <c r="E1583" s="98">
        <f>SUMIFS(Input!$C$115:$C$3257,Input!$A$115:$A$3257,"="&amp;'Output - County'!A1583,Input!$B$115:$B$3257,"="&amp;'Output - County'!B1583)*VLOOKUP(A1583,'Output - State'!$B$2:$G$52,4,FALSE)</f>
        <v>1.6738089837141517</v>
      </c>
      <c r="F1583" s="98">
        <f>SUMIFS(Input!$C$115:$C$3257,Input!$A$115:$A$3257,"="&amp;'Output - County'!A1583,Input!$B$115:$B$3257,"="&amp;'Output - County'!B1583)*VLOOKUP(A1583,'Output - State'!$B$2:$G$52,5,FALSE)</f>
        <v>1.9883598873430754</v>
      </c>
      <c r="G1583" s="99">
        <f>SUMIFS(Input!$D$115:$D$3257,Input!$A$115:$A$3257,"="&amp;'Output - County'!A1583,Input!$B$115:$B$3257,"="&amp;'Output - County'!B1583)*VLOOKUP(A1583,'Output - State'!$B$2:$G$52,6,FALSE)</f>
        <v>0.87125267614850344</v>
      </c>
    </row>
    <row r="1584" spans="1:7" x14ac:dyDescent="0.25">
      <c r="A1584" s="88">
        <v>29</v>
      </c>
      <c r="B1584" s="88">
        <v>201</v>
      </c>
      <c r="C1584" s="97">
        <f>SUMIFS(Input!$C$115:$C$3257,Input!$A$115:$A$3257,"="&amp;'Output - County'!A1584,Input!$B$115:$B$3257,"="&amp;'Output - County'!B1584)*VLOOKUP(A1584,'Output - State'!$B$2:$G$52,2,FALSE)</f>
        <v>9.3986303366313511</v>
      </c>
      <c r="D1584" s="98">
        <f>SUMIFS(Input!$C$115:$C$3257,Input!$A$115:$A$3257,"="&amp;'Output - County'!A1584,Input!$B$115:$B$3257,"="&amp;'Output - County'!B1584)*VLOOKUP(A1584,'Output - State'!$B$2:$G$52,3,FALSE)</f>
        <v>1.0763153329873625</v>
      </c>
      <c r="E1584" s="98">
        <f>SUMIFS(Input!$C$115:$C$3257,Input!$A$115:$A$3257,"="&amp;'Output - County'!A1584,Input!$B$115:$B$3257,"="&amp;'Output - County'!B1584)*VLOOKUP(A1584,'Output - State'!$B$2:$G$52,4,FALSE)</f>
        <v>27.100037019706495</v>
      </c>
      <c r="F1584" s="98">
        <f>SUMIFS(Input!$C$115:$C$3257,Input!$A$115:$A$3257,"="&amp;'Output - County'!A1584,Input!$B$115:$B$3257,"="&amp;'Output - County'!B1584)*VLOOKUP(A1584,'Output - State'!$B$2:$G$52,5,FALSE)</f>
        <v>32.192817149259035</v>
      </c>
      <c r="G1584" s="99">
        <f>SUMIFS(Input!$D$115:$D$3257,Input!$A$115:$A$3257,"="&amp;'Output - County'!A1584,Input!$B$115:$B$3257,"="&amp;'Output - County'!B1584)*VLOOKUP(A1584,'Output - State'!$B$2:$G$52,6,FALSE)</f>
        <v>6.790127131926595</v>
      </c>
    </row>
    <row r="1585" spans="1:7" x14ac:dyDescent="0.25">
      <c r="A1585" s="88">
        <v>29</v>
      </c>
      <c r="B1585" s="88">
        <v>203</v>
      </c>
      <c r="C1585" s="97">
        <f>SUMIFS(Input!$C$115:$C$3257,Input!$A$115:$A$3257,"="&amp;'Output - County'!A1585,Input!$B$115:$B$3257,"="&amp;'Output - County'!B1585)*VLOOKUP(A1585,'Output - State'!$B$2:$G$52,2,FALSE)</f>
        <v>1.8271246458190902</v>
      </c>
      <c r="D1585" s="98">
        <f>SUMIFS(Input!$C$115:$C$3257,Input!$A$115:$A$3257,"="&amp;'Output - County'!A1585,Input!$B$115:$B$3257,"="&amp;'Output - County'!B1585)*VLOOKUP(A1585,'Output - State'!$B$2:$G$52,3,FALSE)</f>
        <v>0.20923924030818353</v>
      </c>
      <c r="E1585" s="98">
        <f>SUMIFS(Input!$C$115:$C$3257,Input!$A$115:$A$3257,"="&amp;'Output - County'!A1585,Input!$B$115:$B$3257,"="&amp;'Output - County'!B1585)*VLOOKUP(A1585,'Output - State'!$B$2:$G$52,4,FALSE)</f>
        <v>5.2683363179344536</v>
      </c>
      <c r="F1585" s="98">
        <f>SUMIFS(Input!$C$115:$C$3257,Input!$A$115:$A$3257,"="&amp;'Output - County'!A1585,Input!$B$115:$B$3257,"="&amp;'Output - County'!B1585)*VLOOKUP(A1585,'Output - State'!$B$2:$G$52,5,FALSE)</f>
        <v>6.2583895232590852</v>
      </c>
      <c r="G1585" s="99">
        <f>SUMIFS(Input!$D$115:$D$3257,Input!$A$115:$A$3257,"="&amp;'Output - County'!A1585,Input!$B$115:$B$3257,"="&amp;'Output - County'!B1585)*VLOOKUP(A1585,'Output - State'!$B$2:$G$52,6,FALSE)</f>
        <v>1.4444452262462031</v>
      </c>
    </row>
    <row r="1586" spans="1:7" x14ac:dyDescent="0.25">
      <c r="A1586" s="88">
        <v>29</v>
      </c>
      <c r="B1586" s="88">
        <v>205</v>
      </c>
      <c r="C1586" s="97">
        <f>SUMIFS(Input!$C$115:$C$3257,Input!$A$115:$A$3257,"="&amp;'Output - County'!A1586,Input!$B$115:$B$3257,"="&amp;'Output - County'!B1586)*VLOOKUP(A1586,'Output - State'!$B$2:$G$52,2,FALSE)</f>
        <v>2.2943791304306038</v>
      </c>
      <c r="D1586" s="98">
        <f>SUMIFS(Input!$C$115:$C$3257,Input!$A$115:$A$3257,"="&amp;'Output - County'!A1586,Input!$B$115:$B$3257,"="&amp;'Output - County'!B1586)*VLOOKUP(A1586,'Output - State'!$B$2:$G$52,3,FALSE)</f>
        <v>0.26274843773180873</v>
      </c>
      <c r="E1586" s="98">
        <f>SUMIFS(Input!$C$115:$C$3257,Input!$A$115:$A$3257,"="&amp;'Output - County'!A1586,Input!$B$115:$B$3257,"="&amp;'Output - County'!B1586)*VLOOKUP(A1586,'Output - State'!$B$2:$G$52,4,FALSE)</f>
        <v>6.6156192067233768</v>
      </c>
      <c r="F1586" s="98">
        <f>SUMIFS(Input!$C$115:$C$3257,Input!$A$115:$A$3257,"="&amp;'Output - County'!A1586,Input!$B$115:$B$3257,"="&amp;'Output - County'!B1586)*VLOOKUP(A1586,'Output - State'!$B$2:$G$52,5,FALSE)</f>
        <v>7.8588608309391308</v>
      </c>
      <c r="G1586" s="99">
        <f>SUMIFS(Input!$D$115:$D$3257,Input!$A$115:$A$3257,"="&amp;'Output - County'!A1586,Input!$B$115:$B$3257,"="&amp;'Output - County'!B1586)*VLOOKUP(A1586,'Output - State'!$B$2:$G$52,6,FALSE)</f>
        <v>1.0582016309495992</v>
      </c>
    </row>
    <row r="1587" spans="1:7" x14ac:dyDescent="0.25">
      <c r="A1587" s="88">
        <v>29</v>
      </c>
      <c r="B1587" s="88">
        <v>207</v>
      </c>
      <c r="C1587" s="97">
        <f>SUMIFS(Input!$C$115:$C$3257,Input!$A$115:$A$3257,"="&amp;'Output - County'!A1587,Input!$B$115:$B$3257,"="&amp;'Output - County'!B1587)*VLOOKUP(A1587,'Output - State'!$B$2:$G$52,2,FALSE)</f>
        <v>6.709423560034252</v>
      </c>
      <c r="D1587" s="98">
        <f>SUMIFS(Input!$C$115:$C$3257,Input!$A$115:$A$3257,"="&amp;'Output - County'!A1587,Input!$B$115:$B$3257,"="&amp;'Output - County'!B1587)*VLOOKUP(A1587,'Output - State'!$B$2:$G$52,3,FALSE)</f>
        <v>0.76835189751274224</v>
      </c>
      <c r="E1587" s="98">
        <f>SUMIFS(Input!$C$115:$C$3257,Input!$A$115:$A$3257,"="&amp;'Output - County'!A1587,Input!$B$115:$B$3257,"="&amp;'Output - County'!B1587)*VLOOKUP(A1587,'Output - State'!$B$2:$G$52,4,FALSE)</f>
        <v>19.345970672891575</v>
      </c>
      <c r="F1587" s="98">
        <f>SUMIFS(Input!$C$115:$C$3257,Input!$A$115:$A$3257,"="&amp;'Output - County'!A1587,Input!$B$115:$B$3257,"="&amp;'Output - County'!B1587)*VLOOKUP(A1587,'Output - State'!$B$2:$G$52,5,FALSE)</f>
        <v>22.981566261125035</v>
      </c>
      <c r="G1587" s="99">
        <f>SUMIFS(Input!$D$115:$D$3257,Input!$A$115:$A$3257,"="&amp;'Output - County'!A1587,Input!$B$115:$B$3257,"="&amp;'Output - County'!B1587)*VLOOKUP(A1587,'Output - State'!$B$2:$G$52,6,FALSE)</f>
        <v>5.1675512978038762</v>
      </c>
    </row>
    <row r="1588" spans="1:7" x14ac:dyDescent="0.25">
      <c r="A1588" s="88">
        <v>29</v>
      </c>
      <c r="B1588" s="88">
        <v>209</v>
      </c>
      <c r="C1588" s="97">
        <f>SUMIFS(Input!$C$115:$C$3257,Input!$A$115:$A$3257,"="&amp;'Output - County'!A1588,Input!$B$115:$B$3257,"="&amp;'Output - County'!B1588)*VLOOKUP(A1588,'Output - State'!$B$2:$G$52,2,FALSE)</f>
        <v>4.3168657162208124</v>
      </c>
      <c r="D1588" s="98">
        <f>SUMIFS(Input!$C$115:$C$3257,Input!$A$115:$A$3257,"="&amp;'Output - County'!A1588,Input!$B$115:$B$3257,"="&amp;'Output - County'!B1588)*VLOOKUP(A1588,'Output - State'!$B$2:$G$52,3,FALSE)</f>
        <v>0.49436019870968334</v>
      </c>
      <c r="E1588" s="98">
        <f>SUMIFS(Input!$C$115:$C$3257,Input!$A$115:$A$3257,"="&amp;'Output - County'!A1588,Input!$B$115:$B$3257,"="&amp;'Output - County'!B1588)*VLOOKUP(A1588,'Output - State'!$B$2:$G$52,4,FALSE)</f>
        <v>12.447262689194803</v>
      </c>
      <c r="F1588" s="98">
        <f>SUMIFS(Input!$C$115:$C$3257,Input!$A$115:$A$3257,"="&amp;'Output - County'!A1588,Input!$B$115:$B$3257,"="&amp;'Output - County'!B1588)*VLOOKUP(A1588,'Output - State'!$B$2:$G$52,5,FALSE)</f>
        <v>14.786417135543179</v>
      </c>
      <c r="G1588" s="99">
        <f>SUMIFS(Input!$D$115:$D$3257,Input!$A$115:$A$3257,"="&amp;'Output - County'!A1588,Input!$B$115:$B$3257,"="&amp;'Output - County'!B1588)*VLOOKUP(A1588,'Output - State'!$B$2:$G$52,6,FALSE)</f>
        <v>5.5908319501837163</v>
      </c>
    </row>
    <row r="1589" spans="1:7" x14ac:dyDescent="0.25">
      <c r="A1589" s="88">
        <v>29</v>
      </c>
      <c r="B1589" s="88">
        <v>211</v>
      </c>
      <c r="C1589" s="97">
        <f>SUMIFS(Input!$C$115:$C$3257,Input!$A$115:$A$3257,"="&amp;'Output - County'!A1589,Input!$B$115:$B$3257,"="&amp;'Output - County'!B1589)*VLOOKUP(A1589,'Output - State'!$B$2:$G$52,2,FALSE)</f>
        <v>0.7752652501735674</v>
      </c>
      <c r="D1589" s="98">
        <f>SUMIFS(Input!$C$115:$C$3257,Input!$A$115:$A$3257,"="&amp;'Output - County'!A1589,Input!$B$115:$B$3257,"="&amp;'Output - County'!B1589)*VLOOKUP(A1589,'Output - State'!$B$2:$G$52,3,FALSE)</f>
        <v>8.878207206872335E-2</v>
      </c>
      <c r="E1589" s="98">
        <f>SUMIFS(Input!$C$115:$C$3257,Input!$A$115:$A$3257,"="&amp;'Output - County'!A1589,Input!$B$115:$B$3257,"="&amp;'Output - County'!B1589)*VLOOKUP(A1589,'Output - State'!$B$2:$G$52,4,FALSE)</f>
        <v>2.2354019923424269</v>
      </c>
      <c r="F1589" s="98">
        <f>SUMIFS(Input!$C$115:$C$3257,Input!$A$115:$A$3257,"="&amp;'Output - County'!A1589,Input!$B$115:$B$3257,"="&amp;'Output - County'!B1589)*VLOOKUP(A1589,'Output - State'!$B$2:$G$52,5,FALSE)</f>
        <v>2.6554903796713889</v>
      </c>
      <c r="G1589" s="99">
        <f>SUMIFS(Input!$D$115:$D$3257,Input!$A$115:$A$3257,"="&amp;'Output - County'!A1589,Input!$B$115:$B$3257,"="&amp;'Output - County'!B1589)*VLOOKUP(A1589,'Output - State'!$B$2:$G$52,6,FALSE)</f>
        <v>1.0987660268026673</v>
      </c>
    </row>
    <row r="1590" spans="1:7" x14ac:dyDescent="0.25">
      <c r="A1590" s="88">
        <v>29</v>
      </c>
      <c r="B1590" s="88">
        <v>213</v>
      </c>
      <c r="C1590" s="97">
        <f>SUMIFS(Input!$C$115:$C$3257,Input!$A$115:$A$3257,"="&amp;'Output - County'!A1590,Input!$B$115:$B$3257,"="&amp;'Output - County'!B1590)*VLOOKUP(A1590,'Output - State'!$B$2:$G$52,2,FALSE)</f>
        <v>13.48507865722946</v>
      </c>
      <c r="D1590" s="98">
        <f>SUMIFS(Input!$C$115:$C$3257,Input!$A$115:$A$3257,"="&amp;'Output - County'!A1590,Input!$B$115:$B$3257,"="&amp;'Output - County'!B1590)*VLOOKUP(A1590,'Output - State'!$B$2:$G$52,3,FALSE)</f>
        <v>1.5442885192268205</v>
      </c>
      <c r="E1590" s="98">
        <f>SUMIFS(Input!$C$115:$C$3257,Input!$A$115:$A$3257,"="&amp;'Output - County'!A1590,Input!$B$115:$B$3257,"="&amp;'Output - County'!B1590)*VLOOKUP(A1590,'Output - State'!$B$2:$G$52,4,FALSE)</f>
        <v>38.882913545417217</v>
      </c>
      <c r="F1590" s="98">
        <f>SUMIFS(Input!$C$115:$C$3257,Input!$A$115:$A$3257,"="&amp;'Output - County'!A1590,Input!$B$115:$B$3257,"="&amp;'Output - County'!B1590)*VLOOKUP(A1590,'Output - State'!$B$2:$G$52,5,FALSE)</f>
        <v>46.189993212474988</v>
      </c>
      <c r="G1590" s="99">
        <f>SUMIFS(Input!$D$115:$D$3257,Input!$A$115:$A$3257,"="&amp;'Output - County'!A1590,Input!$B$115:$B$3257,"="&amp;'Output - County'!B1590)*VLOOKUP(A1590,'Output - State'!$B$2:$G$52,6,FALSE)</f>
        <v>9.823638473982113</v>
      </c>
    </row>
    <row r="1591" spans="1:7" x14ac:dyDescent="0.25">
      <c r="A1591" s="88">
        <v>29</v>
      </c>
      <c r="B1591" s="88">
        <v>215</v>
      </c>
      <c r="C1591" s="97">
        <f>SUMIFS(Input!$C$115:$C$3257,Input!$A$115:$A$3257,"="&amp;'Output - County'!A1591,Input!$B$115:$B$3257,"="&amp;'Output - County'!B1591)*VLOOKUP(A1591,'Output - State'!$B$2:$G$52,2,FALSE)</f>
        <v>4.4304467529882832</v>
      </c>
      <c r="D1591" s="98">
        <f>SUMIFS(Input!$C$115:$C$3257,Input!$A$115:$A$3257,"="&amp;'Output - County'!A1591,Input!$B$115:$B$3257,"="&amp;'Output - County'!B1591)*VLOOKUP(A1591,'Output - State'!$B$2:$G$52,3,FALSE)</f>
        <v>0.50736730794058515</v>
      </c>
      <c r="E1591" s="98">
        <f>SUMIFS(Input!$C$115:$C$3257,Input!$A$115:$A$3257,"="&amp;'Output - County'!A1591,Input!$B$115:$B$3257,"="&amp;'Output - County'!B1591)*VLOOKUP(A1591,'Output - State'!$B$2:$G$52,4,FALSE)</f>
        <v>12.774762568527045</v>
      </c>
      <c r="F1591" s="98">
        <f>SUMIFS(Input!$C$115:$C$3257,Input!$A$115:$A$3257,"="&amp;'Output - County'!A1591,Input!$B$115:$B$3257,"="&amp;'Output - County'!B1591)*VLOOKUP(A1591,'Output - State'!$B$2:$G$52,5,FALSE)</f>
        <v>15.175462498251745</v>
      </c>
      <c r="G1591" s="99">
        <f>SUMIFS(Input!$D$115:$D$3257,Input!$A$115:$A$3257,"="&amp;'Output - County'!A1591,Input!$B$115:$B$3257,"="&amp;'Output - County'!B1591)*VLOOKUP(A1591,'Output - State'!$B$2:$G$52,6,FALSE)</f>
        <v>4.4973569315357969</v>
      </c>
    </row>
    <row r="1592" spans="1:7" x14ac:dyDescent="0.25">
      <c r="A1592" s="88">
        <v>29</v>
      </c>
      <c r="B1592" s="88">
        <v>217</v>
      </c>
      <c r="C1592" s="97">
        <f>SUMIFS(Input!$C$115:$C$3257,Input!$A$115:$A$3257,"="&amp;'Output - County'!A1592,Input!$B$115:$B$3257,"="&amp;'Output - County'!B1592)*VLOOKUP(A1592,'Output - State'!$B$2:$G$52,2,FALSE)</f>
        <v>5.5311774589021701</v>
      </c>
      <c r="D1592" s="98">
        <f>SUMIFS(Input!$C$115:$C$3257,Input!$A$115:$A$3257,"="&amp;'Output - County'!A1592,Input!$B$115:$B$3257,"="&amp;'Output - County'!B1592)*VLOOKUP(A1592,'Output - State'!$B$2:$G$52,3,FALSE)</f>
        <v>0.63342113640616449</v>
      </c>
      <c r="E1592" s="98">
        <f>SUMIFS(Input!$C$115:$C$3257,Input!$A$115:$A$3257,"="&amp;'Output - County'!A1592,Input!$B$115:$B$3257,"="&amp;'Output - County'!B1592)*VLOOKUP(A1592,'Output - State'!$B$2:$G$52,4,FALSE)</f>
        <v>15.948612566939214</v>
      </c>
      <c r="F1592" s="98">
        <f>SUMIFS(Input!$C$115:$C$3257,Input!$A$115:$A$3257,"="&amp;'Output - County'!A1592,Input!$B$115:$B$3257,"="&amp;'Output - County'!B1592)*VLOOKUP(A1592,'Output - State'!$B$2:$G$52,5,FALSE)</f>
        <v>18.945758921971009</v>
      </c>
      <c r="G1592" s="99">
        <f>SUMIFS(Input!$D$115:$D$3257,Input!$A$115:$A$3257,"="&amp;'Output - County'!A1592,Input!$B$115:$B$3257,"="&amp;'Output - County'!B1592)*VLOOKUP(A1592,'Output - State'!$B$2:$G$52,6,FALSE)</f>
        <v>3.6155222390777975</v>
      </c>
    </row>
    <row r="1593" spans="1:7" x14ac:dyDescent="0.25">
      <c r="A1593" s="88">
        <v>29</v>
      </c>
      <c r="B1593" s="88">
        <v>219</v>
      </c>
      <c r="C1593" s="97">
        <f>SUMIFS(Input!$C$115:$C$3257,Input!$A$115:$A$3257,"="&amp;'Output - County'!A1593,Input!$B$115:$B$3257,"="&amp;'Output - County'!B1593)*VLOOKUP(A1593,'Output - State'!$B$2:$G$52,2,FALSE)</f>
        <v>9.778951657745143</v>
      </c>
      <c r="D1593" s="98">
        <f>SUMIFS(Input!$C$115:$C$3257,Input!$A$115:$A$3257,"="&amp;'Output - County'!A1593,Input!$B$115:$B$3257,"="&amp;'Output - County'!B1593)*VLOOKUP(A1593,'Output - State'!$B$2:$G$52,3,FALSE)</f>
        <v>1.1198690907919813</v>
      </c>
      <c r="E1593" s="98">
        <f>SUMIFS(Input!$C$115:$C$3257,Input!$A$115:$A$3257,"="&amp;'Output - County'!A1593,Input!$B$115:$B$3257,"="&amp;'Output - County'!B1593)*VLOOKUP(A1593,'Output - State'!$B$2:$G$52,4,FALSE)</f>
        <v>28.196656581537411</v>
      </c>
      <c r="F1593" s="98">
        <f>SUMIFS(Input!$C$115:$C$3257,Input!$A$115:$A$3257,"="&amp;'Output - County'!A1593,Input!$B$115:$B$3257,"="&amp;'Output - County'!B1593)*VLOOKUP(A1593,'Output - State'!$B$2:$G$52,5,FALSE)</f>
        <v>33.495519171793234</v>
      </c>
      <c r="G1593" s="99">
        <f>SUMIFS(Input!$D$115:$D$3257,Input!$A$115:$A$3257,"="&amp;'Output - County'!A1593,Input!$B$115:$B$3257,"="&amp;'Output - County'!B1593)*VLOOKUP(A1593,'Output - State'!$B$2:$G$52,6,FALSE)</f>
        <v>6.1375694595076755</v>
      </c>
    </row>
    <row r="1594" spans="1:7" x14ac:dyDescent="0.25">
      <c r="A1594" s="88">
        <v>29</v>
      </c>
      <c r="B1594" s="88">
        <v>221</v>
      </c>
      <c r="C1594" s="97">
        <f>SUMIFS(Input!$C$115:$C$3257,Input!$A$115:$A$3257,"="&amp;'Output - County'!A1594,Input!$B$115:$B$3257,"="&amp;'Output - County'!B1594)*VLOOKUP(A1594,'Output - State'!$B$2:$G$52,2,FALSE)</f>
        <v>2.6814779802075601</v>
      </c>
      <c r="D1594" s="98">
        <f>SUMIFS(Input!$C$115:$C$3257,Input!$A$115:$A$3257,"="&amp;'Output - County'!A1594,Input!$B$115:$B$3257,"="&amp;'Output - County'!B1594)*VLOOKUP(A1594,'Output - State'!$B$2:$G$52,3,FALSE)</f>
        <v>0.30707834671576406</v>
      </c>
      <c r="E1594" s="98">
        <f>SUMIFS(Input!$C$115:$C$3257,Input!$A$115:$A$3257,"="&amp;'Output - County'!A1594,Input!$B$115:$B$3257,"="&amp;'Output - County'!B1594)*VLOOKUP(A1594,'Output - State'!$B$2:$G$52,4,FALSE)</f>
        <v>7.731781113672179</v>
      </c>
      <c r="F1594" s="98">
        <f>SUMIFS(Input!$C$115:$C$3257,Input!$A$115:$A$3257,"="&amp;'Output - County'!A1594,Input!$B$115:$B$3257,"="&amp;'Output - County'!B1594)*VLOOKUP(A1594,'Output - State'!$B$2:$G$52,5,FALSE)</f>
        <v>9.1847776978881281</v>
      </c>
      <c r="G1594" s="99">
        <f>SUMIFS(Input!$D$115:$D$3257,Input!$A$115:$A$3257,"="&amp;'Output - County'!A1594,Input!$B$115:$B$3257,"="&amp;'Output - County'!B1594)*VLOOKUP(A1594,'Output - State'!$B$2:$G$52,6,FALSE)</f>
        <v>4.3915367684408366</v>
      </c>
    </row>
    <row r="1595" spans="1:7" x14ac:dyDescent="0.25">
      <c r="A1595" s="88">
        <v>29</v>
      </c>
      <c r="B1595" s="88">
        <v>223</v>
      </c>
      <c r="C1595" s="97">
        <f>SUMIFS(Input!$C$115:$C$3257,Input!$A$115:$A$3257,"="&amp;'Output - County'!A1595,Input!$B$115:$B$3257,"="&amp;'Output - County'!B1595)*VLOOKUP(A1595,'Output - State'!$B$2:$G$52,2,FALSE)</f>
        <v>2.8195970807728687</v>
      </c>
      <c r="D1595" s="98">
        <f>SUMIFS(Input!$C$115:$C$3257,Input!$A$115:$A$3257,"="&amp;'Output - County'!A1595,Input!$B$115:$B$3257,"="&amp;'Output - County'!B1595)*VLOOKUP(A1595,'Output - State'!$B$2:$G$52,3,FALSE)</f>
        <v>0.32289551372758507</v>
      </c>
      <c r="E1595" s="98">
        <f>SUMIFS(Input!$C$115:$C$3257,Input!$A$115:$A$3257,"="&amp;'Output - County'!A1595,Input!$B$115:$B$3257,"="&amp;'Output - County'!B1595)*VLOOKUP(A1595,'Output - State'!$B$2:$G$52,4,FALSE)</f>
        <v>8.1300341148419228</v>
      </c>
      <c r="F1595" s="98">
        <f>SUMIFS(Input!$C$115:$C$3257,Input!$A$115:$A$3257,"="&amp;'Output - County'!A1595,Input!$B$115:$B$3257,"="&amp;'Output - County'!B1595)*VLOOKUP(A1595,'Output - State'!$B$2:$G$52,5,FALSE)</f>
        <v>9.6578724776656681</v>
      </c>
      <c r="G1595" s="99">
        <f>SUMIFS(Input!$D$115:$D$3257,Input!$A$115:$A$3257,"="&amp;'Output - County'!A1595,Input!$B$115:$B$3257,"="&amp;'Output - County'!B1595)*VLOOKUP(A1595,'Output - State'!$B$2:$G$52,6,FALSE)</f>
        <v>2.3104068942399585</v>
      </c>
    </row>
    <row r="1596" spans="1:7" x14ac:dyDescent="0.25">
      <c r="A1596" s="88">
        <v>29</v>
      </c>
      <c r="B1596" s="88">
        <v>225</v>
      </c>
      <c r="C1596" s="97">
        <f>SUMIFS(Input!$C$115:$C$3257,Input!$A$115:$A$3257,"="&amp;'Output - County'!A1596,Input!$B$115:$B$3257,"="&amp;'Output - County'!B1596)*VLOOKUP(A1596,'Output - State'!$B$2:$G$52,2,FALSE)</f>
        <v>12.230497359591567</v>
      </c>
      <c r="D1596" s="98">
        <f>SUMIFS(Input!$C$115:$C$3257,Input!$A$115:$A$3257,"="&amp;'Output - County'!A1596,Input!$B$115:$B$3257,"="&amp;'Output - County'!B1596)*VLOOKUP(A1596,'Output - State'!$B$2:$G$52,3,FALSE)</f>
        <v>1.4006159798501066</v>
      </c>
      <c r="E1596" s="98">
        <f>SUMIFS(Input!$C$115:$C$3257,Input!$A$115:$A$3257,"="&amp;'Output - County'!A1596,Input!$B$115:$B$3257,"="&amp;'Output - County'!B1596)*VLOOKUP(A1596,'Output - State'!$B$2:$G$52,4,FALSE)</f>
        <v>35.26545032019537</v>
      </c>
      <c r="F1596" s="98">
        <f>SUMIFS(Input!$C$115:$C$3257,Input!$A$115:$A$3257,"="&amp;'Output - County'!A1596,Input!$B$115:$B$3257,"="&amp;'Output - County'!B1596)*VLOOKUP(A1596,'Output - State'!$B$2:$G$52,5,FALSE)</f>
        <v>41.892717453439992</v>
      </c>
      <c r="G1596" s="99">
        <f>SUMIFS(Input!$D$115:$D$3257,Input!$A$115:$A$3257,"="&amp;'Output - County'!A1596,Input!$B$115:$B$3257,"="&amp;'Output - County'!B1596)*VLOOKUP(A1596,'Output - State'!$B$2:$G$52,6,FALSE)</f>
        <v>6.9135839888707151</v>
      </c>
    </row>
    <row r="1597" spans="1:7" x14ac:dyDescent="0.25">
      <c r="A1597" s="88">
        <v>29</v>
      </c>
      <c r="B1597" s="88">
        <v>227</v>
      </c>
      <c r="C1597" s="97">
        <f>SUMIFS(Input!$C$115:$C$3257,Input!$A$115:$A$3257,"="&amp;'Output - County'!A1597,Input!$B$115:$B$3257,"="&amp;'Output - County'!B1597)*VLOOKUP(A1597,'Output - State'!$B$2:$G$52,2,FALSE)</f>
        <v>0.22637435652323754</v>
      </c>
      <c r="D1597" s="98">
        <f>SUMIFS(Input!$C$115:$C$3257,Input!$A$115:$A$3257,"="&amp;'Output - County'!A1597,Input!$B$115:$B$3257,"="&amp;'Output - County'!B1597)*VLOOKUP(A1597,'Output - State'!$B$2:$G$52,3,FALSE)</f>
        <v>2.5924010434954209E-2</v>
      </c>
      <c r="E1597" s="98">
        <f>SUMIFS(Input!$C$115:$C$3257,Input!$A$115:$A$3257,"="&amp;'Output - County'!A1597,Input!$B$115:$B$3257,"="&amp;'Output - County'!B1597)*VLOOKUP(A1597,'Output - State'!$B$2:$G$52,4,FALSE)</f>
        <v>0.65272845322808881</v>
      </c>
      <c r="F1597" s="98">
        <f>SUMIFS(Input!$C$115:$C$3257,Input!$A$115:$A$3257,"="&amp;'Output - County'!A1597,Input!$B$115:$B$3257,"="&amp;'Output - County'!B1597)*VLOOKUP(A1597,'Output - State'!$B$2:$G$52,5,FALSE)</f>
        <v>0.77539258443116788</v>
      </c>
      <c r="G1597" s="99">
        <f>SUMIFS(Input!$D$115:$D$3257,Input!$A$115:$A$3257,"="&amp;'Output - County'!A1597,Input!$B$115:$B$3257,"="&amp;'Output - County'!B1597)*VLOOKUP(A1597,'Output - State'!$B$2:$G$52,6,FALSE)</f>
        <v>0.35802488513794778</v>
      </c>
    </row>
    <row r="1598" spans="1:7" x14ac:dyDescent="0.25">
      <c r="A1598" s="88">
        <v>29</v>
      </c>
      <c r="B1598" s="88">
        <v>229</v>
      </c>
      <c r="C1598" s="97">
        <f>SUMIFS(Input!$C$115:$C$3257,Input!$A$115:$A$3257,"="&amp;'Output - County'!A1598,Input!$B$115:$B$3257,"="&amp;'Output - County'!B1598)*VLOOKUP(A1598,'Output - State'!$B$2:$G$52,2,FALSE)</f>
        <v>4.420210378768143</v>
      </c>
      <c r="D1598" s="98">
        <f>SUMIFS(Input!$C$115:$C$3257,Input!$A$115:$A$3257,"="&amp;'Output - County'!A1598,Input!$B$115:$B$3257,"="&amp;'Output - County'!B1598)*VLOOKUP(A1598,'Output - State'!$B$2:$G$52,3,FALSE)</f>
        <v>0.50619505558755951</v>
      </c>
      <c r="E1598" s="98">
        <f>SUMIFS(Input!$C$115:$C$3257,Input!$A$115:$A$3257,"="&amp;'Output - County'!A1598,Input!$B$115:$B$3257,"="&amp;'Output - County'!B1598)*VLOOKUP(A1598,'Output - State'!$B$2:$G$52,4,FALSE)</f>
        <v>12.745246978448758</v>
      </c>
      <c r="F1598" s="98">
        <f>SUMIFS(Input!$C$115:$C$3257,Input!$A$115:$A$3257,"="&amp;'Output - County'!A1598,Input!$B$115:$B$3257,"="&amp;'Output - County'!B1598)*VLOOKUP(A1598,'Output - State'!$B$2:$G$52,5,FALSE)</f>
        <v>15.140400184729744</v>
      </c>
      <c r="G1598" s="99">
        <f>SUMIFS(Input!$D$115:$D$3257,Input!$A$115:$A$3257,"="&amp;'Output - County'!A1598,Input!$B$115:$B$3257,"="&amp;'Output - County'!B1598)*VLOOKUP(A1598,'Output - State'!$B$2:$G$52,6,FALSE)</f>
        <v>3.2098782805471178</v>
      </c>
    </row>
    <row r="1599" spans="1:7" x14ac:dyDescent="0.25">
      <c r="A1599" s="88">
        <v>29</v>
      </c>
      <c r="B1599" s="88">
        <v>510</v>
      </c>
      <c r="C1599" s="97">
        <f>SUMIFS(Input!$C$115:$C$3257,Input!$A$115:$A$3257,"="&amp;'Output - County'!A1599,Input!$B$115:$B$3257,"="&amp;'Output - County'!B1599)*VLOOKUP(A1599,'Output - State'!$B$2:$G$52,2,FALSE)</f>
        <v>65.711121284873016</v>
      </c>
      <c r="D1599" s="98">
        <f>SUMIFS(Input!$C$115:$C$3257,Input!$A$115:$A$3257,"="&amp;'Output - County'!A1599,Input!$B$115:$B$3257,"="&amp;'Output - County'!B1599)*VLOOKUP(A1599,'Output - State'!$B$2:$G$52,3,FALSE)</f>
        <v>7.5251270508049988</v>
      </c>
      <c r="E1599" s="98">
        <f>SUMIFS(Input!$C$115:$C$3257,Input!$A$115:$A$3257,"="&amp;'Output - County'!A1599,Input!$B$115:$B$3257,"="&amp;'Output - County'!B1599)*VLOOKUP(A1599,'Output - State'!$B$2:$G$52,4,FALSE)</f>
        <v>189.47163104031023</v>
      </c>
      <c r="F1599" s="98">
        <f>SUMIFS(Input!$C$115:$C$3257,Input!$A$115:$A$3257,"="&amp;'Output - County'!A1599,Input!$B$115:$B$3257,"="&amp;'Output - County'!B1599)*VLOOKUP(A1599,'Output - State'!$B$2:$G$52,5,FALSE)</f>
        <v>225.07812696407314</v>
      </c>
      <c r="G1599" s="99">
        <f>SUMIFS(Input!$D$115:$D$3257,Input!$A$115:$A$3257,"="&amp;'Output - County'!A1599,Input!$B$115:$B$3257,"="&amp;'Output - County'!B1599)*VLOOKUP(A1599,'Output - State'!$B$2:$G$52,6,FALSE)</f>
        <v>53.439182362954767</v>
      </c>
    </row>
    <row r="1600" spans="1:7" x14ac:dyDescent="0.25">
      <c r="A1600" s="88">
        <v>30</v>
      </c>
      <c r="B1600" s="88">
        <v>1</v>
      </c>
      <c r="C1600" s="97">
        <f>SUMIFS(Input!$C$115:$C$3257,Input!$A$115:$A$3257,"="&amp;'Output - County'!A1600,Input!$B$115:$B$3257,"="&amp;'Output - County'!B1600)*VLOOKUP(A1600,'Output - State'!$B$2:$G$52,2,FALSE)</f>
        <v>9.2389090707208936</v>
      </c>
      <c r="D1600" s="98">
        <f>SUMIFS(Input!$C$115:$C$3257,Input!$A$115:$A$3257,"="&amp;'Output - County'!A1600,Input!$B$115:$B$3257,"="&amp;'Output - County'!B1600)*VLOOKUP(A1600,'Output - State'!$B$2:$G$52,3,FALSE)</f>
        <v>0</v>
      </c>
      <c r="E1600" s="98">
        <f>SUMIFS(Input!$C$115:$C$3257,Input!$A$115:$A$3257,"="&amp;'Output - County'!A1600,Input!$B$115:$B$3257,"="&amp;'Output - County'!B1600)*VLOOKUP(A1600,'Output - State'!$B$2:$G$52,4,FALSE)</f>
        <v>4.6624626306083989</v>
      </c>
      <c r="F1600" s="98">
        <f>SUMIFS(Input!$C$115:$C$3257,Input!$A$115:$A$3257,"="&amp;'Output - County'!A1600,Input!$B$115:$B$3257,"="&amp;'Output - County'!B1600)*VLOOKUP(A1600,'Output - State'!$B$2:$G$52,5,FALSE)</f>
        <v>74.007785779705969</v>
      </c>
      <c r="G1600" s="99">
        <f>SUMIFS(Input!$D$115:$D$3257,Input!$A$115:$A$3257,"="&amp;'Output - County'!A1600,Input!$B$115:$B$3257,"="&amp;'Output - County'!B1600)*VLOOKUP(A1600,'Output - State'!$B$2:$G$52,6,FALSE)</f>
        <v>0.12122124110808313</v>
      </c>
    </row>
    <row r="1601" spans="1:7" x14ac:dyDescent="0.25">
      <c r="A1601" s="88">
        <v>30</v>
      </c>
      <c r="B1601" s="88">
        <v>3</v>
      </c>
      <c r="C1601" s="97">
        <f>SUMIFS(Input!$C$115:$C$3257,Input!$A$115:$A$3257,"="&amp;'Output - County'!A1601,Input!$B$115:$B$3257,"="&amp;'Output - County'!B1601)*VLOOKUP(A1601,'Output - State'!$B$2:$G$52,2,FALSE)</f>
        <v>13.382857093209461</v>
      </c>
      <c r="D1601" s="98">
        <f>SUMIFS(Input!$C$115:$C$3257,Input!$A$115:$A$3257,"="&amp;'Output - County'!A1601,Input!$B$115:$B$3257,"="&amp;'Output - County'!B1601)*VLOOKUP(A1601,'Output - State'!$B$2:$G$52,3,FALSE)</f>
        <v>0</v>
      </c>
      <c r="E1601" s="98">
        <f>SUMIFS(Input!$C$115:$C$3257,Input!$A$115:$A$3257,"="&amp;'Output - County'!A1601,Input!$B$115:$B$3257,"="&amp;'Output - County'!B1601)*VLOOKUP(A1601,'Output - State'!$B$2:$G$52,4,FALSE)</f>
        <v>6.7537271565540946</v>
      </c>
      <c r="F1601" s="98">
        <f>SUMIFS(Input!$C$115:$C$3257,Input!$A$115:$A$3257,"="&amp;'Output - County'!A1601,Input!$B$115:$B$3257,"="&amp;'Output - County'!B1601)*VLOOKUP(A1601,'Output - State'!$B$2:$G$52,5,FALSE)</f>
        <v>107.20265924182134</v>
      </c>
      <c r="G1601" s="99">
        <f>SUMIFS(Input!$D$115:$D$3257,Input!$A$115:$A$3257,"="&amp;'Output - County'!A1601,Input!$B$115:$B$3257,"="&amp;'Output - County'!B1601)*VLOOKUP(A1601,'Output - State'!$B$2:$G$52,6,FALSE)</f>
        <v>0.17262110848547438</v>
      </c>
    </row>
    <row r="1602" spans="1:7" x14ac:dyDescent="0.25">
      <c r="A1602" s="88">
        <v>30</v>
      </c>
      <c r="B1602" s="88">
        <v>5</v>
      </c>
      <c r="C1602" s="97">
        <f>SUMIFS(Input!$C$115:$C$3257,Input!$A$115:$A$3257,"="&amp;'Output - County'!A1602,Input!$B$115:$B$3257,"="&amp;'Output - County'!B1602)*VLOOKUP(A1602,'Output - State'!$B$2:$G$52,2,FALSE)</f>
        <v>1.5529212974448463</v>
      </c>
      <c r="D1602" s="98">
        <f>SUMIFS(Input!$C$115:$C$3257,Input!$A$115:$A$3257,"="&amp;'Output - County'!A1602,Input!$B$115:$B$3257,"="&amp;'Output - County'!B1602)*VLOOKUP(A1602,'Output - State'!$B$2:$G$52,3,FALSE)</f>
        <v>0</v>
      </c>
      <c r="E1602" s="98">
        <f>SUMIFS(Input!$C$115:$C$3257,Input!$A$115:$A$3257,"="&amp;'Output - County'!A1602,Input!$B$115:$B$3257,"="&amp;'Output - County'!B1602)*VLOOKUP(A1602,'Output - State'!$B$2:$G$52,4,FALSE)</f>
        <v>0.78368966099669046</v>
      </c>
      <c r="F1602" s="98">
        <f>SUMIFS(Input!$C$115:$C$3257,Input!$A$115:$A$3257,"="&amp;'Output - County'!A1602,Input!$B$115:$B$3257,"="&amp;'Output - County'!B1602)*VLOOKUP(A1602,'Output - State'!$B$2:$G$52,5,FALSE)</f>
        <v>12.439592795459086</v>
      </c>
      <c r="G1602" s="99">
        <f>SUMIFS(Input!$D$115:$D$3257,Input!$A$115:$A$3257,"="&amp;'Output - County'!A1602,Input!$B$115:$B$3257,"="&amp;'Output - County'!B1602)*VLOOKUP(A1602,'Output - State'!$B$2:$G$52,6,FALSE)</f>
        <v>8.7212306301989659E-2</v>
      </c>
    </row>
    <row r="1603" spans="1:7" x14ac:dyDescent="0.25">
      <c r="A1603" s="88">
        <v>30</v>
      </c>
      <c r="B1603" s="88">
        <v>7</v>
      </c>
      <c r="C1603" s="97">
        <f>SUMIFS(Input!$C$115:$C$3257,Input!$A$115:$A$3257,"="&amp;'Output - County'!A1603,Input!$B$115:$B$3257,"="&amp;'Output - County'!B1603)*VLOOKUP(A1603,'Output - State'!$B$2:$G$52,2,FALSE)</f>
        <v>3.9002596106271521</v>
      </c>
      <c r="D1603" s="98">
        <f>SUMIFS(Input!$C$115:$C$3257,Input!$A$115:$A$3257,"="&amp;'Output - County'!A1603,Input!$B$115:$B$3257,"="&amp;'Output - County'!B1603)*VLOOKUP(A1603,'Output - State'!$B$2:$G$52,3,FALSE)</f>
        <v>0</v>
      </c>
      <c r="E1603" s="98">
        <f>SUMIFS(Input!$C$115:$C$3257,Input!$A$115:$A$3257,"="&amp;'Output - County'!A1603,Input!$B$115:$B$3257,"="&amp;'Output - County'!B1603)*VLOOKUP(A1603,'Output - State'!$B$2:$G$52,4,FALSE)</f>
        <v>1.9682859247798004</v>
      </c>
      <c r="F1603" s="98">
        <f>SUMIFS(Input!$C$115:$C$3257,Input!$A$115:$A$3257,"="&amp;'Output - County'!A1603,Input!$B$115:$B$3257,"="&amp;'Output - County'!B1603)*VLOOKUP(A1603,'Output - State'!$B$2:$G$52,5,FALSE)</f>
        <v>31.242820503915933</v>
      </c>
      <c r="G1603" s="99">
        <f>SUMIFS(Input!$D$115:$D$3257,Input!$A$115:$A$3257,"="&amp;'Output - County'!A1603,Input!$B$115:$B$3257,"="&amp;'Output - County'!B1603)*VLOOKUP(A1603,'Output - State'!$B$2:$G$52,6,FALSE)</f>
        <v>7.8194785709464892E-2</v>
      </c>
    </row>
    <row r="1604" spans="1:7" x14ac:dyDescent="0.25">
      <c r="A1604" s="88">
        <v>30</v>
      </c>
      <c r="B1604" s="88">
        <v>9</v>
      </c>
      <c r="C1604" s="97">
        <f>SUMIFS(Input!$C$115:$C$3257,Input!$A$115:$A$3257,"="&amp;'Output - County'!A1604,Input!$B$115:$B$3257,"="&amp;'Output - County'!B1604)*VLOOKUP(A1604,'Output - State'!$B$2:$G$52,2,FALSE)</f>
        <v>3.0634642367790348</v>
      </c>
      <c r="D1604" s="98">
        <f>SUMIFS(Input!$C$115:$C$3257,Input!$A$115:$A$3257,"="&amp;'Output - County'!A1604,Input!$B$115:$B$3257,"="&amp;'Output - County'!B1604)*VLOOKUP(A1604,'Output - State'!$B$2:$G$52,3,FALSE)</f>
        <v>0</v>
      </c>
      <c r="E1604" s="98">
        <f>SUMIFS(Input!$C$115:$C$3257,Input!$A$115:$A$3257,"="&amp;'Output - County'!A1604,Input!$B$115:$B$3257,"="&amp;'Output - County'!B1604)*VLOOKUP(A1604,'Output - State'!$B$2:$G$52,4,FALSE)</f>
        <v>1.5459928672155479</v>
      </c>
      <c r="F1604" s="98">
        <f>SUMIFS(Input!$C$115:$C$3257,Input!$A$115:$A$3257,"="&amp;'Output - County'!A1604,Input!$B$115:$B$3257,"="&amp;'Output - County'!B1604)*VLOOKUP(A1604,'Output - State'!$B$2:$G$52,5,FALSE)</f>
        <v>24.539716025329675</v>
      </c>
      <c r="G1604" s="99">
        <f>SUMIFS(Input!$D$115:$D$3257,Input!$A$115:$A$3257,"="&amp;'Output - County'!A1604,Input!$B$115:$B$3257,"="&amp;'Output - County'!B1604)*VLOOKUP(A1604,'Output - State'!$B$2:$G$52,6,FALSE)</f>
        <v>0.13783924334287878</v>
      </c>
    </row>
    <row r="1605" spans="1:7" x14ac:dyDescent="0.25">
      <c r="A1605" s="88">
        <v>30</v>
      </c>
      <c r="B1605" s="88">
        <v>11</v>
      </c>
      <c r="C1605" s="97">
        <f>SUMIFS(Input!$C$115:$C$3257,Input!$A$115:$A$3257,"="&amp;'Output - County'!A1605,Input!$B$115:$B$3257,"="&amp;'Output - County'!B1605)*VLOOKUP(A1605,'Output - State'!$B$2:$G$52,2,FALSE)</f>
        <v>0.78445124290528612</v>
      </c>
      <c r="D1605" s="98">
        <f>SUMIFS(Input!$C$115:$C$3257,Input!$A$115:$A$3257,"="&amp;'Output - County'!A1605,Input!$B$115:$B$3257,"="&amp;'Output - County'!B1605)*VLOOKUP(A1605,'Output - State'!$B$2:$G$52,3,FALSE)</f>
        <v>0</v>
      </c>
      <c r="E1605" s="98">
        <f>SUMIFS(Input!$C$115:$C$3257,Input!$A$115:$A$3257,"="&amp;'Output - County'!A1605,Input!$B$115:$B$3257,"="&amp;'Output - County'!B1605)*VLOOKUP(A1605,'Output - State'!$B$2:$G$52,4,FALSE)</f>
        <v>0.39587732464768405</v>
      </c>
      <c r="F1605" s="98">
        <f>SUMIFS(Input!$C$115:$C$3257,Input!$A$115:$A$3257,"="&amp;'Output - County'!A1605,Input!$B$115:$B$3257,"="&amp;'Output - County'!B1605)*VLOOKUP(A1605,'Output - State'!$B$2:$G$52,5,FALSE)</f>
        <v>6.2838046240267351</v>
      </c>
      <c r="G1605" s="99">
        <f>SUMIFS(Input!$D$115:$D$3257,Input!$A$115:$A$3257,"="&amp;'Output - County'!A1605,Input!$B$115:$B$3257,"="&amp;'Output - County'!B1605)*VLOOKUP(A1605,'Output - State'!$B$2:$G$52,6,FALSE)</f>
        <v>1.5845071898293542E-2</v>
      </c>
    </row>
    <row r="1606" spans="1:7" x14ac:dyDescent="0.25">
      <c r="A1606" s="88">
        <v>30</v>
      </c>
      <c r="B1606" s="88">
        <v>13</v>
      </c>
      <c r="C1606" s="97">
        <f>SUMIFS(Input!$C$115:$C$3257,Input!$A$115:$A$3257,"="&amp;'Output - County'!A1606,Input!$B$115:$B$3257,"="&amp;'Output - County'!B1606)*VLOOKUP(A1606,'Output - State'!$B$2:$G$52,2,FALSE)</f>
        <v>31.173195477641574</v>
      </c>
      <c r="D1606" s="98">
        <f>SUMIFS(Input!$C$115:$C$3257,Input!$A$115:$A$3257,"="&amp;'Output - County'!A1606,Input!$B$115:$B$3257,"="&amp;'Output - County'!B1606)*VLOOKUP(A1606,'Output - State'!$B$2:$G$52,3,FALSE)</f>
        <v>0</v>
      </c>
      <c r="E1606" s="98">
        <f>SUMIFS(Input!$C$115:$C$3257,Input!$A$115:$A$3257,"="&amp;'Output - County'!A1606,Input!$B$115:$B$3257,"="&amp;'Output - County'!B1606)*VLOOKUP(A1606,'Output - State'!$B$2:$G$52,4,FALSE)</f>
        <v>15.731712248555951</v>
      </c>
      <c r="F1606" s="98">
        <f>SUMIFS(Input!$C$115:$C$3257,Input!$A$115:$A$3257,"="&amp;'Output - County'!A1606,Input!$B$115:$B$3257,"="&amp;'Output - County'!B1606)*VLOOKUP(A1606,'Output - State'!$B$2:$G$52,5,FALSE)</f>
        <v>249.7112110659815</v>
      </c>
      <c r="G1606" s="99">
        <f>SUMIFS(Input!$D$115:$D$3257,Input!$A$115:$A$3257,"="&amp;'Output - County'!A1606,Input!$B$115:$B$3257,"="&amp;'Output - County'!B1606)*VLOOKUP(A1606,'Output - State'!$B$2:$G$52,6,FALSE)</f>
        <v>1.0524734748703923</v>
      </c>
    </row>
    <row r="1607" spans="1:7" x14ac:dyDescent="0.25">
      <c r="A1607" s="88">
        <v>30</v>
      </c>
      <c r="B1607" s="88">
        <v>15</v>
      </c>
      <c r="C1607" s="97">
        <f>SUMIFS(Input!$C$115:$C$3257,Input!$A$115:$A$3257,"="&amp;'Output - County'!A1607,Input!$B$115:$B$3257,"="&amp;'Output - County'!B1607)*VLOOKUP(A1607,'Output - State'!$B$2:$G$52,2,FALSE)</f>
        <v>1.7042885851096827</v>
      </c>
      <c r="D1607" s="98">
        <f>SUMIFS(Input!$C$115:$C$3257,Input!$A$115:$A$3257,"="&amp;'Output - County'!A1607,Input!$B$115:$B$3257,"="&amp;'Output - County'!B1607)*VLOOKUP(A1607,'Output - State'!$B$2:$G$52,3,FALSE)</f>
        <v>0</v>
      </c>
      <c r="E1607" s="98">
        <f>SUMIFS(Input!$C$115:$C$3257,Input!$A$115:$A$3257,"="&amp;'Output - County'!A1607,Input!$B$115:$B$3257,"="&amp;'Output - County'!B1607)*VLOOKUP(A1607,'Output - State'!$B$2:$G$52,4,FALSE)</f>
        <v>0.86007793550308553</v>
      </c>
      <c r="F1607" s="98">
        <f>SUMIFS(Input!$C$115:$C$3257,Input!$A$115:$A$3257,"="&amp;'Output - County'!A1607,Input!$B$115:$B$3257,"="&amp;'Output - County'!B1607)*VLOOKUP(A1607,'Output - State'!$B$2:$G$52,5,FALSE)</f>
        <v>13.652112337950939</v>
      </c>
      <c r="G1607" s="99">
        <f>SUMIFS(Input!$D$115:$D$3257,Input!$A$115:$A$3257,"="&amp;'Output - County'!A1607,Input!$B$115:$B$3257,"="&amp;'Output - County'!B1607)*VLOOKUP(A1607,'Output - State'!$B$2:$G$52,6,FALSE)</f>
        <v>7.394366885870321E-2</v>
      </c>
    </row>
    <row r="1608" spans="1:7" x14ac:dyDescent="0.25">
      <c r="A1608" s="88">
        <v>30</v>
      </c>
      <c r="B1608" s="88">
        <v>17</v>
      </c>
      <c r="C1608" s="97">
        <f>SUMIFS(Input!$C$115:$C$3257,Input!$A$115:$A$3257,"="&amp;'Output - County'!A1608,Input!$B$115:$B$3257,"="&amp;'Output - County'!B1608)*VLOOKUP(A1608,'Output - State'!$B$2:$G$52,2,FALSE)</f>
        <v>7.8706079409051304</v>
      </c>
      <c r="D1608" s="98">
        <f>SUMIFS(Input!$C$115:$C$3257,Input!$A$115:$A$3257,"="&amp;'Output - County'!A1608,Input!$B$115:$B$3257,"="&amp;'Output - County'!B1608)*VLOOKUP(A1608,'Output - State'!$B$2:$G$52,3,FALSE)</f>
        <v>0</v>
      </c>
      <c r="E1608" s="98">
        <f>SUMIFS(Input!$C$115:$C$3257,Input!$A$115:$A$3257,"="&amp;'Output - County'!A1608,Input!$B$115:$B$3257,"="&amp;'Output - County'!B1608)*VLOOKUP(A1608,'Output - State'!$B$2:$G$52,4,FALSE)</f>
        <v>3.9719424797603877</v>
      </c>
      <c r="F1608" s="98">
        <f>SUMIFS(Input!$C$115:$C$3257,Input!$A$115:$A$3257,"="&amp;'Output - County'!A1608,Input!$B$115:$B$3257,"="&amp;'Output - County'!B1608)*VLOOKUP(A1608,'Output - State'!$B$2:$G$52,5,FALSE)</f>
        <v>63.047082938885261</v>
      </c>
      <c r="G1608" s="99">
        <f>SUMIFS(Input!$D$115:$D$3257,Input!$A$115:$A$3257,"="&amp;'Output - County'!A1608,Input!$B$115:$B$3257,"="&amp;'Output - County'!B1608)*VLOOKUP(A1608,'Output - State'!$B$2:$G$52,6,FALSE)</f>
        <v>0.14943319839041067</v>
      </c>
    </row>
    <row r="1609" spans="1:7" x14ac:dyDescent="0.25">
      <c r="A1609" s="88">
        <v>30</v>
      </c>
      <c r="B1609" s="88">
        <v>19</v>
      </c>
      <c r="C1609" s="97">
        <f>SUMIFS(Input!$C$115:$C$3257,Input!$A$115:$A$3257,"="&amp;'Output - County'!A1609,Input!$B$115:$B$3257,"="&amp;'Output - County'!B1609)*VLOOKUP(A1609,'Output - State'!$B$2:$G$52,2,FALSE)</f>
        <v>0.34486844303285796</v>
      </c>
      <c r="D1609" s="98">
        <f>SUMIFS(Input!$C$115:$C$3257,Input!$A$115:$A$3257,"="&amp;'Output - County'!A1609,Input!$B$115:$B$3257,"="&amp;'Output - County'!B1609)*VLOOKUP(A1609,'Output - State'!$B$2:$G$52,3,FALSE)</f>
        <v>0</v>
      </c>
      <c r="E1609" s="98">
        <f>SUMIFS(Input!$C$115:$C$3257,Input!$A$115:$A$3257,"="&amp;'Output - County'!A1609,Input!$B$115:$B$3257,"="&amp;'Output - County'!B1609)*VLOOKUP(A1609,'Output - State'!$B$2:$G$52,4,FALSE)</f>
        <v>0.17403962045827751</v>
      </c>
      <c r="F1609" s="98">
        <f>SUMIFS(Input!$C$115:$C$3257,Input!$A$115:$A$3257,"="&amp;'Output - County'!A1609,Input!$B$115:$B$3257,"="&amp;'Output - County'!B1609)*VLOOKUP(A1609,'Output - State'!$B$2:$G$52,5,FALSE)</f>
        <v>2.7625501732711584</v>
      </c>
      <c r="G1609" s="99">
        <f>SUMIFS(Input!$D$115:$D$3257,Input!$A$115:$A$3257,"="&amp;'Output - County'!A1609,Input!$B$115:$B$3257,"="&amp;'Output - County'!B1609)*VLOOKUP(A1609,'Output - State'!$B$2:$G$52,6,FALSE)</f>
        <v>2.2286158035811243E-2</v>
      </c>
    </row>
    <row r="1610" spans="1:7" x14ac:dyDescent="0.25">
      <c r="A1610" s="88">
        <v>30</v>
      </c>
      <c r="B1610" s="88">
        <v>21</v>
      </c>
      <c r="C1610" s="97">
        <f>SUMIFS(Input!$C$115:$C$3257,Input!$A$115:$A$3257,"="&amp;'Output - County'!A1610,Input!$B$115:$B$3257,"="&amp;'Output - County'!B1610)*VLOOKUP(A1610,'Output - State'!$B$2:$G$52,2,FALSE)</f>
        <v>7.2312576859802</v>
      </c>
      <c r="D1610" s="98">
        <f>SUMIFS(Input!$C$115:$C$3257,Input!$A$115:$A$3257,"="&amp;'Output - County'!A1610,Input!$B$115:$B$3257,"="&amp;'Output - County'!B1610)*VLOOKUP(A1610,'Output - State'!$B$2:$G$52,3,FALSE)</f>
        <v>0</v>
      </c>
      <c r="E1610" s="98">
        <f>SUMIFS(Input!$C$115:$C$3257,Input!$A$115:$A$3257,"="&amp;'Output - County'!A1610,Input!$B$115:$B$3257,"="&amp;'Output - County'!B1610)*VLOOKUP(A1610,'Output - State'!$B$2:$G$52,4,FALSE)</f>
        <v>3.6492911094915335</v>
      </c>
      <c r="F1610" s="98">
        <f>SUMIFS(Input!$C$115:$C$3257,Input!$A$115:$A$3257,"="&amp;'Output - County'!A1610,Input!$B$115:$B$3257,"="&amp;'Output - County'!B1610)*VLOOKUP(A1610,'Output - State'!$B$2:$G$52,5,FALSE)</f>
        <v>57.925601999686812</v>
      </c>
      <c r="G1610" s="99">
        <f>SUMIFS(Input!$D$115:$D$3257,Input!$A$115:$A$3257,"="&amp;'Output - County'!A1610,Input!$B$115:$B$3257,"="&amp;'Output - County'!B1610)*VLOOKUP(A1610,'Output - State'!$B$2:$G$52,6,FALSE)</f>
        <v>0.1118172553473073</v>
      </c>
    </row>
    <row r="1611" spans="1:7" x14ac:dyDescent="0.25">
      <c r="A1611" s="88">
        <v>30</v>
      </c>
      <c r="B1611" s="88">
        <v>23</v>
      </c>
      <c r="C1611" s="97">
        <f>SUMIFS(Input!$C$115:$C$3257,Input!$A$115:$A$3257,"="&amp;'Output - County'!A1611,Input!$B$115:$B$3257,"="&amp;'Output - County'!B1611)*VLOOKUP(A1611,'Output - State'!$B$2:$G$52,2,FALSE)</f>
        <v>5.793778837054588</v>
      </c>
      <c r="D1611" s="98">
        <f>SUMIFS(Input!$C$115:$C$3257,Input!$A$115:$A$3257,"="&amp;'Output - County'!A1611,Input!$B$115:$B$3257,"="&amp;'Output - County'!B1611)*VLOOKUP(A1611,'Output - State'!$B$2:$G$52,3,FALSE)</f>
        <v>0</v>
      </c>
      <c r="E1611" s="98">
        <f>SUMIFS(Input!$C$115:$C$3257,Input!$A$115:$A$3257,"="&amp;'Output - County'!A1611,Input!$B$115:$B$3257,"="&amp;'Output - County'!B1611)*VLOOKUP(A1611,'Output - State'!$B$2:$G$52,4,FALSE)</f>
        <v>2.9238600695167367</v>
      </c>
      <c r="F1611" s="98">
        <f>SUMIFS(Input!$C$115:$C$3257,Input!$A$115:$A$3257,"="&amp;'Output - County'!A1611,Input!$B$115:$B$3257,"="&amp;'Output - County'!B1611)*VLOOKUP(A1611,'Output - State'!$B$2:$G$52,5,FALSE)</f>
        <v>46.410754748804187</v>
      </c>
      <c r="G1611" s="99">
        <f>SUMIFS(Input!$D$115:$D$3257,Input!$A$115:$A$3257,"="&amp;'Output - County'!A1611,Input!$B$115:$B$3257,"="&amp;'Output - County'!B1611)*VLOOKUP(A1611,'Output - State'!$B$2:$G$52,6,FALSE)</f>
        <v>0.1176142328710732</v>
      </c>
    </row>
    <row r="1612" spans="1:7" x14ac:dyDescent="0.25">
      <c r="A1612" s="88">
        <v>30</v>
      </c>
      <c r="B1612" s="88">
        <v>25</v>
      </c>
      <c r="C1612" s="97">
        <f>SUMIFS(Input!$C$115:$C$3257,Input!$A$115:$A$3257,"="&amp;'Output - County'!A1612,Input!$B$115:$B$3257,"="&amp;'Output - County'!B1612)*VLOOKUP(A1612,'Output - State'!$B$2:$G$52,2,FALSE)</f>
        <v>0.67513970610936214</v>
      </c>
      <c r="D1612" s="98">
        <f>SUMIFS(Input!$C$115:$C$3257,Input!$A$115:$A$3257,"="&amp;'Output - County'!A1612,Input!$B$115:$B$3257,"="&amp;'Output - County'!B1612)*VLOOKUP(A1612,'Output - State'!$B$2:$G$52,3,FALSE)</f>
        <v>0</v>
      </c>
      <c r="E1612" s="98">
        <f>SUMIFS(Input!$C$115:$C$3257,Input!$A$115:$A$3257,"="&amp;'Output - County'!A1612,Input!$B$115:$B$3257,"="&amp;'Output - County'!B1612)*VLOOKUP(A1612,'Output - State'!$B$2:$G$52,4,FALSE)</f>
        <v>0.34071269952754496</v>
      </c>
      <c r="F1612" s="98">
        <f>SUMIFS(Input!$C$115:$C$3257,Input!$A$115:$A$3257,"="&amp;'Output - County'!A1612,Input!$B$115:$B$3257,"="&amp;'Output - County'!B1612)*VLOOKUP(A1612,'Output - State'!$B$2:$G$52,5,FALSE)</f>
        <v>5.4081704191095143</v>
      </c>
      <c r="G1612" s="99">
        <f>SUMIFS(Input!$D$115:$D$3257,Input!$A$115:$A$3257,"="&amp;'Output - County'!A1612,Input!$B$115:$B$3257,"="&amp;'Output - County'!B1612)*VLOOKUP(A1612,'Output - State'!$B$2:$G$52,6,FALSE)</f>
        <v>3.748712132035302E-2</v>
      </c>
    </row>
    <row r="1613" spans="1:7" x14ac:dyDescent="0.25">
      <c r="A1613" s="88">
        <v>30</v>
      </c>
      <c r="B1613" s="88">
        <v>27</v>
      </c>
      <c r="C1613" s="97">
        <f>SUMIFS(Input!$C$115:$C$3257,Input!$A$115:$A$3257,"="&amp;'Output - County'!A1613,Input!$B$115:$B$3257,"="&amp;'Output - County'!B1613)*VLOOKUP(A1613,'Output - State'!$B$2:$G$52,2,FALSE)</f>
        <v>3.259743166555332</v>
      </c>
      <c r="D1613" s="98">
        <f>SUMIFS(Input!$C$115:$C$3257,Input!$A$115:$A$3257,"="&amp;'Output - County'!A1613,Input!$B$115:$B$3257,"="&amp;'Output - County'!B1613)*VLOOKUP(A1613,'Output - State'!$B$2:$G$52,3,FALSE)</f>
        <v>0</v>
      </c>
      <c r="E1613" s="98">
        <f>SUMIFS(Input!$C$115:$C$3257,Input!$A$115:$A$3257,"="&amp;'Output - County'!A1613,Input!$B$115:$B$3257,"="&amp;'Output - County'!B1613)*VLOOKUP(A1613,'Output - State'!$B$2:$G$52,4,FALSE)</f>
        <v>1.6450460312041388</v>
      </c>
      <c r="F1613" s="98">
        <f>SUMIFS(Input!$C$115:$C$3257,Input!$A$115:$A$3257,"="&amp;'Output - County'!A1613,Input!$B$115:$B$3257,"="&amp;'Output - County'!B1613)*VLOOKUP(A1613,'Output - State'!$B$2:$G$52,5,FALSE)</f>
        <v>26.111997869079946</v>
      </c>
      <c r="G1613" s="99">
        <f>SUMIFS(Input!$D$115:$D$3257,Input!$A$115:$A$3257,"="&amp;'Output - County'!A1613,Input!$B$115:$B$3257,"="&amp;'Output - County'!B1613)*VLOOKUP(A1613,'Output - State'!$B$2:$G$52,6,FALSE)</f>
        <v>0.14299211225289296</v>
      </c>
    </row>
    <row r="1614" spans="1:7" x14ac:dyDescent="0.25">
      <c r="A1614" s="88">
        <v>30</v>
      </c>
      <c r="B1614" s="88">
        <v>29</v>
      </c>
      <c r="C1614" s="97">
        <f>SUMIFS(Input!$C$115:$C$3257,Input!$A$115:$A$3257,"="&amp;'Output - County'!A1614,Input!$B$115:$B$3257,"="&amp;'Output - County'!B1614)*VLOOKUP(A1614,'Output - State'!$B$2:$G$52,2,FALSE)</f>
        <v>37.023350676337735</v>
      </c>
      <c r="D1614" s="98">
        <f>SUMIFS(Input!$C$115:$C$3257,Input!$A$115:$A$3257,"="&amp;'Output - County'!A1614,Input!$B$115:$B$3257,"="&amp;'Output - County'!B1614)*VLOOKUP(A1614,'Output - State'!$B$2:$G$52,3,FALSE)</f>
        <v>0</v>
      </c>
      <c r="E1614" s="98">
        <f>SUMIFS(Input!$C$115:$C$3257,Input!$A$115:$A$3257,"="&amp;'Output - County'!A1614,Input!$B$115:$B$3257,"="&amp;'Output - County'!B1614)*VLOOKUP(A1614,'Output - State'!$B$2:$G$52,4,FALSE)</f>
        <v>18.684022936797415</v>
      </c>
      <c r="F1614" s="98">
        <f>SUMIFS(Input!$C$115:$C$3257,Input!$A$115:$A$3257,"="&amp;'Output - County'!A1614,Input!$B$115:$B$3257,"="&amp;'Output - County'!B1614)*VLOOKUP(A1614,'Output - State'!$B$2:$G$52,5,FALSE)</f>
        <v>296.57356563717502</v>
      </c>
      <c r="G1614" s="99">
        <f>SUMIFS(Input!$D$115:$D$3257,Input!$A$115:$A$3257,"="&amp;'Output - County'!A1614,Input!$B$115:$B$3257,"="&amp;'Output - County'!B1614)*VLOOKUP(A1614,'Output - State'!$B$2:$G$52,6,FALSE)</f>
        <v>1.313981572053611</v>
      </c>
    </row>
    <row r="1615" spans="1:7" x14ac:dyDescent="0.25">
      <c r="A1615" s="88">
        <v>30</v>
      </c>
      <c r="B1615" s="88">
        <v>31</v>
      </c>
      <c r="C1615" s="97">
        <f>SUMIFS(Input!$C$115:$C$3257,Input!$A$115:$A$3257,"="&amp;'Output - County'!A1615,Input!$B$115:$B$3257,"="&amp;'Output - County'!B1615)*VLOOKUP(A1615,'Output - State'!$B$2:$G$52,2,FALSE)</f>
        <v>50.912868567036554</v>
      </c>
      <c r="D1615" s="98">
        <f>SUMIFS(Input!$C$115:$C$3257,Input!$A$115:$A$3257,"="&amp;'Output - County'!A1615,Input!$B$115:$B$3257,"="&amp;'Output - County'!B1615)*VLOOKUP(A1615,'Output - State'!$B$2:$G$52,3,FALSE)</f>
        <v>0</v>
      </c>
      <c r="E1615" s="98">
        <f>SUMIFS(Input!$C$115:$C$3257,Input!$A$115:$A$3257,"="&amp;'Output - County'!A1615,Input!$B$115:$B$3257,"="&amp;'Output - County'!B1615)*VLOOKUP(A1615,'Output - State'!$B$2:$G$52,4,FALSE)</f>
        <v>25.693439051496441</v>
      </c>
      <c r="F1615" s="98">
        <f>SUMIFS(Input!$C$115:$C$3257,Input!$A$115:$A$3257,"="&amp;'Output - County'!A1615,Input!$B$115:$B$3257,"="&amp;'Output - County'!B1615)*VLOOKUP(A1615,'Output - State'!$B$2:$G$52,5,FALSE)</f>
        <v>407.83480403336847</v>
      </c>
      <c r="G1615" s="99">
        <f>SUMIFS(Input!$D$115:$D$3257,Input!$A$115:$A$3257,"="&amp;'Output - County'!A1615,Input!$B$115:$B$3257,"="&amp;'Output - County'!B1615)*VLOOKUP(A1615,'Output - State'!$B$2:$G$52,6,FALSE)</f>
        <v>1.4428032948039651</v>
      </c>
    </row>
    <row r="1616" spans="1:7" x14ac:dyDescent="0.25">
      <c r="A1616" s="88">
        <v>30</v>
      </c>
      <c r="B1616" s="88">
        <v>33</v>
      </c>
      <c r="C1616" s="97">
        <f>SUMIFS(Input!$C$115:$C$3257,Input!$A$115:$A$3257,"="&amp;'Output - County'!A1616,Input!$B$115:$B$3257,"="&amp;'Output - County'!B1616)*VLOOKUP(A1616,'Output - State'!$B$2:$G$52,2,FALSE)</f>
        <v>0.48976504579425129</v>
      </c>
      <c r="D1616" s="98">
        <f>SUMIFS(Input!$C$115:$C$3257,Input!$A$115:$A$3257,"="&amp;'Output - County'!A1616,Input!$B$115:$B$3257,"="&amp;'Output - County'!B1616)*VLOOKUP(A1616,'Output - State'!$B$2:$G$52,3,FALSE)</f>
        <v>0</v>
      </c>
      <c r="E1616" s="98">
        <f>SUMIFS(Input!$C$115:$C$3257,Input!$A$115:$A$3257,"="&amp;'Output - County'!A1616,Input!$B$115:$B$3257,"="&amp;'Output - County'!B1616)*VLOOKUP(A1616,'Output - State'!$B$2:$G$52,4,FALSE)</f>
        <v>0.24716243079289552</v>
      </c>
      <c r="F1616" s="98">
        <f>SUMIFS(Input!$C$115:$C$3257,Input!$A$115:$A$3257,"="&amp;'Output - County'!A1616,Input!$B$115:$B$3257,"="&amp;'Output - County'!B1616)*VLOOKUP(A1616,'Output - State'!$B$2:$G$52,5,FALSE)</f>
        <v>3.9232366412607838</v>
      </c>
      <c r="G1616" s="99">
        <f>SUMIFS(Input!$D$115:$D$3257,Input!$A$115:$A$3257,"="&amp;'Output - County'!A1616,Input!$B$115:$B$3257,"="&amp;'Output - County'!B1616)*VLOOKUP(A1616,'Output - State'!$B$2:$G$52,6,FALSE)</f>
        <v>1.6231537066544604E-2</v>
      </c>
    </row>
    <row r="1617" spans="1:7" x14ac:dyDescent="0.25">
      <c r="A1617" s="88">
        <v>30</v>
      </c>
      <c r="B1617" s="88">
        <v>35</v>
      </c>
      <c r="C1617" s="97">
        <f>SUMIFS(Input!$C$115:$C$3257,Input!$A$115:$A$3257,"="&amp;'Output - County'!A1617,Input!$B$115:$B$3257,"="&amp;'Output - County'!B1617)*VLOOKUP(A1617,'Output - State'!$B$2:$G$52,2,FALSE)</f>
        <v>3.4981611246977331</v>
      </c>
      <c r="D1617" s="98">
        <f>SUMIFS(Input!$C$115:$C$3257,Input!$A$115:$A$3257,"="&amp;'Output - County'!A1617,Input!$B$115:$B$3257,"="&amp;'Output - County'!B1617)*VLOOKUP(A1617,'Output - State'!$B$2:$G$52,3,FALSE)</f>
        <v>0</v>
      </c>
      <c r="E1617" s="98">
        <f>SUMIFS(Input!$C$115:$C$3257,Input!$A$115:$A$3257,"="&amp;'Output - County'!A1617,Input!$B$115:$B$3257,"="&amp;'Output - County'!B1617)*VLOOKUP(A1617,'Output - State'!$B$2:$G$52,4,FALSE)</f>
        <v>1.7653648709931058</v>
      </c>
      <c r="F1617" s="98">
        <f>SUMIFS(Input!$C$115:$C$3257,Input!$A$115:$A$3257,"="&amp;'Output - County'!A1617,Input!$B$115:$B$3257,"="&amp;'Output - County'!B1617)*VLOOKUP(A1617,'Output - State'!$B$2:$G$52,5,FALSE)</f>
        <v>28.021832140331295</v>
      </c>
      <c r="G1617" s="99">
        <f>SUMIFS(Input!$D$115:$D$3257,Input!$A$115:$A$3257,"="&amp;'Output - County'!A1617,Input!$B$115:$B$3257,"="&amp;'Output - County'!B1617)*VLOOKUP(A1617,'Output - State'!$B$2:$G$52,6,FALSE)</f>
        <v>0.17777397739548856</v>
      </c>
    </row>
    <row r="1618" spans="1:7" x14ac:dyDescent="0.25">
      <c r="A1618" s="88">
        <v>30</v>
      </c>
      <c r="B1618" s="88">
        <v>37</v>
      </c>
      <c r="C1618" s="97">
        <f>SUMIFS(Input!$C$115:$C$3257,Input!$A$115:$A$3257,"="&amp;'Output - County'!A1618,Input!$B$115:$B$3257,"="&amp;'Output - County'!B1618)*VLOOKUP(A1618,'Output - State'!$B$2:$G$52,2,FALSE)</f>
        <v>0.4686685671435617</v>
      </c>
      <c r="D1618" s="98">
        <f>SUMIFS(Input!$C$115:$C$3257,Input!$A$115:$A$3257,"="&amp;'Output - County'!A1618,Input!$B$115:$B$3257,"="&amp;'Output - County'!B1618)*VLOOKUP(A1618,'Output - State'!$B$2:$G$52,3,FALSE)</f>
        <v>0</v>
      </c>
      <c r="E1618" s="98">
        <f>SUMIFS(Input!$C$115:$C$3257,Input!$A$115:$A$3257,"="&amp;'Output - County'!A1618,Input!$B$115:$B$3257,"="&amp;'Output - County'!B1618)*VLOOKUP(A1618,'Output - State'!$B$2:$G$52,4,FALSE)</f>
        <v>0.23651598513645036</v>
      </c>
      <c r="F1618" s="98">
        <f>SUMIFS(Input!$C$115:$C$3257,Input!$A$115:$A$3257,"="&amp;'Output - County'!A1618,Input!$B$115:$B$3257,"="&amp;'Output - County'!B1618)*VLOOKUP(A1618,'Output - State'!$B$2:$G$52,5,FALSE)</f>
        <v>3.7542444300878954</v>
      </c>
      <c r="G1618" s="99">
        <f>SUMIFS(Input!$D$115:$D$3257,Input!$A$115:$A$3257,"="&amp;'Output - County'!A1618,Input!$B$115:$B$3257,"="&amp;'Output - County'!B1618)*VLOOKUP(A1618,'Output - State'!$B$2:$G$52,6,FALSE)</f>
        <v>1.0589145610079101E-2</v>
      </c>
    </row>
    <row r="1619" spans="1:7" x14ac:dyDescent="0.25">
      <c r="A1619" s="88">
        <v>30</v>
      </c>
      <c r="B1619" s="88">
        <v>39</v>
      </c>
      <c r="C1619" s="97">
        <f>SUMIFS(Input!$C$115:$C$3257,Input!$A$115:$A$3257,"="&amp;'Output - County'!A1619,Input!$B$115:$B$3257,"="&amp;'Output - County'!B1619)*VLOOKUP(A1619,'Output - State'!$B$2:$G$52,2,FALSE)</f>
        <v>8.8711168615050031</v>
      </c>
      <c r="D1619" s="98">
        <f>SUMIFS(Input!$C$115:$C$3257,Input!$A$115:$A$3257,"="&amp;'Output - County'!A1619,Input!$B$115:$B$3257,"="&amp;'Output - County'!B1619)*VLOOKUP(A1619,'Output - State'!$B$2:$G$52,3,FALSE)</f>
        <v>0</v>
      </c>
      <c r="E1619" s="98">
        <f>SUMIFS(Input!$C$115:$C$3257,Input!$A$115:$A$3257,"="&amp;'Output - County'!A1619,Input!$B$115:$B$3257,"="&amp;'Output - County'!B1619)*VLOOKUP(A1619,'Output - State'!$B$2:$G$52,4,FALSE)</f>
        <v>4.4768544145114966</v>
      </c>
      <c r="F1619" s="98">
        <f>SUMIFS(Input!$C$115:$C$3257,Input!$A$115:$A$3257,"="&amp;'Output - County'!A1619,Input!$B$115:$B$3257,"="&amp;'Output - County'!B1619)*VLOOKUP(A1619,'Output - State'!$B$2:$G$52,5,FALSE)</f>
        <v>71.061606006451569</v>
      </c>
      <c r="G1619" s="99">
        <f>SUMIFS(Input!$D$115:$D$3257,Input!$A$115:$A$3257,"="&amp;'Output - County'!A1619,Input!$B$115:$B$3257,"="&amp;'Output - County'!B1619)*VLOOKUP(A1619,'Output - State'!$B$2:$G$52,6,FALSE)</f>
        <v>4.3412920566869302E-2</v>
      </c>
    </row>
    <row r="1620" spans="1:7" x14ac:dyDescent="0.25">
      <c r="A1620" s="88">
        <v>30</v>
      </c>
      <c r="B1620" s="88">
        <v>41</v>
      </c>
      <c r="C1620" s="97">
        <f>SUMIFS(Input!$C$115:$C$3257,Input!$A$115:$A$3257,"="&amp;'Output - County'!A1620,Input!$B$115:$B$3257,"="&amp;'Output - County'!B1620)*VLOOKUP(A1620,'Output - State'!$B$2:$G$52,2,FALSE)</f>
        <v>4.1669174158551785</v>
      </c>
      <c r="D1620" s="98">
        <f>SUMIFS(Input!$C$115:$C$3257,Input!$A$115:$A$3257,"="&amp;'Output - County'!A1620,Input!$B$115:$B$3257,"="&amp;'Output - County'!B1620)*VLOOKUP(A1620,'Output - State'!$B$2:$G$52,3,FALSE)</f>
        <v>0</v>
      </c>
      <c r="E1620" s="98">
        <f>SUMIFS(Input!$C$115:$C$3257,Input!$A$115:$A$3257,"="&amp;'Output - County'!A1620,Input!$B$115:$B$3257,"="&amp;'Output - County'!B1620)*VLOOKUP(A1620,'Output - State'!$B$2:$G$52,4,FALSE)</f>
        <v>2.1028561475754572</v>
      </c>
      <c r="F1620" s="98">
        <f>SUMIFS(Input!$C$115:$C$3257,Input!$A$115:$A$3257,"="&amp;'Output - County'!A1620,Input!$B$115:$B$3257,"="&amp;'Output - County'!B1620)*VLOOKUP(A1620,'Output - State'!$B$2:$G$52,5,FALSE)</f>
        <v>33.378868556206427</v>
      </c>
      <c r="G1620" s="99">
        <f>SUMIFS(Input!$D$115:$D$3257,Input!$A$115:$A$3257,"="&amp;'Output - County'!A1620,Input!$B$115:$B$3257,"="&amp;'Output - County'!B1620)*VLOOKUP(A1620,'Output - State'!$B$2:$G$52,6,FALSE)</f>
        <v>0.20997940808307705</v>
      </c>
    </row>
    <row r="1621" spans="1:7" x14ac:dyDescent="0.25">
      <c r="A1621" s="88">
        <v>30</v>
      </c>
      <c r="B1621" s="88">
        <v>43</v>
      </c>
      <c r="C1621" s="97">
        <f>SUMIFS(Input!$C$115:$C$3257,Input!$A$115:$A$3257,"="&amp;'Output - County'!A1621,Input!$B$115:$B$3257,"="&amp;'Output - County'!B1621)*VLOOKUP(A1621,'Output - State'!$B$2:$G$52,2,FALSE)</f>
        <v>17.150711319121026</v>
      </c>
      <c r="D1621" s="98">
        <f>SUMIFS(Input!$C$115:$C$3257,Input!$A$115:$A$3257,"="&amp;'Output - County'!A1621,Input!$B$115:$B$3257,"="&amp;'Output - County'!B1621)*VLOOKUP(A1621,'Output - State'!$B$2:$G$52,3,FALSE)</f>
        <v>0</v>
      </c>
      <c r="E1621" s="98">
        <f>SUMIFS(Input!$C$115:$C$3257,Input!$A$115:$A$3257,"="&amp;'Output - County'!A1621,Input!$B$115:$B$3257,"="&amp;'Output - County'!B1621)*VLOOKUP(A1621,'Output - State'!$B$2:$G$52,4,FALSE)</f>
        <v>8.6551940279584088</v>
      </c>
      <c r="F1621" s="98">
        <f>SUMIFS(Input!$C$115:$C$3257,Input!$A$115:$A$3257,"="&amp;'Output - County'!A1621,Input!$B$115:$B$3257,"="&amp;'Output - County'!B1621)*VLOOKUP(A1621,'Output - State'!$B$2:$G$52,5,FALSE)</f>
        <v>137.38485351020424</v>
      </c>
      <c r="G1621" s="99">
        <f>SUMIFS(Input!$D$115:$D$3257,Input!$A$115:$A$3257,"="&amp;'Output - County'!A1621,Input!$B$115:$B$3257,"="&amp;'Output - County'!B1621)*VLOOKUP(A1621,'Output - State'!$B$2:$G$52,6,FALSE)</f>
        <v>0.15587428452792837</v>
      </c>
    </row>
    <row r="1622" spans="1:7" x14ac:dyDescent="0.25">
      <c r="A1622" s="88">
        <v>30</v>
      </c>
      <c r="B1622" s="88">
        <v>45</v>
      </c>
      <c r="C1622" s="97">
        <f>SUMIFS(Input!$C$115:$C$3257,Input!$A$115:$A$3257,"="&amp;'Output - County'!A1622,Input!$B$115:$B$3257,"="&amp;'Output - County'!B1622)*VLOOKUP(A1622,'Output - State'!$B$2:$G$52,2,FALSE)</f>
        <v>1.0556239357087056</v>
      </c>
      <c r="D1622" s="98">
        <f>SUMIFS(Input!$C$115:$C$3257,Input!$A$115:$A$3257,"="&amp;'Output - County'!A1622,Input!$B$115:$B$3257,"="&amp;'Output - County'!B1622)*VLOOKUP(A1622,'Output - State'!$B$2:$G$52,3,FALSE)</f>
        <v>0</v>
      </c>
      <c r="E1622" s="98">
        <f>SUMIFS(Input!$C$115:$C$3257,Input!$A$115:$A$3257,"="&amp;'Output - County'!A1622,Input!$B$115:$B$3257,"="&amp;'Output - County'!B1622)*VLOOKUP(A1622,'Output - State'!$B$2:$G$52,4,FALSE)</f>
        <v>0.53272600850844432</v>
      </c>
      <c r="F1622" s="98">
        <f>SUMIFS(Input!$C$115:$C$3257,Input!$A$115:$A$3257,"="&amp;'Output - County'!A1622,Input!$B$115:$B$3257,"="&amp;'Output - County'!B1622)*VLOOKUP(A1622,'Output - State'!$B$2:$G$52,5,FALSE)</f>
        <v>8.4560189411804743</v>
      </c>
      <c r="G1622" s="99">
        <f>SUMIFS(Input!$D$115:$D$3257,Input!$A$115:$A$3257,"="&amp;'Output - County'!A1622,Input!$B$115:$B$3257,"="&amp;'Output - County'!B1622)*VLOOKUP(A1622,'Output - State'!$B$2:$G$52,6,FALSE)</f>
        <v>2.5120235936319034E-2</v>
      </c>
    </row>
    <row r="1623" spans="1:7" x14ac:dyDescent="0.25">
      <c r="A1623" s="88">
        <v>30</v>
      </c>
      <c r="B1623" s="88">
        <v>47</v>
      </c>
      <c r="C1623" s="97">
        <f>SUMIFS(Input!$C$115:$C$3257,Input!$A$115:$A$3257,"="&amp;'Output - County'!A1623,Input!$B$115:$B$3257,"="&amp;'Output - County'!B1623)*VLOOKUP(A1623,'Output - State'!$B$2:$G$52,2,FALSE)</f>
        <v>7.0978761334922575</v>
      </c>
      <c r="D1623" s="98">
        <f>SUMIFS(Input!$C$115:$C$3257,Input!$A$115:$A$3257,"="&amp;'Output - County'!A1623,Input!$B$115:$B$3257,"="&amp;'Output - County'!B1623)*VLOOKUP(A1623,'Output - State'!$B$2:$G$52,3,FALSE)</f>
        <v>0</v>
      </c>
      <c r="E1623" s="98">
        <f>SUMIFS(Input!$C$115:$C$3257,Input!$A$115:$A$3257,"="&amp;'Output - County'!A1623,Input!$B$115:$B$3257,"="&amp;'Output - County'!B1623)*VLOOKUP(A1623,'Output - State'!$B$2:$G$52,4,FALSE)</f>
        <v>3.5819794280660293</v>
      </c>
      <c r="F1623" s="98">
        <f>SUMIFS(Input!$C$115:$C$3257,Input!$A$115:$A$3257,"="&amp;'Output - County'!A1623,Input!$B$115:$B$3257,"="&amp;'Output - County'!B1623)*VLOOKUP(A1623,'Output - State'!$B$2:$G$52,5,FALSE)</f>
        <v>56.857156224549207</v>
      </c>
      <c r="G1623" s="99">
        <f>SUMIFS(Input!$D$115:$D$3257,Input!$A$115:$A$3257,"="&amp;'Output - County'!A1623,Input!$B$115:$B$3257,"="&amp;'Output - County'!B1623)*VLOOKUP(A1623,'Output - State'!$B$2:$G$52,6,FALSE)</f>
        <v>0.38904160270606913</v>
      </c>
    </row>
    <row r="1624" spans="1:7" x14ac:dyDescent="0.25">
      <c r="A1624" s="88">
        <v>30</v>
      </c>
      <c r="B1624" s="88">
        <v>49</v>
      </c>
      <c r="C1624" s="97">
        <f>SUMIFS(Input!$C$115:$C$3257,Input!$A$115:$A$3257,"="&amp;'Output - County'!A1624,Input!$B$115:$B$3257,"="&amp;'Output - County'!B1624)*VLOOKUP(A1624,'Output - State'!$B$2:$G$52,2,FALSE)</f>
        <v>27.970081972126774</v>
      </c>
      <c r="D1624" s="98">
        <f>SUMIFS(Input!$C$115:$C$3257,Input!$A$115:$A$3257,"="&amp;'Output - County'!A1624,Input!$B$115:$B$3257,"="&amp;'Output - County'!B1624)*VLOOKUP(A1624,'Output - State'!$B$2:$G$52,3,FALSE)</f>
        <v>0</v>
      </c>
      <c r="E1624" s="98">
        <f>SUMIFS(Input!$C$115:$C$3257,Input!$A$115:$A$3257,"="&amp;'Output - County'!A1624,Input!$B$115:$B$3257,"="&amp;'Output - County'!B1624)*VLOOKUP(A1624,'Output - State'!$B$2:$G$52,4,FALSE)</f>
        <v>14.115244664911412</v>
      </c>
      <c r="F1624" s="98">
        <f>SUMIFS(Input!$C$115:$C$3257,Input!$A$115:$A$3257,"="&amp;'Output - County'!A1624,Input!$B$115:$B$3257,"="&amp;'Output - County'!B1624)*VLOOKUP(A1624,'Output - State'!$B$2:$G$52,5,FALSE)</f>
        <v>224.05284206054597</v>
      </c>
      <c r="G1624" s="99">
        <f>SUMIFS(Input!$D$115:$D$3257,Input!$A$115:$A$3257,"="&amp;'Output - County'!A1624,Input!$B$115:$B$3257,"="&amp;'Output - County'!B1624)*VLOOKUP(A1624,'Output - State'!$B$2:$G$52,6,FALSE)</f>
        <v>0.88371701806742864</v>
      </c>
    </row>
    <row r="1625" spans="1:7" x14ac:dyDescent="0.25">
      <c r="A1625" s="88">
        <v>30</v>
      </c>
      <c r="B1625" s="88">
        <v>51</v>
      </c>
      <c r="C1625" s="97">
        <f>SUMIFS(Input!$C$115:$C$3257,Input!$A$115:$A$3257,"="&amp;'Output - County'!A1625,Input!$B$115:$B$3257,"="&amp;'Output - County'!B1625)*VLOOKUP(A1625,'Output - State'!$B$2:$G$52,2,FALSE)</f>
        <v>0.59533161178634919</v>
      </c>
      <c r="D1625" s="98">
        <f>SUMIFS(Input!$C$115:$C$3257,Input!$A$115:$A$3257,"="&amp;'Output - County'!A1625,Input!$B$115:$B$3257,"="&amp;'Output - County'!B1625)*VLOOKUP(A1625,'Output - State'!$B$2:$G$52,3,FALSE)</f>
        <v>0</v>
      </c>
      <c r="E1625" s="98">
        <f>SUMIFS(Input!$C$115:$C$3257,Input!$A$115:$A$3257,"="&amp;'Output - County'!A1625,Input!$B$115:$B$3257,"="&amp;'Output - County'!B1625)*VLOOKUP(A1625,'Output - State'!$B$2:$G$52,4,FALSE)</f>
        <v>0.30043713727741411</v>
      </c>
      <c r="F1625" s="98">
        <f>SUMIFS(Input!$C$115:$C$3257,Input!$A$115:$A$3257,"="&amp;'Output - County'!A1625,Input!$B$115:$B$3257,"="&amp;'Output - County'!B1625)*VLOOKUP(A1625,'Output - State'!$B$2:$G$52,5,FALSE)</f>
        <v>4.7688719583353745</v>
      </c>
      <c r="G1625" s="99">
        <f>SUMIFS(Input!$D$115:$D$3257,Input!$A$115:$A$3257,"="&amp;'Output - County'!A1625,Input!$B$115:$B$3257,"="&amp;'Output - County'!B1625)*VLOOKUP(A1625,'Output - State'!$B$2:$G$52,6,FALSE)</f>
        <v>3.1174856905585673E-2</v>
      </c>
    </row>
    <row r="1626" spans="1:7" x14ac:dyDescent="0.25">
      <c r="A1626" s="88">
        <v>30</v>
      </c>
      <c r="B1626" s="88">
        <v>53</v>
      </c>
      <c r="C1626" s="97">
        <f>SUMIFS(Input!$C$115:$C$3257,Input!$A$115:$A$3257,"="&amp;'Output - County'!A1626,Input!$B$115:$B$3257,"="&amp;'Output - County'!B1626)*VLOOKUP(A1626,'Output - State'!$B$2:$G$52,2,FALSE)</f>
        <v>3.8307089265481205</v>
      </c>
      <c r="D1626" s="98">
        <f>SUMIFS(Input!$C$115:$C$3257,Input!$A$115:$A$3257,"="&amp;'Output - County'!A1626,Input!$B$115:$B$3257,"="&amp;'Output - County'!B1626)*VLOOKUP(A1626,'Output - State'!$B$2:$G$52,3,FALSE)</f>
        <v>0</v>
      </c>
      <c r="E1626" s="98">
        <f>SUMIFS(Input!$C$115:$C$3257,Input!$A$115:$A$3257,"="&amp;'Output - County'!A1626,Input!$B$115:$B$3257,"="&amp;'Output - County'!B1626)*VLOOKUP(A1626,'Output - State'!$B$2:$G$52,4,FALSE)</f>
        <v>1.9331868169771913</v>
      </c>
      <c r="F1626" s="98">
        <f>SUMIFS(Input!$C$115:$C$3257,Input!$A$115:$A$3257,"="&amp;'Output - County'!A1626,Input!$B$115:$B$3257,"="&amp;'Output - County'!B1626)*VLOOKUP(A1626,'Output - State'!$B$2:$G$52,5,FALSE)</f>
        <v>30.685688477964373</v>
      </c>
      <c r="G1626" s="99">
        <f>SUMIFS(Input!$D$115:$D$3257,Input!$A$115:$A$3257,"="&amp;'Output - County'!A1626,Input!$B$115:$B$3257,"="&amp;'Output - County'!B1626)*VLOOKUP(A1626,'Output - State'!$B$2:$G$52,6,FALSE)</f>
        <v>0.25506701104570095</v>
      </c>
    </row>
    <row r="1627" spans="1:7" x14ac:dyDescent="0.25">
      <c r="A1627" s="88">
        <v>30</v>
      </c>
      <c r="B1627" s="88">
        <v>55</v>
      </c>
      <c r="C1627" s="97">
        <f>SUMIFS(Input!$C$115:$C$3257,Input!$A$115:$A$3257,"="&amp;'Output - County'!A1627,Input!$B$115:$B$3257,"="&amp;'Output - County'!B1627)*VLOOKUP(A1627,'Output - State'!$B$2:$G$52,2,FALSE)</f>
        <v>0.70789762960584801</v>
      </c>
      <c r="D1627" s="98">
        <f>SUMIFS(Input!$C$115:$C$3257,Input!$A$115:$A$3257,"="&amp;'Output - County'!A1627,Input!$B$115:$B$3257,"="&amp;'Output - County'!B1627)*VLOOKUP(A1627,'Output - State'!$B$2:$G$52,3,FALSE)</f>
        <v>0</v>
      </c>
      <c r="E1627" s="98">
        <f>SUMIFS(Input!$C$115:$C$3257,Input!$A$115:$A$3257,"="&amp;'Output - County'!A1627,Input!$B$115:$B$3257,"="&amp;'Output - County'!B1627)*VLOOKUP(A1627,'Output - State'!$B$2:$G$52,4,FALSE)</f>
        <v>0.35724415286143701</v>
      </c>
      <c r="F1627" s="98">
        <f>SUMIFS(Input!$C$115:$C$3257,Input!$A$115:$A$3257,"="&amp;'Output - County'!A1627,Input!$B$115:$B$3257,"="&amp;'Output - County'!B1627)*VLOOKUP(A1627,'Output - State'!$B$2:$G$52,5,FALSE)</f>
        <v>5.6705760090074522</v>
      </c>
      <c r="G1627" s="99">
        <f>SUMIFS(Input!$D$115:$D$3257,Input!$A$115:$A$3257,"="&amp;'Output - County'!A1627,Input!$B$115:$B$3257,"="&amp;'Output - County'!B1627)*VLOOKUP(A1627,'Output - State'!$B$2:$G$52,6,FALSE)</f>
        <v>2.151322769930912E-2</v>
      </c>
    </row>
    <row r="1628" spans="1:7" x14ac:dyDescent="0.25">
      <c r="A1628" s="88">
        <v>30</v>
      </c>
      <c r="B1628" s="88">
        <v>57</v>
      </c>
      <c r="C1628" s="97">
        <f>SUMIFS(Input!$C$115:$C$3257,Input!$A$115:$A$3257,"="&amp;'Output - County'!A1628,Input!$B$115:$B$3257,"="&amp;'Output - County'!B1628)*VLOOKUP(A1628,'Output - State'!$B$2:$G$52,2,FALSE)</f>
        <v>3.4609831179787007</v>
      </c>
      <c r="D1628" s="98">
        <f>SUMIFS(Input!$C$115:$C$3257,Input!$A$115:$A$3257,"="&amp;'Output - County'!A1628,Input!$B$115:$B$3257,"="&amp;'Output - County'!B1628)*VLOOKUP(A1628,'Output - State'!$B$2:$G$52,3,FALSE)</f>
        <v>0</v>
      </c>
      <c r="E1628" s="98">
        <f>SUMIFS(Input!$C$115:$C$3257,Input!$A$115:$A$3257,"="&amp;'Output - County'!A1628,Input!$B$115:$B$3257,"="&amp;'Output - County'!B1628)*VLOOKUP(A1628,'Output - State'!$B$2:$G$52,4,FALSE)</f>
        <v>1.746602800094786</v>
      </c>
      <c r="F1628" s="98">
        <f>SUMIFS(Input!$C$115:$C$3257,Input!$A$115:$A$3257,"="&amp;'Output - County'!A1628,Input!$B$115:$B$3257,"="&amp;'Output - County'!B1628)*VLOOKUP(A1628,'Output - State'!$B$2:$G$52,5,FALSE)</f>
        <v>27.724019710755787</v>
      </c>
      <c r="G1628" s="99">
        <f>SUMIFS(Input!$D$115:$D$3257,Input!$A$115:$A$3257,"="&amp;'Output - County'!A1628,Input!$B$115:$B$3257,"="&amp;'Output - County'!B1628)*VLOOKUP(A1628,'Output - State'!$B$2:$G$52,6,FALSE)</f>
        <v>0.10988492950605198</v>
      </c>
    </row>
    <row r="1629" spans="1:7" x14ac:dyDescent="0.25">
      <c r="A1629" s="88">
        <v>30</v>
      </c>
      <c r="B1629" s="88">
        <v>59</v>
      </c>
      <c r="C1629" s="97">
        <f>SUMIFS(Input!$C$115:$C$3257,Input!$A$115:$A$3257,"="&amp;'Output - County'!A1629,Input!$B$115:$B$3257,"="&amp;'Output - County'!B1629)*VLOOKUP(A1629,'Output - State'!$B$2:$G$52,2,FALSE)</f>
        <v>0.58454608492517723</v>
      </c>
      <c r="D1629" s="98">
        <f>SUMIFS(Input!$C$115:$C$3257,Input!$A$115:$A$3257,"="&amp;'Output - County'!A1629,Input!$B$115:$B$3257,"="&amp;'Output - County'!B1629)*VLOOKUP(A1629,'Output - State'!$B$2:$G$52,3,FALSE)</f>
        <v>0</v>
      </c>
      <c r="E1629" s="98">
        <f>SUMIFS(Input!$C$115:$C$3257,Input!$A$115:$A$3257,"="&amp;'Output - County'!A1629,Input!$B$115:$B$3257,"="&amp;'Output - County'!B1629)*VLOOKUP(A1629,'Output - State'!$B$2:$G$52,4,FALSE)</f>
        <v>0.29499416608279522</v>
      </c>
      <c r="F1629" s="98">
        <f>SUMIFS(Input!$C$115:$C$3257,Input!$A$115:$A$3257,"="&amp;'Output - County'!A1629,Input!$B$115:$B$3257,"="&amp;'Output - County'!B1629)*VLOOKUP(A1629,'Output - State'!$B$2:$G$52,5,FALSE)</f>
        <v>4.6824750736650298</v>
      </c>
      <c r="G1629" s="99">
        <f>SUMIFS(Input!$D$115:$D$3257,Input!$A$115:$A$3257,"="&amp;'Output - County'!A1629,Input!$B$115:$B$3257,"="&amp;'Output - County'!B1629)*VLOOKUP(A1629,'Output - State'!$B$2:$G$52,6,FALSE)</f>
        <v>2.3960840431565846E-2</v>
      </c>
    </row>
    <row r="1630" spans="1:7" x14ac:dyDescent="0.25">
      <c r="A1630" s="88">
        <v>30</v>
      </c>
      <c r="B1630" s="88">
        <v>61</v>
      </c>
      <c r="C1630" s="97">
        <f>SUMIFS(Input!$C$115:$C$3257,Input!$A$115:$A$3257,"="&amp;'Output - County'!A1630,Input!$B$115:$B$3257,"="&amp;'Output - County'!B1630)*VLOOKUP(A1630,'Output - State'!$B$2:$G$52,2,FALSE)</f>
        <v>14.366789661381594</v>
      </c>
      <c r="D1630" s="98">
        <f>SUMIFS(Input!$C$115:$C$3257,Input!$A$115:$A$3257,"="&amp;'Output - County'!A1630,Input!$B$115:$B$3257,"="&amp;'Output - County'!B1630)*VLOOKUP(A1630,'Output - State'!$B$2:$G$52,3,FALSE)</f>
        <v>0</v>
      </c>
      <c r="E1630" s="98">
        <f>SUMIFS(Input!$C$115:$C$3257,Input!$A$115:$A$3257,"="&amp;'Output - County'!A1630,Input!$B$115:$B$3257,"="&amp;'Output - County'!B1630)*VLOOKUP(A1630,'Output - State'!$B$2:$G$52,4,FALSE)</f>
        <v>7.2502737504240953</v>
      </c>
      <c r="F1630" s="98">
        <f>SUMIFS(Input!$C$115:$C$3257,Input!$A$115:$A$3257,"="&amp;'Output - County'!A1630,Input!$B$115:$B$3257,"="&amp;'Output - County'!B1630)*VLOOKUP(A1630,'Output - State'!$B$2:$G$52,5,FALSE)</f>
        <v>115.08439832698339</v>
      </c>
      <c r="G1630" s="99">
        <f>SUMIFS(Input!$D$115:$D$3257,Input!$A$115:$A$3257,"="&amp;'Output - County'!A1630,Input!$B$115:$B$3257,"="&amp;'Output - County'!B1630)*VLOOKUP(A1630,'Output - State'!$B$2:$G$52,6,FALSE)</f>
        <v>5.5522162505402581E-2</v>
      </c>
    </row>
    <row r="1631" spans="1:7" x14ac:dyDescent="0.25">
      <c r="A1631" s="88">
        <v>30</v>
      </c>
      <c r="B1631" s="88">
        <v>63</v>
      </c>
      <c r="C1631" s="97">
        <f>SUMIFS(Input!$C$115:$C$3257,Input!$A$115:$A$3257,"="&amp;'Output - County'!A1631,Input!$B$115:$B$3257,"="&amp;'Output - County'!B1631)*VLOOKUP(A1631,'Output - State'!$B$2:$G$52,2,FALSE)</f>
        <v>53.710897107110704</v>
      </c>
      <c r="D1631" s="98">
        <f>SUMIFS(Input!$C$115:$C$3257,Input!$A$115:$A$3257,"="&amp;'Output - County'!A1631,Input!$B$115:$B$3257,"="&amp;'Output - County'!B1631)*VLOOKUP(A1631,'Output - State'!$B$2:$G$52,3,FALSE)</f>
        <v>0</v>
      </c>
      <c r="E1631" s="98">
        <f>SUMIFS(Input!$C$115:$C$3257,Input!$A$115:$A$3257,"="&amp;'Output - County'!A1631,Input!$B$115:$B$3257,"="&amp;'Output - County'!B1631)*VLOOKUP(A1631,'Output - State'!$B$2:$G$52,4,FALSE)</f>
        <v>27.105478439221852</v>
      </c>
      <c r="F1631" s="98">
        <f>SUMIFS(Input!$C$115:$C$3257,Input!$A$115:$A$3257,"="&amp;'Output - County'!A1631,Input!$B$115:$B$3257,"="&amp;'Output - County'!B1631)*VLOOKUP(A1631,'Output - State'!$B$2:$G$52,5,FALSE)</f>
        <v>430.2482616412106</v>
      </c>
      <c r="G1631" s="99">
        <f>SUMIFS(Input!$D$115:$D$3257,Input!$A$115:$A$3257,"="&amp;'Output - County'!A1631,Input!$B$115:$B$3257,"="&amp;'Output - County'!B1631)*VLOOKUP(A1631,'Output - State'!$B$2:$G$52,6,FALSE)</f>
        <v>1.5329785007292127</v>
      </c>
    </row>
    <row r="1632" spans="1:7" x14ac:dyDescent="0.25">
      <c r="A1632" s="88">
        <v>30</v>
      </c>
      <c r="B1632" s="88">
        <v>65</v>
      </c>
      <c r="C1632" s="97">
        <f>SUMIFS(Input!$C$115:$C$3257,Input!$A$115:$A$3257,"="&amp;'Output - County'!A1632,Input!$B$115:$B$3257,"="&amp;'Output - County'!B1632)*VLOOKUP(A1632,'Output - State'!$B$2:$G$52,2,FALSE)</f>
        <v>1.1554167607446846</v>
      </c>
      <c r="D1632" s="98">
        <f>SUMIFS(Input!$C$115:$C$3257,Input!$A$115:$A$3257,"="&amp;'Output - County'!A1632,Input!$B$115:$B$3257,"="&amp;'Output - County'!B1632)*VLOOKUP(A1632,'Output - State'!$B$2:$G$52,3,FALSE)</f>
        <v>0</v>
      </c>
      <c r="E1632" s="98">
        <f>SUMIFS(Input!$C$115:$C$3257,Input!$A$115:$A$3257,"="&amp;'Output - County'!A1632,Input!$B$115:$B$3257,"="&amp;'Output - County'!B1632)*VLOOKUP(A1632,'Output - State'!$B$2:$G$52,4,FALSE)</f>
        <v>0.58308696714236119</v>
      </c>
      <c r="F1632" s="98">
        <f>SUMIFS(Input!$C$115:$C$3257,Input!$A$115:$A$3257,"="&amp;'Output - County'!A1632,Input!$B$115:$B$3257,"="&amp;'Output - County'!B1632)*VLOOKUP(A1632,'Output - State'!$B$2:$G$52,5,FALSE)</f>
        <v>9.2554040158771933</v>
      </c>
      <c r="G1632" s="99">
        <f>SUMIFS(Input!$D$115:$D$3257,Input!$A$115:$A$3257,"="&amp;'Output - County'!A1632,Input!$B$115:$B$3257,"="&amp;'Output - County'!B1632)*VLOOKUP(A1632,'Output - State'!$B$2:$G$52,6,FALSE)</f>
        <v>5.964445763341391E-2</v>
      </c>
    </row>
    <row r="1633" spans="1:7" x14ac:dyDescent="0.25">
      <c r="A1633" s="88">
        <v>30</v>
      </c>
      <c r="B1633" s="88">
        <v>67</v>
      </c>
      <c r="C1633" s="97">
        <f>SUMIFS(Input!$C$115:$C$3257,Input!$A$115:$A$3257,"="&amp;'Output - County'!A1633,Input!$B$115:$B$3257,"="&amp;'Output - County'!B1633)*VLOOKUP(A1633,'Output - State'!$B$2:$G$52,2,FALSE)</f>
        <v>13.912122117540836</v>
      </c>
      <c r="D1633" s="98">
        <f>SUMIFS(Input!$C$115:$C$3257,Input!$A$115:$A$3257,"="&amp;'Output - County'!A1633,Input!$B$115:$B$3257,"="&amp;'Output - County'!B1633)*VLOOKUP(A1633,'Output - State'!$B$2:$G$52,3,FALSE)</f>
        <v>0</v>
      </c>
      <c r="E1633" s="98">
        <f>SUMIFS(Input!$C$115:$C$3257,Input!$A$115:$A$3257,"="&amp;'Output - County'!A1633,Input!$B$115:$B$3257,"="&amp;'Output - County'!B1633)*VLOOKUP(A1633,'Output - State'!$B$2:$G$52,4,FALSE)</f>
        <v>7.0208234531778393</v>
      </c>
      <c r="F1633" s="98">
        <f>SUMIFS(Input!$C$115:$C$3257,Input!$A$115:$A$3257,"="&amp;'Output - County'!A1633,Input!$B$115:$B$3257,"="&amp;'Output - County'!B1633)*VLOOKUP(A1633,'Output - State'!$B$2:$G$52,5,FALSE)</f>
        <v>111.44230834341714</v>
      </c>
      <c r="G1633" s="99">
        <f>SUMIFS(Input!$D$115:$D$3257,Input!$A$115:$A$3257,"="&amp;'Output - County'!A1633,Input!$B$115:$B$3257,"="&amp;'Output - County'!B1633)*VLOOKUP(A1633,'Output - State'!$B$2:$G$52,6,FALSE)</f>
        <v>0.21384405976558768</v>
      </c>
    </row>
    <row r="1634" spans="1:7" x14ac:dyDescent="0.25">
      <c r="A1634" s="88">
        <v>30</v>
      </c>
      <c r="B1634" s="88">
        <v>69</v>
      </c>
      <c r="C1634" s="97">
        <f>SUMIFS(Input!$C$115:$C$3257,Input!$A$115:$A$3257,"="&amp;'Output - County'!A1634,Input!$B$115:$B$3257,"="&amp;'Output - County'!B1634)*VLOOKUP(A1634,'Output - State'!$B$2:$G$52,2,FALSE)</f>
        <v>0.27221500766238327</v>
      </c>
      <c r="D1634" s="98">
        <f>SUMIFS(Input!$C$115:$C$3257,Input!$A$115:$A$3257,"="&amp;'Output - County'!A1634,Input!$B$115:$B$3257,"="&amp;'Output - County'!B1634)*VLOOKUP(A1634,'Output - State'!$B$2:$G$52,3,FALSE)</f>
        <v>0</v>
      </c>
      <c r="E1634" s="98">
        <f>SUMIFS(Input!$C$115:$C$3257,Input!$A$115:$A$3257,"="&amp;'Output - County'!A1634,Input!$B$115:$B$3257,"="&amp;'Output - County'!B1634)*VLOOKUP(A1634,'Output - State'!$B$2:$G$52,4,FALSE)</f>
        <v>0.13737469337574162</v>
      </c>
      <c r="F1634" s="98">
        <f>SUMIFS(Input!$C$115:$C$3257,Input!$A$115:$A$3257,"="&amp;'Output - County'!A1634,Input!$B$115:$B$3257,"="&amp;'Output - County'!B1634)*VLOOKUP(A1634,'Output - State'!$B$2:$G$52,5,FALSE)</f>
        <v>2.1805637244492031</v>
      </c>
      <c r="G1634" s="99">
        <f>SUMIFS(Input!$D$115:$D$3257,Input!$A$115:$A$3257,"="&amp;'Output - County'!A1634,Input!$B$115:$B$3257,"="&amp;'Output - County'!B1634)*VLOOKUP(A1634,'Output - State'!$B$2:$G$52,6,FALSE)</f>
        <v>6.5956722048181255E-3</v>
      </c>
    </row>
    <row r="1635" spans="1:7" x14ac:dyDescent="0.25">
      <c r="A1635" s="88">
        <v>30</v>
      </c>
      <c r="B1635" s="88">
        <v>71</v>
      </c>
      <c r="C1635" s="97">
        <f>SUMIFS(Input!$C$115:$C$3257,Input!$A$115:$A$3257,"="&amp;'Output - County'!A1635,Input!$B$115:$B$3257,"="&amp;'Output - County'!B1635)*VLOOKUP(A1635,'Output - State'!$B$2:$G$52,2,FALSE)</f>
        <v>1.0503916914176727</v>
      </c>
      <c r="D1635" s="98">
        <f>SUMIFS(Input!$C$115:$C$3257,Input!$A$115:$A$3257,"="&amp;'Output - County'!A1635,Input!$B$115:$B$3257,"="&amp;'Output - County'!B1635)*VLOOKUP(A1635,'Output - State'!$B$2:$G$52,3,FALSE)</f>
        <v>0</v>
      </c>
      <c r="E1635" s="98">
        <f>SUMIFS(Input!$C$115:$C$3257,Input!$A$115:$A$3257,"="&amp;'Output - County'!A1635,Input!$B$115:$B$3257,"="&amp;'Output - County'!B1635)*VLOOKUP(A1635,'Output - State'!$B$2:$G$52,4,FALSE)</f>
        <v>0.53008552971442024</v>
      </c>
      <c r="F1635" s="98">
        <f>SUMIFS(Input!$C$115:$C$3257,Input!$A$115:$A$3257,"="&amp;'Output - County'!A1635,Input!$B$115:$B$3257,"="&amp;'Output - County'!B1635)*VLOOKUP(A1635,'Output - State'!$B$2:$G$52,5,FALSE)</f>
        <v>8.4141063288066817</v>
      </c>
      <c r="G1635" s="99">
        <f>SUMIFS(Input!$D$115:$D$3257,Input!$A$115:$A$3257,"="&amp;'Output - County'!A1635,Input!$B$115:$B$3257,"="&amp;'Output - County'!B1635)*VLOOKUP(A1635,'Output - State'!$B$2:$G$52,6,FALSE)</f>
        <v>5.2301619436643729E-2</v>
      </c>
    </row>
    <row r="1636" spans="1:7" x14ac:dyDescent="0.25">
      <c r="A1636" s="88">
        <v>30</v>
      </c>
      <c r="B1636" s="88">
        <v>73</v>
      </c>
      <c r="C1636" s="97">
        <f>SUMIFS(Input!$C$115:$C$3257,Input!$A$115:$A$3257,"="&amp;'Output - County'!A1636,Input!$B$115:$B$3257,"="&amp;'Output - County'!B1636)*VLOOKUP(A1636,'Output - State'!$B$2:$G$52,2,FALSE)</f>
        <v>3.7049223967605087</v>
      </c>
      <c r="D1636" s="98">
        <f>SUMIFS(Input!$C$115:$C$3257,Input!$A$115:$A$3257,"="&amp;'Output - County'!A1636,Input!$B$115:$B$3257,"="&amp;'Output - County'!B1636)*VLOOKUP(A1636,'Output - State'!$B$2:$G$52,3,FALSE)</f>
        <v>0</v>
      </c>
      <c r="E1636" s="98">
        <f>SUMIFS(Input!$C$115:$C$3257,Input!$A$115:$A$3257,"="&amp;'Output - County'!A1636,Input!$B$115:$B$3257,"="&amp;'Output - County'!B1636)*VLOOKUP(A1636,'Output - State'!$B$2:$G$52,4,FALSE)</f>
        <v>1.8697080025328265</v>
      </c>
      <c r="F1636" s="98">
        <f>SUMIFS(Input!$C$115:$C$3257,Input!$A$115:$A$3257,"="&amp;'Output - County'!A1636,Input!$B$115:$B$3257,"="&amp;'Output - County'!B1636)*VLOOKUP(A1636,'Output - State'!$B$2:$G$52,5,FALSE)</f>
        <v>29.678082224971149</v>
      </c>
      <c r="G1636" s="99">
        <f>SUMIFS(Input!$D$115:$D$3257,Input!$A$115:$A$3257,"="&amp;'Output - County'!A1636,Input!$B$115:$B$3257,"="&amp;'Output - County'!B1636)*VLOOKUP(A1636,'Output - State'!$B$2:$G$52,6,FALSE)</f>
        <v>7.6777746759210994E-2</v>
      </c>
    </row>
    <row r="1637" spans="1:7" x14ac:dyDescent="0.25">
      <c r="A1637" s="88">
        <v>30</v>
      </c>
      <c r="B1637" s="88">
        <v>75</v>
      </c>
      <c r="C1637" s="97">
        <f>SUMIFS(Input!$C$115:$C$3257,Input!$A$115:$A$3257,"="&amp;'Output - County'!A1637,Input!$B$115:$B$3257,"="&amp;'Output - County'!B1637)*VLOOKUP(A1637,'Output - State'!$B$2:$G$52,2,FALSE)</f>
        <v>1.1870203812516156</v>
      </c>
      <c r="D1637" s="98">
        <f>SUMIFS(Input!$C$115:$C$3257,Input!$A$115:$A$3257,"="&amp;'Output - County'!A1637,Input!$B$115:$B$3257,"="&amp;'Output - County'!B1637)*VLOOKUP(A1637,'Output - State'!$B$2:$G$52,3,FALSE)</f>
        <v>0</v>
      </c>
      <c r="E1637" s="98">
        <f>SUMIFS(Input!$C$115:$C$3257,Input!$A$115:$A$3257,"="&amp;'Output - County'!A1637,Input!$B$115:$B$3257,"="&amp;'Output - County'!B1637)*VLOOKUP(A1637,'Output - State'!$B$2:$G$52,4,FALSE)</f>
        <v>0.59903589557942793</v>
      </c>
      <c r="F1637" s="98">
        <f>SUMIFS(Input!$C$115:$C$3257,Input!$A$115:$A$3257,"="&amp;'Output - County'!A1637,Input!$B$115:$B$3257,"="&amp;'Output - County'!B1637)*VLOOKUP(A1637,'Output - State'!$B$2:$G$52,5,FALSE)</f>
        <v>9.5085631235636559</v>
      </c>
      <c r="G1637" s="99">
        <f>SUMIFS(Input!$D$115:$D$3257,Input!$A$115:$A$3257,"="&amp;'Output - County'!A1637,Input!$B$115:$B$3257,"="&amp;'Output - County'!B1637)*VLOOKUP(A1637,'Output - State'!$B$2:$G$52,6,FALSE)</f>
        <v>2.2157336313060889E-2</v>
      </c>
    </row>
    <row r="1638" spans="1:7" x14ac:dyDescent="0.25">
      <c r="A1638" s="88">
        <v>30</v>
      </c>
      <c r="B1638" s="88">
        <v>77</v>
      </c>
      <c r="C1638" s="97">
        <f>SUMIFS(Input!$C$115:$C$3257,Input!$A$115:$A$3257,"="&amp;'Output - County'!A1638,Input!$B$115:$B$3257,"="&amp;'Output - County'!B1638)*VLOOKUP(A1638,'Output - State'!$B$2:$G$52,2,FALSE)</f>
        <v>9.0200670024281031</v>
      </c>
      <c r="D1638" s="98">
        <f>SUMIFS(Input!$C$115:$C$3257,Input!$A$115:$A$3257,"="&amp;'Output - County'!A1638,Input!$B$115:$B$3257,"="&amp;'Output - County'!B1638)*VLOOKUP(A1638,'Output - State'!$B$2:$G$52,3,FALSE)</f>
        <v>0</v>
      </c>
      <c r="E1638" s="98">
        <f>SUMIFS(Input!$C$115:$C$3257,Input!$A$115:$A$3257,"="&amp;'Output - County'!A1638,Input!$B$115:$B$3257,"="&amp;'Output - County'!B1638)*VLOOKUP(A1638,'Output - State'!$B$2:$G$52,4,FALSE)</f>
        <v>4.5520228635742397</v>
      </c>
      <c r="F1638" s="98">
        <f>SUMIFS(Input!$C$115:$C$3257,Input!$A$115:$A$3257,"="&amp;'Output - County'!A1638,Input!$B$115:$B$3257,"="&amp;'Output - County'!B1638)*VLOOKUP(A1638,'Output - State'!$B$2:$G$52,5,FALSE)</f>
        <v>72.254763124560711</v>
      </c>
      <c r="G1638" s="99">
        <f>SUMIFS(Input!$D$115:$D$3257,Input!$A$115:$A$3257,"="&amp;'Output - County'!A1638,Input!$B$115:$B$3257,"="&amp;'Output - County'!B1638)*VLOOKUP(A1638,'Output - State'!$B$2:$G$52,6,FALSE)</f>
        <v>8.9531097311496041E-2</v>
      </c>
    </row>
    <row r="1639" spans="1:7" x14ac:dyDescent="0.25">
      <c r="A1639" s="88">
        <v>30</v>
      </c>
      <c r="B1639" s="88">
        <v>79</v>
      </c>
      <c r="C1639" s="97">
        <f>SUMIFS(Input!$C$115:$C$3257,Input!$A$115:$A$3257,"="&amp;'Output - County'!A1639,Input!$B$115:$B$3257,"="&amp;'Output - County'!B1639)*VLOOKUP(A1639,'Output - State'!$B$2:$G$52,2,FALSE)</f>
        <v>3.0824308744785056</v>
      </c>
      <c r="D1639" s="98">
        <f>SUMIFS(Input!$C$115:$C$3257,Input!$A$115:$A$3257,"="&amp;'Output - County'!A1639,Input!$B$115:$B$3257,"="&amp;'Output - County'!B1639)*VLOOKUP(A1639,'Output - State'!$B$2:$G$52,3,FALSE)</f>
        <v>0</v>
      </c>
      <c r="E1639" s="98">
        <f>SUMIFS(Input!$C$115:$C$3257,Input!$A$115:$A$3257,"="&amp;'Output - County'!A1639,Input!$B$115:$B$3257,"="&amp;'Output - County'!B1639)*VLOOKUP(A1639,'Output - State'!$B$2:$G$52,4,FALSE)</f>
        <v>1.5555644777623299</v>
      </c>
      <c r="F1639" s="98">
        <f>SUMIFS(Input!$C$115:$C$3257,Input!$A$115:$A$3257,"="&amp;'Output - County'!A1639,Input!$B$115:$B$3257,"="&amp;'Output - County'!B1639)*VLOOKUP(A1639,'Output - State'!$B$2:$G$52,5,FALSE)</f>
        <v>24.691647259751296</v>
      </c>
      <c r="G1639" s="99">
        <f>SUMIFS(Input!$D$115:$D$3257,Input!$A$115:$A$3257,"="&amp;'Output - County'!A1639,Input!$B$115:$B$3257,"="&amp;'Output - County'!B1639)*VLOOKUP(A1639,'Output - State'!$B$2:$G$52,6,FALSE)</f>
        <v>1.378392433428788E-2</v>
      </c>
    </row>
    <row r="1640" spans="1:7" x14ac:dyDescent="0.25">
      <c r="A1640" s="88">
        <v>30</v>
      </c>
      <c r="B1640" s="88">
        <v>81</v>
      </c>
      <c r="C1640" s="97">
        <f>SUMIFS(Input!$C$115:$C$3257,Input!$A$115:$A$3257,"="&amp;'Output - County'!A1640,Input!$B$115:$B$3257,"="&amp;'Output - County'!B1640)*VLOOKUP(A1640,'Output - State'!$B$2:$G$52,2,FALSE)</f>
        <v>9.383492864126918</v>
      </c>
      <c r="D1640" s="98">
        <f>SUMIFS(Input!$C$115:$C$3257,Input!$A$115:$A$3257,"="&amp;'Output - County'!A1640,Input!$B$115:$B$3257,"="&amp;'Output - County'!B1640)*VLOOKUP(A1640,'Output - State'!$B$2:$G$52,3,FALSE)</f>
        <v>0</v>
      </c>
      <c r="E1640" s="98">
        <f>SUMIFS(Input!$C$115:$C$3257,Input!$A$115:$A$3257,"="&amp;'Output - County'!A1640,Input!$B$115:$B$3257,"="&amp;'Output - County'!B1640)*VLOOKUP(A1640,'Output - State'!$B$2:$G$52,4,FALSE)</f>
        <v>4.7354275801048207</v>
      </c>
      <c r="F1640" s="98">
        <f>SUMIFS(Input!$C$115:$C$3257,Input!$A$115:$A$3257,"="&amp;'Output - County'!A1640,Input!$B$115:$B$3257,"="&amp;'Output - County'!B1640)*VLOOKUP(A1640,'Output - State'!$B$2:$G$52,5,FALSE)</f>
        <v>75.16596650512524</v>
      </c>
      <c r="G1640" s="99">
        <f>SUMIFS(Input!$D$115:$D$3257,Input!$A$115:$A$3257,"="&amp;'Output - County'!A1640,Input!$B$115:$B$3257,"="&amp;'Output - County'!B1640)*VLOOKUP(A1640,'Output - State'!$B$2:$G$52,6,FALSE)</f>
        <v>0.55650984228152933</v>
      </c>
    </row>
    <row r="1641" spans="1:7" x14ac:dyDescent="0.25">
      <c r="A1641" s="88">
        <v>30</v>
      </c>
      <c r="B1641" s="88">
        <v>83</v>
      </c>
      <c r="C1641" s="97">
        <f>SUMIFS(Input!$C$115:$C$3257,Input!$A$115:$A$3257,"="&amp;'Output - County'!A1641,Input!$B$115:$B$3257,"="&amp;'Output - County'!B1641)*VLOOKUP(A1641,'Output - State'!$B$2:$G$52,2,FALSE)</f>
        <v>3.8168263080379496</v>
      </c>
      <c r="D1641" s="98">
        <f>SUMIFS(Input!$C$115:$C$3257,Input!$A$115:$A$3257,"="&amp;'Output - County'!A1641,Input!$B$115:$B$3257,"="&amp;'Output - County'!B1641)*VLOOKUP(A1641,'Output - State'!$B$2:$G$52,3,FALSE)</f>
        <v>0</v>
      </c>
      <c r="E1641" s="98">
        <f>SUMIFS(Input!$C$115:$C$3257,Input!$A$115:$A$3257,"="&amp;'Output - County'!A1641,Input!$B$115:$B$3257,"="&amp;'Output - County'!B1641)*VLOOKUP(A1641,'Output - State'!$B$2:$G$52,4,FALSE)</f>
        <v>1.9261808826700995</v>
      </c>
      <c r="F1641" s="98">
        <f>SUMIFS(Input!$C$115:$C$3257,Input!$A$115:$A$3257,"="&amp;'Output - County'!A1641,Input!$B$115:$B$3257,"="&amp;'Output - County'!B1641)*VLOOKUP(A1641,'Output - State'!$B$2:$G$52,5,FALSE)</f>
        <v>30.574482506685996</v>
      </c>
      <c r="G1641" s="99">
        <f>SUMIFS(Input!$D$115:$D$3257,Input!$A$115:$A$3257,"="&amp;'Output - County'!A1641,Input!$B$115:$B$3257,"="&amp;'Output - County'!B1641)*VLOOKUP(A1641,'Output - State'!$B$2:$G$52,6,FALSE)</f>
        <v>0.14041567779788588</v>
      </c>
    </row>
    <row r="1642" spans="1:7" x14ac:dyDescent="0.25">
      <c r="A1642" s="88">
        <v>30</v>
      </c>
      <c r="B1642" s="88">
        <v>85</v>
      </c>
      <c r="C1642" s="97">
        <f>SUMIFS(Input!$C$115:$C$3257,Input!$A$115:$A$3257,"="&amp;'Output - County'!A1642,Input!$B$115:$B$3257,"="&amp;'Output - County'!B1642)*VLOOKUP(A1642,'Output - State'!$B$2:$G$52,2,FALSE)</f>
        <v>2.2136159349078248</v>
      </c>
      <c r="D1642" s="98">
        <f>SUMIFS(Input!$C$115:$C$3257,Input!$A$115:$A$3257,"="&amp;'Output - County'!A1642,Input!$B$115:$B$3257,"="&amp;'Output - County'!B1642)*VLOOKUP(A1642,'Output - State'!$B$2:$G$52,3,FALSE)</f>
        <v>0</v>
      </c>
      <c r="E1642" s="98">
        <f>SUMIFS(Input!$C$115:$C$3257,Input!$A$115:$A$3257,"="&amp;'Output - County'!A1642,Input!$B$115:$B$3257,"="&amp;'Output - County'!B1642)*VLOOKUP(A1642,'Output - State'!$B$2:$G$52,4,FALSE)</f>
        <v>1.1171125828843869</v>
      </c>
      <c r="F1642" s="98">
        <f>SUMIFS(Input!$C$115:$C$3257,Input!$A$115:$A$3257,"="&amp;'Output - County'!A1642,Input!$B$115:$B$3257,"="&amp;'Output - County'!B1642)*VLOOKUP(A1642,'Output - State'!$B$2:$G$52,5,FALSE)</f>
        <v>17.732051766629077</v>
      </c>
      <c r="G1642" s="99">
        <f>SUMIFS(Input!$D$115:$D$3257,Input!$A$115:$A$3257,"="&amp;'Output - County'!A1642,Input!$B$115:$B$3257,"="&amp;'Output - County'!B1642)*VLOOKUP(A1642,'Output - State'!$B$2:$G$52,6,FALSE)</f>
        <v>0.14299211225289296</v>
      </c>
    </row>
    <row r="1643" spans="1:7" x14ac:dyDescent="0.25">
      <c r="A1643" s="88">
        <v>30</v>
      </c>
      <c r="B1643" s="88">
        <v>87</v>
      </c>
      <c r="C1643" s="97">
        <f>SUMIFS(Input!$C$115:$C$3257,Input!$A$115:$A$3257,"="&amp;'Output - County'!A1643,Input!$B$115:$B$3257,"="&amp;'Output - County'!B1643)*VLOOKUP(A1643,'Output - State'!$B$2:$G$52,2,FALSE)</f>
        <v>6.4690142984829704</v>
      </c>
      <c r="D1643" s="98">
        <f>SUMIFS(Input!$C$115:$C$3257,Input!$A$115:$A$3257,"="&amp;'Output - County'!A1643,Input!$B$115:$B$3257,"="&amp;'Output - County'!B1643)*VLOOKUP(A1643,'Output - State'!$B$2:$G$52,3,FALSE)</f>
        <v>0</v>
      </c>
      <c r="E1643" s="98">
        <f>SUMIFS(Input!$C$115:$C$3257,Input!$A$115:$A$3257,"="&amp;'Output - County'!A1643,Input!$B$115:$B$3257,"="&amp;'Output - County'!B1643)*VLOOKUP(A1643,'Output - State'!$B$2:$G$52,4,FALSE)</f>
        <v>3.2646210924548922</v>
      </c>
      <c r="F1643" s="98">
        <f>SUMIFS(Input!$C$115:$C$3257,Input!$A$115:$A$3257,"="&amp;'Output - County'!A1643,Input!$B$115:$B$3257,"="&amp;'Output - County'!B1643)*VLOOKUP(A1643,'Output - State'!$B$2:$G$52,5,FALSE)</f>
        <v>51.819692210762931</v>
      </c>
      <c r="G1643" s="99">
        <f>SUMIFS(Input!$D$115:$D$3257,Input!$A$115:$A$3257,"="&amp;'Output - County'!A1643,Input!$B$115:$B$3257,"="&amp;'Output - County'!B1643)*VLOOKUP(A1643,'Output - State'!$B$2:$G$52,6,FALSE)</f>
        <v>0.11645483736632002</v>
      </c>
    </row>
    <row r="1644" spans="1:7" x14ac:dyDescent="0.25">
      <c r="A1644" s="88">
        <v>30</v>
      </c>
      <c r="B1644" s="88">
        <v>89</v>
      </c>
      <c r="C1644" s="97">
        <f>SUMIFS(Input!$C$115:$C$3257,Input!$A$115:$A$3257,"="&amp;'Output - County'!A1644,Input!$B$115:$B$3257,"="&amp;'Output - County'!B1644)*VLOOKUP(A1644,'Output - State'!$B$2:$G$52,2,FALSE)</f>
        <v>3.1324420102589374</v>
      </c>
      <c r="D1644" s="98">
        <f>SUMIFS(Input!$C$115:$C$3257,Input!$A$115:$A$3257,"="&amp;'Output - County'!A1644,Input!$B$115:$B$3257,"="&amp;'Output - County'!B1644)*VLOOKUP(A1644,'Output - State'!$B$2:$G$52,3,FALSE)</f>
        <v>0</v>
      </c>
      <c r="E1644" s="98">
        <f>SUMIFS(Input!$C$115:$C$3257,Input!$A$115:$A$3257,"="&amp;'Output - County'!A1644,Input!$B$115:$B$3257,"="&amp;'Output - County'!B1644)*VLOOKUP(A1644,'Output - State'!$B$2:$G$52,4,FALSE)</f>
        <v>1.5808028527593847</v>
      </c>
      <c r="F1644" s="98">
        <f>SUMIFS(Input!$C$115:$C$3257,Input!$A$115:$A$3257,"="&amp;'Output - County'!A1644,Input!$B$115:$B$3257,"="&amp;'Output - County'!B1644)*VLOOKUP(A1644,'Output - State'!$B$2:$G$52,5,FALSE)</f>
        <v>25.09225878164272</v>
      </c>
      <c r="G1644" s="99">
        <f>SUMIFS(Input!$D$115:$D$3257,Input!$A$115:$A$3257,"="&amp;'Output - County'!A1644,Input!$B$115:$B$3257,"="&amp;'Output - County'!B1644)*VLOOKUP(A1644,'Output - State'!$B$2:$G$52,6,FALSE)</f>
        <v>0.15200963284541774</v>
      </c>
    </row>
    <row r="1645" spans="1:7" x14ac:dyDescent="0.25">
      <c r="A1645" s="88">
        <v>30</v>
      </c>
      <c r="B1645" s="88">
        <v>91</v>
      </c>
      <c r="C1645" s="97">
        <f>SUMIFS(Input!$C$115:$C$3257,Input!$A$115:$A$3257,"="&amp;'Output - County'!A1645,Input!$B$115:$B$3257,"="&amp;'Output - County'!B1645)*VLOOKUP(A1645,'Output - State'!$B$2:$G$52,2,FALSE)</f>
        <v>0.80267596664559282</v>
      </c>
      <c r="D1645" s="98">
        <f>SUMIFS(Input!$C$115:$C$3257,Input!$A$115:$A$3257,"="&amp;'Output - County'!A1645,Input!$B$115:$B$3257,"="&amp;'Output - County'!B1645)*VLOOKUP(A1645,'Output - State'!$B$2:$G$52,3,FALSE)</f>
        <v>0</v>
      </c>
      <c r="E1645" s="98">
        <f>SUMIFS(Input!$C$115:$C$3257,Input!$A$115:$A$3257,"="&amp;'Output - County'!A1645,Input!$B$115:$B$3257,"="&amp;'Output - County'!B1645)*VLOOKUP(A1645,'Output - State'!$B$2:$G$52,4,FALSE)</f>
        <v>0.40507452452722692</v>
      </c>
      <c r="F1645" s="98">
        <f>SUMIFS(Input!$C$115:$C$3257,Input!$A$115:$A$3257,"="&amp;'Output - County'!A1645,Input!$B$115:$B$3257,"="&amp;'Output - County'!B1645)*VLOOKUP(A1645,'Output - State'!$B$2:$G$52,5,FALSE)</f>
        <v>6.4297927964551596</v>
      </c>
      <c r="G1645" s="99">
        <f>SUMIFS(Input!$D$115:$D$3257,Input!$A$115:$A$3257,"="&amp;'Output - County'!A1645,Input!$B$115:$B$3257,"="&amp;'Output - County'!B1645)*VLOOKUP(A1645,'Output - State'!$B$2:$G$52,6,FALSE)</f>
        <v>4.367056401237001E-2</v>
      </c>
    </row>
    <row r="1646" spans="1:7" x14ac:dyDescent="0.25">
      <c r="A1646" s="88">
        <v>30</v>
      </c>
      <c r="B1646" s="88">
        <v>93</v>
      </c>
      <c r="C1646" s="97">
        <f>SUMIFS(Input!$C$115:$C$3257,Input!$A$115:$A$3257,"="&amp;'Output - County'!A1646,Input!$B$115:$B$3257,"="&amp;'Output - County'!B1646)*VLOOKUP(A1646,'Output - State'!$B$2:$G$52,2,FALSE)</f>
        <v>19.360866375308877</v>
      </c>
      <c r="D1646" s="98">
        <f>SUMIFS(Input!$C$115:$C$3257,Input!$A$115:$A$3257,"="&amp;'Output - County'!A1646,Input!$B$115:$B$3257,"="&amp;'Output - County'!B1646)*VLOOKUP(A1646,'Output - State'!$B$2:$G$52,3,FALSE)</f>
        <v>0</v>
      </c>
      <c r="E1646" s="98">
        <f>SUMIFS(Input!$C$115:$C$3257,Input!$A$115:$A$3257,"="&amp;'Output - County'!A1646,Input!$B$115:$B$3257,"="&amp;'Output - County'!B1646)*VLOOKUP(A1646,'Output - State'!$B$2:$G$52,4,FALSE)</f>
        <v>9.7705600607276857</v>
      </c>
      <c r="F1646" s="98">
        <f>SUMIFS(Input!$C$115:$C$3257,Input!$A$115:$A$3257,"="&amp;'Output - County'!A1646,Input!$B$115:$B$3257,"="&amp;'Output - County'!B1646)*VLOOKUP(A1646,'Output - State'!$B$2:$G$52,5,FALSE)</f>
        <v>155.08918209339717</v>
      </c>
      <c r="G1646" s="99">
        <f>SUMIFS(Input!$D$115:$D$3257,Input!$A$115:$A$3257,"="&amp;'Output - County'!A1646,Input!$B$115:$B$3257,"="&amp;'Output - County'!B1646)*VLOOKUP(A1646,'Output - State'!$B$2:$G$52,6,FALSE)</f>
        <v>0.44701137794372842</v>
      </c>
    </row>
    <row r="1647" spans="1:7" x14ac:dyDescent="0.25">
      <c r="A1647" s="88">
        <v>30</v>
      </c>
      <c r="B1647" s="88">
        <v>95</v>
      </c>
      <c r="C1647" s="97">
        <f>SUMIFS(Input!$C$115:$C$3257,Input!$A$115:$A$3257,"="&amp;'Output - County'!A1647,Input!$B$115:$B$3257,"="&amp;'Output - County'!B1647)*VLOOKUP(A1647,'Output - State'!$B$2:$G$52,2,FALSE)</f>
        <v>11.853850400214377</v>
      </c>
      <c r="D1647" s="98">
        <f>SUMIFS(Input!$C$115:$C$3257,Input!$A$115:$A$3257,"="&amp;'Output - County'!A1647,Input!$B$115:$B$3257,"="&amp;'Output - County'!B1647)*VLOOKUP(A1647,'Output - State'!$B$2:$G$52,3,FALSE)</f>
        <v>0</v>
      </c>
      <c r="E1647" s="98">
        <f>SUMIFS(Input!$C$115:$C$3257,Input!$A$115:$A$3257,"="&amp;'Output - County'!A1647,Input!$B$115:$B$3257,"="&amp;'Output - County'!B1647)*VLOOKUP(A1647,'Output - State'!$B$2:$G$52,4,FALSE)</f>
        <v>5.9821061227859316</v>
      </c>
      <c r="F1647" s="98">
        <f>SUMIFS(Input!$C$115:$C$3257,Input!$A$115:$A$3257,"="&amp;'Output - County'!A1647,Input!$B$115:$B$3257,"="&amp;'Output - County'!B1647)*VLOOKUP(A1647,'Output - State'!$B$2:$G$52,5,FALSE)</f>
        <v>94.954633103158699</v>
      </c>
      <c r="G1647" s="99">
        <f>SUMIFS(Input!$D$115:$D$3257,Input!$A$115:$A$3257,"="&amp;'Output - County'!A1647,Input!$B$115:$B$3257,"="&amp;'Output - County'!B1647)*VLOOKUP(A1647,'Output - State'!$B$2:$G$52,6,FALSE)</f>
        <v>0.12212299316733562</v>
      </c>
    </row>
    <row r="1648" spans="1:7" x14ac:dyDescent="0.25">
      <c r="A1648" s="88">
        <v>30</v>
      </c>
      <c r="B1648" s="88">
        <v>97</v>
      </c>
      <c r="C1648" s="97">
        <f>SUMIFS(Input!$C$115:$C$3257,Input!$A$115:$A$3257,"="&amp;'Output - County'!A1648,Input!$B$115:$B$3257,"="&amp;'Output - County'!B1648)*VLOOKUP(A1648,'Output - State'!$B$2:$G$52,2,FALSE)</f>
        <v>9.6934536536245375</v>
      </c>
      <c r="D1648" s="98">
        <f>SUMIFS(Input!$C$115:$C$3257,Input!$A$115:$A$3257,"="&amp;'Output - County'!A1648,Input!$B$115:$B$3257,"="&amp;'Output - County'!B1648)*VLOOKUP(A1648,'Output - State'!$B$2:$G$52,3,FALSE)</f>
        <v>0</v>
      </c>
      <c r="E1648" s="98">
        <f>SUMIFS(Input!$C$115:$C$3257,Input!$A$115:$A$3257,"="&amp;'Output - County'!A1648,Input!$B$115:$B$3257,"="&amp;'Output - County'!B1648)*VLOOKUP(A1648,'Output - State'!$B$2:$G$52,4,FALSE)</f>
        <v>4.8918508749899789</v>
      </c>
      <c r="F1648" s="98">
        <f>SUMIFS(Input!$C$115:$C$3257,Input!$A$115:$A$3257,"="&amp;'Output - County'!A1648,Input!$B$115:$B$3257,"="&amp;'Output - County'!B1648)*VLOOKUP(A1648,'Output - State'!$B$2:$G$52,5,FALSE)</f>
        <v>77.648890791277836</v>
      </c>
      <c r="G1648" s="99">
        <f>SUMIFS(Input!$D$115:$D$3257,Input!$A$115:$A$3257,"="&amp;'Output - County'!A1648,Input!$B$115:$B$3257,"="&amp;'Output - County'!B1648)*VLOOKUP(A1648,'Output - State'!$B$2:$G$52,6,FALSE)</f>
        <v>4.7664037417630985E-2</v>
      </c>
    </row>
    <row r="1649" spans="1:7" x14ac:dyDescent="0.25">
      <c r="A1649" s="88">
        <v>30</v>
      </c>
      <c r="B1649" s="88">
        <v>99</v>
      </c>
      <c r="C1649" s="97">
        <f>SUMIFS(Input!$C$115:$C$3257,Input!$A$115:$A$3257,"="&amp;'Output - County'!A1649,Input!$B$115:$B$3257,"="&amp;'Output - County'!B1649)*VLOOKUP(A1649,'Output - State'!$B$2:$G$52,2,FALSE)</f>
        <v>3.0237456410481536</v>
      </c>
      <c r="D1649" s="98">
        <f>SUMIFS(Input!$C$115:$C$3257,Input!$A$115:$A$3257,"="&amp;'Output - County'!A1649,Input!$B$115:$B$3257,"="&amp;'Output - County'!B1649)*VLOOKUP(A1649,'Output - State'!$B$2:$G$52,3,FALSE)</f>
        <v>0</v>
      </c>
      <c r="E1649" s="98">
        <f>SUMIFS(Input!$C$115:$C$3257,Input!$A$115:$A$3257,"="&amp;'Output - County'!A1649,Input!$B$115:$B$3257,"="&amp;'Output - County'!B1649)*VLOOKUP(A1649,'Output - State'!$B$2:$G$52,4,FALSE)</f>
        <v>1.5259486751017461</v>
      </c>
      <c r="F1649" s="98">
        <f>SUMIFS(Input!$C$115:$C$3257,Input!$A$115:$A$3257,"="&amp;'Output - County'!A1649,Input!$B$115:$B$3257,"="&amp;'Output - County'!B1649)*VLOOKUP(A1649,'Output - State'!$B$2:$G$52,5,FALSE)</f>
        <v>24.221552343684905</v>
      </c>
      <c r="G1649" s="99">
        <f>SUMIFS(Input!$D$115:$D$3257,Input!$A$115:$A$3257,"="&amp;'Output - County'!A1649,Input!$B$115:$B$3257,"="&amp;'Output - County'!B1649)*VLOOKUP(A1649,'Output - State'!$B$2:$G$52,6,FALSE)</f>
        <v>7.8838894323216654E-2</v>
      </c>
    </row>
    <row r="1650" spans="1:7" x14ac:dyDescent="0.25">
      <c r="A1650" s="88">
        <v>30</v>
      </c>
      <c r="B1650" s="88">
        <v>101</v>
      </c>
      <c r="C1650" s="97">
        <f>SUMIFS(Input!$C$115:$C$3257,Input!$A$115:$A$3257,"="&amp;'Output - County'!A1650,Input!$B$115:$B$3257,"="&amp;'Output - County'!B1650)*VLOOKUP(A1650,'Output - State'!$B$2:$G$52,2,FALSE)</f>
        <v>3.2549985952209526</v>
      </c>
      <c r="D1650" s="98">
        <f>SUMIFS(Input!$C$115:$C$3257,Input!$A$115:$A$3257,"="&amp;'Output - County'!A1650,Input!$B$115:$B$3257,"="&amp;'Output - County'!B1650)*VLOOKUP(A1650,'Output - State'!$B$2:$G$52,3,FALSE)</f>
        <v>0</v>
      </c>
      <c r="E1650" s="98">
        <f>SUMIFS(Input!$C$115:$C$3257,Input!$A$115:$A$3257,"="&amp;'Output - County'!A1650,Input!$B$115:$B$3257,"="&amp;'Output - County'!B1650)*VLOOKUP(A1650,'Output - State'!$B$2:$G$52,4,FALSE)</f>
        <v>1.6426516590574418</v>
      </c>
      <c r="F1650" s="98">
        <f>SUMIFS(Input!$C$115:$C$3257,Input!$A$115:$A$3257,"="&amp;'Output - County'!A1650,Input!$B$115:$B$3257,"="&amp;'Output - County'!B1650)*VLOOKUP(A1650,'Output - State'!$B$2:$G$52,5,FALSE)</f>
        <v>26.073991734779515</v>
      </c>
      <c r="G1650" s="99">
        <f>SUMIFS(Input!$D$115:$D$3257,Input!$A$115:$A$3257,"="&amp;'Output - County'!A1650,Input!$B$115:$B$3257,"="&amp;'Output - County'!B1650)*VLOOKUP(A1650,'Output - State'!$B$2:$G$52,6,FALSE)</f>
        <v>6.2349713811171346E-2</v>
      </c>
    </row>
    <row r="1651" spans="1:7" x14ac:dyDescent="0.25">
      <c r="A1651" s="88">
        <v>30</v>
      </c>
      <c r="B1651" s="88">
        <v>103</v>
      </c>
      <c r="C1651" s="97">
        <f>SUMIFS(Input!$C$115:$C$3257,Input!$A$115:$A$3257,"="&amp;'Output - County'!A1651,Input!$B$115:$B$3257,"="&amp;'Output - County'!B1651)*VLOOKUP(A1651,'Output - State'!$B$2:$G$52,2,FALSE)</f>
        <v>3.0475807392202006</v>
      </c>
      <c r="D1651" s="98">
        <f>SUMIFS(Input!$C$115:$C$3257,Input!$A$115:$A$3257,"="&amp;'Output - County'!A1651,Input!$B$115:$B$3257,"="&amp;'Output - County'!B1651)*VLOOKUP(A1651,'Output - State'!$B$2:$G$52,3,FALSE)</f>
        <v>0</v>
      </c>
      <c r="E1651" s="98">
        <f>SUMIFS(Input!$C$115:$C$3257,Input!$A$115:$A$3257,"="&amp;'Output - County'!A1651,Input!$B$115:$B$3257,"="&amp;'Output - County'!B1651)*VLOOKUP(A1651,'Output - State'!$B$2:$G$52,4,FALSE)</f>
        <v>1.5379771790813161</v>
      </c>
      <c r="F1651" s="98">
        <f>SUMIFS(Input!$C$115:$C$3257,Input!$A$115:$A$3257,"="&amp;'Output - County'!A1651,Input!$B$115:$B$3257,"="&amp;'Output - County'!B1651)*VLOOKUP(A1651,'Output - State'!$B$2:$G$52,5,FALSE)</f>
        <v>24.412482119706336</v>
      </c>
      <c r="G1651" s="99">
        <f>SUMIFS(Input!$D$115:$D$3257,Input!$A$115:$A$3257,"="&amp;'Output - County'!A1651,Input!$B$115:$B$3257,"="&amp;'Output - County'!B1651)*VLOOKUP(A1651,'Output - State'!$B$2:$G$52,6,FALSE)</f>
        <v>8.6697019410988257E-3</v>
      </c>
    </row>
    <row r="1652" spans="1:7" x14ac:dyDescent="0.25">
      <c r="A1652" s="88">
        <v>30</v>
      </c>
      <c r="B1652" s="88">
        <v>105</v>
      </c>
      <c r="C1652" s="97">
        <f>SUMIFS(Input!$C$115:$C$3257,Input!$A$115:$A$3257,"="&amp;'Output - County'!A1652,Input!$B$115:$B$3257,"="&amp;'Output - County'!B1652)*VLOOKUP(A1652,'Output - State'!$B$2:$G$52,2,FALSE)</f>
        <v>1.7822202238688596</v>
      </c>
      <c r="D1652" s="98">
        <f>SUMIFS(Input!$C$115:$C$3257,Input!$A$115:$A$3257,"="&amp;'Output - County'!A1652,Input!$B$115:$B$3257,"="&amp;'Output - County'!B1652)*VLOOKUP(A1652,'Output - State'!$B$2:$G$52,3,FALSE)</f>
        <v>0</v>
      </c>
      <c r="E1652" s="98">
        <f>SUMIFS(Input!$C$115:$C$3257,Input!$A$115:$A$3257,"="&amp;'Output - County'!A1652,Input!$B$115:$B$3257,"="&amp;'Output - County'!B1652)*VLOOKUP(A1652,'Output - State'!$B$2:$G$52,4,FALSE)</f>
        <v>0.89940653487292255</v>
      </c>
      <c r="F1652" s="98">
        <f>SUMIFS(Input!$C$115:$C$3257,Input!$A$115:$A$3257,"="&amp;'Output - County'!A1652,Input!$B$115:$B$3257,"="&amp;'Output - County'!B1652)*VLOOKUP(A1652,'Output - State'!$B$2:$G$52,5,FALSE)</f>
        <v>14.276379552034534</v>
      </c>
      <c r="G1652" s="99">
        <f>SUMIFS(Input!$D$115:$D$3257,Input!$A$115:$A$3257,"="&amp;'Output - County'!A1652,Input!$B$115:$B$3257,"="&amp;'Output - County'!B1652)*VLOOKUP(A1652,'Output - State'!$B$2:$G$52,6,FALSE)</f>
        <v>9.545689655801233E-2</v>
      </c>
    </row>
    <row r="1653" spans="1:7" x14ac:dyDescent="0.25">
      <c r="A1653" s="88">
        <v>30</v>
      </c>
      <c r="B1653" s="88">
        <v>107</v>
      </c>
      <c r="C1653" s="97">
        <f>SUMIFS(Input!$C$115:$C$3257,Input!$A$115:$A$3257,"="&amp;'Output - County'!A1653,Input!$B$115:$B$3257,"="&amp;'Output - County'!B1653)*VLOOKUP(A1653,'Output - State'!$B$2:$G$52,2,FALSE)</f>
        <v>0.71635803258450437</v>
      </c>
      <c r="D1653" s="98">
        <f>SUMIFS(Input!$C$115:$C$3257,Input!$A$115:$A$3257,"="&amp;'Output - County'!A1653,Input!$B$115:$B$3257,"="&amp;'Output - County'!B1653)*VLOOKUP(A1653,'Output - State'!$B$2:$G$52,3,FALSE)</f>
        <v>0</v>
      </c>
      <c r="E1653" s="98">
        <f>SUMIFS(Input!$C$115:$C$3257,Input!$A$115:$A$3257,"="&amp;'Output - County'!A1653,Input!$B$115:$B$3257,"="&amp;'Output - County'!B1653)*VLOOKUP(A1653,'Output - State'!$B$2:$G$52,4,FALSE)</f>
        <v>0.36151373841812173</v>
      </c>
      <c r="F1653" s="98">
        <f>SUMIFS(Input!$C$115:$C$3257,Input!$A$115:$A$3257,"="&amp;'Output - County'!A1653,Input!$B$115:$B$3257,"="&amp;'Output - County'!B1653)*VLOOKUP(A1653,'Output - State'!$B$2:$G$52,5,FALSE)</f>
        <v>5.7383476134752005</v>
      </c>
      <c r="G1653" s="99">
        <f>SUMIFS(Input!$D$115:$D$3257,Input!$A$115:$A$3257,"="&amp;'Output - County'!A1653,Input!$B$115:$B$3257,"="&amp;'Output - County'!B1653)*VLOOKUP(A1653,'Output - State'!$B$2:$G$52,6,FALSE)</f>
        <v>2.8083135559577175E-2</v>
      </c>
    </row>
    <row r="1654" spans="1:7" x14ac:dyDescent="0.25">
      <c r="A1654" s="88">
        <v>30</v>
      </c>
      <c r="B1654" s="88">
        <v>109</v>
      </c>
      <c r="C1654" s="97">
        <f>SUMIFS(Input!$C$115:$C$3257,Input!$A$115:$A$3257,"="&amp;'Output - County'!A1654,Input!$B$115:$B$3257,"="&amp;'Output - County'!B1654)*VLOOKUP(A1654,'Output - State'!$B$2:$G$52,2,FALSE)</f>
        <v>1.5990899617477552</v>
      </c>
      <c r="D1654" s="98">
        <f>SUMIFS(Input!$C$115:$C$3257,Input!$A$115:$A$3257,"="&amp;'Output - County'!A1654,Input!$B$115:$B$3257,"="&amp;'Output - County'!B1654)*VLOOKUP(A1654,'Output - State'!$B$2:$G$52,3,FALSE)</f>
        <v>0</v>
      </c>
      <c r="E1654" s="98">
        <f>SUMIFS(Input!$C$115:$C$3257,Input!$A$115:$A$3257,"="&amp;'Output - County'!A1654,Input!$B$115:$B$3257,"="&amp;'Output - County'!B1654)*VLOOKUP(A1654,'Output - State'!$B$2:$G$52,4,FALSE)</f>
        <v>0.80698891314536658</v>
      </c>
      <c r="F1654" s="98">
        <f>SUMIFS(Input!$C$115:$C$3257,Input!$A$115:$A$3257,"="&amp;'Output - County'!A1654,Input!$B$115:$B$3257,"="&amp;'Output - County'!B1654)*VLOOKUP(A1654,'Output - State'!$B$2:$G$52,5,FALSE)</f>
        <v>12.809424405588596</v>
      </c>
      <c r="G1654" s="99">
        <f>SUMIFS(Input!$D$115:$D$3257,Input!$A$115:$A$3257,"="&amp;'Output - County'!A1654,Input!$B$115:$B$3257,"="&amp;'Output - County'!B1654)*VLOOKUP(A1654,'Output - State'!$B$2:$G$52,6,FALSE)</f>
        <v>1.3268637443286463E-2</v>
      </c>
    </row>
    <row r="1655" spans="1:7" x14ac:dyDescent="0.25">
      <c r="A1655" s="88">
        <v>30</v>
      </c>
      <c r="B1655" s="88">
        <v>111</v>
      </c>
      <c r="C1655" s="97">
        <f>SUMIFS(Input!$C$115:$C$3257,Input!$A$115:$A$3257,"="&amp;'Output - County'!A1655,Input!$B$115:$B$3257,"="&amp;'Output - County'!B1655)*VLOOKUP(A1655,'Output - State'!$B$2:$G$52,2,FALSE)</f>
        <v>74.447701619532239</v>
      </c>
      <c r="D1655" s="98">
        <f>SUMIFS(Input!$C$115:$C$3257,Input!$A$115:$A$3257,"="&amp;'Output - County'!A1655,Input!$B$115:$B$3257,"="&amp;'Output - County'!B1655)*VLOOKUP(A1655,'Output - State'!$B$2:$G$52,3,FALSE)</f>
        <v>0</v>
      </c>
      <c r="E1655" s="98">
        <f>SUMIFS(Input!$C$115:$C$3257,Input!$A$115:$A$3257,"="&amp;'Output - County'!A1655,Input!$B$115:$B$3257,"="&amp;'Output - County'!B1655)*VLOOKUP(A1655,'Output - State'!$B$2:$G$52,4,FALSE)</f>
        <v>37.570412705519701</v>
      </c>
      <c r="F1655" s="98">
        <f>SUMIFS(Input!$C$115:$C$3257,Input!$A$115:$A$3257,"="&amp;'Output - County'!A1655,Input!$B$115:$B$3257,"="&amp;'Output - County'!B1655)*VLOOKUP(A1655,'Output - State'!$B$2:$G$52,5,FALSE)</f>
        <v>596.35932241293278</v>
      </c>
      <c r="G1655" s="99">
        <f>SUMIFS(Input!$D$115:$D$3257,Input!$A$115:$A$3257,"="&amp;'Output - County'!A1655,Input!$B$115:$B$3257,"="&amp;'Output - County'!B1655)*VLOOKUP(A1655,'Output - State'!$B$2:$G$52,6,FALSE)</f>
        <v>2.061147564005664</v>
      </c>
    </row>
    <row r="1656" spans="1:7" x14ac:dyDescent="0.25">
      <c r="A1656" s="88">
        <v>31</v>
      </c>
      <c r="B1656" s="88">
        <v>1</v>
      </c>
      <c r="C1656" s="97">
        <f>SUMIFS(Input!$C$115:$C$3257,Input!$A$115:$A$3257,"="&amp;'Output - County'!A1656,Input!$B$115:$B$3257,"="&amp;'Output - County'!B1656)*VLOOKUP(A1656,'Output - State'!$B$2:$G$52,2,FALSE)</f>
        <v>5.9380811363564838</v>
      </c>
      <c r="D1656" s="98">
        <f>SUMIFS(Input!$C$115:$C$3257,Input!$A$115:$A$3257,"="&amp;'Output - County'!A1656,Input!$B$115:$B$3257,"="&amp;'Output - County'!B1656)*VLOOKUP(A1656,'Output - State'!$B$2:$G$52,3,FALSE)</f>
        <v>1.6029020722019844</v>
      </c>
      <c r="E1656" s="98">
        <f>SUMIFS(Input!$C$115:$C$3257,Input!$A$115:$A$3257,"="&amp;'Output - County'!A1656,Input!$B$115:$B$3257,"="&amp;'Output - County'!B1656)*VLOOKUP(A1656,'Output - State'!$B$2:$G$52,4,FALSE)</f>
        <v>20.696777743287878</v>
      </c>
      <c r="F1656" s="98">
        <f>SUMIFS(Input!$C$115:$C$3257,Input!$A$115:$A$3257,"="&amp;'Output - County'!A1656,Input!$B$115:$B$3257,"="&amp;'Output - County'!B1656)*VLOOKUP(A1656,'Output - State'!$B$2:$G$52,5,FALSE)</f>
        <v>24.586224032978727</v>
      </c>
      <c r="G1656" s="99">
        <f>SUMIFS(Input!$D$115:$D$3257,Input!$A$115:$A$3257,"="&amp;'Output - County'!A1656,Input!$B$115:$B$3257,"="&amp;'Output - County'!B1656)*VLOOKUP(A1656,'Output - State'!$B$2:$G$52,6,FALSE)</f>
        <v>9.3826530463463023</v>
      </c>
    </row>
    <row r="1657" spans="1:7" x14ac:dyDescent="0.25">
      <c r="A1657" s="88">
        <v>31</v>
      </c>
      <c r="B1657" s="88">
        <v>3</v>
      </c>
      <c r="C1657" s="97">
        <f>SUMIFS(Input!$C$115:$C$3257,Input!$A$115:$A$3257,"="&amp;'Output - County'!A1657,Input!$B$115:$B$3257,"="&amp;'Output - County'!B1657)*VLOOKUP(A1657,'Output - State'!$B$2:$G$52,2,FALSE)</f>
        <v>0.89553989932298916</v>
      </c>
      <c r="D1657" s="98">
        <f>SUMIFS(Input!$C$115:$C$3257,Input!$A$115:$A$3257,"="&amp;'Output - County'!A1657,Input!$B$115:$B$3257,"="&amp;'Output - County'!B1657)*VLOOKUP(A1657,'Output - State'!$B$2:$G$52,3,FALSE)</f>
        <v>0.24173848881511817</v>
      </c>
      <c r="E1657" s="98">
        <f>SUMIFS(Input!$C$115:$C$3257,Input!$A$115:$A$3257,"="&amp;'Output - County'!A1657,Input!$B$115:$B$3257,"="&amp;'Output - County'!B1657)*VLOOKUP(A1657,'Output - State'!$B$2:$G$52,4,FALSE)</f>
        <v>3.12134338196446</v>
      </c>
      <c r="F1657" s="98">
        <f>SUMIFS(Input!$C$115:$C$3257,Input!$A$115:$A$3257,"="&amp;'Output - County'!A1657,Input!$B$115:$B$3257,"="&amp;'Output - County'!B1657)*VLOOKUP(A1657,'Output - State'!$B$2:$G$52,5,FALSE)</f>
        <v>3.7079224903848491</v>
      </c>
      <c r="G1657" s="99">
        <f>SUMIFS(Input!$D$115:$D$3257,Input!$A$115:$A$3257,"="&amp;'Output - County'!A1657,Input!$B$115:$B$3257,"="&amp;'Output - County'!B1657)*VLOOKUP(A1657,'Output - State'!$B$2:$G$52,6,FALSE)</f>
        <v>1.8795092292839735</v>
      </c>
    </row>
    <row r="1658" spans="1:7" x14ac:dyDescent="0.25">
      <c r="A1658" s="88">
        <v>31</v>
      </c>
      <c r="B1658" s="88">
        <v>5</v>
      </c>
      <c r="C1658" s="97">
        <f>SUMIFS(Input!$C$115:$C$3257,Input!$A$115:$A$3257,"="&amp;'Output - County'!A1658,Input!$B$115:$B$3257,"="&amp;'Output - County'!B1658)*VLOOKUP(A1658,'Output - State'!$B$2:$G$52,2,FALSE)</f>
        <v>6.3539525921387313E-2</v>
      </c>
      <c r="D1658" s="98">
        <f>SUMIFS(Input!$C$115:$C$3257,Input!$A$115:$A$3257,"="&amp;'Output - County'!A1658,Input!$B$115:$B$3257,"="&amp;'Output - County'!B1658)*VLOOKUP(A1658,'Output - State'!$B$2:$G$52,3,FALSE)</f>
        <v>1.7151607636775337E-2</v>
      </c>
      <c r="E1658" s="98">
        <f>SUMIFS(Input!$C$115:$C$3257,Input!$A$115:$A$3257,"="&amp;'Output - County'!A1658,Input!$B$115:$B$3257,"="&amp;'Output - County'!B1658)*VLOOKUP(A1658,'Output - State'!$B$2:$G$52,4,FALSE)</f>
        <v>0.22146269404391047</v>
      </c>
      <c r="F1658" s="98">
        <f>SUMIFS(Input!$C$115:$C$3257,Input!$A$115:$A$3257,"="&amp;'Output - County'!A1658,Input!$B$115:$B$3257,"="&amp;'Output - County'!B1658)*VLOOKUP(A1658,'Output - State'!$B$2:$G$52,5,FALSE)</f>
        <v>0.26308111717904681</v>
      </c>
      <c r="G1658" s="99">
        <f>SUMIFS(Input!$D$115:$D$3257,Input!$A$115:$A$3257,"="&amp;'Output - County'!A1658,Input!$B$115:$B$3257,"="&amp;'Output - County'!B1658)*VLOOKUP(A1658,'Output - State'!$B$2:$G$52,6,FALSE)</f>
        <v>0.13761224467974578</v>
      </c>
    </row>
    <row r="1659" spans="1:7" x14ac:dyDescent="0.25">
      <c r="A1659" s="88">
        <v>31</v>
      </c>
      <c r="B1659" s="88">
        <v>7</v>
      </c>
      <c r="C1659" s="97">
        <f>SUMIFS(Input!$C$115:$C$3257,Input!$A$115:$A$3257,"="&amp;'Output - County'!A1659,Input!$B$115:$B$3257,"="&amp;'Output - County'!B1659)*VLOOKUP(A1659,'Output - State'!$B$2:$G$52,2,FALSE)</f>
        <v>0.92315080728338939</v>
      </c>
      <c r="D1659" s="98">
        <f>SUMIFS(Input!$C$115:$C$3257,Input!$A$115:$A$3257,"="&amp;'Output - County'!A1659,Input!$B$115:$B$3257,"="&amp;'Output - County'!B1659)*VLOOKUP(A1659,'Output - State'!$B$2:$G$52,3,FALSE)</f>
        <v>0.24919166780826671</v>
      </c>
      <c r="E1659" s="98">
        <f>SUMIFS(Input!$C$115:$C$3257,Input!$A$115:$A$3257,"="&amp;'Output - County'!A1659,Input!$B$115:$B$3257,"="&amp;'Output - County'!B1659)*VLOOKUP(A1659,'Output - State'!$B$2:$G$52,4,FALSE)</f>
        <v>3.2175793228727074</v>
      </c>
      <c r="F1659" s="98">
        <f>SUMIFS(Input!$C$115:$C$3257,Input!$A$115:$A$3257,"="&amp;'Output - County'!A1659,Input!$B$115:$B$3257,"="&amp;'Output - County'!B1659)*VLOOKUP(A1659,'Output - State'!$B$2:$G$52,5,FALSE)</f>
        <v>3.822243590632544</v>
      </c>
      <c r="G1659" s="99">
        <f>SUMIFS(Input!$D$115:$D$3257,Input!$A$115:$A$3257,"="&amp;'Output - County'!A1659,Input!$B$115:$B$3257,"="&amp;'Output - County'!B1659)*VLOOKUP(A1659,'Output - State'!$B$2:$G$52,6,FALSE)</f>
        <v>0.21594995106670062</v>
      </c>
    </row>
    <row r="1660" spans="1:7" x14ac:dyDescent="0.25">
      <c r="A1660" s="88">
        <v>31</v>
      </c>
      <c r="B1660" s="88">
        <v>9</v>
      </c>
      <c r="C1660" s="97">
        <f>SUMIFS(Input!$C$115:$C$3257,Input!$A$115:$A$3257,"="&amp;'Output - County'!A1660,Input!$B$115:$B$3257,"="&amp;'Output - County'!B1660)*VLOOKUP(A1660,'Output - State'!$B$2:$G$52,2,FALSE)</f>
        <v>0.13332077169821974</v>
      </c>
      <c r="D1660" s="98">
        <f>SUMIFS(Input!$C$115:$C$3257,Input!$A$115:$A$3257,"="&amp;'Output - County'!A1660,Input!$B$115:$B$3257,"="&amp;'Output - County'!B1660)*VLOOKUP(A1660,'Output - State'!$B$2:$G$52,3,FALSE)</f>
        <v>3.5988080377387245E-2</v>
      </c>
      <c r="E1660" s="98">
        <f>SUMIFS(Input!$C$115:$C$3257,Input!$A$115:$A$3257,"="&amp;'Output - County'!A1660,Input!$B$115:$B$3257,"="&amp;'Output - County'!B1660)*VLOOKUP(A1660,'Output - State'!$B$2:$G$52,4,FALSE)</f>
        <v>0.46468047792535716</v>
      </c>
      <c r="F1660" s="98">
        <f>SUMIFS(Input!$C$115:$C$3257,Input!$A$115:$A$3257,"="&amp;'Output - County'!A1660,Input!$B$115:$B$3257,"="&amp;'Output - County'!B1660)*VLOOKUP(A1660,'Output - State'!$B$2:$G$52,5,FALSE)</f>
        <v>0.55200565400715995</v>
      </c>
      <c r="G1660" s="99">
        <f>SUMIFS(Input!$D$115:$D$3257,Input!$A$115:$A$3257,"="&amp;'Output - County'!A1660,Input!$B$115:$B$3257,"="&amp;'Output - County'!B1660)*VLOOKUP(A1660,'Output - State'!$B$2:$G$52,6,FALSE)</f>
        <v>0.14297376070622939</v>
      </c>
    </row>
    <row r="1661" spans="1:7" x14ac:dyDescent="0.25">
      <c r="A1661" s="88">
        <v>31</v>
      </c>
      <c r="B1661" s="88">
        <v>11</v>
      </c>
      <c r="C1661" s="97">
        <f>SUMIFS(Input!$C$115:$C$3257,Input!$A$115:$A$3257,"="&amp;'Output - County'!A1661,Input!$B$115:$B$3257,"="&amp;'Output - County'!B1661)*VLOOKUP(A1661,'Output - State'!$B$2:$G$52,2,FALSE)</f>
        <v>0.64067004632567959</v>
      </c>
      <c r="D1661" s="98">
        <f>SUMIFS(Input!$C$115:$C$3257,Input!$A$115:$A$3257,"="&amp;'Output - County'!A1661,Input!$B$115:$B$3257,"="&amp;'Output - County'!B1661)*VLOOKUP(A1661,'Output - State'!$B$2:$G$52,3,FALSE)</f>
        <v>0.17293993148151604</v>
      </c>
      <c r="E1661" s="98">
        <f>SUMIFS(Input!$C$115:$C$3257,Input!$A$115:$A$3257,"="&amp;'Output - County'!A1661,Input!$B$115:$B$3257,"="&amp;'Output - County'!B1661)*VLOOKUP(A1661,'Output - State'!$B$2:$G$52,4,FALSE)</f>
        <v>2.2330118519937492</v>
      </c>
      <c r="F1661" s="98">
        <f>SUMIFS(Input!$C$115:$C$3257,Input!$A$115:$A$3257,"="&amp;'Output - County'!A1661,Input!$B$115:$B$3257,"="&amp;'Output - County'!B1661)*VLOOKUP(A1661,'Output - State'!$B$2:$G$52,5,FALSE)</f>
        <v>2.6526510716973792</v>
      </c>
      <c r="G1661" s="99">
        <f>SUMIFS(Input!$D$115:$D$3257,Input!$A$115:$A$3257,"="&amp;'Output - County'!A1661,Input!$B$115:$B$3257,"="&amp;'Output - County'!B1661)*VLOOKUP(A1661,'Output - State'!$B$2:$G$52,6,FALSE)</f>
        <v>1.5607968877096707</v>
      </c>
    </row>
    <row r="1662" spans="1:7" x14ac:dyDescent="0.25">
      <c r="A1662" s="88">
        <v>31</v>
      </c>
      <c r="B1662" s="88">
        <v>13</v>
      </c>
      <c r="C1662" s="97">
        <f>SUMIFS(Input!$C$115:$C$3257,Input!$A$115:$A$3257,"="&amp;'Output - County'!A1662,Input!$B$115:$B$3257,"="&amp;'Output - County'!B1662)*VLOOKUP(A1662,'Output - State'!$B$2:$G$52,2,FALSE)</f>
        <v>1.6774482518513856</v>
      </c>
      <c r="D1662" s="98">
        <f>SUMIFS(Input!$C$115:$C$3257,Input!$A$115:$A$3257,"="&amp;'Output - County'!A1662,Input!$B$115:$B$3257,"="&amp;'Output - County'!B1662)*VLOOKUP(A1662,'Output - State'!$B$2:$G$52,3,FALSE)</f>
        <v>0.45280372853813522</v>
      </c>
      <c r="E1662" s="98">
        <f>SUMIFS(Input!$C$115:$C$3257,Input!$A$115:$A$3257,"="&amp;'Output - County'!A1662,Input!$B$115:$B$3257,"="&amp;'Output - County'!B1662)*VLOOKUP(A1662,'Output - State'!$B$2:$G$52,4,FALSE)</f>
        <v>5.8466317396493537</v>
      </c>
      <c r="F1662" s="98">
        <f>SUMIFS(Input!$C$115:$C$3257,Input!$A$115:$A$3257,"="&amp;'Output - County'!A1662,Input!$B$115:$B$3257,"="&amp;'Output - County'!B1662)*VLOOKUP(A1662,'Output - State'!$B$2:$G$52,5,FALSE)</f>
        <v>6.9453612331495069</v>
      </c>
      <c r="G1662" s="99">
        <f>SUMIFS(Input!$D$115:$D$3257,Input!$A$115:$A$3257,"="&amp;'Output - County'!A1662,Input!$B$115:$B$3257,"="&amp;'Output - County'!B1662)*VLOOKUP(A1662,'Output - State'!$B$2:$G$52,6,FALSE)</f>
        <v>3.1871234157430299</v>
      </c>
    </row>
    <row r="1663" spans="1:7" x14ac:dyDescent="0.25">
      <c r="A1663" s="88">
        <v>31</v>
      </c>
      <c r="B1663" s="88">
        <v>15</v>
      </c>
      <c r="C1663" s="97">
        <f>SUMIFS(Input!$C$115:$C$3257,Input!$A$115:$A$3257,"="&amp;'Output - County'!A1663,Input!$B$115:$B$3257,"="&amp;'Output - County'!B1663)*VLOOKUP(A1663,'Output - State'!$B$2:$G$52,2,FALSE)</f>
        <v>0.22223544597449732</v>
      </c>
      <c r="D1663" s="98">
        <f>SUMIFS(Input!$C$115:$C$3257,Input!$A$115:$A$3257,"="&amp;'Output - County'!A1663,Input!$B$115:$B$3257,"="&amp;'Output - County'!B1663)*VLOOKUP(A1663,'Output - State'!$B$2:$G$52,3,FALSE)</f>
        <v>5.9989354926164945E-2</v>
      </c>
      <c r="E1663" s="98">
        <f>SUMIFS(Input!$C$115:$C$3257,Input!$A$115:$A$3257,"="&amp;'Output - County'!A1663,Input!$B$115:$B$3257,"="&amp;'Output - County'!B1663)*VLOOKUP(A1663,'Output - State'!$B$2:$G$52,4,FALSE)</f>
        <v>0.77458652490505564</v>
      </c>
      <c r="F1663" s="98">
        <f>SUMIFS(Input!$C$115:$C$3257,Input!$A$115:$A$3257,"="&amp;'Output - County'!A1663,Input!$B$115:$B$3257,"="&amp;'Output - County'!B1663)*VLOOKUP(A1663,'Output - State'!$B$2:$G$52,5,FALSE)</f>
        <v>0.92015085973556032</v>
      </c>
      <c r="G1663" s="99">
        <f>SUMIFS(Input!$D$115:$D$3257,Input!$A$115:$A$3257,"="&amp;'Output - County'!A1663,Input!$B$115:$B$3257,"="&amp;'Output - County'!B1663)*VLOOKUP(A1663,'Output - State'!$B$2:$G$52,6,FALSE)</f>
        <v>0.58083090286905692</v>
      </c>
    </row>
    <row r="1664" spans="1:7" x14ac:dyDescent="0.25">
      <c r="A1664" s="88">
        <v>31</v>
      </c>
      <c r="B1664" s="88">
        <v>17</v>
      </c>
      <c r="C1664" s="97">
        <f>SUMIFS(Input!$C$115:$C$3257,Input!$A$115:$A$3257,"="&amp;'Output - County'!A1664,Input!$B$115:$B$3257,"="&amp;'Output - County'!B1664)*VLOOKUP(A1664,'Output - State'!$B$2:$G$52,2,FALSE)</f>
        <v>0.34698365342142795</v>
      </c>
      <c r="D1664" s="98">
        <f>SUMIFS(Input!$C$115:$C$3257,Input!$A$115:$A$3257,"="&amp;'Output - County'!A1664,Input!$B$115:$B$3257,"="&amp;'Output - County'!B1664)*VLOOKUP(A1664,'Output - State'!$B$2:$G$52,3,FALSE)</f>
        <v>9.3663391307361996E-2</v>
      </c>
      <c r="E1664" s="98">
        <f>SUMIFS(Input!$C$115:$C$3257,Input!$A$115:$A$3257,"="&amp;'Output - County'!A1664,Input!$B$115:$B$3257,"="&amp;'Output - County'!B1664)*VLOOKUP(A1664,'Output - State'!$B$2:$G$52,4,FALSE)</f>
        <v>1.2093879134537642</v>
      </c>
      <c r="F1664" s="98">
        <f>SUMIFS(Input!$C$115:$C$3257,Input!$A$115:$A$3257,"="&amp;'Output - County'!A1664,Input!$B$115:$B$3257,"="&amp;'Output - County'!B1664)*VLOOKUP(A1664,'Output - State'!$B$2:$G$52,5,FALSE)</f>
        <v>1.436662390240625</v>
      </c>
      <c r="G1664" s="99">
        <f>SUMIFS(Input!$D$115:$D$3257,Input!$A$115:$A$3257,"="&amp;'Output - County'!A1664,Input!$B$115:$B$3257,"="&amp;'Output - County'!B1664)*VLOOKUP(A1664,'Output - State'!$B$2:$G$52,6,FALSE)</f>
        <v>0.88465014436979417</v>
      </c>
    </row>
    <row r="1665" spans="1:7" x14ac:dyDescent="0.25">
      <c r="A1665" s="88">
        <v>31</v>
      </c>
      <c r="B1665" s="88">
        <v>19</v>
      </c>
      <c r="C1665" s="97">
        <f>SUMIFS(Input!$C$115:$C$3257,Input!$A$115:$A$3257,"="&amp;'Output - County'!A1665,Input!$B$115:$B$3257,"="&amp;'Output - County'!B1665)*VLOOKUP(A1665,'Output - State'!$B$2:$G$52,2,FALSE)</f>
        <v>20.27459989133262</v>
      </c>
      <c r="D1665" s="98">
        <f>SUMIFS(Input!$C$115:$C$3257,Input!$A$115:$A$3257,"="&amp;'Output - County'!A1665,Input!$B$115:$B$3257,"="&amp;'Output - County'!B1665)*VLOOKUP(A1665,'Output - State'!$B$2:$G$52,3,FALSE)</f>
        <v>5.4728450879375465</v>
      </c>
      <c r="E1665" s="98">
        <f>SUMIFS(Input!$C$115:$C$3257,Input!$A$115:$A$3257,"="&amp;'Output - County'!A1665,Input!$B$115:$B$3257,"="&amp;'Output - County'!B1665)*VLOOKUP(A1665,'Output - State'!$B$2:$G$52,4,FALSE)</f>
        <v>70.665738333523606</v>
      </c>
      <c r="F1665" s="98">
        <f>SUMIFS(Input!$C$115:$C$3257,Input!$A$115:$A$3257,"="&amp;'Output - County'!A1665,Input!$B$115:$B$3257,"="&amp;'Output - County'!B1665)*VLOOKUP(A1665,'Output - State'!$B$2:$G$52,5,FALSE)</f>
        <v>83.945612001719326</v>
      </c>
      <c r="G1665" s="99">
        <f>SUMIFS(Input!$D$115:$D$3257,Input!$A$115:$A$3257,"="&amp;'Output - County'!A1665,Input!$B$115:$B$3257,"="&amp;'Output - County'!B1665)*VLOOKUP(A1665,'Output - State'!$B$2:$G$52,6,FALSE)</f>
        <v>14.714382872682773</v>
      </c>
    </row>
    <row r="1666" spans="1:7" x14ac:dyDescent="0.25">
      <c r="A1666" s="88">
        <v>31</v>
      </c>
      <c r="B1666" s="88">
        <v>21</v>
      </c>
      <c r="C1666" s="97">
        <f>SUMIFS(Input!$C$115:$C$3257,Input!$A$115:$A$3257,"="&amp;'Output - County'!A1666,Input!$B$115:$B$3257,"="&amp;'Output - County'!B1666)*VLOOKUP(A1666,'Output - State'!$B$2:$G$52,2,FALSE)</f>
        <v>0.73353554084354744</v>
      </c>
      <c r="D1666" s="98">
        <f>SUMIFS(Input!$C$115:$C$3257,Input!$A$115:$A$3257,"="&amp;'Output - County'!A1666,Input!$B$115:$B$3257,"="&amp;'Output - County'!B1666)*VLOOKUP(A1666,'Output - State'!$B$2:$G$52,3,FALSE)</f>
        <v>0.19800767477781045</v>
      </c>
      <c r="E1666" s="98">
        <f>SUMIFS(Input!$C$115:$C$3257,Input!$A$115:$A$3257,"="&amp;'Output - County'!A1666,Input!$B$115:$B$3257,"="&amp;'Output - County'!B1666)*VLOOKUP(A1666,'Output - State'!$B$2:$G$52,4,FALSE)</f>
        <v>2.5566882140914471</v>
      </c>
      <c r="F1666" s="98">
        <f>SUMIFS(Input!$C$115:$C$3257,Input!$A$115:$A$3257,"="&amp;'Output - County'!A1666,Input!$B$115:$B$3257,"="&amp;'Output - County'!B1666)*VLOOKUP(A1666,'Output - State'!$B$2:$G$52,5,FALSE)</f>
        <v>3.0371543818947537</v>
      </c>
      <c r="G1666" s="99">
        <f>SUMIFS(Input!$D$115:$D$3257,Input!$A$115:$A$3257,"="&amp;'Output - County'!A1666,Input!$B$115:$B$3257,"="&amp;'Output - County'!B1666)*VLOOKUP(A1666,'Output - State'!$B$2:$G$52,6,FALSE)</f>
        <v>1.9331243895488095</v>
      </c>
    </row>
    <row r="1667" spans="1:7" x14ac:dyDescent="0.25">
      <c r="A1667" s="88">
        <v>31</v>
      </c>
      <c r="B1667" s="88">
        <v>23</v>
      </c>
      <c r="C1667" s="97">
        <f>SUMIFS(Input!$C$115:$C$3257,Input!$A$115:$A$3257,"="&amp;'Output - County'!A1667,Input!$B$115:$B$3257,"="&amp;'Output - County'!B1667)*VLOOKUP(A1667,'Output - State'!$B$2:$G$52,2,FALSE)</f>
        <v>1.5781257514881279</v>
      </c>
      <c r="D1667" s="98">
        <f>SUMIFS(Input!$C$115:$C$3257,Input!$A$115:$A$3257,"="&amp;'Output - County'!A1667,Input!$B$115:$B$3257,"="&amp;'Output - County'!B1667)*VLOOKUP(A1667,'Output - State'!$B$2:$G$52,3,FALSE)</f>
        <v>0.425993006691678</v>
      </c>
      <c r="E1667" s="98">
        <f>SUMIFS(Input!$C$115:$C$3257,Input!$A$115:$A$3257,"="&amp;'Output - County'!A1667,Input!$B$115:$B$3257,"="&amp;'Output - County'!B1667)*VLOOKUP(A1667,'Output - State'!$B$2:$G$52,4,FALSE)</f>
        <v>5.5004499230453296</v>
      </c>
      <c r="F1667" s="98">
        <f>SUMIFS(Input!$C$115:$C$3257,Input!$A$115:$A$3257,"="&amp;'Output - County'!A1667,Input!$B$115:$B$3257,"="&amp;'Output - County'!B1667)*VLOOKUP(A1667,'Output - State'!$B$2:$G$52,5,FALSE)</f>
        <v>6.5341231261968256</v>
      </c>
      <c r="G1667" s="99">
        <f>SUMIFS(Input!$D$115:$D$3257,Input!$A$115:$A$3257,"="&amp;'Output - County'!A1667,Input!$B$115:$B$3257,"="&amp;'Output - County'!B1667)*VLOOKUP(A1667,'Output - State'!$B$2:$G$52,6,FALSE)</f>
        <v>2.3948104918293418</v>
      </c>
    </row>
    <row r="1668" spans="1:7" x14ac:dyDescent="0.25">
      <c r="A1668" s="88">
        <v>31</v>
      </c>
      <c r="B1668" s="88">
        <v>25</v>
      </c>
      <c r="C1668" s="97">
        <f>SUMIFS(Input!$C$115:$C$3257,Input!$A$115:$A$3257,"="&amp;'Output - County'!A1668,Input!$B$115:$B$3257,"="&amp;'Output - County'!B1668)*VLOOKUP(A1668,'Output - State'!$B$2:$G$52,2,FALSE)</f>
        <v>11.648936310447166</v>
      </c>
      <c r="D1668" s="98">
        <f>SUMIFS(Input!$C$115:$C$3257,Input!$A$115:$A$3257,"="&amp;'Output - County'!A1668,Input!$B$115:$B$3257,"="&amp;'Output - County'!B1668)*VLOOKUP(A1668,'Output - State'!$B$2:$G$52,3,FALSE)</f>
        <v>3.1444676693019424</v>
      </c>
      <c r="E1668" s="98">
        <f>SUMIFS(Input!$C$115:$C$3257,Input!$A$115:$A$3257,"="&amp;'Output - County'!A1668,Input!$B$115:$B$3257,"="&amp;'Output - County'!B1668)*VLOOKUP(A1668,'Output - State'!$B$2:$G$52,4,FALSE)</f>
        <v>40.601574856717669</v>
      </c>
      <c r="F1668" s="98">
        <f>SUMIFS(Input!$C$115:$C$3257,Input!$A$115:$A$3257,"="&amp;'Output - County'!A1668,Input!$B$115:$B$3257,"="&amp;'Output - County'!B1668)*VLOOKUP(A1668,'Output - State'!$B$2:$G$52,5,FALSE)</f>
        <v>48.231634310454602</v>
      </c>
      <c r="G1668" s="99">
        <f>SUMIFS(Input!$D$115:$D$3257,Input!$A$115:$A$3257,"="&amp;'Output - County'!A1668,Input!$B$115:$B$3257,"="&amp;'Output - County'!B1668)*VLOOKUP(A1668,'Output - State'!$B$2:$G$52,6,FALSE)</f>
        <v>7.803984438548353</v>
      </c>
    </row>
    <row r="1669" spans="1:7" x14ac:dyDescent="0.25">
      <c r="A1669" s="88">
        <v>31</v>
      </c>
      <c r="B1669" s="88">
        <v>27</v>
      </c>
      <c r="C1669" s="97">
        <f>SUMIFS(Input!$C$115:$C$3257,Input!$A$115:$A$3257,"="&amp;'Output - County'!A1669,Input!$B$115:$B$3257,"="&amp;'Output - County'!B1669)*VLOOKUP(A1669,'Output - State'!$B$2:$G$52,2,FALSE)</f>
        <v>1.1550475218590222</v>
      </c>
      <c r="D1669" s="98">
        <f>SUMIFS(Input!$C$115:$C$3257,Input!$A$115:$A$3257,"="&amp;'Output - County'!A1669,Input!$B$115:$B$3257,"="&amp;'Output - County'!B1669)*VLOOKUP(A1669,'Output - State'!$B$2:$G$52,3,FALSE)</f>
        <v>0.31178894726514328</v>
      </c>
      <c r="E1669" s="98">
        <f>SUMIFS(Input!$C$115:$C$3257,Input!$A$115:$A$3257,"="&amp;'Output - County'!A1669,Input!$B$115:$B$3257,"="&amp;'Output - County'!B1669)*VLOOKUP(A1669,'Output - State'!$B$2:$G$52,4,FALSE)</f>
        <v>4.0258395420847757</v>
      </c>
      <c r="F1669" s="98">
        <f>SUMIFS(Input!$C$115:$C$3257,Input!$A$115:$A$3257,"="&amp;'Output - County'!A1669,Input!$B$115:$B$3257,"="&amp;'Output - County'!B1669)*VLOOKUP(A1669,'Output - State'!$B$2:$G$52,5,FALSE)</f>
        <v>4.7823962807263953</v>
      </c>
      <c r="G1669" s="99">
        <f>SUMIFS(Input!$D$115:$D$3257,Input!$A$115:$A$3257,"="&amp;'Output - County'!A1669,Input!$B$115:$B$3257,"="&amp;'Output - County'!B1669)*VLOOKUP(A1669,'Output - State'!$B$2:$G$52,6,FALSE)</f>
        <v>2.5169339124325791</v>
      </c>
    </row>
    <row r="1670" spans="1:7" x14ac:dyDescent="0.25">
      <c r="A1670" s="88">
        <v>31</v>
      </c>
      <c r="B1670" s="88">
        <v>29</v>
      </c>
      <c r="C1670" s="97">
        <f>SUMIFS(Input!$C$115:$C$3257,Input!$A$115:$A$3257,"="&amp;'Output - County'!A1670,Input!$B$115:$B$3257,"="&amp;'Output - County'!B1670)*VLOOKUP(A1670,'Output - State'!$B$2:$G$52,2,FALSE)</f>
        <v>0.439009225990032</v>
      </c>
      <c r="D1670" s="98">
        <f>SUMIFS(Input!$C$115:$C$3257,Input!$A$115:$A$3257,"="&amp;'Output - County'!A1670,Input!$B$115:$B$3257,"="&amp;'Output - County'!B1670)*VLOOKUP(A1670,'Output - State'!$B$2:$G$52,3,FALSE)</f>
        <v>0.11850440940370587</v>
      </c>
      <c r="E1670" s="98">
        <f>SUMIFS(Input!$C$115:$C$3257,Input!$A$115:$A$3257,"="&amp;'Output - County'!A1670,Input!$B$115:$B$3257,"="&amp;'Output - County'!B1670)*VLOOKUP(A1670,'Output - State'!$B$2:$G$52,4,FALSE)</f>
        <v>1.5301367847498986</v>
      </c>
      <c r="F1670" s="98">
        <f>SUMIFS(Input!$C$115:$C$3257,Input!$A$115:$A$3257,"="&amp;'Output - County'!A1670,Input!$B$115:$B$3257,"="&amp;'Output - County'!B1670)*VLOOKUP(A1670,'Output - State'!$B$2:$G$52,5,FALSE)</f>
        <v>1.8176880603147654</v>
      </c>
      <c r="G1670" s="99">
        <f>SUMIFS(Input!$D$115:$D$3257,Input!$A$115:$A$3257,"="&amp;'Output - County'!A1670,Input!$B$115:$B$3257,"="&amp;'Output - County'!B1670)*VLOOKUP(A1670,'Output - State'!$B$2:$G$52,6,FALSE)</f>
        <v>1.173576285796966</v>
      </c>
    </row>
    <row r="1671" spans="1:7" x14ac:dyDescent="0.25">
      <c r="A1671" s="88">
        <v>31</v>
      </c>
      <c r="B1671" s="88">
        <v>31</v>
      </c>
      <c r="C1671" s="97">
        <f>SUMIFS(Input!$C$115:$C$3257,Input!$A$115:$A$3257,"="&amp;'Output - County'!A1671,Input!$B$115:$B$3257,"="&amp;'Output - County'!B1671)*VLOOKUP(A1671,'Output - State'!$B$2:$G$52,2,FALSE)</f>
        <v>0.85126506827883941</v>
      </c>
      <c r="D1671" s="98">
        <f>SUMIFS(Input!$C$115:$C$3257,Input!$A$115:$A$3257,"="&amp;'Output - County'!A1671,Input!$B$115:$B$3257,"="&amp;'Output - County'!B1671)*VLOOKUP(A1671,'Output - State'!$B$2:$G$52,3,FALSE)</f>
        <v>0.22978711651194256</v>
      </c>
      <c r="E1671" s="98">
        <f>SUMIFS(Input!$C$115:$C$3257,Input!$A$115:$A$3257,"="&amp;'Output - County'!A1671,Input!$B$115:$B$3257,"="&amp;'Output - County'!B1671)*VLOOKUP(A1671,'Output - State'!$B$2:$G$52,4,FALSE)</f>
        <v>2.9670264710465593</v>
      </c>
      <c r="F1671" s="98">
        <f>SUMIFS(Input!$C$115:$C$3257,Input!$A$115:$A$3257,"="&amp;'Output - County'!A1671,Input!$B$115:$B$3257,"="&amp;'Output - County'!B1671)*VLOOKUP(A1671,'Output - State'!$B$2:$G$52,5,FALSE)</f>
        <v>3.5246055416808324</v>
      </c>
      <c r="G1671" s="99">
        <f>SUMIFS(Input!$D$115:$D$3257,Input!$A$115:$A$3257,"="&amp;'Output - County'!A1671,Input!$B$115:$B$3257,"="&amp;'Output - County'!B1671)*VLOOKUP(A1671,'Output - State'!$B$2:$G$52,6,FALSE)</f>
        <v>1.7156851284747523</v>
      </c>
    </row>
    <row r="1672" spans="1:7" x14ac:dyDescent="0.25">
      <c r="A1672" s="88">
        <v>31</v>
      </c>
      <c r="B1672" s="88">
        <v>33</v>
      </c>
      <c r="C1672" s="97">
        <f>SUMIFS(Input!$C$115:$C$3257,Input!$A$115:$A$3257,"="&amp;'Output - County'!A1672,Input!$B$115:$B$3257,"="&amp;'Output - County'!B1672)*VLOOKUP(A1672,'Output - State'!$B$2:$G$52,2,FALSE)</f>
        <v>6.5651410383653035</v>
      </c>
      <c r="D1672" s="98">
        <f>SUMIFS(Input!$C$115:$C$3257,Input!$A$115:$A$3257,"="&amp;'Output - County'!A1672,Input!$B$115:$B$3257,"="&amp;'Output - County'!B1672)*VLOOKUP(A1672,'Output - State'!$B$2:$G$52,3,FALSE)</f>
        <v>1.7721681353028729</v>
      </c>
      <c r="E1672" s="98">
        <f>SUMIFS(Input!$C$115:$C$3257,Input!$A$115:$A$3257,"="&amp;'Output - County'!A1672,Input!$B$115:$B$3257,"="&amp;'Output - County'!B1672)*VLOOKUP(A1672,'Output - State'!$B$2:$G$52,4,FALSE)</f>
        <v>22.882352363369208</v>
      </c>
      <c r="F1672" s="98">
        <f>SUMIFS(Input!$C$115:$C$3257,Input!$A$115:$A$3257,"="&amp;'Output - County'!A1672,Input!$B$115:$B$3257,"="&amp;'Output - County'!B1672)*VLOOKUP(A1672,'Output - State'!$B$2:$G$52,5,FALSE)</f>
        <v>27.182523221026905</v>
      </c>
      <c r="G1672" s="99">
        <f>SUMIFS(Input!$D$115:$D$3257,Input!$A$115:$A$3257,"="&amp;'Output - County'!A1672,Input!$B$115:$B$3257,"="&amp;'Output - County'!B1672)*VLOOKUP(A1672,'Output - State'!$B$2:$G$52,6,FALSE)</f>
        <v>2.7641593736537677</v>
      </c>
    </row>
    <row r="1673" spans="1:7" x14ac:dyDescent="0.25">
      <c r="A1673" s="88">
        <v>31</v>
      </c>
      <c r="B1673" s="88">
        <v>35</v>
      </c>
      <c r="C1673" s="97">
        <f>SUMIFS(Input!$C$115:$C$3257,Input!$A$115:$A$3257,"="&amp;'Output - County'!A1673,Input!$B$115:$B$3257,"="&amp;'Output - County'!B1673)*VLOOKUP(A1673,'Output - State'!$B$2:$G$52,2,FALSE)</f>
        <v>0.74939824658246457</v>
      </c>
      <c r="D1673" s="98">
        <f>SUMIFS(Input!$C$115:$C$3257,Input!$A$115:$A$3257,"="&amp;'Output - County'!A1673,Input!$B$115:$B$3257,"="&amp;'Output - County'!B1673)*VLOOKUP(A1673,'Output - State'!$B$2:$G$52,3,FALSE)</f>
        <v>0.20228959065530919</v>
      </c>
      <c r="E1673" s="98">
        <f>SUMIFS(Input!$C$115:$C$3257,Input!$A$115:$A$3257,"="&amp;'Output - County'!A1673,Input!$B$115:$B$3257,"="&amp;'Output - County'!B1673)*VLOOKUP(A1673,'Output - State'!$B$2:$G$52,4,FALSE)</f>
        <v>2.6119765955646228</v>
      </c>
      <c r="F1673" s="98">
        <f>SUMIFS(Input!$C$115:$C$3257,Input!$A$115:$A$3257,"="&amp;'Output - County'!A1673,Input!$B$115:$B$3257,"="&amp;'Output - County'!B1673)*VLOOKUP(A1673,'Output - State'!$B$2:$G$52,5,FALSE)</f>
        <v>3.1028328440293307</v>
      </c>
      <c r="G1673" s="99">
        <f>SUMIFS(Input!$D$115:$D$3257,Input!$A$115:$A$3257,"="&amp;'Output - County'!A1673,Input!$B$115:$B$3257,"="&amp;'Output - County'!B1673)*VLOOKUP(A1673,'Output - State'!$B$2:$G$52,6,FALSE)</f>
        <v>1.8467444091221292</v>
      </c>
    </row>
    <row r="1674" spans="1:7" x14ac:dyDescent="0.25">
      <c r="A1674" s="88">
        <v>31</v>
      </c>
      <c r="B1674" s="88">
        <v>37</v>
      </c>
      <c r="C1674" s="97">
        <f>SUMIFS(Input!$C$115:$C$3257,Input!$A$115:$A$3257,"="&amp;'Output - County'!A1674,Input!$B$115:$B$3257,"="&amp;'Output - County'!B1674)*VLOOKUP(A1674,'Output - State'!$B$2:$G$52,2,FALSE)</f>
        <v>2.9187671897707044</v>
      </c>
      <c r="D1674" s="98">
        <f>SUMIFS(Input!$C$115:$C$3257,Input!$A$115:$A$3257,"="&amp;'Output - County'!A1674,Input!$B$115:$B$3257,"="&amp;'Output - County'!B1674)*VLOOKUP(A1674,'Output - State'!$B$2:$G$52,3,FALSE)</f>
        <v>0.7878804397120921</v>
      </c>
      <c r="E1674" s="98">
        <f>SUMIFS(Input!$C$115:$C$3257,Input!$A$115:$A$3257,"="&amp;'Output - County'!A1674,Input!$B$115:$B$3257,"="&amp;'Output - County'!B1674)*VLOOKUP(A1674,'Output - State'!$B$2:$G$52,4,FALSE)</f>
        <v>10.173164432062867</v>
      </c>
      <c r="F1674" s="98">
        <f>SUMIFS(Input!$C$115:$C$3257,Input!$A$115:$A$3257,"="&amp;'Output - County'!A1674,Input!$B$115:$B$3257,"="&amp;'Output - County'!B1674)*VLOOKUP(A1674,'Output - State'!$B$2:$G$52,5,FALSE)</f>
        <v>12.084958487421749</v>
      </c>
      <c r="G1674" s="99">
        <f>SUMIFS(Input!$D$115:$D$3257,Input!$A$115:$A$3257,"="&amp;'Output - County'!A1674,Input!$B$115:$B$3257,"="&amp;'Output - County'!B1674)*VLOOKUP(A1674,'Output - State'!$B$2:$G$52,6,FALSE)</f>
        <v>3.1871234157430299</v>
      </c>
    </row>
    <row r="1675" spans="1:7" x14ac:dyDescent="0.25">
      <c r="A1675" s="88">
        <v>31</v>
      </c>
      <c r="B1675" s="88">
        <v>39</v>
      </c>
      <c r="C1675" s="97">
        <f>SUMIFS(Input!$C$115:$C$3257,Input!$A$115:$A$3257,"="&amp;'Output - County'!A1675,Input!$B$115:$B$3257,"="&amp;'Output - County'!B1675)*VLOOKUP(A1675,'Output - State'!$B$2:$G$52,2,FALSE)</f>
        <v>1.1075917272373783</v>
      </c>
      <c r="D1675" s="98">
        <f>SUMIFS(Input!$C$115:$C$3257,Input!$A$115:$A$3257,"="&amp;'Output - County'!A1675,Input!$B$115:$B$3257,"="&amp;'Output - County'!B1675)*VLOOKUP(A1675,'Output - State'!$B$2:$G$52,3,FALSE)</f>
        <v>0.2989789182691942</v>
      </c>
      <c r="E1675" s="98">
        <f>SUMIFS(Input!$C$115:$C$3257,Input!$A$115:$A$3257,"="&amp;'Output - County'!A1675,Input!$B$115:$B$3257,"="&amp;'Output - County'!B1675)*VLOOKUP(A1675,'Output - State'!$B$2:$G$52,4,FALSE)</f>
        <v>3.8604355990665886</v>
      </c>
      <c r="F1675" s="98">
        <f>SUMIFS(Input!$C$115:$C$3257,Input!$A$115:$A$3257,"="&amp;'Output - County'!A1675,Input!$B$115:$B$3257,"="&amp;'Output - County'!B1675)*VLOOKUP(A1675,'Output - State'!$B$2:$G$52,5,FALSE)</f>
        <v>4.5859087670938905</v>
      </c>
      <c r="G1675" s="99">
        <f>SUMIFS(Input!$D$115:$D$3257,Input!$A$115:$A$3257,"="&amp;'Output - County'!A1675,Input!$B$115:$B$3257,"="&amp;'Output - County'!B1675)*VLOOKUP(A1675,'Output - State'!$B$2:$G$52,6,FALSE)</f>
        <v>2.6628862931535222</v>
      </c>
    </row>
    <row r="1676" spans="1:7" x14ac:dyDescent="0.25">
      <c r="A1676" s="88">
        <v>31</v>
      </c>
      <c r="B1676" s="88">
        <v>41</v>
      </c>
      <c r="C1676" s="97">
        <f>SUMIFS(Input!$C$115:$C$3257,Input!$A$115:$A$3257,"="&amp;'Output - County'!A1676,Input!$B$115:$B$3257,"="&amp;'Output - County'!B1676)*VLOOKUP(A1676,'Output - State'!$B$2:$G$52,2,FALSE)</f>
        <v>1.4156984327031503</v>
      </c>
      <c r="D1676" s="98">
        <f>SUMIFS(Input!$C$115:$C$3257,Input!$A$115:$A$3257,"="&amp;'Output - County'!A1676,Input!$B$115:$B$3257,"="&amp;'Output - County'!B1676)*VLOOKUP(A1676,'Output - State'!$B$2:$G$52,3,FALSE)</f>
        <v>0.38214802042690577</v>
      </c>
      <c r="E1676" s="98">
        <f>SUMIFS(Input!$C$115:$C$3257,Input!$A$115:$A$3257,"="&amp;'Output - County'!A1676,Input!$B$115:$B$3257,"="&amp;'Output - County'!B1676)*VLOOKUP(A1676,'Output - State'!$B$2:$G$52,4,FALSE)</f>
        <v>4.9343205558077594</v>
      </c>
      <c r="F1676" s="98">
        <f>SUMIFS(Input!$C$115:$C$3257,Input!$A$115:$A$3257,"="&amp;'Output - County'!A1676,Input!$B$115:$B$3257,"="&amp;'Output - County'!B1676)*VLOOKUP(A1676,'Output - State'!$B$2:$G$52,5,FALSE)</f>
        <v>5.8616037791180062</v>
      </c>
      <c r="G1676" s="99">
        <f>SUMIFS(Input!$D$115:$D$3257,Input!$A$115:$A$3257,"="&amp;'Output - County'!A1676,Input!$B$115:$B$3257,"="&amp;'Output - County'!B1676)*VLOOKUP(A1676,'Output - State'!$B$2:$G$52,6,FALSE)</f>
        <v>3.2169096158901609</v>
      </c>
    </row>
    <row r="1677" spans="1:7" x14ac:dyDescent="0.25">
      <c r="A1677" s="88">
        <v>31</v>
      </c>
      <c r="B1677" s="88">
        <v>43</v>
      </c>
      <c r="C1677" s="97">
        <f>SUMIFS(Input!$C$115:$C$3257,Input!$A$115:$A$3257,"="&amp;'Output - County'!A1677,Input!$B$115:$B$3257,"="&amp;'Output - County'!B1677)*VLOOKUP(A1677,'Output - State'!$B$2:$G$52,2,FALSE)</f>
        <v>4.9275691168275113</v>
      </c>
      <c r="D1677" s="98">
        <f>SUMIFS(Input!$C$115:$C$3257,Input!$A$115:$A$3257,"="&amp;'Output - County'!A1677,Input!$B$115:$B$3257,"="&amp;'Output - County'!B1677)*VLOOKUP(A1677,'Output - State'!$B$2:$G$52,3,FALSE)</f>
        <v>1.3301284652246543</v>
      </c>
      <c r="E1677" s="98">
        <f>SUMIFS(Input!$C$115:$C$3257,Input!$A$115:$A$3257,"="&amp;'Output - County'!A1677,Input!$B$115:$B$3257,"="&amp;'Output - County'!B1677)*VLOOKUP(A1677,'Output - State'!$B$2:$G$52,4,FALSE)</f>
        <v>17.17470685963794</v>
      </c>
      <c r="F1677" s="98">
        <f>SUMIFS(Input!$C$115:$C$3257,Input!$A$115:$A$3257,"="&amp;'Output - County'!A1677,Input!$B$115:$B$3257,"="&amp;'Output - County'!B1677)*VLOOKUP(A1677,'Output - State'!$B$2:$G$52,5,FALSE)</f>
        <v>20.402267241273218</v>
      </c>
      <c r="G1677" s="99">
        <f>SUMIFS(Input!$D$115:$D$3257,Input!$A$115:$A$3257,"="&amp;'Output - County'!A1677,Input!$B$115:$B$3257,"="&amp;'Output - County'!B1677)*VLOOKUP(A1677,'Output - State'!$B$2:$G$52,6,FALSE)</f>
        <v>5.9572400294262238</v>
      </c>
    </row>
    <row r="1678" spans="1:7" x14ac:dyDescent="0.25">
      <c r="A1678" s="88">
        <v>31</v>
      </c>
      <c r="B1678" s="88">
        <v>45</v>
      </c>
      <c r="C1678" s="97">
        <f>SUMIFS(Input!$C$115:$C$3257,Input!$A$115:$A$3257,"="&amp;'Output - County'!A1678,Input!$B$115:$B$3257,"="&amp;'Output - County'!B1678)*VLOOKUP(A1678,'Output - State'!$B$2:$G$52,2,FALSE)</f>
        <v>1.2641475325021809</v>
      </c>
      <c r="D1678" s="98">
        <f>SUMIFS(Input!$C$115:$C$3257,Input!$A$115:$A$3257,"="&amp;'Output - County'!A1678,Input!$B$115:$B$3257,"="&amp;'Output - County'!B1678)*VLOOKUP(A1678,'Output - State'!$B$2:$G$52,3,FALSE)</f>
        <v>0.34123897146007698</v>
      </c>
      <c r="E1678" s="98">
        <f>SUMIFS(Input!$C$115:$C$3257,Input!$A$115:$A$3257,"="&amp;'Output - County'!A1678,Input!$B$115:$B$3257,"="&amp;'Output - County'!B1678)*VLOOKUP(A1678,'Output - State'!$B$2:$G$52,4,FALSE)</f>
        <v>4.4061002054574701</v>
      </c>
      <c r="F1678" s="98">
        <f>SUMIFS(Input!$C$115:$C$3257,Input!$A$115:$A$3257,"="&amp;'Output - County'!A1678,Input!$B$115:$B$3257,"="&amp;'Output - County'!B1678)*VLOOKUP(A1678,'Output - State'!$B$2:$G$52,5,FALSE)</f>
        <v>5.234117508860189</v>
      </c>
      <c r="G1678" s="99">
        <f>SUMIFS(Input!$D$115:$D$3257,Input!$A$115:$A$3257,"="&amp;'Output - County'!A1678,Input!$B$115:$B$3257,"="&amp;'Output - County'!B1678)*VLOOKUP(A1678,'Output - State'!$B$2:$G$52,6,FALSE)</f>
        <v>2.5943780328151202</v>
      </c>
    </row>
    <row r="1679" spans="1:7" x14ac:dyDescent="0.25">
      <c r="A1679" s="88">
        <v>31</v>
      </c>
      <c r="B1679" s="88">
        <v>47</v>
      </c>
      <c r="C1679" s="97">
        <f>SUMIFS(Input!$C$115:$C$3257,Input!$A$115:$A$3257,"="&amp;'Output - County'!A1679,Input!$B$115:$B$3257,"="&amp;'Output - County'!B1679)*VLOOKUP(A1679,'Output - State'!$B$2:$G$52,2,FALSE)</f>
        <v>15.488007012389861</v>
      </c>
      <c r="D1679" s="98">
        <f>SUMIFS(Input!$C$115:$C$3257,Input!$A$115:$A$3257,"="&amp;'Output - County'!A1679,Input!$B$115:$B$3257,"="&amp;'Output - County'!B1679)*VLOOKUP(A1679,'Output - State'!$B$2:$G$52,3,FALSE)</f>
        <v>4.180771189271975</v>
      </c>
      <c r="E1679" s="98">
        <f>SUMIFS(Input!$C$115:$C$3257,Input!$A$115:$A$3257,"="&amp;'Output - County'!A1679,Input!$B$115:$B$3257,"="&amp;'Output - County'!B1679)*VLOOKUP(A1679,'Output - State'!$B$2:$G$52,4,FALSE)</f>
        <v>53.982394558287027</v>
      </c>
      <c r="F1679" s="98">
        <f>SUMIFS(Input!$C$115:$C$3257,Input!$A$115:$A$3257,"="&amp;'Output - County'!A1679,Input!$B$115:$B$3257,"="&amp;'Output - County'!B1679)*VLOOKUP(A1679,'Output - State'!$B$2:$G$52,5,FALSE)</f>
        <v>64.127047355336515</v>
      </c>
      <c r="G1679" s="99">
        <f>SUMIFS(Input!$D$115:$D$3257,Input!$A$115:$A$3257,"="&amp;'Output - County'!A1679,Input!$B$115:$B$3257,"="&amp;'Output - County'!B1679)*VLOOKUP(A1679,'Output - State'!$B$2:$G$52,6,FALSE)</f>
        <v>7.059329434870075</v>
      </c>
    </row>
    <row r="1680" spans="1:7" x14ac:dyDescent="0.25">
      <c r="A1680" s="88">
        <v>31</v>
      </c>
      <c r="B1680" s="88">
        <v>49</v>
      </c>
      <c r="C1680" s="97">
        <f>SUMIFS(Input!$C$115:$C$3257,Input!$A$115:$A$3257,"="&amp;'Output - County'!A1680,Input!$B$115:$B$3257,"="&amp;'Output - County'!B1680)*VLOOKUP(A1680,'Output - State'!$B$2:$G$52,2,FALSE)</f>
        <v>4.9221239128970415</v>
      </c>
      <c r="D1680" s="98">
        <f>SUMIFS(Input!$C$115:$C$3257,Input!$A$115:$A$3257,"="&amp;'Output - County'!A1680,Input!$B$115:$B$3257,"="&amp;'Output - County'!B1680)*VLOOKUP(A1680,'Output - State'!$B$2:$G$52,3,FALSE)</f>
        <v>1.3286586084707153</v>
      </c>
      <c r="E1680" s="98">
        <f>SUMIFS(Input!$C$115:$C$3257,Input!$A$115:$A$3257,"="&amp;'Output - County'!A1680,Input!$B$115:$B$3257,"="&amp;'Output - County'!B1680)*VLOOKUP(A1680,'Output - State'!$B$2:$G$52,4,FALSE)</f>
        <v>17.155727971857878</v>
      </c>
      <c r="F1680" s="98">
        <f>SUMIFS(Input!$C$115:$C$3257,Input!$A$115:$A$3257,"="&amp;'Output - County'!A1680,Input!$B$115:$B$3257,"="&amp;'Output - County'!B1680)*VLOOKUP(A1680,'Output - State'!$B$2:$G$52,5,FALSE)</f>
        <v>20.379721742034395</v>
      </c>
      <c r="G1680" s="99">
        <f>SUMIFS(Input!$D$115:$D$3257,Input!$A$115:$A$3257,"="&amp;'Output - County'!A1680,Input!$B$115:$B$3257,"="&amp;'Output - County'!B1680)*VLOOKUP(A1680,'Output - State'!$B$2:$G$52,6,FALSE)</f>
        <v>0.54210884267778636</v>
      </c>
    </row>
    <row r="1681" spans="1:7" x14ac:dyDescent="0.25">
      <c r="A1681" s="88">
        <v>31</v>
      </c>
      <c r="B1681" s="88">
        <v>51</v>
      </c>
      <c r="C1681" s="97">
        <f>SUMIFS(Input!$C$115:$C$3257,Input!$A$115:$A$3257,"="&amp;'Output - County'!A1681,Input!$B$115:$B$3257,"="&amp;'Output - County'!B1681)*VLOOKUP(A1681,'Output - State'!$B$2:$G$52,2,FALSE)</f>
        <v>0.58267030525758845</v>
      </c>
      <c r="D1681" s="98">
        <f>SUMIFS(Input!$C$115:$C$3257,Input!$A$115:$A$3257,"="&amp;'Output - County'!A1681,Input!$B$115:$B$3257,"="&amp;'Output - County'!B1681)*VLOOKUP(A1681,'Output - State'!$B$2:$G$52,3,FALSE)</f>
        <v>0.1572837113978906</v>
      </c>
      <c r="E1681" s="98">
        <f>SUMIFS(Input!$C$115:$C$3257,Input!$A$115:$A$3257,"="&amp;'Output - County'!A1681,Input!$B$115:$B$3257,"="&amp;'Output - County'!B1681)*VLOOKUP(A1681,'Output - State'!$B$2:$G$52,4,FALSE)</f>
        <v>2.0308577011006412</v>
      </c>
      <c r="F1681" s="98">
        <f>SUMIFS(Input!$C$115:$C$3257,Input!$A$115:$A$3257,"="&amp;'Output - County'!A1681,Input!$B$115:$B$3257,"="&amp;'Output - County'!B1681)*VLOOKUP(A1681,'Output - State'!$B$2:$G$52,5,FALSE)</f>
        <v>2.4125070596824449</v>
      </c>
      <c r="G1681" s="99">
        <f>SUMIFS(Input!$D$115:$D$3257,Input!$A$115:$A$3257,"="&amp;'Output - County'!A1681,Input!$B$115:$B$3257,"="&amp;'Output - County'!B1681)*VLOOKUP(A1681,'Output - State'!$B$2:$G$52,6,FALSE)</f>
        <v>1.697813408386474</v>
      </c>
    </row>
    <row r="1682" spans="1:7" x14ac:dyDescent="0.25">
      <c r="A1682" s="88">
        <v>31</v>
      </c>
      <c r="B1682" s="88">
        <v>53</v>
      </c>
      <c r="C1682" s="97">
        <f>SUMIFS(Input!$C$115:$C$3257,Input!$A$115:$A$3257,"="&amp;'Output - County'!A1682,Input!$B$115:$B$3257,"="&amp;'Output - County'!B1682)*VLOOKUP(A1682,'Output - State'!$B$2:$G$52,2,FALSE)</f>
        <v>9.0834985004921371</v>
      </c>
      <c r="D1682" s="98">
        <f>SUMIFS(Input!$C$115:$C$3257,Input!$A$115:$A$3257,"="&amp;'Output - County'!A1682,Input!$B$115:$B$3257,"="&amp;'Output - County'!B1682)*VLOOKUP(A1682,'Output - State'!$B$2:$G$52,3,FALSE)</f>
        <v>2.4519635611136557</v>
      </c>
      <c r="E1682" s="98">
        <f>SUMIFS(Input!$C$115:$C$3257,Input!$A$115:$A$3257,"="&amp;'Output - County'!A1682,Input!$B$115:$B$3257,"="&amp;'Output - County'!B1682)*VLOOKUP(A1682,'Output - State'!$B$2:$G$52,4,FALSE)</f>
        <v>31.659915935659967</v>
      </c>
      <c r="F1682" s="98">
        <f>SUMIFS(Input!$C$115:$C$3257,Input!$A$115:$A$3257,"="&amp;'Output - County'!A1682,Input!$B$115:$B$3257,"="&amp;'Output - County'!B1682)*VLOOKUP(A1682,'Output - State'!$B$2:$G$52,5,FALSE)</f>
        <v>37.609612264974416</v>
      </c>
      <c r="G1682" s="99">
        <f>SUMIFS(Input!$D$115:$D$3257,Input!$A$115:$A$3257,"="&amp;'Output - County'!A1682,Input!$B$115:$B$3257,"="&amp;'Output - County'!B1682)*VLOOKUP(A1682,'Output - State'!$B$2:$G$52,6,FALSE)</f>
        <v>10.931535453997121</v>
      </c>
    </row>
    <row r="1683" spans="1:7" x14ac:dyDescent="0.25">
      <c r="A1683" s="88">
        <v>31</v>
      </c>
      <c r="B1683" s="88">
        <v>55</v>
      </c>
      <c r="C1683" s="97">
        <f>SUMIFS(Input!$C$115:$C$3257,Input!$A$115:$A$3257,"="&amp;'Output - County'!A1683,Input!$B$115:$B$3257,"="&amp;'Output - County'!B1683)*VLOOKUP(A1683,'Output - State'!$B$2:$G$52,2,FALSE)</f>
        <v>164.19585685175272</v>
      </c>
      <c r="D1683" s="98">
        <f>SUMIFS(Input!$C$115:$C$3257,Input!$A$115:$A$3257,"="&amp;'Output - County'!A1683,Input!$B$115:$B$3257,"="&amp;'Output - County'!B1683)*VLOOKUP(A1683,'Output - State'!$B$2:$G$52,3,FALSE)</f>
        <v>44.322378416699131</v>
      </c>
      <c r="E1683" s="98">
        <f>SUMIFS(Input!$C$115:$C$3257,Input!$A$115:$A$3257,"="&amp;'Output - County'!A1683,Input!$B$115:$B$3257,"="&amp;'Output - County'!B1683)*VLOOKUP(A1683,'Output - State'!$B$2:$G$52,4,FALSE)</f>
        <v>572.29348632891856</v>
      </c>
      <c r="F1683" s="98">
        <f>SUMIFS(Input!$C$115:$C$3257,Input!$A$115:$A$3257,"="&amp;'Output - County'!A1683,Input!$B$115:$B$3257,"="&amp;'Output - County'!B1683)*VLOOKUP(A1683,'Output - State'!$B$2:$G$52,5,FALSE)</f>
        <v>679.84185954069198</v>
      </c>
      <c r="G1683" s="99">
        <f>SUMIFS(Input!$D$115:$D$3257,Input!$A$115:$A$3257,"="&amp;'Output - County'!A1683,Input!$B$115:$B$3257,"="&amp;'Output - County'!B1683)*VLOOKUP(A1683,'Output - State'!$B$2:$G$52,6,FALSE)</f>
        <v>168.58989283276213</v>
      </c>
    </row>
    <row r="1684" spans="1:7" x14ac:dyDescent="0.25">
      <c r="A1684" s="88">
        <v>31</v>
      </c>
      <c r="B1684" s="88">
        <v>57</v>
      </c>
      <c r="C1684" s="97">
        <f>SUMIFS(Input!$C$115:$C$3257,Input!$A$115:$A$3257,"="&amp;'Output - County'!A1684,Input!$B$115:$B$3257,"="&amp;'Output - County'!B1684)*VLOOKUP(A1684,'Output - State'!$B$2:$G$52,2,FALSE)</f>
        <v>0.28876053654248413</v>
      </c>
      <c r="D1684" s="98">
        <f>SUMIFS(Input!$C$115:$C$3257,Input!$A$115:$A$3257,"="&amp;'Output - County'!A1684,Input!$B$115:$B$3257,"="&amp;'Output - County'!B1684)*VLOOKUP(A1684,'Output - State'!$B$2:$G$52,3,FALSE)</f>
        <v>7.7946874043237704E-2</v>
      </c>
      <c r="E1684" s="98">
        <f>SUMIFS(Input!$C$115:$C$3257,Input!$A$115:$A$3257,"="&amp;'Output - County'!A1684,Input!$B$115:$B$3257,"="&amp;'Output - County'!B1684)*VLOOKUP(A1684,'Output - State'!$B$2:$G$52,4,FALSE)</f>
        <v>1.0064552013715642</v>
      </c>
      <c r="F1684" s="98">
        <f>SUMIFS(Input!$C$115:$C$3257,Input!$A$115:$A$3257,"="&amp;'Output - County'!A1684,Input!$B$115:$B$3257,"="&amp;'Output - County'!B1684)*VLOOKUP(A1684,'Output - State'!$B$2:$G$52,5,FALSE)</f>
        <v>1.1955935057621694</v>
      </c>
      <c r="G1684" s="99">
        <f>SUMIFS(Input!$D$115:$D$3257,Input!$A$115:$A$3257,"="&amp;'Output - County'!A1684,Input!$B$115:$B$3257,"="&amp;'Output - County'!B1684)*VLOOKUP(A1684,'Output - State'!$B$2:$G$52,6,FALSE)</f>
        <v>0.52423712258950772</v>
      </c>
    </row>
    <row r="1685" spans="1:7" x14ac:dyDescent="0.25">
      <c r="A1685" s="88">
        <v>31</v>
      </c>
      <c r="B1685" s="88">
        <v>59</v>
      </c>
      <c r="C1685" s="97">
        <f>SUMIFS(Input!$C$115:$C$3257,Input!$A$115:$A$3257,"="&amp;'Output - County'!A1685,Input!$B$115:$B$3257,"="&amp;'Output - County'!B1685)*VLOOKUP(A1685,'Output - State'!$B$2:$G$52,2,FALSE)</f>
        <v>2.7080478629813154</v>
      </c>
      <c r="D1685" s="98">
        <f>SUMIFS(Input!$C$115:$C$3257,Input!$A$115:$A$3257,"="&amp;'Output - County'!A1685,Input!$B$115:$B$3257,"="&amp;'Output - County'!B1685)*VLOOKUP(A1685,'Output - State'!$B$2:$G$52,3,FALSE)</f>
        <v>0.73099970032715245</v>
      </c>
      <c r="E1685" s="98">
        <f>SUMIFS(Input!$C$115:$C$3257,Input!$A$115:$A$3257,"="&amp;'Output - County'!A1685,Input!$B$115:$B$3257,"="&amp;'Output - County'!B1685)*VLOOKUP(A1685,'Output - State'!$B$2:$G$52,4,FALSE)</f>
        <v>9.4387165569617171</v>
      </c>
      <c r="F1685" s="98">
        <f>SUMIFS(Input!$C$115:$C$3257,Input!$A$115:$A$3257,"="&amp;'Output - County'!A1685,Input!$B$115:$B$3257,"="&amp;'Output - County'!B1685)*VLOOKUP(A1685,'Output - State'!$B$2:$G$52,5,FALSE)</f>
        <v>11.212489341656383</v>
      </c>
      <c r="G1685" s="99">
        <f>SUMIFS(Input!$D$115:$D$3257,Input!$A$115:$A$3257,"="&amp;'Output - County'!A1685,Input!$B$115:$B$3257,"="&amp;'Output - County'!B1685)*VLOOKUP(A1685,'Output - State'!$B$2:$G$52,6,FALSE)</f>
        <v>1.6501554881510638</v>
      </c>
    </row>
    <row r="1686" spans="1:7" x14ac:dyDescent="0.25">
      <c r="A1686" s="88">
        <v>31</v>
      </c>
      <c r="B1686" s="88">
        <v>61</v>
      </c>
      <c r="C1686" s="97">
        <f>SUMIFS(Input!$C$115:$C$3257,Input!$A$115:$A$3257,"="&amp;'Output - County'!A1686,Input!$B$115:$B$3257,"="&amp;'Output - County'!B1686)*VLOOKUP(A1686,'Output - State'!$B$2:$G$52,2,FALSE)</f>
        <v>0.3273026204405633</v>
      </c>
      <c r="D1686" s="98">
        <f>SUMIFS(Input!$C$115:$C$3257,Input!$A$115:$A$3257,"="&amp;'Output - County'!A1686,Input!$B$115:$B$3257,"="&amp;'Output - County'!B1686)*VLOOKUP(A1686,'Output - State'!$B$2:$G$52,3,FALSE)</f>
        <v>8.8350771317218135E-2</v>
      </c>
      <c r="E1686" s="98">
        <f>SUMIFS(Input!$C$115:$C$3257,Input!$A$115:$A$3257,"="&amp;'Output - County'!A1686,Input!$B$115:$B$3257,"="&amp;'Output - County'!B1686)*VLOOKUP(A1686,'Output - State'!$B$2:$G$52,4,FALSE)</f>
        <v>1.140791012197341</v>
      </c>
      <c r="F1686" s="98">
        <f>SUMIFS(Input!$C$115:$C$3257,Input!$A$115:$A$3257,"="&amp;'Output - County'!A1686,Input!$B$115:$B$3257,"="&amp;'Output - County'!B1686)*VLOOKUP(A1686,'Output - State'!$B$2:$G$52,5,FALSE)</f>
        <v>1.3551744019567726</v>
      </c>
      <c r="G1686" s="99">
        <f>SUMIFS(Input!$D$115:$D$3257,Input!$A$115:$A$3257,"="&amp;'Output - County'!A1686,Input!$B$115:$B$3257,"="&amp;'Output - County'!B1686)*VLOOKUP(A1686,'Output - State'!$B$2:$G$52,6,FALSE)</f>
        <v>0.89656462442864671</v>
      </c>
    </row>
    <row r="1687" spans="1:7" x14ac:dyDescent="0.25">
      <c r="A1687" s="88">
        <v>31</v>
      </c>
      <c r="B1687" s="88">
        <v>63</v>
      </c>
      <c r="C1687" s="97">
        <f>SUMIFS(Input!$C$115:$C$3257,Input!$A$115:$A$3257,"="&amp;'Output - County'!A1687,Input!$B$115:$B$3257,"="&amp;'Output - County'!B1687)*VLOOKUP(A1687,'Output - State'!$B$2:$G$52,2,FALSE)</f>
        <v>0.38241891001670014</v>
      </c>
      <c r="D1687" s="98">
        <f>SUMIFS(Input!$C$115:$C$3257,Input!$A$115:$A$3257,"="&amp;'Output - County'!A1687,Input!$B$115:$B$3257,"="&amp;'Output - County'!B1687)*VLOOKUP(A1687,'Output - State'!$B$2:$G$52,3,FALSE)</f>
        <v>0.10322864394054208</v>
      </c>
      <c r="E1687" s="98">
        <f>SUMIFS(Input!$C$115:$C$3257,Input!$A$115:$A$3257,"="&amp;'Output - County'!A1687,Input!$B$115:$B$3257,"="&amp;'Output - County'!B1687)*VLOOKUP(A1687,'Output - State'!$B$2:$G$52,4,FALSE)</f>
        <v>1.3328950891200646</v>
      </c>
      <c r="F1687" s="98">
        <f>SUMIFS(Input!$C$115:$C$3257,Input!$A$115:$A$3257,"="&amp;'Output - County'!A1687,Input!$B$115:$B$3257,"="&amp;'Output - County'!B1687)*VLOOKUP(A1687,'Output - State'!$B$2:$G$52,5,FALSE)</f>
        <v>1.5833796777467397</v>
      </c>
      <c r="G1687" s="99">
        <f>SUMIFS(Input!$D$115:$D$3257,Input!$A$115:$A$3257,"="&amp;'Output - County'!A1687,Input!$B$115:$B$3257,"="&amp;'Output - County'!B1687)*VLOOKUP(A1687,'Output - State'!$B$2:$G$52,6,FALSE)</f>
        <v>0.77444120382540915</v>
      </c>
    </row>
    <row r="1688" spans="1:7" x14ac:dyDescent="0.25">
      <c r="A1688" s="88">
        <v>31</v>
      </c>
      <c r="B1688" s="88">
        <v>65</v>
      </c>
      <c r="C1688" s="97">
        <f>SUMIFS(Input!$C$115:$C$3257,Input!$A$115:$A$3257,"="&amp;'Output - County'!A1688,Input!$B$115:$B$3257,"="&amp;'Output - County'!B1688)*VLOOKUP(A1688,'Output - State'!$B$2:$G$52,2,FALSE)</f>
        <v>0.52733722384976545</v>
      </c>
      <c r="D1688" s="98">
        <f>SUMIFS(Input!$C$115:$C$3257,Input!$A$115:$A$3257,"="&amp;'Output - County'!A1688,Input!$B$115:$B$3257,"="&amp;'Output - County'!B1688)*VLOOKUP(A1688,'Output - State'!$B$2:$G$52,3,FALSE)</f>
        <v>0.14234731884729274</v>
      </c>
      <c r="E1688" s="98">
        <f>SUMIFS(Input!$C$115:$C$3257,Input!$A$115:$A$3257,"="&amp;'Output - County'!A1688,Input!$B$115:$B$3257,"="&amp;'Output - County'!B1688)*VLOOKUP(A1688,'Output - State'!$B$2:$G$52,4,FALSE)</f>
        <v>1.8379980110002032</v>
      </c>
      <c r="F1688" s="98">
        <f>SUMIFS(Input!$C$115:$C$3257,Input!$A$115:$A$3257,"="&amp;'Output - County'!A1688,Input!$B$115:$B$3257,"="&amp;'Output - County'!B1688)*VLOOKUP(A1688,'Output - State'!$B$2:$G$52,5,FALSE)</f>
        <v>2.1834041719501753</v>
      </c>
      <c r="G1688" s="99">
        <f>SUMIFS(Input!$D$115:$D$3257,Input!$A$115:$A$3257,"="&amp;'Output - County'!A1688,Input!$B$115:$B$3257,"="&amp;'Output - County'!B1688)*VLOOKUP(A1688,'Output - State'!$B$2:$G$52,6,FALSE)</f>
        <v>1.3999514069151626</v>
      </c>
    </row>
    <row r="1689" spans="1:7" x14ac:dyDescent="0.25">
      <c r="A1689" s="88">
        <v>31</v>
      </c>
      <c r="B1689" s="88">
        <v>67</v>
      </c>
      <c r="C1689" s="97">
        <f>SUMIFS(Input!$C$115:$C$3257,Input!$A$115:$A$3257,"="&amp;'Output - County'!A1689,Input!$B$115:$B$3257,"="&amp;'Output - County'!B1689)*VLOOKUP(A1689,'Output - State'!$B$2:$G$52,2,FALSE)</f>
        <v>5.0256245572601745</v>
      </c>
      <c r="D1689" s="98">
        <f>SUMIFS(Input!$C$115:$C$3257,Input!$A$115:$A$3257,"="&amp;'Output - County'!A1689,Input!$B$115:$B$3257,"="&amp;'Output - County'!B1689)*VLOOKUP(A1689,'Output - State'!$B$2:$G$52,3,FALSE)</f>
        <v>1.3565971619384607</v>
      </c>
      <c r="E1689" s="98">
        <f>SUMIFS(Input!$C$115:$C$3257,Input!$A$115:$A$3257,"="&amp;'Output - County'!A1689,Input!$B$115:$B$3257,"="&amp;'Output - County'!B1689)*VLOOKUP(A1689,'Output - State'!$B$2:$G$52,4,FALSE)</f>
        <v>17.516472425071132</v>
      </c>
      <c r="F1689" s="98">
        <f>SUMIFS(Input!$C$115:$C$3257,Input!$A$115:$A$3257,"="&amp;'Output - County'!A1689,Input!$B$115:$B$3257,"="&amp;'Output - County'!B1689)*VLOOKUP(A1689,'Output - State'!$B$2:$G$52,5,FALSE)</f>
        <v>20.808259172129368</v>
      </c>
      <c r="G1689" s="99">
        <f>SUMIFS(Input!$D$115:$D$3257,Input!$A$115:$A$3257,"="&amp;'Output - County'!A1689,Input!$B$115:$B$3257,"="&amp;'Output - County'!B1689)*VLOOKUP(A1689,'Output - State'!$B$2:$G$52,6,FALSE)</f>
        <v>6.4040330316331904</v>
      </c>
    </row>
    <row r="1690" spans="1:7" x14ac:dyDescent="0.25">
      <c r="A1690" s="88">
        <v>31</v>
      </c>
      <c r="B1690" s="88">
        <v>69</v>
      </c>
      <c r="C1690" s="97">
        <f>SUMIFS(Input!$C$115:$C$3257,Input!$A$115:$A$3257,"="&amp;'Output - County'!A1690,Input!$B$115:$B$3257,"="&amp;'Output - County'!B1690)*VLOOKUP(A1690,'Output - State'!$B$2:$G$52,2,FALSE)</f>
        <v>0.28014090935979119</v>
      </c>
      <c r="D1690" s="98">
        <f>SUMIFS(Input!$C$115:$C$3257,Input!$A$115:$A$3257,"="&amp;'Output - County'!A1690,Input!$B$115:$B$3257,"="&amp;'Output - County'!B1690)*VLOOKUP(A1690,'Output - State'!$B$2:$G$52,3,FALSE)</f>
        <v>7.5620126065990542E-2</v>
      </c>
      <c r="E1690" s="98">
        <f>SUMIFS(Input!$C$115:$C$3257,Input!$A$115:$A$3257,"="&amp;'Output - County'!A1690,Input!$B$115:$B$3257,"="&amp;'Output - County'!B1690)*VLOOKUP(A1690,'Output - State'!$B$2:$G$52,4,FALSE)</f>
        <v>0.97641207734991087</v>
      </c>
      <c r="F1690" s="98">
        <f>SUMIFS(Input!$C$115:$C$3257,Input!$A$115:$A$3257,"="&amp;'Output - County'!A1690,Input!$B$115:$B$3257,"="&amp;'Output - County'!B1690)*VLOOKUP(A1690,'Output - State'!$B$2:$G$52,5,FALSE)</f>
        <v>1.1599045213700707</v>
      </c>
      <c r="G1690" s="99">
        <f>SUMIFS(Input!$D$115:$D$3257,Input!$A$115:$A$3257,"="&amp;'Output - County'!A1690,Input!$B$115:$B$3257,"="&amp;'Output - County'!B1690)*VLOOKUP(A1690,'Output - State'!$B$2:$G$52,6,FALSE)</f>
        <v>0.56295918278077817</v>
      </c>
    </row>
    <row r="1691" spans="1:7" x14ac:dyDescent="0.25">
      <c r="A1691" s="88">
        <v>31</v>
      </c>
      <c r="B1691" s="88">
        <v>71</v>
      </c>
      <c r="C1691" s="97">
        <f>SUMIFS(Input!$C$115:$C$3257,Input!$A$115:$A$3257,"="&amp;'Output - County'!A1691,Input!$B$115:$B$3257,"="&amp;'Output - County'!B1691)*VLOOKUP(A1691,'Output - State'!$B$2:$G$52,2,FALSE)</f>
        <v>0.21011341861220209</v>
      </c>
      <c r="D1691" s="98">
        <f>SUMIFS(Input!$C$115:$C$3257,Input!$A$115:$A$3257,"="&amp;'Output - County'!A1691,Input!$B$115:$B$3257,"="&amp;'Output - County'!B1691)*VLOOKUP(A1691,'Output - State'!$B$2:$G$52,3,FALSE)</f>
        <v>5.6717182934551774E-2</v>
      </c>
      <c r="E1691" s="98">
        <f>SUMIFS(Input!$C$115:$C$3257,Input!$A$115:$A$3257,"="&amp;'Output - County'!A1691,Input!$B$115:$B$3257,"="&amp;'Output - County'!B1691)*VLOOKUP(A1691,'Output - State'!$B$2:$G$52,4,FALSE)</f>
        <v>0.73233602337866199</v>
      </c>
      <c r="F1691" s="98">
        <f>SUMIFS(Input!$C$115:$C$3257,Input!$A$115:$A$3257,"="&amp;'Output - County'!A1691,Input!$B$115:$B$3257,"="&amp;'Output - County'!B1691)*VLOOKUP(A1691,'Output - State'!$B$2:$G$52,5,FALSE)</f>
        <v>0.86996042386587491</v>
      </c>
      <c r="G1691" s="99">
        <f>SUMIFS(Input!$D$115:$D$3257,Input!$A$115:$A$3257,"="&amp;'Output - County'!A1691,Input!$B$115:$B$3257,"="&amp;'Output - County'!B1691)*VLOOKUP(A1691,'Output - State'!$B$2:$G$52,6,FALSE)</f>
        <v>0.58678814289848302</v>
      </c>
    </row>
    <row r="1692" spans="1:7" x14ac:dyDescent="0.25">
      <c r="A1692" s="88">
        <v>31</v>
      </c>
      <c r="B1692" s="88">
        <v>73</v>
      </c>
      <c r="C1692" s="97">
        <f>SUMIFS(Input!$C$115:$C$3257,Input!$A$115:$A$3257,"="&amp;'Output - County'!A1692,Input!$B$115:$B$3257,"="&amp;'Output - County'!B1692)*VLOOKUP(A1692,'Output - State'!$B$2:$G$52,2,FALSE)</f>
        <v>0.27159169656238091</v>
      </c>
      <c r="D1692" s="98">
        <f>SUMIFS(Input!$C$115:$C$3257,Input!$A$115:$A$3257,"="&amp;'Output - County'!A1692,Input!$B$115:$B$3257,"="&amp;'Output - County'!B1692)*VLOOKUP(A1692,'Output - State'!$B$2:$G$52,3,FALSE)</f>
        <v>7.3312385468651209E-2</v>
      </c>
      <c r="E1692" s="98">
        <f>SUMIFS(Input!$C$115:$C$3257,Input!$A$115:$A$3257,"="&amp;'Output - County'!A1692,Input!$B$115:$B$3257,"="&amp;'Output - County'!B1692)*VLOOKUP(A1692,'Output - State'!$B$2:$G$52,4,FALSE)</f>
        <v>0.94661437787680436</v>
      </c>
      <c r="F1692" s="98">
        <f>SUMIFS(Input!$C$115:$C$3257,Input!$A$115:$A$3257,"="&amp;'Output - County'!A1692,Input!$B$115:$B$3257,"="&amp;'Output - County'!B1692)*VLOOKUP(A1692,'Output - State'!$B$2:$G$52,5,FALSE)</f>
        <v>1.1245070829861774</v>
      </c>
      <c r="G1692" s="99">
        <f>SUMIFS(Input!$D$115:$D$3257,Input!$A$115:$A$3257,"="&amp;'Output - County'!A1692,Input!$B$115:$B$3257,"="&amp;'Output - County'!B1692)*VLOOKUP(A1692,'Output - State'!$B$2:$G$52,6,FALSE)</f>
        <v>0.5957240029426224</v>
      </c>
    </row>
    <row r="1693" spans="1:7" x14ac:dyDescent="0.25">
      <c r="A1693" s="88">
        <v>31</v>
      </c>
      <c r="B1693" s="88">
        <v>75</v>
      </c>
      <c r="C1693" s="97">
        <f>SUMIFS(Input!$C$115:$C$3257,Input!$A$115:$A$3257,"="&amp;'Output - County'!A1693,Input!$B$115:$B$3257,"="&amp;'Output - County'!B1693)*VLOOKUP(A1693,'Output - State'!$B$2:$G$52,2,FALSE)</f>
        <v>0.10754180933277926</v>
      </c>
      <c r="D1693" s="98">
        <f>SUMIFS(Input!$C$115:$C$3257,Input!$A$115:$A$3257,"="&amp;'Output - County'!A1693,Input!$B$115:$B$3257,"="&amp;'Output - County'!B1693)*VLOOKUP(A1693,'Output - State'!$B$2:$G$52,3,FALSE)</f>
        <v>2.9029409512856832E-2</v>
      </c>
      <c r="E1693" s="98">
        <f>SUMIFS(Input!$C$115:$C$3257,Input!$A$115:$A$3257,"="&amp;'Output - County'!A1693,Input!$B$115:$B$3257,"="&amp;'Output - County'!B1693)*VLOOKUP(A1693,'Output - State'!$B$2:$G$52,4,FALSE)</f>
        <v>0.37482965873337204</v>
      </c>
      <c r="F1693" s="98">
        <f>SUMIFS(Input!$C$115:$C$3257,Input!$A$115:$A$3257,"="&amp;'Output - County'!A1693,Input!$B$115:$B$3257,"="&amp;'Output - County'!B1693)*VLOOKUP(A1693,'Output - State'!$B$2:$G$52,5,FALSE)</f>
        <v>0.44526960081080008</v>
      </c>
      <c r="G1693" s="99">
        <f>SUMIFS(Input!$D$115:$D$3257,Input!$A$115:$A$3257,"="&amp;'Output - County'!A1693,Input!$B$115:$B$3257,"="&amp;'Output - County'!B1693)*VLOOKUP(A1693,'Output - State'!$B$2:$G$52,6,FALSE)</f>
        <v>0.19569533496665145</v>
      </c>
    </row>
    <row r="1694" spans="1:7" x14ac:dyDescent="0.25">
      <c r="A1694" s="88">
        <v>31</v>
      </c>
      <c r="B1694" s="88">
        <v>77</v>
      </c>
      <c r="C1694" s="97">
        <f>SUMIFS(Input!$C$115:$C$3257,Input!$A$115:$A$3257,"="&amp;'Output - County'!A1694,Input!$B$115:$B$3257,"="&amp;'Output - County'!B1694)*VLOOKUP(A1694,'Output - State'!$B$2:$G$52,2,FALSE)</f>
        <v>0.29668177543318852</v>
      </c>
      <c r="D1694" s="98">
        <f>SUMIFS(Input!$C$115:$C$3257,Input!$A$115:$A$3257,"="&amp;'Output - County'!A1694,Input!$B$115:$B$3257,"="&amp;'Output - County'!B1694)*VLOOKUP(A1694,'Output - State'!$B$2:$G$52,3,FALSE)</f>
        <v>8.008510185467306E-2</v>
      </c>
      <c r="E1694" s="98">
        <f>SUMIFS(Input!$C$115:$C$3257,Input!$A$115:$A$3257,"="&amp;'Output - County'!A1694,Input!$B$115:$B$3257,"="&amp;'Output - County'!B1694)*VLOOKUP(A1694,'Output - State'!$B$2:$G$52,4,FALSE)</f>
        <v>1.0340641405234114</v>
      </c>
      <c r="F1694" s="98">
        <f>SUMIFS(Input!$C$115:$C$3257,Input!$A$115:$A$3257,"="&amp;'Output - County'!A1694,Input!$B$115:$B$3257,"="&amp;'Output - County'!B1694)*VLOOKUP(A1694,'Output - State'!$B$2:$G$52,5,FALSE)</f>
        <v>1.2283908605832758</v>
      </c>
      <c r="G1694" s="99">
        <f>SUMIFS(Input!$D$115:$D$3257,Input!$A$115:$A$3257,"="&amp;'Output - County'!A1694,Input!$B$115:$B$3257,"="&amp;'Output - County'!B1694)*VLOOKUP(A1694,'Output - State'!$B$2:$G$52,6,FALSE)</f>
        <v>0.70295432347229436</v>
      </c>
    </row>
    <row r="1695" spans="1:7" x14ac:dyDescent="0.25">
      <c r="A1695" s="88">
        <v>31</v>
      </c>
      <c r="B1695" s="88">
        <v>79</v>
      </c>
      <c r="C1695" s="97">
        <f>SUMIFS(Input!$C$115:$C$3257,Input!$A$115:$A$3257,"="&amp;'Output - County'!A1695,Input!$B$115:$B$3257,"="&amp;'Output - County'!B1695)*VLOOKUP(A1695,'Output - State'!$B$2:$G$52,2,FALSE)</f>
        <v>22.200723190927423</v>
      </c>
      <c r="D1695" s="98">
        <f>SUMIFS(Input!$C$115:$C$3257,Input!$A$115:$A$3257,"="&amp;'Output - County'!A1695,Input!$B$115:$B$3257,"="&amp;'Output - County'!B1695)*VLOOKUP(A1695,'Output - State'!$B$2:$G$52,3,FALSE)</f>
        <v>5.9927751726469332</v>
      </c>
      <c r="E1695" s="98">
        <f>SUMIFS(Input!$C$115:$C$3257,Input!$A$115:$A$3257,"="&amp;'Output - County'!A1695,Input!$B$115:$B$3257,"="&amp;'Output - County'!B1695)*VLOOKUP(A1695,'Output - State'!$B$2:$G$52,4,FALSE)</f>
        <v>77.379110030957548</v>
      </c>
      <c r="F1695" s="98">
        <f>SUMIFS(Input!$C$115:$C$3257,Input!$A$115:$A$3257,"="&amp;'Output - County'!A1695,Input!$B$115:$B$3257,"="&amp;'Output - County'!B1695)*VLOOKUP(A1695,'Output - State'!$B$2:$G$52,5,FALSE)</f>
        <v>91.920595480647506</v>
      </c>
      <c r="G1695" s="99">
        <f>SUMIFS(Input!$D$115:$D$3257,Input!$A$115:$A$3257,"="&amp;'Output - County'!A1695,Input!$B$115:$B$3257,"="&amp;'Output - County'!B1695)*VLOOKUP(A1695,'Output - State'!$B$2:$G$52,6,FALSE)</f>
        <v>18.258940690191377</v>
      </c>
    </row>
    <row r="1696" spans="1:7" x14ac:dyDescent="0.25">
      <c r="A1696" s="88">
        <v>31</v>
      </c>
      <c r="B1696" s="88">
        <v>81</v>
      </c>
      <c r="C1696" s="97">
        <f>SUMIFS(Input!$C$115:$C$3257,Input!$A$115:$A$3257,"="&amp;'Output - County'!A1696,Input!$B$115:$B$3257,"="&amp;'Output - County'!B1696)*VLOOKUP(A1696,'Output - State'!$B$2:$G$52,2,FALSE)</f>
        <v>9.3026306399836969</v>
      </c>
      <c r="D1696" s="98">
        <f>SUMIFS(Input!$C$115:$C$3257,Input!$A$115:$A$3257,"="&amp;'Output - County'!A1696,Input!$B$115:$B$3257,"="&amp;'Output - County'!B1696)*VLOOKUP(A1696,'Output - State'!$B$2:$G$52,3,FALSE)</f>
        <v>2.5111152217951727</v>
      </c>
      <c r="E1696" s="98">
        <f>SUMIFS(Input!$C$115:$C$3257,Input!$A$115:$A$3257,"="&amp;'Output - County'!A1696,Input!$B$115:$B$3257,"="&amp;'Output - County'!B1696)*VLOOKUP(A1696,'Output - State'!$B$2:$G$52,4,FALSE)</f>
        <v>32.42368609698363</v>
      </c>
      <c r="F1696" s="98">
        <f>SUMIFS(Input!$C$115:$C$3257,Input!$A$115:$A$3257,"="&amp;'Output - County'!A1696,Input!$B$115:$B$3257,"="&amp;'Output - County'!B1696)*VLOOKUP(A1696,'Output - State'!$B$2:$G$52,5,FALSE)</f>
        <v>38.516914093738443</v>
      </c>
      <c r="G1696" s="99">
        <f>SUMIFS(Input!$D$115:$D$3257,Input!$A$115:$A$3257,"="&amp;'Output - County'!A1696,Input!$B$115:$B$3257,"="&amp;'Output - County'!B1696)*VLOOKUP(A1696,'Output - State'!$B$2:$G$52,6,FALSE)</f>
        <v>2.7582021336243416</v>
      </c>
    </row>
    <row r="1697" spans="1:7" x14ac:dyDescent="0.25">
      <c r="A1697" s="88">
        <v>31</v>
      </c>
      <c r="B1697" s="88">
        <v>83</v>
      </c>
      <c r="C1697" s="97">
        <f>SUMIFS(Input!$C$115:$C$3257,Input!$A$115:$A$3257,"="&amp;'Output - County'!A1697,Input!$B$115:$B$3257,"="&amp;'Output - County'!B1697)*VLOOKUP(A1697,'Output - State'!$B$2:$G$52,2,FALSE)</f>
        <v>0.52681759379187354</v>
      </c>
      <c r="D1697" s="98">
        <f>SUMIFS(Input!$C$115:$C$3257,Input!$A$115:$A$3257,"="&amp;'Output - County'!A1697,Input!$B$115:$B$3257,"="&amp;'Output - County'!B1697)*VLOOKUP(A1697,'Output - State'!$B$2:$G$52,3,FALSE)</f>
        <v>0.14220705197025837</v>
      </c>
      <c r="E1697" s="98">
        <f>SUMIFS(Input!$C$115:$C$3257,Input!$A$115:$A$3257,"="&amp;'Output - County'!A1697,Input!$B$115:$B$3257,"="&amp;'Output - County'!B1697)*VLOOKUP(A1697,'Output - State'!$B$2:$G$52,4,FALSE)</f>
        <v>1.8361868757917141</v>
      </c>
      <c r="F1697" s="98">
        <f>SUMIFS(Input!$C$115:$C$3257,Input!$A$115:$A$3257,"="&amp;'Output - County'!A1697,Input!$B$115:$B$3257,"="&amp;'Output - County'!B1697)*VLOOKUP(A1697,'Output - State'!$B$2:$G$52,5,FALSE)</f>
        <v>2.1812526787785211</v>
      </c>
      <c r="G1697" s="99">
        <f>SUMIFS(Input!$D$115:$D$3257,Input!$A$115:$A$3257,"="&amp;'Output - County'!A1697,Input!$B$115:$B$3257,"="&amp;'Output - County'!B1697)*VLOOKUP(A1697,'Output - State'!$B$2:$G$52,6,FALSE)</f>
        <v>1.0097521849877449</v>
      </c>
    </row>
    <row r="1698" spans="1:7" x14ac:dyDescent="0.25">
      <c r="A1698" s="88">
        <v>31</v>
      </c>
      <c r="B1698" s="88">
        <v>85</v>
      </c>
      <c r="C1698" s="97">
        <f>SUMIFS(Input!$C$115:$C$3257,Input!$A$115:$A$3257,"="&amp;'Output - County'!A1698,Input!$B$115:$B$3257,"="&amp;'Output - County'!B1698)*VLOOKUP(A1698,'Output - State'!$B$2:$G$52,2,FALSE)</f>
        <v>0.14155138366310685</v>
      </c>
      <c r="D1698" s="98">
        <f>SUMIFS(Input!$C$115:$C$3257,Input!$A$115:$A$3257,"="&amp;'Output - County'!A1698,Input!$B$115:$B$3257,"="&amp;'Output - County'!B1698)*VLOOKUP(A1698,'Output - State'!$B$2:$G$52,3,FALSE)</f>
        <v>3.8209819129529476E-2</v>
      </c>
      <c r="E1698" s="98">
        <f>SUMIFS(Input!$C$115:$C$3257,Input!$A$115:$A$3257,"="&amp;'Output - County'!A1698,Input!$B$115:$B$3257,"="&amp;'Output - County'!B1698)*VLOOKUP(A1698,'Output - State'!$B$2:$G$52,4,FALSE)</f>
        <v>0.49336771587593808</v>
      </c>
      <c r="F1698" s="98">
        <f>SUMIFS(Input!$C$115:$C$3257,Input!$A$115:$A$3257,"="&amp;'Output - County'!A1698,Input!$B$115:$B$3257,"="&amp;'Output - County'!B1698)*VLOOKUP(A1698,'Output - State'!$B$2:$G$52,5,FALSE)</f>
        <v>0.58608394715446344</v>
      </c>
      <c r="G1698" s="99">
        <f>SUMIFS(Input!$D$115:$D$3257,Input!$A$115:$A$3257,"="&amp;'Output - County'!A1698,Input!$B$115:$B$3257,"="&amp;'Output - County'!B1698)*VLOOKUP(A1698,'Output - State'!$B$2:$G$52,6,FALSE)</f>
        <v>0.27313945534919237</v>
      </c>
    </row>
    <row r="1699" spans="1:7" x14ac:dyDescent="0.25">
      <c r="A1699" s="88">
        <v>31</v>
      </c>
      <c r="B1699" s="88">
        <v>87</v>
      </c>
      <c r="C1699" s="97">
        <f>SUMIFS(Input!$C$115:$C$3257,Input!$A$115:$A$3257,"="&amp;'Output - County'!A1699,Input!$B$115:$B$3257,"="&amp;'Output - County'!B1699)*VLOOKUP(A1699,'Output - State'!$B$2:$G$52,2,FALSE)</f>
        <v>0.4258473666720381</v>
      </c>
      <c r="D1699" s="98">
        <f>SUMIFS(Input!$C$115:$C$3257,Input!$A$115:$A$3257,"="&amp;'Output - County'!A1699,Input!$B$115:$B$3257,"="&amp;'Output - County'!B1699)*VLOOKUP(A1699,'Output - State'!$B$2:$G$52,3,FALSE)</f>
        <v>0.1149515492978252</v>
      </c>
      <c r="E1699" s="98">
        <f>SUMIFS(Input!$C$115:$C$3257,Input!$A$115:$A$3257,"="&amp;'Output - County'!A1699,Input!$B$115:$B$3257,"="&amp;'Output - County'!B1699)*VLOOKUP(A1699,'Output - State'!$B$2:$G$52,4,FALSE)</f>
        <v>1.4842620196974141</v>
      </c>
      <c r="F1699" s="98">
        <f>SUMIFS(Input!$C$115:$C$3257,Input!$A$115:$A$3257,"="&amp;'Output - County'!A1699,Input!$B$115:$B$3257,"="&amp;'Output - County'!B1699)*VLOOKUP(A1699,'Output - State'!$B$2:$G$52,5,FALSE)</f>
        <v>1.7631922704372118</v>
      </c>
      <c r="G1699" s="99">
        <f>SUMIFS(Input!$D$115:$D$3257,Input!$A$115:$A$3257,"="&amp;'Output - County'!A1699,Input!$B$115:$B$3257,"="&amp;'Output - County'!B1699)*VLOOKUP(A1699,'Output - State'!$B$2:$G$52,6,FALSE)</f>
        <v>0.83401360411967129</v>
      </c>
    </row>
    <row r="1700" spans="1:7" x14ac:dyDescent="0.25">
      <c r="A1700" s="88">
        <v>31</v>
      </c>
      <c r="B1700" s="88">
        <v>89</v>
      </c>
      <c r="C1700" s="97">
        <f>SUMIFS(Input!$C$115:$C$3257,Input!$A$115:$A$3257,"="&amp;'Output - County'!A1700,Input!$B$115:$B$3257,"="&amp;'Output - County'!B1700)*VLOOKUP(A1700,'Output - State'!$B$2:$G$52,2,FALSE)</f>
        <v>1.2115128988536956</v>
      </c>
      <c r="D1700" s="98">
        <f>SUMIFS(Input!$C$115:$C$3257,Input!$A$115:$A$3257,"="&amp;'Output - County'!A1700,Input!$B$115:$B$3257,"="&amp;'Output - County'!B1700)*VLOOKUP(A1700,'Output - State'!$B$2:$G$52,3,FALSE)</f>
        <v>0.32703098719590157</v>
      </c>
      <c r="E1700" s="98">
        <f>SUMIFS(Input!$C$115:$C$3257,Input!$A$115:$A$3257,"="&amp;'Output - County'!A1700,Input!$B$115:$B$3257,"="&amp;'Output - County'!B1700)*VLOOKUP(A1700,'Output - State'!$B$2:$G$52,4,FALSE)</f>
        <v>4.2226457714059844</v>
      </c>
      <c r="F1700" s="98">
        <f>SUMIFS(Input!$C$115:$C$3257,Input!$A$115:$A$3257,"="&amp;'Output - County'!A1700,Input!$B$115:$B$3257,"="&amp;'Output - County'!B1700)*VLOOKUP(A1700,'Output - State'!$B$2:$G$52,5,FALSE)</f>
        <v>5.0161873618885942</v>
      </c>
      <c r="G1700" s="99">
        <f>SUMIFS(Input!$D$115:$D$3257,Input!$A$115:$A$3257,"="&amp;'Output - County'!A1700,Input!$B$115:$B$3257,"="&amp;'Output - County'!B1700)*VLOOKUP(A1700,'Output - State'!$B$2:$G$52,6,FALSE)</f>
        <v>3.0084062148602428</v>
      </c>
    </row>
    <row r="1701" spans="1:7" x14ac:dyDescent="0.25">
      <c r="A1701" s="88">
        <v>31</v>
      </c>
      <c r="B1701" s="88">
        <v>91</v>
      </c>
      <c r="C1701" s="97">
        <f>SUMIFS(Input!$C$115:$C$3257,Input!$A$115:$A$3257,"="&amp;'Output - County'!A1701,Input!$B$115:$B$3257,"="&amp;'Output - County'!B1701)*VLOOKUP(A1701,'Output - State'!$B$2:$G$52,2,FALSE)</f>
        <v>0.11097627141500561</v>
      </c>
      <c r="D1701" s="98">
        <f>SUMIFS(Input!$C$115:$C$3257,Input!$A$115:$A$3257,"="&amp;'Output - County'!A1701,Input!$B$115:$B$3257,"="&amp;'Output - County'!B1701)*VLOOKUP(A1701,'Output - State'!$B$2:$G$52,3,FALSE)</f>
        <v>2.9956494586651831E-2</v>
      </c>
      <c r="E1701" s="98">
        <f>SUMIFS(Input!$C$115:$C$3257,Input!$A$115:$A$3257,"="&amp;'Output - County'!A1701,Input!$B$115:$B$3257,"="&amp;'Output - County'!B1701)*VLOOKUP(A1701,'Output - State'!$B$2:$G$52,4,FALSE)</f>
        <v>0.38680024262256479</v>
      </c>
      <c r="F1701" s="98">
        <f>SUMIFS(Input!$C$115:$C$3257,Input!$A$115:$A$3257,"="&amp;'Output - County'!A1701,Input!$B$115:$B$3257,"="&amp;'Output - County'!B1701)*VLOOKUP(A1701,'Output - State'!$B$2:$G$52,5,FALSE)</f>
        <v>0.45948975918307161</v>
      </c>
      <c r="G1701" s="99">
        <f>SUMIFS(Input!$D$115:$D$3257,Input!$A$115:$A$3257,"="&amp;'Output - County'!A1701,Input!$B$115:$B$3257,"="&amp;'Output - County'!B1701)*VLOOKUP(A1701,'Output - State'!$B$2:$G$52,6,FALSE)</f>
        <v>0.20135471299460636</v>
      </c>
    </row>
    <row r="1702" spans="1:7" x14ac:dyDescent="0.25">
      <c r="A1702" s="88">
        <v>31</v>
      </c>
      <c r="B1702" s="88">
        <v>93</v>
      </c>
      <c r="C1702" s="97">
        <f>SUMIFS(Input!$C$115:$C$3257,Input!$A$115:$A$3257,"="&amp;'Output - County'!A1702,Input!$B$115:$B$3257,"="&amp;'Output - County'!B1702)*VLOOKUP(A1702,'Output - State'!$B$2:$G$52,2,FALSE)</f>
        <v>0.70980476749216825</v>
      </c>
      <c r="D1702" s="98">
        <f>SUMIFS(Input!$C$115:$C$3257,Input!$A$115:$A$3257,"="&amp;'Output - County'!A1702,Input!$B$115:$B$3257,"="&amp;'Output - County'!B1702)*VLOOKUP(A1702,'Output - State'!$B$2:$G$52,3,FALSE)</f>
        <v>0.19160188393285393</v>
      </c>
      <c r="E1702" s="98">
        <f>SUMIFS(Input!$C$115:$C$3257,Input!$A$115:$A$3257,"="&amp;'Output - County'!A1702,Input!$B$115:$B$3257,"="&amp;'Output - County'!B1702)*VLOOKUP(A1702,'Output - State'!$B$2:$G$52,4,FALSE)</f>
        <v>2.473976218338692</v>
      </c>
      <c r="F1702" s="98">
        <f>SUMIFS(Input!$C$115:$C$3257,Input!$A$115:$A$3257,"="&amp;'Output - County'!A1702,Input!$B$115:$B$3257,"="&amp;'Output - County'!B1702)*VLOOKUP(A1702,'Output - State'!$B$2:$G$52,5,FALSE)</f>
        <v>2.9388987170267513</v>
      </c>
      <c r="G1702" s="99">
        <f>SUMIFS(Input!$D$115:$D$3257,Input!$A$115:$A$3257,"="&amp;'Output - County'!A1702,Input!$B$115:$B$3257,"="&amp;'Output - County'!B1702)*VLOOKUP(A1702,'Output - State'!$B$2:$G$52,6,FALSE)</f>
        <v>1.9241885295046703</v>
      </c>
    </row>
    <row r="1703" spans="1:7" x14ac:dyDescent="0.25">
      <c r="A1703" s="88">
        <v>31</v>
      </c>
      <c r="B1703" s="88">
        <v>95</v>
      </c>
      <c r="C1703" s="97">
        <f>SUMIFS(Input!$C$115:$C$3257,Input!$A$115:$A$3257,"="&amp;'Output - County'!A1703,Input!$B$115:$B$3257,"="&amp;'Output - County'!B1703)*VLOOKUP(A1703,'Output - State'!$B$2:$G$52,2,FALSE)</f>
        <v>0.77017721625626856</v>
      </c>
      <c r="D1703" s="98">
        <f>SUMIFS(Input!$C$115:$C$3257,Input!$A$115:$A$3257,"="&amp;'Output - County'!A1703,Input!$B$115:$B$3257,"="&amp;'Output - County'!B1703)*VLOOKUP(A1703,'Output - State'!$B$2:$G$52,3,FALSE)</f>
        <v>0.20789858332205458</v>
      </c>
      <c r="E1703" s="98">
        <f>SUMIFS(Input!$C$115:$C$3257,Input!$A$115:$A$3257,"="&amp;'Output - County'!A1703,Input!$B$115:$B$3257,"="&amp;'Output - County'!B1703)*VLOOKUP(A1703,'Output - State'!$B$2:$G$52,4,FALSE)</f>
        <v>2.6844002804550446</v>
      </c>
      <c r="F1703" s="98">
        <f>SUMIFS(Input!$C$115:$C$3257,Input!$A$115:$A$3257,"="&amp;'Output - County'!A1703,Input!$B$115:$B$3257,"="&amp;'Output - County'!B1703)*VLOOKUP(A1703,'Output - State'!$B$2:$G$52,5,FALSE)</f>
        <v>3.1888667650626297</v>
      </c>
      <c r="G1703" s="99">
        <f>SUMIFS(Input!$D$115:$D$3257,Input!$A$115:$A$3257,"="&amp;'Output - County'!A1703,Input!$B$115:$B$3257,"="&amp;'Output - County'!B1703)*VLOOKUP(A1703,'Output - State'!$B$2:$G$52,6,FALSE)</f>
        <v>2.1148202104463092</v>
      </c>
    </row>
    <row r="1704" spans="1:7" x14ac:dyDescent="0.25">
      <c r="A1704" s="88">
        <v>31</v>
      </c>
      <c r="B1704" s="88">
        <v>97</v>
      </c>
      <c r="C1704" s="97">
        <f>SUMIFS(Input!$C$115:$C$3257,Input!$A$115:$A$3257,"="&amp;'Output - County'!A1704,Input!$B$115:$B$3257,"="&amp;'Output - County'!B1704)*VLOOKUP(A1704,'Output - State'!$B$2:$G$52,2,FALSE)</f>
        <v>0.50323270541629816</v>
      </c>
      <c r="D1704" s="98">
        <f>SUMIFS(Input!$C$115:$C$3257,Input!$A$115:$A$3257,"="&amp;'Output - County'!A1704,Input!$B$115:$B$3257,"="&amp;'Output - County'!B1704)*VLOOKUP(A1704,'Output - State'!$B$2:$G$52,3,FALSE)</f>
        <v>0.13584064073710733</v>
      </c>
      <c r="E1704" s="98">
        <f>SUMIFS(Input!$C$115:$C$3257,Input!$A$115:$A$3257,"="&amp;'Output - County'!A1704,Input!$B$115:$B$3257,"="&amp;'Output - County'!B1704)*VLOOKUP(A1704,'Output - State'!$B$2:$G$52,4,FALSE)</f>
        <v>1.7539833521953612</v>
      </c>
      <c r="F1704" s="98">
        <f>SUMIFS(Input!$C$115:$C$3257,Input!$A$115:$A$3257,"="&amp;'Output - County'!A1704,Input!$B$115:$B$3257,"="&amp;'Output - County'!B1704)*VLOOKUP(A1704,'Output - State'!$B$2:$G$52,5,FALSE)</f>
        <v>2.0836010408033472</v>
      </c>
      <c r="G1704" s="99">
        <f>SUMIFS(Input!$D$115:$D$3257,Input!$A$115:$A$3257,"="&amp;'Output - County'!A1704,Input!$B$115:$B$3257,"="&amp;'Output - County'!B1704)*VLOOKUP(A1704,'Output - State'!$B$2:$G$52,6,FALSE)</f>
        <v>1.5250534475331132</v>
      </c>
    </row>
    <row r="1705" spans="1:7" x14ac:dyDescent="0.25">
      <c r="A1705" s="88">
        <v>31</v>
      </c>
      <c r="B1705" s="88">
        <v>99</v>
      </c>
      <c r="C1705" s="97">
        <f>SUMIFS(Input!$C$115:$C$3257,Input!$A$115:$A$3257,"="&amp;'Output - County'!A1705,Input!$B$115:$B$3257,"="&amp;'Output - County'!B1705)*VLOOKUP(A1705,'Output - State'!$B$2:$G$52,2,FALSE)</f>
        <v>0.95447012135254516</v>
      </c>
      <c r="D1705" s="98">
        <f>SUMIFS(Input!$C$115:$C$3257,Input!$A$115:$A$3257,"="&amp;'Output - County'!A1705,Input!$B$115:$B$3257,"="&amp;'Output - County'!B1705)*VLOOKUP(A1705,'Output - State'!$B$2:$G$52,3,FALSE)</f>
        <v>0.2576458792393011</v>
      </c>
      <c r="E1705" s="98">
        <f>SUMIFS(Input!$C$115:$C$3257,Input!$A$115:$A$3257,"="&amp;'Output - County'!A1705,Input!$B$115:$B$3257,"="&amp;'Output - County'!B1705)*VLOOKUP(A1705,'Output - State'!$B$2:$G$52,4,FALSE)</f>
        <v>3.3267406609340595</v>
      </c>
      <c r="F1705" s="98">
        <f>SUMIFS(Input!$C$115:$C$3257,Input!$A$115:$A$3257,"="&amp;'Output - County'!A1705,Input!$B$115:$B$3257,"="&amp;'Output - County'!B1705)*VLOOKUP(A1705,'Output - State'!$B$2:$G$52,5,FALSE)</f>
        <v>3.9519190959989055</v>
      </c>
      <c r="G1705" s="99">
        <f>SUMIFS(Input!$D$115:$D$3257,Input!$A$115:$A$3257,"="&amp;'Output - County'!A1705,Input!$B$115:$B$3257,"="&amp;'Output - County'!B1705)*VLOOKUP(A1705,'Output - State'!$B$2:$G$52,6,FALSE)</f>
        <v>1.9480174896223752</v>
      </c>
    </row>
    <row r="1706" spans="1:7" x14ac:dyDescent="0.25">
      <c r="A1706" s="88">
        <v>31</v>
      </c>
      <c r="B1706" s="88">
        <v>101</v>
      </c>
      <c r="C1706" s="97">
        <f>SUMIFS(Input!$C$115:$C$3257,Input!$A$115:$A$3257,"="&amp;'Output - County'!A1706,Input!$B$115:$B$3257,"="&amp;'Output - County'!B1706)*VLOOKUP(A1706,'Output - State'!$B$2:$G$52,2,FALSE)</f>
        <v>11.07490243715489</v>
      </c>
      <c r="D1706" s="98">
        <f>SUMIFS(Input!$C$115:$C$3257,Input!$A$115:$A$3257,"="&amp;'Output - County'!A1706,Input!$B$115:$B$3257,"="&amp;'Output - County'!B1706)*VLOOKUP(A1706,'Output - State'!$B$2:$G$52,3,FALSE)</f>
        <v>2.9895152420976738</v>
      </c>
      <c r="E1706" s="98">
        <f>SUMIFS(Input!$C$115:$C$3257,Input!$A$115:$A$3257,"="&amp;'Output - County'!A1706,Input!$B$115:$B$3257,"="&amp;'Output - County'!B1706)*VLOOKUP(A1706,'Output - State'!$B$2:$G$52,4,FALSE)</f>
        <v>38.600818851565023</v>
      </c>
      <c r="F1706" s="98">
        <f>SUMIFS(Input!$C$115:$C$3257,Input!$A$115:$A$3257,"="&amp;'Output - County'!A1706,Input!$B$115:$B$3257,"="&amp;'Output - County'!B1706)*VLOOKUP(A1706,'Output - State'!$B$2:$G$52,5,FALSE)</f>
        <v>45.854885814232112</v>
      </c>
      <c r="G1706" s="99">
        <f>SUMIFS(Input!$D$115:$D$3257,Input!$A$115:$A$3257,"="&amp;'Output - County'!A1706,Input!$B$115:$B$3257,"="&amp;'Output - County'!B1706)*VLOOKUP(A1706,'Output - State'!$B$2:$G$52,6,FALSE)</f>
        <v>2.3828960117704896</v>
      </c>
    </row>
    <row r="1707" spans="1:7" x14ac:dyDescent="0.25">
      <c r="A1707" s="88">
        <v>31</v>
      </c>
      <c r="B1707" s="88">
        <v>103</v>
      </c>
      <c r="C1707" s="97">
        <f>SUMIFS(Input!$C$115:$C$3257,Input!$A$115:$A$3257,"="&amp;'Output - County'!A1707,Input!$B$115:$B$3257,"="&amp;'Output - County'!B1707)*VLOOKUP(A1707,'Output - State'!$B$2:$G$52,2,FALSE)</f>
        <v>0.13775166499643524</v>
      </c>
      <c r="D1707" s="98">
        <f>SUMIFS(Input!$C$115:$C$3257,Input!$A$115:$A$3257,"="&amp;'Output - County'!A1707,Input!$B$115:$B$3257,"="&amp;'Output - County'!B1707)*VLOOKUP(A1707,'Output - State'!$B$2:$G$52,3,FALSE)</f>
        <v>3.7184138141894883E-2</v>
      </c>
      <c r="E1707" s="98">
        <f>SUMIFS(Input!$C$115:$C$3257,Input!$A$115:$A$3257,"="&amp;'Output - County'!A1707,Input!$B$115:$B$3257,"="&amp;'Output - County'!B1707)*VLOOKUP(A1707,'Output - State'!$B$2:$G$52,4,FALSE)</f>
        <v>0.48012405501559191</v>
      </c>
      <c r="F1707" s="98">
        <f>SUMIFS(Input!$C$115:$C$3257,Input!$A$115:$A$3257,"="&amp;'Output - County'!A1707,Input!$B$115:$B$3257,"="&amp;'Output - County'!B1707)*VLOOKUP(A1707,'Output - State'!$B$2:$G$52,5,FALSE)</f>
        <v>0.57035146855475194</v>
      </c>
      <c r="G1707" s="99">
        <f>SUMIFS(Input!$D$115:$D$3257,Input!$A$115:$A$3257,"="&amp;'Output - County'!A1707,Input!$B$115:$B$3257,"="&amp;'Output - County'!B1707)*VLOOKUP(A1707,'Output - State'!$B$2:$G$52,6,FALSE)</f>
        <v>0.24007677318587684</v>
      </c>
    </row>
    <row r="1708" spans="1:7" x14ac:dyDescent="0.25">
      <c r="A1708" s="88">
        <v>31</v>
      </c>
      <c r="B1708" s="88">
        <v>105</v>
      </c>
      <c r="C1708" s="97">
        <f>SUMIFS(Input!$C$115:$C$3257,Input!$A$115:$A$3257,"="&amp;'Output - County'!A1708,Input!$B$115:$B$3257,"="&amp;'Output - County'!B1708)*VLOOKUP(A1708,'Output - State'!$B$2:$G$52,2,FALSE)</f>
        <v>5.2419639895097569</v>
      </c>
      <c r="D1708" s="98">
        <f>SUMIFS(Input!$C$115:$C$3257,Input!$A$115:$A$3257,"="&amp;'Output - County'!A1708,Input!$B$115:$B$3257,"="&amp;'Output - County'!B1708)*VLOOKUP(A1708,'Output - State'!$B$2:$G$52,3,FALSE)</f>
        <v>1.4149949703026334</v>
      </c>
      <c r="E1708" s="98">
        <f>SUMIFS(Input!$C$115:$C$3257,Input!$A$115:$A$3257,"="&amp;'Output - County'!A1708,Input!$B$115:$B$3257,"="&amp;'Output - County'!B1708)*VLOOKUP(A1708,'Output - State'!$B$2:$G$52,4,FALSE)</f>
        <v>18.270508795332994</v>
      </c>
      <c r="F1708" s="98">
        <f>SUMIFS(Input!$C$115:$C$3257,Input!$A$115:$A$3257,"="&amp;'Output - County'!A1708,Input!$B$115:$B$3257,"="&amp;'Output - County'!B1708)*VLOOKUP(A1708,'Output - State'!$B$2:$G$52,5,FALSE)</f>
        <v>21.703997985108821</v>
      </c>
      <c r="G1708" s="99">
        <f>SUMIFS(Input!$D$115:$D$3257,Input!$A$115:$A$3257,"="&amp;'Output - County'!A1708,Input!$B$115:$B$3257,"="&amp;'Output - County'!B1708)*VLOOKUP(A1708,'Output - State'!$B$2:$G$52,6,FALSE)</f>
        <v>1.066345965267294</v>
      </c>
    </row>
    <row r="1709" spans="1:7" x14ac:dyDescent="0.25">
      <c r="A1709" s="88">
        <v>31</v>
      </c>
      <c r="B1709" s="88">
        <v>107</v>
      </c>
      <c r="C1709" s="97">
        <f>SUMIFS(Input!$C$115:$C$3257,Input!$A$115:$A$3257,"="&amp;'Output - County'!A1709,Input!$B$115:$B$3257,"="&amp;'Output - County'!B1709)*VLOOKUP(A1709,'Output - State'!$B$2:$G$52,2,FALSE)</f>
        <v>0.80421091318227111</v>
      </c>
      <c r="D1709" s="98">
        <f>SUMIFS(Input!$C$115:$C$3257,Input!$A$115:$A$3257,"="&amp;'Output - County'!A1709,Input!$B$115:$B$3257,"="&amp;'Output - County'!B1709)*VLOOKUP(A1709,'Output - State'!$B$2:$G$52,3,FALSE)</f>
        <v>0.21708550449653627</v>
      </c>
      <c r="E1709" s="98">
        <f>SUMIFS(Input!$C$115:$C$3257,Input!$A$115:$A$3257,"="&amp;'Output - County'!A1709,Input!$B$115:$B$3257,"="&amp;'Output - County'!B1709)*VLOOKUP(A1709,'Output - State'!$B$2:$G$52,4,FALSE)</f>
        <v>2.8030224152634107</v>
      </c>
      <c r="F1709" s="98">
        <f>SUMIFS(Input!$C$115:$C$3257,Input!$A$115:$A$3257,"="&amp;'Output - County'!A1709,Input!$B$115:$B$3257,"="&amp;'Output - County'!B1709)*VLOOKUP(A1709,'Output - State'!$B$2:$G$52,5,FALSE)</f>
        <v>3.3297809893850379</v>
      </c>
      <c r="G1709" s="99">
        <f>SUMIFS(Input!$D$115:$D$3257,Input!$A$115:$A$3257,"="&amp;'Output - County'!A1709,Input!$B$115:$B$3257,"="&amp;'Output - County'!B1709)*VLOOKUP(A1709,'Output - State'!$B$2:$G$52,6,FALSE)</f>
        <v>2.5050194323737269</v>
      </c>
    </row>
    <row r="1710" spans="1:7" x14ac:dyDescent="0.25">
      <c r="A1710" s="88">
        <v>31</v>
      </c>
      <c r="B1710" s="88">
        <v>109</v>
      </c>
      <c r="C1710" s="97">
        <f>SUMIFS(Input!$C$115:$C$3257,Input!$A$115:$A$3257,"="&amp;'Output - County'!A1710,Input!$B$115:$B$3257,"="&amp;'Output - County'!B1710)*VLOOKUP(A1710,'Output - State'!$B$2:$G$52,2,FALSE)</f>
        <v>86.694738197404618</v>
      </c>
      <c r="D1710" s="98">
        <f>SUMIFS(Input!$C$115:$C$3257,Input!$A$115:$A$3257,"="&amp;'Output - County'!A1710,Input!$B$115:$B$3257,"="&amp;'Output - County'!B1710)*VLOOKUP(A1710,'Output - State'!$B$2:$G$52,3,FALSE)</f>
        <v>23.402033807657617</v>
      </c>
      <c r="E1710" s="98">
        <f>SUMIFS(Input!$C$115:$C$3257,Input!$A$115:$A$3257,"="&amp;'Output - County'!A1710,Input!$B$115:$B$3257,"="&amp;'Output - County'!B1710)*VLOOKUP(A1710,'Output - State'!$B$2:$G$52,4,FALSE)</f>
        <v>302.16861083261819</v>
      </c>
      <c r="F1710" s="98">
        <f>SUMIFS(Input!$C$115:$C$3257,Input!$A$115:$A$3257,"="&amp;'Output - County'!A1710,Input!$B$115:$B$3257,"="&amp;'Output - County'!B1710)*VLOOKUP(A1710,'Output - State'!$B$2:$G$52,5,FALSE)</f>
        <v>358.95371027376729</v>
      </c>
      <c r="G1710" s="99">
        <f>SUMIFS(Input!$D$115:$D$3257,Input!$A$115:$A$3257,"="&amp;'Output - County'!A1710,Input!$B$115:$B$3257,"="&amp;'Output - County'!B1710)*VLOOKUP(A1710,'Output - State'!$B$2:$G$52,6,FALSE)</f>
        <v>94.422254466405647</v>
      </c>
    </row>
    <row r="1711" spans="1:7" x14ac:dyDescent="0.25">
      <c r="A1711" s="88">
        <v>31</v>
      </c>
      <c r="B1711" s="88">
        <v>111</v>
      </c>
      <c r="C1711" s="97">
        <f>SUMIFS(Input!$C$115:$C$3257,Input!$A$115:$A$3257,"="&amp;'Output - County'!A1711,Input!$B$115:$B$3257,"="&amp;'Output - County'!B1711)*VLOOKUP(A1711,'Output - State'!$B$2:$G$52,2,FALSE)</f>
        <v>20.418594215087271</v>
      </c>
      <c r="D1711" s="98">
        <f>SUMIFS(Input!$C$115:$C$3257,Input!$A$115:$A$3257,"="&amp;'Output - County'!A1711,Input!$B$115:$B$3257,"="&amp;'Output - County'!B1711)*VLOOKUP(A1711,'Output - State'!$B$2:$G$52,3,FALSE)</f>
        <v>5.5117143446269683</v>
      </c>
      <c r="E1711" s="98">
        <f>SUMIFS(Input!$C$115:$C$3257,Input!$A$115:$A$3257,"="&amp;'Output - County'!A1711,Input!$B$115:$B$3257,"="&amp;'Output - County'!B1711)*VLOOKUP(A1711,'Output - State'!$B$2:$G$52,4,FALSE)</f>
        <v>71.167620750858461</v>
      </c>
      <c r="F1711" s="98">
        <f>SUMIFS(Input!$C$115:$C$3257,Input!$A$115:$A$3257,"="&amp;'Output - County'!A1711,Input!$B$115:$B$3257,"="&amp;'Output - County'!B1711)*VLOOKUP(A1711,'Output - State'!$B$2:$G$52,5,FALSE)</f>
        <v>84.541810777386672</v>
      </c>
      <c r="G1711" s="99">
        <f>SUMIFS(Input!$D$115:$D$3257,Input!$A$115:$A$3257,"="&amp;'Output - County'!A1711,Input!$B$115:$B$3257,"="&amp;'Output - County'!B1711)*VLOOKUP(A1711,'Output - State'!$B$2:$G$52,6,FALSE)</f>
        <v>10.454956251643024</v>
      </c>
    </row>
    <row r="1712" spans="1:7" x14ac:dyDescent="0.25">
      <c r="A1712" s="88">
        <v>31</v>
      </c>
      <c r="B1712" s="88">
        <v>113</v>
      </c>
      <c r="C1712" s="97">
        <f>SUMIFS(Input!$C$115:$C$3257,Input!$A$115:$A$3257,"="&amp;'Output - County'!A1712,Input!$B$115:$B$3257,"="&amp;'Output - County'!B1712)*VLOOKUP(A1712,'Output - State'!$B$2:$G$52,2,FALSE)</f>
        <v>0.1618792824839981</v>
      </c>
      <c r="D1712" s="98">
        <f>SUMIFS(Input!$C$115:$C$3257,Input!$A$115:$A$3257,"="&amp;'Output - County'!A1712,Input!$B$115:$B$3257,"="&amp;'Output - County'!B1712)*VLOOKUP(A1712,'Output - State'!$B$2:$G$52,3,FALSE)</f>
        <v>4.3697051519134666E-2</v>
      </c>
      <c r="E1712" s="98">
        <f>SUMIFS(Input!$C$115:$C$3257,Input!$A$115:$A$3257,"="&amp;'Output - County'!A1712,Input!$B$115:$B$3257,"="&amp;'Output - County'!B1712)*VLOOKUP(A1712,'Output - State'!$B$2:$G$52,4,FALSE)</f>
        <v>0.56421922400170588</v>
      </c>
      <c r="F1712" s="98">
        <f>SUMIFS(Input!$C$115:$C$3257,Input!$A$115:$A$3257,"="&amp;'Output - County'!A1712,Input!$B$115:$B$3257,"="&amp;'Output - County'!B1712)*VLOOKUP(A1712,'Output - State'!$B$2:$G$52,5,FALSE)</f>
        <v>0.67025023977552012</v>
      </c>
      <c r="G1712" s="99">
        <f>SUMIFS(Input!$D$115:$D$3257,Input!$A$115:$A$3257,"="&amp;'Output - County'!A1712,Input!$B$115:$B$3257,"="&amp;'Output - County'!B1712)*VLOOKUP(A1712,'Output - State'!$B$2:$G$52,6,FALSE)</f>
        <v>0.22488581111083994</v>
      </c>
    </row>
    <row r="1713" spans="1:7" x14ac:dyDescent="0.25">
      <c r="A1713" s="88">
        <v>31</v>
      </c>
      <c r="B1713" s="88">
        <v>115</v>
      </c>
      <c r="C1713" s="97">
        <f>SUMIFS(Input!$C$115:$C$3257,Input!$A$115:$A$3257,"="&amp;'Output - County'!A1713,Input!$B$115:$B$3257,"="&amp;'Output - County'!B1713)*VLOOKUP(A1713,'Output - State'!$B$2:$G$52,2,FALSE)</f>
        <v>0.12717957618384312</v>
      </c>
      <c r="D1713" s="98">
        <f>SUMIFS(Input!$C$115:$C$3257,Input!$A$115:$A$3257,"="&amp;'Output - County'!A1713,Input!$B$115:$B$3257,"="&amp;'Output - County'!B1713)*VLOOKUP(A1713,'Output - State'!$B$2:$G$52,3,FALSE)</f>
        <v>3.4330350415510746E-2</v>
      </c>
      <c r="E1713" s="98">
        <f>SUMIFS(Input!$C$115:$C$3257,Input!$A$115:$A$3257,"="&amp;'Output - County'!A1713,Input!$B$115:$B$3257,"="&amp;'Output - County'!B1713)*VLOOKUP(A1713,'Output - State'!$B$2:$G$52,4,FALSE)</f>
        <v>0.44327575883842374</v>
      </c>
      <c r="F1713" s="98">
        <f>SUMIFS(Input!$C$115:$C$3257,Input!$A$115:$A$3257,"="&amp;'Output - County'!A1713,Input!$B$115:$B$3257,"="&amp;'Output - County'!B1713)*VLOOKUP(A1713,'Output - State'!$B$2:$G$52,5,FALSE)</f>
        <v>0.52657844860534364</v>
      </c>
      <c r="G1713" s="99">
        <f>SUMIFS(Input!$D$115:$D$3257,Input!$A$115:$A$3257,"="&amp;'Output - County'!A1713,Input!$B$115:$B$3257,"="&amp;'Output - County'!B1713)*VLOOKUP(A1713,'Output - State'!$B$2:$G$52,6,FALSE)</f>
        <v>0.18378085490779902</v>
      </c>
    </row>
    <row r="1714" spans="1:7" x14ac:dyDescent="0.25">
      <c r="A1714" s="88">
        <v>31</v>
      </c>
      <c r="B1714" s="88">
        <v>117</v>
      </c>
      <c r="C1714" s="97">
        <f>SUMIFS(Input!$C$115:$C$3257,Input!$A$115:$A$3257,"="&amp;'Output - County'!A1714,Input!$B$115:$B$3257,"="&amp;'Output - County'!B1714)*VLOOKUP(A1714,'Output - State'!$B$2:$G$52,2,FALSE)</f>
        <v>7.0217101465207472</v>
      </c>
      <c r="D1714" s="98">
        <f>SUMIFS(Input!$C$115:$C$3257,Input!$A$115:$A$3257,"="&amp;'Output - County'!A1714,Input!$B$115:$B$3257,"="&amp;'Output - County'!B1714)*VLOOKUP(A1714,'Output - State'!$B$2:$G$52,3,FALSE)</f>
        <v>1.8954125896578391</v>
      </c>
      <c r="E1714" s="98">
        <f>SUMIFS(Input!$C$115:$C$3257,Input!$A$115:$A$3257,"="&amp;'Output - County'!A1714,Input!$B$115:$B$3257,"="&amp;'Output - County'!B1714)*VLOOKUP(A1714,'Output - State'!$B$2:$G$52,4,FALSE)</f>
        <v>24.473692922542241</v>
      </c>
      <c r="F1714" s="98">
        <f>SUMIFS(Input!$C$115:$C$3257,Input!$A$115:$A$3257,"="&amp;'Output - County'!A1714,Input!$B$115:$B$3257,"="&amp;'Output - County'!B1714)*VLOOKUP(A1714,'Output - State'!$B$2:$G$52,5,FALSE)</f>
        <v>29.072916787884548</v>
      </c>
      <c r="G1714" s="99">
        <f>SUMIFS(Input!$D$115:$D$3257,Input!$A$115:$A$3257,"="&amp;'Output - County'!A1714,Input!$B$115:$B$3257,"="&amp;'Output - County'!B1714)*VLOOKUP(A1714,'Output - State'!$B$2:$G$52,6,FALSE)</f>
        <v>0.14595238072094247</v>
      </c>
    </row>
    <row r="1715" spans="1:7" x14ac:dyDescent="0.25">
      <c r="A1715" s="88">
        <v>31</v>
      </c>
      <c r="B1715" s="88">
        <v>119</v>
      </c>
      <c r="C1715" s="97">
        <f>SUMIFS(Input!$C$115:$C$3257,Input!$A$115:$A$3257,"="&amp;'Output - County'!A1715,Input!$B$115:$B$3257,"="&amp;'Output - County'!B1715)*VLOOKUP(A1715,'Output - State'!$B$2:$G$52,2,FALSE)</f>
        <v>1.1711395241018443</v>
      </c>
      <c r="D1715" s="98">
        <f>SUMIFS(Input!$C$115:$C$3257,Input!$A$115:$A$3257,"="&amp;'Output - County'!A1715,Input!$B$115:$B$3257,"="&amp;'Output - County'!B1715)*VLOOKUP(A1715,'Output - State'!$B$2:$G$52,3,FALSE)</f>
        <v>0.3161327585315426</v>
      </c>
      <c r="E1715" s="98">
        <f>SUMIFS(Input!$C$115:$C$3257,Input!$A$115:$A$3257,"="&amp;'Output - County'!A1715,Input!$B$115:$B$3257,"="&amp;'Output - County'!B1715)*VLOOKUP(A1715,'Output - State'!$B$2:$G$52,4,FALSE)</f>
        <v>4.0819271209198025</v>
      </c>
      <c r="F1715" s="98">
        <f>SUMIFS(Input!$C$115:$C$3257,Input!$A$115:$A$3257,"="&amp;'Output - County'!A1715,Input!$B$115:$B$3257,"="&amp;'Output - County'!B1715)*VLOOKUP(A1715,'Output - State'!$B$2:$G$52,5,FALSE)</f>
        <v>4.8490241295543379</v>
      </c>
      <c r="G1715" s="99">
        <f>SUMIFS(Input!$D$115:$D$3257,Input!$A$115:$A$3257,"="&amp;'Output - County'!A1715,Input!$B$115:$B$3257,"="&amp;'Output - County'!B1715)*VLOOKUP(A1715,'Output - State'!$B$2:$G$52,6,FALSE)</f>
        <v>10.484742451790153</v>
      </c>
    </row>
    <row r="1716" spans="1:7" x14ac:dyDescent="0.25">
      <c r="A1716" s="88">
        <v>31</v>
      </c>
      <c r="B1716" s="88">
        <v>121</v>
      </c>
      <c r="C1716" s="97">
        <f>SUMIFS(Input!$C$115:$C$3257,Input!$A$115:$A$3257,"="&amp;'Output - County'!A1716,Input!$B$115:$B$3257,"="&amp;'Output - County'!B1716)*VLOOKUP(A1716,'Output - State'!$B$2:$G$52,2,FALSE)</f>
        <v>1.1858737767954197</v>
      </c>
      <c r="D1716" s="98">
        <f>SUMIFS(Input!$C$115:$C$3257,Input!$A$115:$A$3257,"="&amp;'Output - County'!A1716,Input!$B$115:$B$3257,"="&amp;'Output - County'!B1716)*VLOOKUP(A1716,'Output - State'!$B$2:$G$52,3,FALSE)</f>
        <v>0.32011006426929661</v>
      </c>
      <c r="E1716" s="98">
        <f>SUMIFS(Input!$C$115:$C$3257,Input!$A$115:$A$3257,"="&amp;'Output - County'!A1716,Input!$B$115:$B$3257,"="&amp;'Output - County'!B1716)*VLOOKUP(A1716,'Output - State'!$B$2:$G$52,4,FALSE)</f>
        <v>4.1332823560891701</v>
      </c>
      <c r="F1716" s="98">
        <f>SUMIFS(Input!$C$115:$C$3257,Input!$A$115:$A$3257,"="&amp;'Output - County'!A1716,Input!$B$115:$B$3257,"="&amp;'Output - County'!B1716)*VLOOKUP(A1716,'Output - State'!$B$2:$G$52,5,FALSE)</f>
        <v>4.9100303080426713</v>
      </c>
      <c r="G1716" s="99">
        <f>SUMIFS(Input!$D$115:$D$3257,Input!$A$115:$A$3257,"="&amp;'Output - County'!A1716,Input!$B$115:$B$3257,"="&amp;'Output - County'!B1716)*VLOOKUP(A1716,'Output - State'!$B$2:$G$52,6,FALSE)</f>
        <v>2.3024732713732354</v>
      </c>
    </row>
    <row r="1717" spans="1:7" x14ac:dyDescent="0.25">
      <c r="A1717" s="88">
        <v>31</v>
      </c>
      <c r="B1717" s="88">
        <v>123</v>
      </c>
      <c r="C1717" s="97">
        <f>SUMIFS(Input!$C$115:$C$3257,Input!$A$115:$A$3257,"="&amp;'Output - County'!A1717,Input!$B$115:$B$3257,"="&amp;'Output - County'!B1717)*VLOOKUP(A1717,'Output - State'!$B$2:$G$52,2,FALSE)</f>
        <v>0.93142905308997936</v>
      </c>
      <c r="D1717" s="98">
        <f>SUMIFS(Input!$C$115:$C$3257,Input!$A$115:$A$3257,"="&amp;'Output - County'!A1717,Input!$B$115:$B$3257,"="&amp;'Output - County'!B1717)*VLOOKUP(A1717,'Output - State'!$B$2:$G$52,3,FALSE)</f>
        <v>0.25142626465072787</v>
      </c>
      <c r="E1717" s="98">
        <f>SUMIFS(Input!$C$115:$C$3257,Input!$A$115:$A$3257,"="&amp;'Output - County'!A1717,Input!$B$115:$B$3257,"="&amp;'Output - County'!B1717)*VLOOKUP(A1717,'Output - State'!$B$2:$G$52,4,FALSE)</f>
        <v>3.2464325853372928</v>
      </c>
      <c r="F1717" s="98">
        <f>SUMIFS(Input!$C$115:$C$3257,Input!$A$115:$A$3257,"="&amp;'Output - County'!A1717,Input!$B$115:$B$3257,"="&amp;'Output - County'!B1717)*VLOOKUP(A1717,'Output - State'!$B$2:$G$52,5,FALSE)</f>
        <v>3.8565191084853985</v>
      </c>
      <c r="G1717" s="99">
        <f>SUMIFS(Input!$D$115:$D$3257,Input!$A$115:$A$3257,"="&amp;'Output - County'!A1717,Input!$B$115:$B$3257,"="&amp;'Output - County'!B1717)*VLOOKUP(A1717,'Output - State'!$B$2:$G$52,6,FALSE)</f>
        <v>1.3910155468710232</v>
      </c>
    </row>
    <row r="1718" spans="1:7" x14ac:dyDescent="0.25">
      <c r="A1718" s="88">
        <v>31</v>
      </c>
      <c r="B1718" s="88">
        <v>125</v>
      </c>
      <c r="C1718" s="97">
        <f>SUMIFS(Input!$C$115:$C$3257,Input!$A$115:$A$3257,"="&amp;'Output - County'!A1718,Input!$B$115:$B$3257,"="&amp;'Output - County'!B1718)*VLOOKUP(A1718,'Output - State'!$B$2:$G$52,2,FALSE)</f>
        <v>0.36550752709875006</v>
      </c>
      <c r="D1718" s="98">
        <f>SUMIFS(Input!$C$115:$C$3257,Input!$A$115:$A$3257,"="&amp;'Output - County'!A1718,Input!$B$115:$B$3257,"="&amp;'Output - County'!B1718)*VLOOKUP(A1718,'Output - State'!$B$2:$G$52,3,FALSE)</f>
        <v>9.8663652304268129E-2</v>
      </c>
      <c r="E1718" s="98">
        <f>SUMIFS(Input!$C$115:$C$3257,Input!$A$115:$A$3257,"="&amp;'Output - County'!A1718,Input!$B$115:$B$3257,"="&amp;'Output - County'!B1718)*VLOOKUP(A1718,'Output - State'!$B$2:$G$52,4,FALSE)</f>
        <v>1.2739516146967411</v>
      </c>
      <c r="F1718" s="98">
        <f>SUMIFS(Input!$C$115:$C$3257,Input!$A$115:$A$3257,"="&amp;'Output - County'!A1718,Input!$B$115:$B$3257,"="&amp;'Output - County'!B1718)*VLOOKUP(A1718,'Output - State'!$B$2:$G$52,5,FALSE)</f>
        <v>1.5133592385542682</v>
      </c>
      <c r="G1718" s="99">
        <f>SUMIFS(Input!$D$115:$D$3257,Input!$A$115:$A$3257,"="&amp;'Output - County'!A1718,Input!$B$115:$B$3257,"="&amp;'Output - County'!B1718)*VLOOKUP(A1718,'Output - State'!$B$2:$G$52,6,FALSE)</f>
        <v>1.0454956251643024</v>
      </c>
    </row>
    <row r="1719" spans="1:7" x14ac:dyDescent="0.25">
      <c r="A1719" s="88">
        <v>31</v>
      </c>
      <c r="B1719" s="88">
        <v>127</v>
      </c>
      <c r="C1719" s="97">
        <f>SUMIFS(Input!$C$115:$C$3257,Input!$A$115:$A$3257,"="&amp;'Output - County'!A1719,Input!$B$115:$B$3257,"="&amp;'Output - County'!B1719)*VLOOKUP(A1719,'Output - State'!$B$2:$G$52,2,FALSE)</f>
        <v>0.75035092061898956</v>
      </c>
      <c r="D1719" s="98">
        <f>SUMIFS(Input!$C$115:$C$3257,Input!$A$115:$A$3257,"="&amp;'Output - County'!A1719,Input!$B$115:$B$3257,"="&amp;'Output - County'!B1719)*VLOOKUP(A1719,'Output - State'!$B$2:$G$52,3,FALSE)</f>
        <v>0.20254675170653319</v>
      </c>
      <c r="E1719" s="98">
        <f>SUMIFS(Input!$C$115:$C$3257,Input!$A$115:$A$3257,"="&amp;'Output - County'!A1719,Input!$B$115:$B$3257,"="&amp;'Output - County'!B1719)*VLOOKUP(A1719,'Output - State'!$B$2:$G$52,4,FALSE)</f>
        <v>2.6152970760941052</v>
      </c>
      <c r="F1719" s="98">
        <f>SUMIFS(Input!$C$115:$C$3257,Input!$A$115:$A$3257,"="&amp;'Output - County'!A1719,Input!$B$115:$B$3257,"="&amp;'Output - County'!B1719)*VLOOKUP(A1719,'Output - State'!$B$2:$G$52,5,FALSE)</f>
        <v>3.1067773265573644</v>
      </c>
      <c r="G1719" s="99">
        <f>SUMIFS(Input!$D$115:$D$3257,Input!$A$115:$A$3257,"="&amp;'Output - County'!A1719,Input!$B$115:$B$3257,"="&amp;'Output - County'!B1719)*VLOOKUP(A1719,'Output - State'!$B$2:$G$52,6,FALSE)</f>
        <v>2.073119530240326</v>
      </c>
    </row>
    <row r="1720" spans="1:7" x14ac:dyDescent="0.25">
      <c r="A1720" s="88">
        <v>31</v>
      </c>
      <c r="B1720" s="88">
        <v>129</v>
      </c>
      <c r="C1720" s="97">
        <f>SUMIFS(Input!$C$115:$C$3257,Input!$A$115:$A$3257,"="&amp;'Output - County'!A1720,Input!$B$115:$B$3257,"="&amp;'Output - County'!B1720)*VLOOKUP(A1720,'Output - State'!$B$2:$G$52,2,FALSE)</f>
        <v>0.40487809605827418</v>
      </c>
      <c r="D1720" s="98">
        <f>SUMIFS(Input!$C$115:$C$3257,Input!$A$115:$A$3257,"="&amp;'Output - County'!A1720,Input!$B$115:$B$3257,"="&amp;'Output - County'!B1720)*VLOOKUP(A1720,'Output - State'!$B$2:$G$52,3,FALSE)</f>
        <v>0.10929118755005865</v>
      </c>
      <c r="E1720" s="98">
        <f>SUMIFS(Input!$C$115:$C$3257,Input!$A$115:$A$3257,"="&amp;'Output - County'!A1720,Input!$B$115:$B$3257,"="&amp;'Output - County'!B1720)*VLOOKUP(A1720,'Output - State'!$B$2:$G$52,4,FALSE)</f>
        <v>1.4111750538298136</v>
      </c>
      <c r="F1720" s="98">
        <f>SUMIFS(Input!$C$115:$C$3257,Input!$A$115:$A$3257,"="&amp;'Output - County'!A1720,Input!$B$115:$B$3257,"="&amp;'Output - County'!B1720)*VLOOKUP(A1720,'Output - State'!$B$2:$G$52,5,FALSE)</f>
        <v>1.6763704212102586</v>
      </c>
      <c r="G1720" s="99">
        <f>SUMIFS(Input!$D$115:$D$3257,Input!$A$115:$A$3257,"="&amp;'Output - County'!A1720,Input!$B$115:$B$3257,"="&amp;'Output - County'!B1720)*VLOOKUP(A1720,'Output - State'!$B$2:$G$52,6,FALSE)</f>
        <v>1.2539990261942202</v>
      </c>
    </row>
    <row r="1721" spans="1:7" x14ac:dyDescent="0.25">
      <c r="A1721" s="88">
        <v>31</v>
      </c>
      <c r="B1721" s="88">
        <v>131</v>
      </c>
      <c r="C1721" s="97">
        <f>SUMIFS(Input!$C$115:$C$3257,Input!$A$115:$A$3257,"="&amp;'Output - County'!A1721,Input!$B$115:$B$3257,"="&amp;'Output - County'!B1721)*VLOOKUP(A1721,'Output - State'!$B$2:$G$52,2,FALSE)</f>
        <v>6.3826250704729084</v>
      </c>
      <c r="D1721" s="98">
        <f>SUMIFS(Input!$C$115:$C$3257,Input!$A$115:$A$3257,"="&amp;'Output - County'!A1721,Input!$B$115:$B$3257,"="&amp;'Output - County'!B1721)*VLOOKUP(A1721,'Output - State'!$B$2:$G$52,3,FALSE)</f>
        <v>1.7229004987673135</v>
      </c>
      <c r="E1721" s="98">
        <f>SUMIFS(Input!$C$115:$C$3257,Input!$A$115:$A$3257,"="&amp;'Output - County'!A1721,Input!$B$115:$B$3257,"="&amp;'Output - County'!B1721)*VLOOKUP(A1721,'Output - State'!$B$2:$G$52,4,FALSE)</f>
        <v>22.246205376602404</v>
      </c>
      <c r="F1721" s="98">
        <f>SUMIFS(Input!$C$115:$C$3257,Input!$A$115:$A$3257,"="&amp;'Output - County'!A1721,Input!$B$115:$B$3257,"="&amp;'Output - County'!B1721)*VLOOKUP(A1721,'Output - State'!$B$2:$G$52,5,FALSE)</f>
        <v>26.426828178612617</v>
      </c>
      <c r="G1721" s="99">
        <f>SUMIFS(Input!$D$115:$D$3257,Input!$A$115:$A$3257,"="&amp;'Output - County'!A1721,Input!$B$115:$B$3257,"="&amp;'Output - County'!B1721)*VLOOKUP(A1721,'Output - State'!$B$2:$G$52,6,FALSE)</f>
        <v>4.7657920235409792</v>
      </c>
    </row>
    <row r="1722" spans="1:7" x14ac:dyDescent="0.25">
      <c r="A1722" s="88">
        <v>31</v>
      </c>
      <c r="B1722" s="88">
        <v>133</v>
      </c>
      <c r="C1722" s="97">
        <f>SUMIFS(Input!$C$115:$C$3257,Input!$A$115:$A$3257,"="&amp;'Output - County'!A1722,Input!$B$115:$B$3257,"="&amp;'Output - County'!B1722)*VLOOKUP(A1722,'Output - State'!$B$2:$G$52,2,FALSE)</f>
        <v>0.32024175998213711</v>
      </c>
      <c r="D1722" s="98">
        <f>SUMIFS(Input!$C$115:$C$3257,Input!$A$115:$A$3257,"="&amp;'Output - County'!A1722,Input!$B$115:$B$3257,"="&amp;'Output - County'!B1722)*VLOOKUP(A1722,'Output - State'!$B$2:$G$52,3,FALSE)</f>
        <v>8.6444790647630179E-2</v>
      </c>
      <c r="E1722" s="98">
        <f>SUMIFS(Input!$C$115:$C$3257,Input!$A$115:$A$3257,"="&amp;'Output - County'!A1722,Input!$B$115:$B$3257,"="&amp;'Output - County'!B1722)*VLOOKUP(A1722,'Output - State'!$B$2:$G$52,4,FALSE)</f>
        <v>1.1161808635266404</v>
      </c>
      <c r="F1722" s="98">
        <f>SUMIFS(Input!$C$115:$C$3257,Input!$A$115:$A$3257,"="&amp;'Output - County'!A1722,Input!$B$115:$B$3257,"="&amp;'Output - County'!B1722)*VLOOKUP(A1722,'Output - State'!$B$2:$G$52,5,FALSE)</f>
        <v>1.3259393859456938</v>
      </c>
      <c r="G1722" s="99">
        <f>SUMIFS(Input!$D$115:$D$3257,Input!$A$115:$A$3257,"="&amp;'Output - County'!A1722,Input!$B$115:$B$3257,"="&amp;'Output - County'!B1722)*VLOOKUP(A1722,'Output - State'!$B$2:$G$52,6,FALSE)</f>
        <v>0.78039844385483537</v>
      </c>
    </row>
    <row r="1723" spans="1:7" x14ac:dyDescent="0.25">
      <c r="A1723" s="88">
        <v>31</v>
      </c>
      <c r="B1723" s="88">
        <v>135</v>
      </c>
      <c r="C1723" s="97">
        <f>SUMIFS(Input!$C$115:$C$3257,Input!$A$115:$A$3257,"="&amp;'Output - County'!A1723,Input!$B$115:$B$3257,"="&amp;'Output - County'!B1723)*VLOOKUP(A1723,'Output - State'!$B$2:$G$52,2,FALSE)</f>
        <v>0.37052296409482205</v>
      </c>
      <c r="D1723" s="98">
        <f>SUMIFS(Input!$C$115:$C$3257,Input!$A$115:$A$3257,"="&amp;'Output - County'!A1723,Input!$B$115:$B$3257,"="&amp;'Output - County'!B1723)*VLOOKUP(A1723,'Output - State'!$B$2:$G$52,3,FALSE)</f>
        <v>0.10001749947634216</v>
      </c>
      <c r="E1723" s="98">
        <f>SUMIFS(Input!$C$115:$C$3257,Input!$A$115:$A$3257,"="&amp;'Output - County'!A1723,Input!$B$115:$B$3257,"="&amp;'Output - County'!B1723)*VLOOKUP(A1723,'Output - State'!$B$2:$G$52,4,FALSE)</f>
        <v>1.2914325790705048</v>
      </c>
      <c r="F1723" s="98">
        <f>SUMIFS(Input!$C$115:$C$3257,Input!$A$115:$A$3257,"="&amp;'Output - County'!A1723,Input!$B$115:$B$3257,"="&amp;'Output - County'!B1723)*VLOOKUP(A1723,'Output - State'!$B$2:$G$52,5,FALSE)</f>
        <v>1.5341253168171156</v>
      </c>
      <c r="G1723" s="99">
        <f>SUMIFS(Input!$D$115:$D$3257,Input!$A$115:$A$3257,"="&amp;'Output - County'!A1723,Input!$B$115:$B$3257,"="&amp;'Output - County'!B1723)*VLOOKUP(A1723,'Output - State'!$B$2:$G$52,6,FALSE)</f>
        <v>0.86379980426680247</v>
      </c>
    </row>
    <row r="1724" spans="1:7" x14ac:dyDescent="0.25">
      <c r="A1724" s="88">
        <v>31</v>
      </c>
      <c r="B1724" s="88">
        <v>137</v>
      </c>
      <c r="C1724" s="97">
        <f>SUMIFS(Input!$C$115:$C$3257,Input!$A$115:$A$3257,"="&amp;'Output - County'!A1724,Input!$B$115:$B$3257,"="&amp;'Output - County'!B1724)*VLOOKUP(A1724,'Output - State'!$B$2:$G$52,2,FALSE)</f>
        <v>1.5331820602773261</v>
      </c>
      <c r="D1724" s="98">
        <f>SUMIFS(Input!$C$115:$C$3257,Input!$A$115:$A$3257,"="&amp;'Output - County'!A1724,Input!$B$115:$B$3257,"="&amp;'Output - County'!B1724)*VLOOKUP(A1724,'Output - State'!$B$2:$G$52,3,FALSE)</f>
        <v>0.41386108492773871</v>
      </c>
      <c r="E1724" s="98">
        <f>SUMIFS(Input!$C$115:$C$3257,Input!$A$115:$A$3257,"="&amp;'Output - County'!A1724,Input!$B$115:$B$3257,"="&amp;'Output - County'!B1724)*VLOOKUP(A1724,'Output - State'!$B$2:$G$52,4,FALSE)</f>
        <v>5.3438017455292375</v>
      </c>
      <c r="F1724" s="98">
        <f>SUMIFS(Input!$C$115:$C$3257,Input!$A$115:$A$3257,"="&amp;'Output - County'!A1724,Input!$B$115:$B$3257,"="&amp;'Output - County'!B1724)*VLOOKUP(A1724,'Output - State'!$B$2:$G$52,5,FALSE)</f>
        <v>6.3480368071311686</v>
      </c>
      <c r="G1724" s="99">
        <f>SUMIFS(Input!$D$115:$D$3257,Input!$A$115:$A$3257,"="&amp;'Output - County'!A1724,Input!$B$115:$B$3257,"="&amp;'Output - County'!B1724)*VLOOKUP(A1724,'Output - State'!$B$2:$G$52,6,FALSE)</f>
        <v>2.6837366332565136</v>
      </c>
    </row>
    <row r="1725" spans="1:7" x14ac:dyDescent="0.25">
      <c r="A1725" s="88">
        <v>31</v>
      </c>
      <c r="B1725" s="88">
        <v>139</v>
      </c>
      <c r="C1725" s="97">
        <f>SUMIFS(Input!$C$115:$C$3257,Input!$A$115:$A$3257,"="&amp;'Output - County'!A1725,Input!$B$115:$B$3257,"="&amp;'Output - County'!B1725)*VLOOKUP(A1725,'Output - State'!$B$2:$G$52,2,FALSE)</f>
        <v>0.96955711760596952</v>
      </c>
      <c r="D1725" s="98">
        <f>SUMIFS(Input!$C$115:$C$3257,Input!$A$115:$A$3257,"="&amp;'Output - County'!A1725,Input!$B$115:$B$3257,"="&amp;'Output - County'!B1725)*VLOOKUP(A1725,'Output - State'!$B$2:$G$52,3,FALSE)</f>
        <v>0.26171840317466039</v>
      </c>
      <c r="E1725" s="98">
        <f>SUMIFS(Input!$C$115:$C$3257,Input!$A$115:$A$3257,"="&amp;'Output - County'!A1725,Input!$B$115:$B$3257,"="&amp;'Output - County'!B1725)*VLOOKUP(A1725,'Output - State'!$B$2:$G$52,4,FALSE)</f>
        <v>3.3793253597787998</v>
      </c>
      <c r="F1725" s="98">
        <f>SUMIFS(Input!$C$115:$C$3257,Input!$A$115:$A$3257,"="&amp;'Output - County'!A1725,Input!$B$115:$B$3257,"="&amp;'Output - County'!B1725)*VLOOKUP(A1725,'Output - State'!$B$2:$G$52,5,FALSE)</f>
        <v>4.0143857853811591</v>
      </c>
      <c r="G1725" s="99">
        <f>SUMIFS(Input!$D$115:$D$3257,Input!$A$115:$A$3257,"="&amp;'Output - County'!A1725,Input!$B$115:$B$3257,"="&amp;'Output - County'!B1725)*VLOOKUP(A1725,'Output - State'!$B$2:$G$52,6,FALSE)</f>
        <v>2.1297133105198749</v>
      </c>
    </row>
    <row r="1726" spans="1:7" x14ac:dyDescent="0.25">
      <c r="A1726" s="88">
        <v>31</v>
      </c>
      <c r="B1726" s="88">
        <v>141</v>
      </c>
      <c r="C1726" s="97">
        <f>SUMIFS(Input!$C$115:$C$3257,Input!$A$115:$A$3257,"="&amp;'Output - County'!A1726,Input!$B$115:$B$3257,"="&amp;'Output - County'!B1726)*VLOOKUP(A1726,'Output - State'!$B$2:$G$52,2,FALSE)</f>
        <v>8.6123376976351071</v>
      </c>
      <c r="D1726" s="98">
        <f>SUMIFS(Input!$C$115:$C$3257,Input!$A$115:$A$3257,"="&amp;'Output - County'!A1726,Input!$B$115:$B$3257,"="&amp;'Output - County'!B1726)*VLOOKUP(A1726,'Output - State'!$B$2:$G$52,3,FALSE)</f>
        <v>2.3247802825599244</v>
      </c>
      <c r="E1726" s="98">
        <f>SUMIFS(Input!$C$115:$C$3257,Input!$A$115:$A$3257,"="&amp;'Output - County'!A1726,Input!$B$115:$B$3257,"="&amp;'Output - County'!B1726)*VLOOKUP(A1726,'Output - State'!$B$2:$G$52,4,FALSE)</f>
        <v>30.017717017498267</v>
      </c>
      <c r="F1726" s="98">
        <f>SUMIFS(Input!$C$115:$C$3257,Input!$A$115:$A$3257,"="&amp;'Output - County'!A1726,Input!$B$115:$B$3257,"="&amp;'Output - County'!B1726)*VLOOKUP(A1726,'Output - State'!$B$2:$G$52,5,FALSE)</f>
        <v>35.658802771369402</v>
      </c>
      <c r="G1726" s="99">
        <f>SUMIFS(Input!$D$115:$D$3257,Input!$A$115:$A$3257,"="&amp;'Output - County'!A1726,Input!$B$115:$B$3257,"="&amp;'Output - County'!B1726)*VLOOKUP(A1726,'Output - State'!$B$2:$G$52,6,FALSE)</f>
        <v>9.918804648994664</v>
      </c>
    </row>
    <row r="1727" spans="1:7" x14ac:dyDescent="0.25">
      <c r="A1727" s="88">
        <v>31</v>
      </c>
      <c r="B1727" s="88">
        <v>143</v>
      </c>
      <c r="C1727" s="97">
        <f>SUMIFS(Input!$C$115:$C$3257,Input!$A$115:$A$3257,"="&amp;'Output - County'!A1727,Input!$B$115:$B$3257,"="&amp;'Output - County'!B1727)*VLOOKUP(A1727,'Output - State'!$B$2:$G$52,2,FALSE)</f>
        <v>0.61037895292349298</v>
      </c>
      <c r="D1727" s="98">
        <f>SUMIFS(Input!$C$115:$C$3257,Input!$A$115:$A$3257,"="&amp;'Output - County'!A1727,Input!$B$115:$B$3257,"="&amp;'Output - County'!B1727)*VLOOKUP(A1727,'Output - State'!$B$2:$G$52,3,FALSE)</f>
        <v>0.16476327385951858</v>
      </c>
      <c r="E1727" s="98">
        <f>SUMIFS(Input!$C$115:$C$3257,Input!$A$115:$A$3257,"="&amp;'Output - County'!A1727,Input!$B$115:$B$3257,"="&amp;'Output - County'!B1727)*VLOOKUP(A1727,'Output - State'!$B$2:$G$52,4,FALSE)</f>
        <v>2.1274343071017134</v>
      </c>
      <c r="F1727" s="98">
        <f>SUMIFS(Input!$C$115:$C$3257,Input!$A$115:$A$3257,"="&amp;'Output - County'!A1727,Input!$B$115:$B$3257,"="&amp;'Output - County'!B1727)*VLOOKUP(A1727,'Output - State'!$B$2:$G$52,5,FALSE)</f>
        <v>2.5272328445818424</v>
      </c>
      <c r="G1727" s="99">
        <f>SUMIFS(Input!$D$115:$D$3257,Input!$A$115:$A$3257,"="&amp;'Output - County'!A1727,Input!$B$115:$B$3257,"="&amp;'Output - County'!B1727)*VLOOKUP(A1727,'Output - State'!$B$2:$G$52,6,FALSE)</f>
        <v>1.5607968877096707</v>
      </c>
    </row>
    <row r="1728" spans="1:7" x14ac:dyDescent="0.25">
      <c r="A1728" s="88">
        <v>31</v>
      </c>
      <c r="B1728" s="88">
        <v>145</v>
      </c>
      <c r="C1728" s="97">
        <f>SUMIFS(Input!$C$115:$C$3257,Input!$A$115:$A$3257,"="&amp;'Output - County'!A1728,Input!$B$115:$B$3257,"="&amp;'Output - County'!B1728)*VLOOKUP(A1728,'Output - State'!$B$2:$G$52,2,FALSE)</f>
        <v>1.8939479545998976</v>
      </c>
      <c r="D1728" s="98">
        <f>SUMIFS(Input!$C$115:$C$3257,Input!$A$115:$A$3257,"="&amp;'Output - County'!A1728,Input!$B$115:$B$3257,"="&amp;'Output - County'!B1728)*VLOOKUP(A1728,'Output - State'!$B$2:$G$52,3,FALSE)</f>
        <v>0.51124479968517489</v>
      </c>
      <c r="E1728" s="98">
        <f>SUMIFS(Input!$C$115:$C$3257,Input!$A$115:$A$3257,"="&amp;'Output - County'!A1728,Input!$B$115:$B$3257,"="&amp;'Output - County'!B1728)*VLOOKUP(A1728,'Output - State'!$B$2:$G$52,4,FALSE)</f>
        <v>6.6012267218296117</v>
      </c>
      <c r="F1728" s="98">
        <f>SUMIFS(Input!$C$115:$C$3257,Input!$A$115:$A$3257,"="&amp;'Output - County'!A1728,Input!$B$115:$B$3257,"="&amp;'Output - County'!B1728)*VLOOKUP(A1728,'Output - State'!$B$2:$G$52,5,FALSE)</f>
        <v>7.8417636353090492</v>
      </c>
      <c r="G1728" s="99">
        <f>SUMIFS(Input!$D$115:$D$3257,Input!$A$115:$A$3257,"="&amp;'Output - County'!A1728,Input!$B$115:$B$3257,"="&amp;'Output - County'!B1728)*VLOOKUP(A1728,'Output - State'!$B$2:$G$52,6,FALSE)</f>
        <v>3.1871234157430299</v>
      </c>
    </row>
    <row r="1729" spans="1:7" x14ac:dyDescent="0.25">
      <c r="A1729" s="88">
        <v>31</v>
      </c>
      <c r="B1729" s="88">
        <v>147</v>
      </c>
      <c r="C1729" s="97">
        <f>SUMIFS(Input!$C$115:$C$3257,Input!$A$115:$A$3257,"="&amp;'Output - County'!A1729,Input!$B$115:$B$3257,"="&amp;'Output - County'!B1729)*VLOOKUP(A1729,'Output - State'!$B$2:$G$52,2,FALSE)</f>
        <v>0.78264965551966215</v>
      </c>
      <c r="D1729" s="98">
        <f>SUMIFS(Input!$C$115:$C$3257,Input!$A$115:$A$3257,"="&amp;'Output - County'!A1729,Input!$B$115:$B$3257,"="&amp;'Output - County'!B1729)*VLOOKUP(A1729,'Output - State'!$B$2:$G$52,3,FALSE)</f>
        <v>0.21126534411255699</v>
      </c>
      <c r="E1729" s="98">
        <f>SUMIFS(Input!$C$115:$C$3257,Input!$A$115:$A$3257,"="&amp;'Output - County'!A1729,Input!$B$115:$B$3257,"="&amp;'Output - County'!B1729)*VLOOKUP(A1729,'Output - State'!$B$2:$G$52,4,FALSE)</f>
        <v>2.7278721188188944</v>
      </c>
      <c r="F1729" s="98">
        <f>SUMIFS(Input!$C$115:$C$3257,Input!$A$115:$A$3257,"="&amp;'Output - County'!A1729,Input!$B$115:$B$3257,"="&amp;'Output - County'!B1729)*VLOOKUP(A1729,'Output - State'!$B$2:$G$52,5,FALSE)</f>
        <v>3.2405080577506027</v>
      </c>
      <c r="G1729" s="99">
        <f>SUMIFS(Input!$D$115:$D$3257,Input!$A$115:$A$3257,"="&amp;'Output - County'!A1729,Input!$B$115:$B$3257,"="&amp;'Output - County'!B1729)*VLOOKUP(A1729,'Output - State'!$B$2:$G$52,6,FALSE)</f>
        <v>2.3650242916822108</v>
      </c>
    </row>
    <row r="1730" spans="1:7" x14ac:dyDescent="0.25">
      <c r="A1730" s="88">
        <v>31</v>
      </c>
      <c r="B1730" s="88">
        <v>149</v>
      </c>
      <c r="C1730" s="97">
        <f>SUMIFS(Input!$C$115:$C$3257,Input!$A$115:$A$3257,"="&amp;'Output - County'!A1730,Input!$B$115:$B$3257,"="&amp;'Output - County'!B1730)*VLOOKUP(A1730,'Output - State'!$B$2:$G$52,2,FALSE)</f>
        <v>0.25796850892464651</v>
      </c>
      <c r="D1730" s="98">
        <f>SUMIFS(Input!$C$115:$C$3257,Input!$A$115:$A$3257,"="&amp;'Output - County'!A1730,Input!$B$115:$B$3257,"="&amp;'Output - County'!B1730)*VLOOKUP(A1730,'Output - State'!$B$2:$G$52,3,FALSE)</f>
        <v>6.9634996225714799E-2</v>
      </c>
      <c r="E1730" s="98">
        <f>SUMIFS(Input!$C$115:$C$3257,Input!$A$115:$A$3257,"="&amp;'Output - County'!A1730,Input!$B$115:$B$3257,"="&amp;'Output - County'!B1730)*VLOOKUP(A1730,'Output - State'!$B$2:$G$52,4,FALSE)</f>
        <v>0.89913168435700852</v>
      </c>
      <c r="F1730" s="98">
        <f>SUMIFS(Input!$C$115:$C$3257,Input!$A$115:$A$3257,"="&amp;'Output - County'!A1730,Input!$B$115:$B$3257,"="&amp;'Output - County'!B1730)*VLOOKUP(A1730,'Output - State'!$B$2:$G$52,5,FALSE)</f>
        <v>1.0681011943475187</v>
      </c>
      <c r="G1730" s="99">
        <f>SUMIFS(Input!$D$115:$D$3257,Input!$A$115:$A$3257,"="&amp;'Output - County'!A1730,Input!$B$115:$B$3257,"="&amp;'Output - County'!B1730)*VLOOKUP(A1730,'Output - State'!$B$2:$G$52,6,FALSE)</f>
        <v>0.40211370198627011</v>
      </c>
    </row>
    <row r="1731" spans="1:7" x14ac:dyDescent="0.25">
      <c r="A1731" s="88">
        <v>31</v>
      </c>
      <c r="B1731" s="88">
        <v>151</v>
      </c>
      <c r="C1731" s="97">
        <f>SUMIFS(Input!$C$115:$C$3257,Input!$A$115:$A$3257,"="&amp;'Output - County'!A1731,Input!$B$115:$B$3257,"="&amp;'Output - County'!B1731)*VLOOKUP(A1731,'Output - State'!$B$2:$G$52,2,FALSE)</f>
        <v>1.7287597844972233</v>
      </c>
      <c r="D1731" s="98">
        <f>SUMIFS(Input!$C$115:$C$3257,Input!$A$115:$A$3257,"="&amp;'Output - County'!A1731,Input!$B$115:$B$3257,"="&amp;'Output - County'!B1731)*VLOOKUP(A1731,'Output - State'!$B$2:$G$52,3,FALSE)</f>
        <v>0.46665456016492207</v>
      </c>
      <c r="E1731" s="98">
        <f>SUMIFS(Input!$C$115:$C$3257,Input!$A$115:$A$3257,"="&amp;'Output - County'!A1731,Input!$B$115:$B$3257,"="&amp;'Output - County'!B1731)*VLOOKUP(A1731,'Output - State'!$B$2:$G$52,4,FALSE)</f>
        <v>6.0254745951866866</v>
      </c>
      <c r="F1731" s="98">
        <f>SUMIFS(Input!$C$115:$C$3257,Input!$A$115:$A$3257,"="&amp;'Output - County'!A1731,Input!$B$115:$B$3257,"="&amp;'Output - County'!B1731)*VLOOKUP(A1731,'Output - State'!$B$2:$G$52,5,FALSE)</f>
        <v>7.1578131697493728</v>
      </c>
      <c r="G1731" s="99">
        <f>SUMIFS(Input!$D$115:$D$3257,Input!$A$115:$A$3257,"="&amp;'Output - County'!A1731,Input!$B$115:$B$3257,"="&amp;'Output - County'!B1731)*VLOOKUP(A1731,'Output - State'!$B$2:$G$52,6,FALSE)</f>
        <v>4.2594266210397498</v>
      </c>
    </row>
    <row r="1732" spans="1:7" x14ac:dyDescent="0.25">
      <c r="A1732" s="88">
        <v>31</v>
      </c>
      <c r="B1732" s="88">
        <v>153</v>
      </c>
      <c r="C1732" s="97">
        <f>SUMIFS(Input!$C$115:$C$3257,Input!$A$115:$A$3257,"="&amp;'Output - County'!A1732,Input!$B$115:$B$3257,"="&amp;'Output - County'!B1732)*VLOOKUP(A1732,'Output - State'!$B$2:$G$52,2,FALSE)</f>
        <v>49.427943679916048</v>
      </c>
      <c r="D1732" s="98">
        <f>SUMIFS(Input!$C$115:$C$3257,Input!$A$115:$A$3257,"="&amp;'Output - County'!A1732,Input!$B$115:$B$3257,"="&amp;'Output - County'!B1732)*VLOOKUP(A1732,'Output - State'!$B$2:$G$52,3,FALSE)</f>
        <v>13.342383091422967</v>
      </c>
      <c r="E1732" s="98">
        <f>SUMIFS(Input!$C$115:$C$3257,Input!$A$115:$A$3257,"="&amp;'Output - County'!A1732,Input!$B$115:$B$3257,"="&amp;'Output - County'!B1732)*VLOOKUP(A1732,'Output - State'!$B$2:$G$52,4,FALSE)</f>
        <v>172.27773436566244</v>
      </c>
      <c r="F1732" s="98">
        <f>SUMIFS(Input!$C$115:$C$3257,Input!$A$115:$A$3257,"="&amp;'Output - County'!A1732,Input!$B$115:$B$3257,"="&amp;'Output - County'!B1732)*VLOOKUP(A1732,'Output - State'!$B$2:$G$52,5,FALSE)</f>
        <v>204.65306365778756</v>
      </c>
      <c r="G1732" s="99">
        <f>SUMIFS(Input!$D$115:$D$3257,Input!$A$115:$A$3257,"="&amp;'Output - County'!A1732,Input!$B$115:$B$3257,"="&amp;'Output - County'!B1732)*VLOOKUP(A1732,'Output - State'!$B$2:$G$52,6,FALSE)</f>
        <v>54.806608270721263</v>
      </c>
    </row>
    <row r="1733" spans="1:7" x14ac:dyDescent="0.25">
      <c r="A1733" s="88">
        <v>31</v>
      </c>
      <c r="B1733" s="88">
        <v>155</v>
      </c>
      <c r="C1733" s="97">
        <f>SUMIFS(Input!$C$115:$C$3257,Input!$A$115:$A$3257,"="&amp;'Output - County'!A1733,Input!$B$115:$B$3257,"="&amp;'Output - County'!B1733)*VLOOKUP(A1733,'Output - State'!$B$2:$G$52,2,FALSE)</f>
        <v>3.5833381363056835</v>
      </c>
      <c r="D1733" s="98">
        <f>SUMIFS(Input!$C$115:$C$3257,Input!$A$115:$A$3257,"="&amp;'Output - County'!A1733,Input!$B$115:$B$3257,"="&amp;'Output - County'!B1733)*VLOOKUP(A1733,'Output - State'!$B$2:$G$52,3,FALSE)</f>
        <v>0.96727208540788812</v>
      </c>
      <c r="E1733" s="98">
        <f>SUMIFS(Input!$C$115:$C$3257,Input!$A$115:$A$3257,"="&amp;'Output - County'!A1733,Input!$B$115:$B$3257,"="&amp;'Output - County'!B1733)*VLOOKUP(A1733,'Output - State'!$B$2:$G$52,4,FALSE)</f>
        <v>12.489481245396348</v>
      </c>
      <c r="F1733" s="98">
        <f>SUMIFS(Input!$C$115:$C$3257,Input!$A$115:$A$3257,"="&amp;'Output - County'!A1733,Input!$B$115:$B$3257,"="&amp;'Output - County'!B1733)*VLOOKUP(A1733,'Output - State'!$B$2:$G$52,5,FALSE)</f>
        <v>14.836569622756162</v>
      </c>
      <c r="G1733" s="99">
        <f>SUMIFS(Input!$D$115:$D$3257,Input!$A$115:$A$3257,"="&amp;'Output - County'!A1733,Input!$B$115:$B$3257,"="&amp;'Output - County'!B1733)*VLOOKUP(A1733,'Output - State'!$B$2:$G$52,6,FALSE)</f>
        <v>6.3444606313389276</v>
      </c>
    </row>
    <row r="1734" spans="1:7" x14ac:dyDescent="0.25">
      <c r="A1734" s="88">
        <v>31</v>
      </c>
      <c r="B1734" s="88">
        <v>157</v>
      </c>
      <c r="C1734" s="97">
        <f>SUMIFS(Input!$C$115:$C$3257,Input!$A$115:$A$3257,"="&amp;'Output - County'!A1734,Input!$B$115:$B$3257,"="&amp;'Output - County'!B1734)*VLOOKUP(A1734,'Output - State'!$B$2:$G$52,2,FALSE)</f>
        <v>7.8086631725418805</v>
      </c>
      <c r="D1734" s="98">
        <f>SUMIFS(Input!$C$115:$C$3257,Input!$A$115:$A$3257,"="&amp;'Output - County'!A1734,Input!$B$115:$B$3257,"="&amp;'Output - County'!B1734)*VLOOKUP(A1734,'Output - State'!$B$2:$G$52,3,FALSE)</f>
        <v>2.1078395685368911</v>
      </c>
      <c r="E1734" s="98">
        <f>SUMIFS(Input!$C$115:$C$3257,Input!$A$115:$A$3257,"="&amp;'Output - County'!A1734,Input!$B$115:$B$3257,"="&amp;'Output - County'!B1734)*VLOOKUP(A1734,'Output - State'!$B$2:$G$52,4,FALSE)</f>
        <v>27.216564146420627</v>
      </c>
      <c r="F1734" s="98">
        <f>SUMIFS(Input!$C$115:$C$3257,Input!$A$115:$A$3257,"="&amp;'Output - County'!A1734,Input!$B$115:$B$3257,"="&amp;'Output - County'!B1734)*VLOOKUP(A1734,'Output - State'!$B$2:$G$52,5,FALSE)</f>
        <v>32.331242660652578</v>
      </c>
      <c r="G1734" s="99">
        <f>SUMIFS(Input!$D$115:$D$3257,Input!$A$115:$A$3257,"="&amp;'Output - County'!A1734,Input!$B$115:$B$3257,"="&amp;'Output - County'!B1734)*VLOOKUP(A1734,'Output - State'!$B$2:$G$52,6,FALSE)</f>
        <v>10.693245852820072</v>
      </c>
    </row>
    <row r="1735" spans="1:7" x14ac:dyDescent="0.25">
      <c r="A1735" s="88">
        <v>31</v>
      </c>
      <c r="B1735" s="88">
        <v>159</v>
      </c>
      <c r="C1735" s="97">
        <f>SUMIFS(Input!$C$115:$C$3257,Input!$A$115:$A$3257,"="&amp;'Output - County'!A1735,Input!$B$115:$B$3257,"="&amp;'Output - County'!B1735)*VLOOKUP(A1735,'Output - State'!$B$2:$G$52,2,FALSE)</f>
        <v>12.108526862263018</v>
      </c>
      <c r="D1735" s="98">
        <f>SUMIFS(Input!$C$115:$C$3257,Input!$A$115:$A$3257,"="&amp;'Output - County'!A1735,Input!$B$115:$B$3257,"="&amp;'Output - County'!B1735)*VLOOKUP(A1735,'Output - State'!$B$2:$G$52,3,FALSE)</f>
        <v>3.2685277201759013</v>
      </c>
      <c r="E1735" s="98">
        <f>SUMIFS(Input!$C$115:$C$3257,Input!$A$115:$A$3257,"="&amp;'Output - County'!A1735,Input!$B$115:$B$3257,"="&amp;'Output - County'!B1735)*VLOOKUP(A1735,'Output - State'!$B$2:$G$52,4,FALSE)</f>
        <v>42.203446452174546</v>
      </c>
      <c r="F1735" s="98">
        <f>SUMIFS(Input!$C$115:$C$3257,Input!$A$115:$A$3257,"="&amp;'Output - County'!A1735,Input!$B$115:$B$3257,"="&amp;'Output - County'!B1735)*VLOOKUP(A1735,'Output - State'!$B$2:$G$52,5,FALSE)</f>
        <v>50.134537960794098</v>
      </c>
      <c r="G1735" s="99">
        <f>SUMIFS(Input!$D$115:$D$3257,Input!$A$115:$A$3257,"="&amp;'Output - County'!A1735,Input!$B$115:$B$3257,"="&amp;'Output - County'!B1735)*VLOOKUP(A1735,'Output - State'!$B$2:$G$52,6,FALSE)</f>
        <v>5.1530126254536839</v>
      </c>
    </row>
    <row r="1736" spans="1:7" x14ac:dyDescent="0.25">
      <c r="A1736" s="88">
        <v>31</v>
      </c>
      <c r="B1736" s="88">
        <v>161</v>
      </c>
      <c r="C1736" s="97">
        <f>SUMIFS(Input!$C$115:$C$3257,Input!$A$115:$A$3257,"="&amp;'Output - County'!A1736,Input!$B$115:$B$3257,"="&amp;'Output - County'!B1736)*VLOOKUP(A1736,'Output - State'!$B$2:$G$52,2,FALSE)</f>
        <v>0.72604431874800124</v>
      </c>
      <c r="D1736" s="98">
        <f>SUMIFS(Input!$C$115:$C$3257,Input!$A$115:$A$3257,"="&amp;'Output - County'!A1736,Input!$B$115:$B$3257,"="&amp;'Output - County'!B1736)*VLOOKUP(A1736,'Output - State'!$B$2:$G$52,3,FALSE)</f>
        <v>0.19598552399466301</v>
      </c>
      <c r="E1736" s="98">
        <f>SUMIFS(Input!$C$115:$C$3257,Input!$A$115:$A$3257,"="&amp;'Output - County'!A1736,Input!$B$115:$B$3257,"="&amp;'Output - County'!B1736)*VLOOKUP(A1736,'Output - State'!$B$2:$G$52,4,FALSE)</f>
        <v>2.5305780692185769</v>
      </c>
      <c r="F1736" s="98">
        <f>SUMIFS(Input!$C$115:$C$3257,Input!$A$115:$A$3257,"="&amp;'Output - County'!A1736,Input!$B$115:$B$3257,"="&amp;'Output - County'!B1736)*VLOOKUP(A1736,'Output - State'!$B$2:$G$52,5,FALSE)</f>
        <v>3.0061374825812313</v>
      </c>
      <c r="G1736" s="99">
        <f>SUMIFS(Input!$D$115:$D$3257,Input!$A$115:$A$3257,"="&amp;'Output - County'!A1736,Input!$B$115:$B$3257,"="&amp;'Output - County'!B1736)*VLOOKUP(A1736,'Output - State'!$B$2:$G$52,6,FALSE)</f>
        <v>1.545903787636105</v>
      </c>
    </row>
    <row r="1737" spans="1:7" x14ac:dyDescent="0.25">
      <c r="A1737" s="88">
        <v>31</v>
      </c>
      <c r="B1737" s="88">
        <v>163</v>
      </c>
      <c r="C1737" s="97">
        <f>SUMIFS(Input!$C$115:$C$3257,Input!$A$115:$A$3257,"="&amp;'Output - County'!A1737,Input!$B$115:$B$3257,"="&amp;'Output - County'!B1737)*VLOOKUP(A1737,'Output - State'!$B$2:$G$52,2,FALSE)</f>
        <v>0.38502903536130306</v>
      </c>
      <c r="D1737" s="98">
        <f>SUMIFS(Input!$C$115:$C$3257,Input!$A$115:$A$3257,"="&amp;'Output - County'!A1737,Input!$B$115:$B$3257,"="&amp;'Output - County'!B1737)*VLOOKUP(A1737,'Output - State'!$B$2:$G$52,3,FALSE)</f>
        <v>0.10393321082460759</v>
      </c>
      <c r="E1737" s="98">
        <f>SUMIFS(Input!$C$115:$C$3257,Input!$A$115:$A$3257,"="&amp;'Output - County'!A1737,Input!$B$115:$B$3257,"="&amp;'Output - County'!B1737)*VLOOKUP(A1737,'Output - State'!$B$2:$G$52,4,FALSE)</f>
        <v>1.3419925034023685</v>
      </c>
      <c r="F1737" s="98">
        <f>SUMIFS(Input!$C$115:$C$3257,Input!$A$115:$A$3257,"="&amp;'Output - County'!A1737,Input!$B$115:$B$3257,"="&amp;'Output - County'!B1737)*VLOOKUP(A1737,'Output - State'!$B$2:$G$52,5,FALSE)</f>
        <v>1.5941867255123312</v>
      </c>
      <c r="G1737" s="99">
        <f>SUMIFS(Input!$D$115:$D$3257,Input!$A$115:$A$3257,"="&amp;'Output - County'!A1737,Input!$B$115:$B$3257,"="&amp;'Output - County'!B1737)*VLOOKUP(A1737,'Output - State'!$B$2:$G$52,6,FALSE)</f>
        <v>0.90550048447278608</v>
      </c>
    </row>
    <row r="1738" spans="1:7" x14ac:dyDescent="0.25">
      <c r="A1738" s="88">
        <v>31</v>
      </c>
      <c r="B1738" s="88">
        <v>165</v>
      </c>
      <c r="C1738" s="97">
        <f>SUMIFS(Input!$C$115:$C$3257,Input!$A$115:$A$3257,"="&amp;'Output - County'!A1738,Input!$B$115:$B$3257,"="&amp;'Output - County'!B1738)*VLOOKUP(A1738,'Output - State'!$B$2:$G$52,2,FALSE)</f>
        <v>0.20981449623743645</v>
      </c>
      <c r="D1738" s="98">
        <f>SUMIFS(Input!$C$115:$C$3257,Input!$A$115:$A$3257,"="&amp;'Output - County'!A1738,Input!$B$115:$B$3257,"="&amp;'Output - County'!B1738)*VLOOKUP(A1738,'Output - State'!$B$2:$G$52,3,FALSE)</f>
        <v>5.6636493014199256E-2</v>
      </c>
      <c r="E1738" s="98">
        <f>SUMIFS(Input!$C$115:$C$3257,Input!$A$115:$A$3257,"="&amp;'Output - County'!A1738,Input!$B$115:$B$3257,"="&amp;'Output - County'!B1738)*VLOOKUP(A1738,'Output - State'!$B$2:$G$52,4,FALSE)</f>
        <v>0.7312941497816271</v>
      </c>
      <c r="F1738" s="98">
        <f>SUMIFS(Input!$C$115:$C$3257,Input!$A$115:$A$3257,"="&amp;'Output - County'!A1738,Input!$B$115:$B$3257,"="&amp;'Output - County'!B1738)*VLOOKUP(A1738,'Output - State'!$B$2:$G$52,5,FALSE)</f>
        <v>0.86872275595503068</v>
      </c>
      <c r="G1738" s="99">
        <f>SUMIFS(Input!$D$115:$D$3257,Input!$A$115:$A$3257,"="&amp;'Output - County'!A1738,Input!$B$115:$B$3257,"="&amp;'Output - County'!B1738)*VLOOKUP(A1738,'Output - State'!$B$2:$G$52,6,FALSE)</f>
        <v>0.35445578175086034</v>
      </c>
    </row>
    <row r="1739" spans="1:7" x14ac:dyDescent="0.25">
      <c r="A1739" s="88">
        <v>31</v>
      </c>
      <c r="B1739" s="88">
        <v>167</v>
      </c>
      <c r="C1739" s="97">
        <f>SUMIFS(Input!$C$115:$C$3257,Input!$A$115:$A$3257,"="&amp;'Output - County'!A1739,Input!$B$115:$B$3257,"="&amp;'Output - County'!B1739)*VLOOKUP(A1739,'Output - State'!$B$2:$G$52,2,FALSE)</f>
        <v>0.78932855679835356</v>
      </c>
      <c r="D1739" s="98">
        <f>SUMIFS(Input!$C$115:$C$3257,Input!$A$115:$A$3257,"="&amp;'Output - County'!A1739,Input!$B$115:$B$3257,"="&amp;'Output - County'!B1739)*VLOOKUP(A1739,'Output - State'!$B$2:$G$52,3,FALSE)</f>
        <v>0.21306822023597347</v>
      </c>
      <c r="E1739" s="98">
        <f>SUMIFS(Input!$C$115:$C$3257,Input!$A$115:$A$3257,"="&amp;'Output - County'!A1739,Input!$B$115:$B$3257,"="&amp;'Output - County'!B1739)*VLOOKUP(A1739,'Output - State'!$B$2:$G$52,4,FALSE)</f>
        <v>2.7511509747590903</v>
      </c>
      <c r="F1739" s="98">
        <f>SUMIFS(Input!$C$115:$C$3257,Input!$A$115:$A$3257,"="&amp;'Output - County'!A1739,Input!$B$115:$B$3257,"="&amp;'Output - County'!B1739)*VLOOKUP(A1739,'Output - State'!$B$2:$G$52,5,FALSE)</f>
        <v>3.2681615975661278</v>
      </c>
      <c r="G1739" s="99">
        <f>SUMIFS(Input!$D$115:$D$3257,Input!$A$115:$A$3257,"="&amp;'Output - County'!A1739,Input!$B$115:$B$3257,"="&amp;'Output - County'!B1739)*VLOOKUP(A1739,'Output - State'!$B$2:$G$52,6,FALSE)</f>
        <v>1.7782361487837279</v>
      </c>
    </row>
    <row r="1740" spans="1:7" x14ac:dyDescent="0.25">
      <c r="A1740" s="88">
        <v>31</v>
      </c>
      <c r="B1740" s="88">
        <v>169</v>
      </c>
      <c r="C1740" s="97">
        <f>SUMIFS(Input!$C$115:$C$3257,Input!$A$115:$A$3257,"="&amp;'Output - County'!A1740,Input!$B$115:$B$3257,"="&amp;'Output - County'!B1740)*VLOOKUP(A1740,'Output - State'!$B$2:$G$52,2,FALSE)</f>
        <v>2.1205389940879216</v>
      </c>
      <c r="D1740" s="98">
        <f>SUMIFS(Input!$C$115:$C$3257,Input!$A$115:$A$3257,"="&amp;'Output - County'!A1740,Input!$B$115:$B$3257,"="&amp;'Output - County'!B1740)*VLOOKUP(A1740,'Output - State'!$B$2:$G$52,3,FALSE)</f>
        <v>0.57240988625059885</v>
      </c>
      <c r="E1740" s="98">
        <f>SUMIFS(Input!$C$115:$C$3257,Input!$A$115:$A$3257,"="&amp;'Output - County'!A1740,Input!$B$115:$B$3257,"="&amp;'Output - County'!B1740)*VLOOKUP(A1740,'Output - State'!$B$2:$G$52,4,FALSE)</f>
        <v>7.3909943715491524</v>
      </c>
      <c r="F1740" s="98">
        <f>SUMIFS(Input!$C$115:$C$3257,Input!$A$115:$A$3257,"="&amp;'Output - County'!A1740,Input!$B$115:$B$3257,"="&amp;'Output - County'!B1740)*VLOOKUP(A1740,'Output - State'!$B$2:$G$52,5,FALSE)</f>
        <v>8.7799485359175939</v>
      </c>
      <c r="G1740" s="99">
        <f>SUMIFS(Input!$D$115:$D$3257,Input!$A$115:$A$3257,"="&amp;'Output - County'!A1740,Input!$B$115:$B$3257,"="&amp;'Output - County'!B1740)*VLOOKUP(A1740,'Output - State'!$B$2:$G$52,6,FALSE)</f>
        <v>1.5012244874154084</v>
      </c>
    </row>
    <row r="1741" spans="1:7" x14ac:dyDescent="0.25">
      <c r="A1741" s="88">
        <v>31</v>
      </c>
      <c r="B1741" s="88">
        <v>171</v>
      </c>
      <c r="C1741" s="97">
        <f>SUMIFS(Input!$C$115:$C$3257,Input!$A$115:$A$3257,"="&amp;'Output - County'!A1741,Input!$B$115:$B$3257,"="&amp;'Output - County'!B1741)*VLOOKUP(A1741,'Output - State'!$B$2:$G$52,2,FALSE)</f>
        <v>0.20179860128864346</v>
      </c>
      <c r="D1741" s="98">
        <f>SUMIFS(Input!$C$115:$C$3257,Input!$A$115:$A$3257,"="&amp;'Output - County'!A1741,Input!$B$115:$B$3257,"="&amp;'Output - County'!B1741)*VLOOKUP(A1741,'Output - State'!$B$2:$G$52,3,FALSE)</f>
        <v>5.447271412183851E-2</v>
      </c>
      <c r="E1741" s="98">
        <f>SUMIFS(Input!$C$115:$C$3257,Input!$A$115:$A$3257,"="&amp;'Output - County'!A1741,Input!$B$115:$B$3257,"="&amp;'Output - County'!B1741)*VLOOKUP(A1741,'Output - State'!$B$2:$G$52,4,FALSE)</f>
        <v>0.70335529338019576</v>
      </c>
      <c r="F1741" s="98">
        <f>SUMIFS(Input!$C$115:$C$3257,Input!$A$115:$A$3257,"="&amp;'Output - County'!A1741,Input!$B$115:$B$3257,"="&amp;'Output - County'!B1741)*VLOOKUP(A1741,'Output - State'!$B$2:$G$52,5,FALSE)</f>
        <v>0.83553348411615302</v>
      </c>
      <c r="G1741" s="99">
        <f>SUMIFS(Input!$D$115:$D$3257,Input!$A$115:$A$3257,"="&amp;'Output - County'!A1741,Input!$B$115:$B$3257,"="&amp;'Output - County'!B1741)*VLOOKUP(A1741,'Output - State'!$B$2:$G$52,6,FALSE)</f>
        <v>0.21267346905051618</v>
      </c>
    </row>
    <row r="1742" spans="1:7" x14ac:dyDescent="0.25">
      <c r="A1742" s="88">
        <v>31</v>
      </c>
      <c r="B1742" s="88">
        <v>173</v>
      </c>
      <c r="C1742" s="97">
        <f>SUMIFS(Input!$C$115:$C$3257,Input!$A$115:$A$3257,"="&amp;'Output - County'!A1742,Input!$B$115:$B$3257,"="&amp;'Output - County'!B1742)*VLOOKUP(A1742,'Output - State'!$B$2:$G$52,2,FALSE)</f>
        <v>0.6443541799219018</v>
      </c>
      <c r="D1742" s="98">
        <f>SUMIFS(Input!$C$115:$C$3257,Input!$A$115:$A$3257,"="&amp;'Output - County'!A1742,Input!$B$115:$B$3257,"="&amp;'Output - County'!B1742)*VLOOKUP(A1742,'Output - State'!$B$2:$G$52,3,FALSE)</f>
        <v>0.17393441189363062</v>
      </c>
      <c r="E1742" s="98">
        <f>SUMIFS(Input!$C$115:$C$3257,Input!$A$115:$A$3257,"="&amp;'Output - County'!A1742,Input!$B$115:$B$3257,"="&amp;'Output - County'!B1742)*VLOOKUP(A1742,'Output - State'!$B$2:$G$52,4,FALSE)</f>
        <v>2.2458526489560451</v>
      </c>
      <c r="F1742" s="98">
        <f>SUMIFS(Input!$C$115:$C$3257,Input!$A$115:$A$3257,"="&amp;'Output - County'!A1742,Input!$B$115:$B$3257,"="&amp;'Output - County'!B1742)*VLOOKUP(A1742,'Output - State'!$B$2:$G$52,5,FALSE)</f>
        <v>2.6679049781166708</v>
      </c>
      <c r="G1742" s="99">
        <f>SUMIFS(Input!$D$115:$D$3257,Input!$A$115:$A$3257,"="&amp;'Output - County'!A1742,Input!$B$115:$B$3257,"="&amp;'Output - County'!B1742)*VLOOKUP(A1742,'Output - State'!$B$2:$G$52,6,FALSE)</f>
        <v>2.1654567506964324</v>
      </c>
    </row>
    <row r="1743" spans="1:7" x14ac:dyDescent="0.25">
      <c r="A1743" s="88">
        <v>31</v>
      </c>
      <c r="B1743" s="88">
        <v>175</v>
      </c>
      <c r="C1743" s="97">
        <f>SUMIFS(Input!$C$115:$C$3257,Input!$A$115:$A$3257,"="&amp;'Output - County'!A1743,Input!$B$115:$B$3257,"="&amp;'Output - County'!B1743)*VLOOKUP(A1743,'Output - State'!$B$2:$G$52,2,FALSE)</f>
        <v>0.46605134937084614</v>
      </c>
      <c r="D1743" s="98">
        <f>SUMIFS(Input!$C$115:$C$3257,Input!$A$115:$A$3257,"="&amp;'Output - County'!A1743,Input!$B$115:$B$3257,"="&amp;'Output - County'!B1743)*VLOOKUP(A1743,'Output - State'!$B$2:$G$52,3,FALSE)</f>
        <v>0.12580405294317509</v>
      </c>
      <c r="E1743" s="98">
        <f>SUMIFS(Input!$C$115:$C$3257,Input!$A$115:$A$3257,"="&amp;'Output - County'!A1743,Input!$B$115:$B$3257,"="&amp;'Output - County'!B1743)*VLOOKUP(A1743,'Output - State'!$B$2:$G$52,4,FALSE)</f>
        <v>1.6243902657090172</v>
      </c>
      <c r="F1743" s="98">
        <f>SUMIFS(Input!$C$115:$C$3257,Input!$A$115:$A$3257,"="&amp;'Output - County'!A1743,Input!$B$115:$B$3257,"="&amp;'Output - County'!B1743)*VLOOKUP(A1743,'Output - State'!$B$2:$G$52,5,FALSE)</f>
        <v>1.9296541464124197</v>
      </c>
      <c r="G1743" s="99">
        <f>SUMIFS(Input!$D$115:$D$3257,Input!$A$115:$A$3257,"="&amp;'Output - County'!A1743,Input!$B$115:$B$3257,"="&amp;'Output - County'!B1743)*VLOOKUP(A1743,'Output - State'!$B$2:$G$52,6,FALSE)</f>
        <v>1.2510204061795069</v>
      </c>
    </row>
    <row r="1744" spans="1:7" x14ac:dyDescent="0.25">
      <c r="A1744" s="88">
        <v>31</v>
      </c>
      <c r="B1744" s="88">
        <v>177</v>
      </c>
      <c r="C1744" s="97">
        <f>SUMIFS(Input!$C$115:$C$3257,Input!$A$115:$A$3257,"="&amp;'Output - County'!A1744,Input!$B$115:$B$3257,"="&amp;'Output - County'!B1744)*VLOOKUP(A1744,'Output - State'!$B$2:$G$52,2,FALSE)</f>
        <v>4.1995127638811693</v>
      </c>
      <c r="D1744" s="98">
        <f>SUMIFS(Input!$C$115:$C$3257,Input!$A$115:$A$3257,"="&amp;'Output - County'!A1744,Input!$B$115:$B$3257,"="&amp;'Output - County'!B1744)*VLOOKUP(A1744,'Output - State'!$B$2:$G$52,3,FALSE)</f>
        <v>1.1335998206979871</v>
      </c>
      <c r="E1744" s="98">
        <f>SUMIFS(Input!$C$115:$C$3257,Input!$A$115:$A$3257,"="&amp;'Output - County'!A1744,Input!$B$115:$B$3257,"="&amp;'Output - County'!B1744)*VLOOKUP(A1744,'Output - State'!$B$2:$G$52,4,FALSE)</f>
        <v>14.637115982130167</v>
      </c>
      <c r="F1744" s="98">
        <f>SUMIFS(Input!$C$115:$C$3257,Input!$A$115:$A$3257,"="&amp;'Output - County'!A1744,Input!$B$115:$B$3257,"="&amp;'Output - County'!B1744)*VLOOKUP(A1744,'Output - State'!$B$2:$G$52,5,FALSE)</f>
        <v>17.387799066937109</v>
      </c>
      <c r="G1744" s="99">
        <f>SUMIFS(Input!$D$115:$D$3257,Input!$A$115:$A$3257,"="&amp;'Output - County'!A1744,Input!$B$115:$B$3257,"="&amp;'Output - County'!B1744)*VLOOKUP(A1744,'Output - State'!$B$2:$G$52,6,FALSE)</f>
        <v>6.1359572303090104</v>
      </c>
    </row>
    <row r="1745" spans="1:7" x14ac:dyDescent="0.25">
      <c r="A1745" s="88">
        <v>31</v>
      </c>
      <c r="B1745" s="88">
        <v>179</v>
      </c>
      <c r="C1745" s="97">
        <f>SUMIFS(Input!$C$115:$C$3257,Input!$A$115:$A$3257,"="&amp;'Output - County'!A1745,Input!$B$115:$B$3257,"="&amp;'Output - County'!B1745)*VLOOKUP(A1745,'Output - State'!$B$2:$G$52,2,FALSE)</f>
        <v>1.2205354697331443</v>
      </c>
      <c r="D1745" s="98">
        <f>SUMIFS(Input!$C$115:$C$3257,Input!$A$115:$A$3257,"="&amp;'Output - County'!A1745,Input!$B$115:$B$3257,"="&amp;'Output - County'!B1745)*VLOOKUP(A1745,'Output - State'!$B$2:$G$52,3,FALSE)</f>
        <v>0.32946650419662271</v>
      </c>
      <c r="E1745" s="98">
        <f>SUMIFS(Input!$C$115:$C$3257,Input!$A$115:$A$3257,"="&amp;'Output - County'!A1745,Input!$B$115:$B$3257,"="&amp;'Output - County'!B1745)*VLOOKUP(A1745,'Output - State'!$B$2:$G$52,4,FALSE)</f>
        <v>4.2540933282643243</v>
      </c>
      <c r="F1745" s="98">
        <f>SUMIFS(Input!$C$115:$C$3257,Input!$A$115:$A$3257,"="&amp;'Output - County'!A1745,Input!$B$115:$B$3257,"="&amp;'Output - County'!B1745)*VLOOKUP(A1745,'Output - State'!$B$2:$G$52,5,FALSE)</f>
        <v>5.0535447074521924</v>
      </c>
      <c r="G1745" s="99">
        <f>SUMIFS(Input!$D$115:$D$3257,Input!$A$115:$A$3257,"="&amp;'Output - County'!A1745,Input!$B$115:$B$3257,"="&amp;'Output - County'!B1745)*VLOOKUP(A1745,'Output - State'!$B$2:$G$52,6,FALSE)</f>
        <v>2.7760738537126204</v>
      </c>
    </row>
    <row r="1746" spans="1:7" x14ac:dyDescent="0.25">
      <c r="A1746" s="88">
        <v>31</v>
      </c>
      <c r="B1746" s="88">
        <v>181</v>
      </c>
      <c r="C1746" s="97">
        <f>SUMIFS(Input!$C$115:$C$3257,Input!$A$115:$A$3257,"="&amp;'Output - County'!A1746,Input!$B$115:$B$3257,"="&amp;'Output - County'!B1746)*VLOOKUP(A1746,'Output - State'!$B$2:$G$52,2,FALSE)</f>
        <v>0.37485376462792219</v>
      </c>
      <c r="D1746" s="98">
        <f>SUMIFS(Input!$C$115:$C$3257,Input!$A$115:$A$3257,"="&amp;'Output - County'!A1746,Input!$B$115:$B$3257,"="&amp;'Output - County'!B1746)*VLOOKUP(A1746,'Output - State'!$B$2:$G$52,3,FALSE)</f>
        <v>0.10118653859679093</v>
      </c>
      <c r="E1746" s="98">
        <f>SUMIFS(Input!$C$115:$C$3257,Input!$A$115:$A$3257,"="&amp;'Output - County'!A1746,Input!$B$115:$B$3257,"="&amp;'Output - County'!B1746)*VLOOKUP(A1746,'Output - State'!$B$2:$G$52,4,FALSE)</f>
        <v>1.3065272896387548</v>
      </c>
      <c r="F1746" s="98">
        <f>SUMIFS(Input!$C$115:$C$3257,Input!$A$115:$A$3257,"="&amp;'Output - County'!A1746,Input!$B$115:$B$3257,"="&amp;'Output - County'!B1746)*VLOOKUP(A1746,'Output - State'!$B$2:$G$52,5,FALSE)</f>
        <v>1.5520567040285536</v>
      </c>
      <c r="G1746" s="99">
        <f>SUMIFS(Input!$D$115:$D$3257,Input!$A$115:$A$3257,"="&amp;'Output - County'!A1746,Input!$B$115:$B$3257,"="&amp;'Output - County'!B1746)*VLOOKUP(A1746,'Output - State'!$B$2:$G$52,6,FALSE)</f>
        <v>1.0514528651937285</v>
      </c>
    </row>
    <row r="1747" spans="1:7" x14ac:dyDescent="0.25">
      <c r="A1747" s="88">
        <v>31</v>
      </c>
      <c r="B1747" s="88">
        <v>183</v>
      </c>
      <c r="C1747" s="97">
        <f>SUMIFS(Input!$C$115:$C$3257,Input!$A$115:$A$3257,"="&amp;'Output - County'!A1747,Input!$B$115:$B$3257,"="&amp;'Output - County'!B1747)*VLOOKUP(A1747,'Output - State'!$B$2:$G$52,2,FALSE)</f>
        <v>0.1868974729007564</v>
      </c>
      <c r="D1747" s="98">
        <f>SUMIFS(Input!$C$115:$C$3257,Input!$A$115:$A$3257,"="&amp;'Output - County'!A1747,Input!$B$115:$B$3257,"="&amp;'Output - County'!B1747)*VLOOKUP(A1747,'Output - State'!$B$2:$G$52,3,FALSE)</f>
        <v>5.0450362620971766E-2</v>
      </c>
      <c r="E1747" s="98">
        <f>SUMIFS(Input!$C$115:$C$3257,Input!$A$115:$A$3257,"="&amp;'Output - County'!A1747,Input!$B$115:$B$3257,"="&amp;'Output - County'!B1747)*VLOOKUP(A1747,'Output - State'!$B$2:$G$52,4,FALSE)</f>
        <v>0.65141842433338293</v>
      </c>
      <c r="F1747" s="98">
        <f>SUMIFS(Input!$C$115:$C$3257,Input!$A$115:$A$3257,"="&amp;'Output - County'!A1747,Input!$B$115:$B$3257,"="&amp;'Output - County'!B1747)*VLOOKUP(A1747,'Output - State'!$B$2:$G$52,5,FALSE)</f>
        <v>0.77383636808220724</v>
      </c>
      <c r="G1747" s="99">
        <f>SUMIFS(Input!$D$115:$D$3257,Input!$A$115:$A$3257,"="&amp;'Output - County'!A1747,Input!$B$115:$B$3257,"="&amp;'Output - County'!B1747)*VLOOKUP(A1747,'Output - State'!$B$2:$G$52,6,FALSE)</f>
        <v>0.23888532517999156</v>
      </c>
    </row>
    <row r="1748" spans="1:7" x14ac:dyDescent="0.25">
      <c r="A1748" s="88">
        <v>31</v>
      </c>
      <c r="B1748" s="88">
        <v>185</v>
      </c>
      <c r="C1748" s="97">
        <f>SUMIFS(Input!$C$115:$C$3257,Input!$A$115:$A$3257,"="&amp;'Output - County'!A1748,Input!$B$115:$B$3257,"="&amp;'Output - County'!B1748)*VLOOKUP(A1748,'Output - State'!$B$2:$G$52,2,FALSE)</f>
        <v>12.203187522441635</v>
      </c>
      <c r="D1748" s="98">
        <f>SUMIFS(Input!$C$115:$C$3257,Input!$A$115:$A$3257,"="&amp;'Output - County'!A1748,Input!$B$115:$B$3257,"="&amp;'Output - County'!B1748)*VLOOKUP(A1748,'Output - State'!$B$2:$G$52,3,FALSE)</f>
        <v>3.2940800433712383</v>
      </c>
      <c r="E1748" s="98">
        <f>SUMIFS(Input!$C$115:$C$3257,Input!$A$115:$A$3257,"="&amp;'Output - County'!A1748,Input!$B$115:$B$3257,"="&amp;'Output - County'!B1748)*VLOOKUP(A1748,'Output - State'!$B$2:$G$52,4,FALSE)</f>
        <v>42.533379742030512</v>
      </c>
      <c r="F1748" s="98">
        <f>SUMIFS(Input!$C$115:$C$3257,Input!$A$115:$A$3257,"="&amp;'Output - County'!A1748,Input!$B$115:$B$3257,"="&amp;'Output - County'!B1748)*VLOOKUP(A1748,'Output - State'!$B$2:$G$52,5,FALSE)</f>
        <v>50.526474033208423</v>
      </c>
      <c r="G1748" s="99">
        <f>SUMIFS(Input!$D$115:$D$3257,Input!$A$115:$A$3257,"="&amp;'Output - County'!A1748,Input!$B$115:$B$3257,"="&amp;'Output - County'!B1748)*VLOOKUP(A1748,'Output - State'!$B$2:$G$52,6,FALSE)</f>
        <v>4.0807094201569631</v>
      </c>
    </row>
    <row r="1749" spans="1:7" x14ac:dyDescent="0.25">
      <c r="A1749" s="88">
        <v>32</v>
      </c>
      <c r="B1749" s="88">
        <v>1</v>
      </c>
      <c r="C1749" s="97">
        <f>SUMIFS(Input!$C$115:$C$3257,Input!$A$115:$A$3257,"="&amp;'Output - County'!A1749,Input!$B$115:$B$3257,"="&amp;'Output - County'!B1749)*VLOOKUP(A1749,'Output - State'!$B$2:$G$52,2,FALSE)</f>
        <v>7.0431818711678948</v>
      </c>
      <c r="D1749" s="98">
        <f>SUMIFS(Input!$C$115:$C$3257,Input!$A$115:$A$3257,"="&amp;'Output - County'!A1749,Input!$B$115:$B$3257,"="&amp;'Output - County'!B1749)*VLOOKUP(A1749,'Output - State'!$B$2:$G$52,3,FALSE)</f>
        <v>0</v>
      </c>
      <c r="E1749" s="98">
        <f>SUMIFS(Input!$C$115:$C$3257,Input!$A$115:$A$3257,"="&amp;'Output - County'!A1749,Input!$B$115:$B$3257,"="&amp;'Output - County'!B1749)*VLOOKUP(A1749,'Output - State'!$B$2:$G$52,4,FALSE)</f>
        <v>2.6665203164052929</v>
      </c>
      <c r="F1749" s="98">
        <f>SUMIFS(Input!$C$115:$C$3257,Input!$A$115:$A$3257,"="&amp;'Output - County'!A1749,Input!$B$115:$B$3257,"="&amp;'Output - County'!B1749)*VLOOKUP(A1749,'Output - State'!$B$2:$G$52,5,FALSE)</f>
        <v>24.92792471501064</v>
      </c>
      <c r="G1749" s="99">
        <f>SUMIFS(Input!$D$115:$D$3257,Input!$A$115:$A$3257,"="&amp;'Output - County'!A1749,Input!$B$115:$B$3257,"="&amp;'Output - County'!B1749)*VLOOKUP(A1749,'Output - State'!$B$2:$G$52,6,FALSE)</f>
        <v>3.569671838915712</v>
      </c>
    </row>
    <row r="1750" spans="1:7" x14ac:dyDescent="0.25">
      <c r="A1750" s="88">
        <v>32</v>
      </c>
      <c r="B1750" s="88">
        <v>3</v>
      </c>
      <c r="C1750" s="97">
        <f>SUMIFS(Input!$C$115:$C$3257,Input!$A$115:$A$3257,"="&amp;'Output - County'!A1750,Input!$B$115:$B$3257,"="&amp;'Output - County'!B1750)*VLOOKUP(A1750,'Output - State'!$B$2:$G$52,2,FALSE)</f>
        <v>460.45743985310372</v>
      </c>
      <c r="D1750" s="98">
        <f>SUMIFS(Input!$C$115:$C$3257,Input!$A$115:$A$3257,"="&amp;'Output - County'!A1750,Input!$B$115:$B$3257,"="&amp;'Output - County'!B1750)*VLOOKUP(A1750,'Output - State'!$B$2:$G$52,3,FALSE)</f>
        <v>0</v>
      </c>
      <c r="E1750" s="98">
        <f>SUMIFS(Input!$C$115:$C$3257,Input!$A$115:$A$3257,"="&amp;'Output - County'!A1750,Input!$B$115:$B$3257,"="&amp;'Output - County'!B1750)*VLOOKUP(A1750,'Output - State'!$B$2:$G$52,4,FALSE)</f>
        <v>174.32733396172733</v>
      </c>
      <c r="F1750" s="98">
        <f>SUMIFS(Input!$C$115:$C$3257,Input!$A$115:$A$3257,"="&amp;'Output - County'!A1750,Input!$B$115:$B$3257,"="&amp;'Output - County'!B1750)*VLOOKUP(A1750,'Output - State'!$B$2:$G$52,5,FALSE)</f>
        <v>1629.6964362246965</v>
      </c>
      <c r="G1750" s="99">
        <f>SUMIFS(Input!$D$115:$D$3257,Input!$A$115:$A$3257,"="&amp;'Output - County'!A1750,Input!$B$115:$B$3257,"="&amp;'Output - County'!B1750)*VLOOKUP(A1750,'Output - State'!$B$2:$G$52,6,FALSE)</f>
        <v>324.91298778702196</v>
      </c>
    </row>
    <row r="1751" spans="1:7" x14ac:dyDescent="0.25">
      <c r="A1751" s="88">
        <v>32</v>
      </c>
      <c r="B1751" s="88">
        <v>5</v>
      </c>
      <c r="C1751" s="97">
        <f>SUMIFS(Input!$C$115:$C$3257,Input!$A$115:$A$3257,"="&amp;'Output - County'!A1751,Input!$B$115:$B$3257,"="&amp;'Output - County'!B1751)*VLOOKUP(A1751,'Output - State'!$B$2:$G$52,2,FALSE)</f>
        <v>9.8750745729965956</v>
      </c>
      <c r="D1751" s="98">
        <f>SUMIFS(Input!$C$115:$C$3257,Input!$A$115:$A$3257,"="&amp;'Output - County'!A1751,Input!$B$115:$B$3257,"="&amp;'Output - County'!B1751)*VLOOKUP(A1751,'Output - State'!$B$2:$G$52,3,FALSE)</f>
        <v>0</v>
      </c>
      <c r="E1751" s="98">
        <f>SUMIFS(Input!$C$115:$C$3257,Input!$A$115:$A$3257,"="&amp;'Output - County'!A1751,Input!$B$115:$B$3257,"="&amp;'Output - County'!B1751)*VLOOKUP(A1751,'Output - State'!$B$2:$G$52,4,FALSE)</f>
        <v>3.73866349848302</v>
      </c>
      <c r="F1751" s="98">
        <f>SUMIFS(Input!$C$115:$C$3257,Input!$A$115:$A$3257,"="&amp;'Output - County'!A1751,Input!$B$115:$B$3257,"="&amp;'Output - County'!B1751)*VLOOKUP(A1751,'Output - State'!$B$2:$G$52,5,FALSE)</f>
        <v>34.950838983511304</v>
      </c>
      <c r="G1751" s="99">
        <f>SUMIFS(Input!$D$115:$D$3257,Input!$A$115:$A$3257,"="&amp;'Output - County'!A1751,Input!$B$115:$B$3257,"="&amp;'Output - County'!B1751)*VLOOKUP(A1751,'Output - State'!$B$2:$G$52,6,FALSE)</f>
        <v>7.0664932321392673</v>
      </c>
    </row>
    <row r="1752" spans="1:7" x14ac:dyDescent="0.25">
      <c r="A1752" s="88">
        <v>32</v>
      </c>
      <c r="B1752" s="88">
        <v>7</v>
      </c>
      <c r="C1752" s="97">
        <f>SUMIFS(Input!$C$115:$C$3257,Input!$A$115:$A$3257,"="&amp;'Output - County'!A1752,Input!$B$115:$B$3257,"="&amp;'Output - County'!B1752)*VLOOKUP(A1752,'Output - State'!$B$2:$G$52,2,FALSE)</f>
        <v>19.800726323580882</v>
      </c>
      <c r="D1752" s="98">
        <f>SUMIFS(Input!$C$115:$C$3257,Input!$A$115:$A$3257,"="&amp;'Output - County'!A1752,Input!$B$115:$B$3257,"="&amp;'Output - County'!B1752)*VLOOKUP(A1752,'Output - State'!$B$2:$G$52,3,FALSE)</f>
        <v>0</v>
      </c>
      <c r="E1752" s="98">
        <f>SUMIFS(Input!$C$115:$C$3257,Input!$A$115:$A$3257,"="&amp;'Output - County'!A1752,Input!$B$115:$B$3257,"="&amp;'Output - County'!B1752)*VLOOKUP(A1752,'Output - State'!$B$2:$G$52,4,FALSE)</f>
        <v>7.4964753128907082</v>
      </c>
      <c r="F1752" s="98">
        <f>SUMIFS(Input!$C$115:$C$3257,Input!$A$115:$A$3257,"="&amp;'Output - County'!A1752,Input!$B$115:$B$3257,"="&amp;'Output - County'!B1752)*VLOOKUP(A1752,'Output - State'!$B$2:$G$52,5,FALSE)</f>
        <v>70.080685707879738</v>
      </c>
      <c r="G1752" s="99">
        <f>SUMIFS(Input!$D$115:$D$3257,Input!$A$115:$A$3257,"="&amp;'Output - County'!A1752,Input!$B$115:$B$3257,"="&amp;'Output - County'!B1752)*VLOOKUP(A1752,'Output - State'!$B$2:$G$52,6,FALSE)</f>
        <v>7.6492967976765263</v>
      </c>
    </row>
    <row r="1753" spans="1:7" x14ac:dyDescent="0.25">
      <c r="A1753" s="88">
        <v>32</v>
      </c>
      <c r="B1753" s="88">
        <v>9</v>
      </c>
      <c r="C1753" s="97">
        <f>SUMIFS(Input!$C$115:$C$3257,Input!$A$115:$A$3257,"="&amp;'Output - County'!A1753,Input!$B$115:$B$3257,"="&amp;'Output - County'!B1753)*VLOOKUP(A1753,'Output - State'!$B$2:$G$52,2,FALSE)</f>
        <v>0.82109485101828106</v>
      </c>
      <c r="D1753" s="98">
        <f>SUMIFS(Input!$C$115:$C$3257,Input!$A$115:$A$3257,"="&amp;'Output - County'!A1753,Input!$B$115:$B$3257,"="&amp;'Output - County'!B1753)*VLOOKUP(A1753,'Output - State'!$B$2:$G$52,3,FALSE)</f>
        <v>0</v>
      </c>
      <c r="E1753" s="98">
        <f>SUMIFS(Input!$C$115:$C$3257,Input!$A$115:$A$3257,"="&amp;'Output - County'!A1753,Input!$B$115:$B$3257,"="&amp;'Output - County'!B1753)*VLOOKUP(A1753,'Output - State'!$B$2:$G$52,4,FALSE)</f>
        <v>0.31086320671327039</v>
      </c>
      <c r="F1753" s="98">
        <f>SUMIFS(Input!$C$115:$C$3257,Input!$A$115:$A$3257,"="&amp;'Output - County'!A1753,Input!$B$115:$B$3257,"="&amp;'Output - County'!B1753)*VLOOKUP(A1753,'Output - State'!$B$2:$G$52,5,FALSE)</f>
        <v>2.9060999707895614</v>
      </c>
      <c r="G1753" s="99">
        <f>SUMIFS(Input!$D$115:$D$3257,Input!$A$115:$A$3257,"="&amp;'Output - County'!A1753,Input!$B$115:$B$3257,"="&amp;'Output - County'!B1753)*VLOOKUP(A1753,'Output - State'!$B$2:$G$52,6,FALSE)</f>
        <v>0.12049463717482833</v>
      </c>
    </row>
    <row r="1754" spans="1:7" x14ac:dyDescent="0.25">
      <c r="A1754" s="88">
        <v>32</v>
      </c>
      <c r="B1754" s="88">
        <v>11</v>
      </c>
      <c r="C1754" s="97">
        <f>SUMIFS(Input!$C$115:$C$3257,Input!$A$115:$A$3257,"="&amp;'Output - County'!A1754,Input!$B$115:$B$3257,"="&amp;'Output - County'!B1754)*VLOOKUP(A1754,'Output - State'!$B$2:$G$52,2,FALSE)</f>
        <v>3.1107232995092264</v>
      </c>
      <c r="D1754" s="98">
        <f>SUMIFS(Input!$C$115:$C$3257,Input!$A$115:$A$3257,"="&amp;'Output - County'!A1754,Input!$B$115:$B$3257,"="&amp;'Output - County'!B1754)*VLOOKUP(A1754,'Output - State'!$B$2:$G$52,3,FALSE)</f>
        <v>0</v>
      </c>
      <c r="E1754" s="98">
        <f>SUMIFS(Input!$C$115:$C$3257,Input!$A$115:$A$3257,"="&amp;'Output - County'!A1754,Input!$B$115:$B$3257,"="&amp;'Output - County'!B1754)*VLOOKUP(A1754,'Output - State'!$B$2:$G$52,4,FALSE)</f>
        <v>1.1777073244143306</v>
      </c>
      <c r="F1754" s="98">
        <f>SUMIFS(Input!$C$115:$C$3257,Input!$A$115:$A$3257,"="&amp;'Output - County'!A1754,Input!$B$115:$B$3257,"="&amp;'Output - County'!B1754)*VLOOKUP(A1754,'Output - State'!$B$2:$G$52,5,FALSE)</f>
        <v>11.009779051259573</v>
      </c>
      <c r="G1754" s="99">
        <f>SUMIFS(Input!$D$115:$D$3257,Input!$A$115:$A$3257,"="&amp;'Output - County'!A1754,Input!$B$115:$B$3257,"="&amp;'Output - County'!B1754)*VLOOKUP(A1754,'Output - State'!$B$2:$G$52,6,FALSE)</f>
        <v>0.29140178276862955</v>
      </c>
    </row>
    <row r="1755" spans="1:7" x14ac:dyDescent="0.25">
      <c r="A1755" s="88">
        <v>32</v>
      </c>
      <c r="B1755" s="88">
        <v>13</v>
      </c>
      <c r="C1755" s="97">
        <f>SUMIFS(Input!$C$115:$C$3257,Input!$A$115:$A$3257,"="&amp;'Output - County'!A1755,Input!$B$115:$B$3257,"="&amp;'Output - County'!B1755)*VLOOKUP(A1755,'Output - State'!$B$2:$G$52,2,FALSE)</f>
        <v>8.4823728736214044</v>
      </c>
      <c r="D1755" s="98">
        <f>SUMIFS(Input!$C$115:$C$3257,Input!$A$115:$A$3257,"="&amp;'Output - County'!A1755,Input!$B$115:$B$3257,"="&amp;'Output - County'!B1755)*VLOOKUP(A1755,'Output - State'!$B$2:$G$52,3,FALSE)</f>
        <v>0</v>
      </c>
      <c r="E1755" s="98">
        <f>SUMIFS(Input!$C$115:$C$3257,Input!$A$115:$A$3257,"="&amp;'Output - County'!A1755,Input!$B$115:$B$3257,"="&amp;'Output - County'!B1755)*VLOOKUP(A1755,'Output - State'!$B$2:$G$52,4,FALSE)</f>
        <v>3.2113922389861633</v>
      </c>
      <c r="F1755" s="98">
        <f>SUMIFS(Input!$C$115:$C$3257,Input!$A$115:$A$3257,"="&amp;'Output - County'!A1755,Input!$B$115:$B$3257,"="&amp;'Output - County'!B1755)*VLOOKUP(A1755,'Output - State'!$B$2:$G$52,5,FALSE)</f>
        <v>30.021651615141479</v>
      </c>
      <c r="G1755" s="99">
        <f>SUMIFS(Input!$D$115:$D$3257,Input!$A$115:$A$3257,"="&amp;'Output - County'!A1755,Input!$B$115:$B$3257,"="&amp;'Output - County'!B1755)*VLOOKUP(A1755,'Output - State'!$B$2:$G$52,6,FALSE)</f>
        <v>2.4477749752564884</v>
      </c>
    </row>
    <row r="1756" spans="1:7" x14ac:dyDescent="0.25">
      <c r="A1756" s="88">
        <v>32</v>
      </c>
      <c r="B1756" s="88">
        <v>15</v>
      </c>
      <c r="C1756" s="97">
        <f>SUMIFS(Input!$C$115:$C$3257,Input!$A$115:$A$3257,"="&amp;'Output - County'!A1756,Input!$B$115:$B$3257,"="&amp;'Output - County'!B1756)*VLOOKUP(A1756,'Output - State'!$B$2:$G$52,2,FALSE)</f>
        <v>2.8221697220379043</v>
      </c>
      <c r="D1756" s="98">
        <f>SUMIFS(Input!$C$115:$C$3257,Input!$A$115:$A$3257,"="&amp;'Output - County'!A1756,Input!$B$115:$B$3257,"="&amp;'Output - County'!B1756)*VLOOKUP(A1756,'Output - State'!$B$2:$G$52,3,FALSE)</f>
        <v>0</v>
      </c>
      <c r="E1756" s="98">
        <f>SUMIFS(Input!$C$115:$C$3257,Input!$A$115:$A$3257,"="&amp;'Output - County'!A1756,Input!$B$115:$B$3257,"="&amp;'Output - County'!B1756)*VLOOKUP(A1756,'Output - State'!$B$2:$G$52,4,FALSE)</f>
        <v>1.0684621010517934</v>
      </c>
      <c r="F1756" s="98">
        <f>SUMIFS(Input!$C$115:$C$3257,Input!$A$115:$A$3257,"="&amp;'Output - County'!A1756,Input!$B$115:$B$3257,"="&amp;'Output - County'!B1756)*VLOOKUP(A1756,'Output - State'!$B$2:$G$52,5,FALSE)</f>
        <v>9.9885017383880026</v>
      </c>
      <c r="G1756" s="99">
        <f>SUMIFS(Input!$D$115:$D$3257,Input!$A$115:$A$3257,"="&amp;'Output - County'!A1756,Input!$B$115:$B$3257,"="&amp;'Output - County'!B1756)*VLOOKUP(A1756,'Output - State'!$B$2:$G$52,6,FALSE)</f>
        <v>0.80863994718294707</v>
      </c>
    </row>
    <row r="1757" spans="1:7" x14ac:dyDescent="0.25">
      <c r="A1757" s="88">
        <v>32</v>
      </c>
      <c r="B1757" s="88">
        <v>17</v>
      </c>
      <c r="C1757" s="97">
        <f>SUMIFS(Input!$C$115:$C$3257,Input!$A$115:$A$3257,"="&amp;'Output - County'!A1757,Input!$B$115:$B$3257,"="&amp;'Output - County'!B1757)*VLOOKUP(A1757,'Output - State'!$B$2:$G$52,2,FALSE)</f>
        <v>1.2441436414703653</v>
      </c>
      <c r="D1757" s="98">
        <f>SUMIFS(Input!$C$115:$C$3257,Input!$A$115:$A$3257,"="&amp;'Output - County'!A1757,Input!$B$115:$B$3257,"="&amp;'Output - County'!B1757)*VLOOKUP(A1757,'Output - State'!$B$2:$G$52,3,FALSE)</f>
        <v>0</v>
      </c>
      <c r="E1757" s="98">
        <f>SUMIFS(Input!$C$115:$C$3257,Input!$A$115:$A$3257,"="&amp;'Output - County'!A1757,Input!$B$115:$B$3257,"="&amp;'Output - County'!B1757)*VLOOKUP(A1757,'Output - State'!$B$2:$G$52,4,FALSE)</f>
        <v>0.47102777653490879</v>
      </c>
      <c r="F1757" s="98">
        <f>SUMIFS(Input!$C$115:$C$3257,Input!$A$115:$A$3257,"="&amp;'Output - County'!A1757,Input!$B$115:$B$3257,"="&amp;'Output - County'!B1757)*VLOOKUP(A1757,'Output - State'!$B$2:$G$52,5,FALSE)</f>
        <v>4.4033960213623944</v>
      </c>
      <c r="G1757" s="99">
        <f>SUMIFS(Input!$D$115:$D$3257,Input!$A$115:$A$3257,"="&amp;'Output - County'!A1757,Input!$B$115:$B$3257,"="&amp;'Output - County'!B1757)*VLOOKUP(A1757,'Output - State'!$B$2:$G$52,6,FALSE)</f>
        <v>0.76347267085380943</v>
      </c>
    </row>
    <row r="1758" spans="1:7" x14ac:dyDescent="0.25">
      <c r="A1758" s="88">
        <v>32</v>
      </c>
      <c r="B1758" s="88">
        <v>19</v>
      </c>
      <c r="C1758" s="97">
        <f>SUMIFS(Input!$C$115:$C$3257,Input!$A$115:$A$3257,"="&amp;'Output - County'!A1758,Input!$B$115:$B$3257,"="&amp;'Output - County'!B1758)*VLOOKUP(A1758,'Output - State'!$B$2:$G$52,2,FALSE)</f>
        <v>11.552306102913938</v>
      </c>
      <c r="D1758" s="98">
        <f>SUMIFS(Input!$C$115:$C$3257,Input!$A$115:$A$3257,"="&amp;'Output - County'!A1758,Input!$B$115:$B$3257,"="&amp;'Output - County'!B1758)*VLOOKUP(A1758,'Output - State'!$B$2:$G$52,3,FALSE)</f>
        <v>0</v>
      </c>
      <c r="E1758" s="98">
        <f>SUMIFS(Input!$C$115:$C$3257,Input!$A$115:$A$3257,"="&amp;'Output - County'!A1758,Input!$B$115:$B$3257,"="&amp;'Output - County'!B1758)*VLOOKUP(A1758,'Output - State'!$B$2:$G$52,4,FALSE)</f>
        <v>4.3736566069455911</v>
      </c>
      <c r="F1758" s="98">
        <f>SUMIFS(Input!$C$115:$C$3257,Input!$A$115:$A$3257,"="&amp;'Output - County'!A1758,Input!$B$115:$B$3257,"="&amp;'Output - County'!B1758)*VLOOKUP(A1758,'Output - State'!$B$2:$G$52,5,FALSE)</f>
        <v>40.887062422320327</v>
      </c>
      <c r="G1758" s="99">
        <f>SUMIFS(Input!$D$115:$D$3257,Input!$A$115:$A$3257,"="&amp;'Output - County'!A1758,Input!$B$115:$B$3257,"="&amp;'Output - County'!B1758)*VLOOKUP(A1758,'Output - State'!$B$2:$G$52,6,FALSE)</f>
        <v>8.1301097392447641</v>
      </c>
    </row>
    <row r="1759" spans="1:7" x14ac:dyDescent="0.25">
      <c r="A1759" s="88">
        <v>32</v>
      </c>
      <c r="B1759" s="88">
        <v>21</v>
      </c>
      <c r="C1759" s="97">
        <f>SUMIFS(Input!$C$115:$C$3257,Input!$A$115:$A$3257,"="&amp;'Output - County'!A1759,Input!$B$115:$B$3257,"="&amp;'Output - County'!B1759)*VLOOKUP(A1759,'Output - State'!$B$2:$G$52,2,FALSE)</f>
        <v>1.280908215917137</v>
      </c>
      <c r="D1759" s="98">
        <f>SUMIFS(Input!$C$115:$C$3257,Input!$A$115:$A$3257,"="&amp;'Output - County'!A1759,Input!$B$115:$B$3257,"="&amp;'Output - County'!B1759)*VLOOKUP(A1759,'Output - State'!$B$2:$G$52,3,FALSE)</f>
        <v>0</v>
      </c>
      <c r="E1759" s="98">
        <f>SUMIFS(Input!$C$115:$C$3257,Input!$A$115:$A$3257,"="&amp;'Output - County'!A1759,Input!$B$115:$B$3257,"="&amp;'Output - County'!B1759)*VLOOKUP(A1759,'Output - State'!$B$2:$G$52,4,FALSE)</f>
        <v>0.48494669648891753</v>
      </c>
      <c r="F1759" s="98">
        <f>SUMIFS(Input!$C$115:$C$3257,Input!$A$115:$A$3257,"="&amp;'Output - County'!A1759,Input!$B$115:$B$3257,"="&amp;'Output - County'!B1759)*VLOOKUP(A1759,'Output - State'!$B$2:$G$52,5,FALSE)</f>
        <v>4.5335168333408822</v>
      </c>
      <c r="G1759" s="99">
        <f>SUMIFS(Input!$D$115:$D$3257,Input!$A$115:$A$3257,"="&amp;'Output - County'!A1759,Input!$B$115:$B$3257,"="&amp;'Output - County'!B1759)*VLOOKUP(A1759,'Output - State'!$B$2:$G$52,6,FALSE)</f>
        <v>0.66148204688478907</v>
      </c>
    </row>
    <row r="1760" spans="1:7" x14ac:dyDescent="0.25">
      <c r="A1760" s="88">
        <v>32</v>
      </c>
      <c r="B1760" s="88">
        <v>23</v>
      </c>
      <c r="C1760" s="97">
        <f>SUMIFS(Input!$C$115:$C$3257,Input!$A$115:$A$3257,"="&amp;'Output - County'!A1760,Input!$B$115:$B$3257,"="&amp;'Output - County'!B1760)*VLOOKUP(A1760,'Output - State'!$B$2:$G$52,2,FALSE)</f>
        <v>8.8394928305741107</v>
      </c>
      <c r="D1760" s="98">
        <f>SUMIFS(Input!$C$115:$C$3257,Input!$A$115:$A$3257,"="&amp;'Output - County'!A1760,Input!$B$115:$B$3257,"="&amp;'Output - County'!B1760)*VLOOKUP(A1760,'Output - State'!$B$2:$G$52,3,FALSE)</f>
        <v>0</v>
      </c>
      <c r="E1760" s="98">
        <f>SUMIFS(Input!$C$115:$C$3257,Input!$A$115:$A$3257,"="&amp;'Output - County'!A1760,Input!$B$115:$B$3257,"="&amp;'Output - County'!B1760)*VLOOKUP(A1760,'Output - State'!$B$2:$G$52,4,FALSE)</f>
        <v>3.3465964177262291</v>
      </c>
      <c r="F1760" s="98">
        <f>SUMIFS(Input!$C$115:$C$3257,Input!$A$115:$A$3257,"="&amp;'Output - County'!A1760,Input!$B$115:$B$3257,"="&amp;'Output - County'!B1760)*VLOOKUP(A1760,'Output - State'!$B$2:$G$52,5,FALSE)</f>
        <v>31.285605828447736</v>
      </c>
      <c r="G1760" s="99">
        <f>SUMIFS(Input!$D$115:$D$3257,Input!$A$115:$A$3257,"="&amp;'Output - County'!A1760,Input!$B$115:$B$3257,"="&amp;'Output - County'!B1760)*VLOOKUP(A1760,'Output - State'!$B$2:$G$52,6,FALSE)</f>
        <v>6.5856802905710277</v>
      </c>
    </row>
    <row r="1761" spans="1:7" x14ac:dyDescent="0.25">
      <c r="A1761" s="88">
        <v>32</v>
      </c>
      <c r="B1761" s="88">
        <v>27</v>
      </c>
      <c r="C1761" s="97">
        <f>SUMIFS(Input!$C$115:$C$3257,Input!$A$115:$A$3257,"="&amp;'Output - County'!A1761,Input!$B$115:$B$3257,"="&amp;'Output - County'!B1761)*VLOOKUP(A1761,'Output - State'!$B$2:$G$52,2,FALSE)</f>
        <v>8.5329744262809673</v>
      </c>
      <c r="D1761" s="98">
        <f>SUMIFS(Input!$C$115:$C$3257,Input!$A$115:$A$3257,"="&amp;'Output - County'!A1761,Input!$B$115:$B$3257,"="&amp;'Output - County'!B1761)*VLOOKUP(A1761,'Output - State'!$B$2:$G$52,3,FALSE)</f>
        <v>0</v>
      </c>
      <c r="E1761" s="98">
        <f>SUMIFS(Input!$C$115:$C$3257,Input!$A$115:$A$3257,"="&amp;'Output - County'!A1761,Input!$B$115:$B$3257,"="&amp;'Output - County'!B1761)*VLOOKUP(A1761,'Output - State'!$B$2:$G$52,4,FALSE)</f>
        <v>3.230549783214963</v>
      </c>
      <c r="F1761" s="98">
        <f>SUMIFS(Input!$C$115:$C$3257,Input!$A$115:$A$3257,"="&amp;'Output - County'!A1761,Input!$B$115:$B$3257,"="&amp;'Output - County'!B1761)*VLOOKUP(A1761,'Output - State'!$B$2:$G$52,5,FALSE)</f>
        <v>30.200745626659753</v>
      </c>
      <c r="G1761" s="99">
        <f>SUMIFS(Input!$D$115:$D$3257,Input!$A$115:$A$3257,"="&amp;'Output - County'!A1761,Input!$B$115:$B$3257,"="&amp;'Output - County'!B1761)*VLOOKUP(A1761,'Output - State'!$B$2:$G$52,6,FALSE)</f>
        <v>0.97473896336106591</v>
      </c>
    </row>
    <row r="1762" spans="1:7" x14ac:dyDescent="0.25">
      <c r="A1762" s="88">
        <v>32</v>
      </c>
      <c r="B1762" s="88">
        <v>29</v>
      </c>
      <c r="C1762" s="97">
        <f>SUMIFS(Input!$C$115:$C$3257,Input!$A$115:$A$3257,"="&amp;'Output - County'!A1762,Input!$B$115:$B$3257,"="&amp;'Output - County'!B1762)*VLOOKUP(A1762,'Output - State'!$B$2:$G$52,2,FALSE)</f>
        <v>0.7645882511896045</v>
      </c>
      <c r="D1762" s="98">
        <f>SUMIFS(Input!$C$115:$C$3257,Input!$A$115:$A$3257,"="&amp;'Output - County'!A1762,Input!$B$115:$B$3257,"="&amp;'Output - County'!B1762)*VLOOKUP(A1762,'Output - State'!$B$2:$G$52,3,FALSE)</f>
        <v>0</v>
      </c>
      <c r="E1762" s="98">
        <f>SUMIFS(Input!$C$115:$C$3257,Input!$A$115:$A$3257,"="&amp;'Output - County'!A1762,Input!$B$115:$B$3257,"="&amp;'Output - County'!B1762)*VLOOKUP(A1762,'Output - State'!$B$2:$G$52,4,FALSE)</f>
        <v>0.28947003538669136</v>
      </c>
      <c r="F1762" s="98">
        <f>SUMIFS(Input!$C$115:$C$3257,Input!$A$115:$A$3257,"="&amp;'Output - County'!A1762,Input!$B$115:$B$3257,"="&amp;'Output - County'!B1762)*VLOOKUP(A1762,'Output - State'!$B$2:$G$52,5,FALSE)</f>
        <v>2.7061062332720449</v>
      </c>
      <c r="G1762" s="99">
        <f>SUMIFS(Input!$D$115:$D$3257,Input!$A$115:$A$3257,"="&amp;'Output - County'!A1762,Input!$B$115:$B$3257,"="&amp;'Output - County'!B1762)*VLOOKUP(A1762,'Output - State'!$B$2:$G$52,6,FALSE)</f>
        <v>0.57988954770957279</v>
      </c>
    </row>
    <row r="1763" spans="1:7" x14ac:dyDescent="0.25">
      <c r="A1763" s="88">
        <v>32</v>
      </c>
      <c r="B1763" s="88">
        <v>31</v>
      </c>
      <c r="C1763" s="97">
        <f>SUMIFS(Input!$C$115:$C$3257,Input!$A$115:$A$3257,"="&amp;'Output - County'!A1763,Input!$B$115:$B$3257,"="&amp;'Output - County'!B1763)*VLOOKUP(A1763,'Output - State'!$B$2:$G$52,2,FALSE)</f>
        <v>117.29424158077306</v>
      </c>
      <c r="D1763" s="98">
        <f>SUMIFS(Input!$C$115:$C$3257,Input!$A$115:$A$3257,"="&amp;'Output - County'!A1763,Input!$B$115:$B$3257,"="&amp;'Output - County'!B1763)*VLOOKUP(A1763,'Output - State'!$B$2:$G$52,3,FALSE)</f>
        <v>0</v>
      </c>
      <c r="E1763" s="98">
        <f>SUMIFS(Input!$C$115:$C$3257,Input!$A$115:$A$3257,"="&amp;'Output - County'!A1763,Input!$B$115:$B$3257,"="&amp;'Output - County'!B1763)*VLOOKUP(A1763,'Output - State'!$B$2:$G$52,4,FALSE)</f>
        <v>44.407127899512695</v>
      </c>
      <c r="F1763" s="98">
        <f>SUMIFS(Input!$C$115:$C$3257,Input!$A$115:$A$3257,"="&amp;'Output - County'!A1763,Input!$B$115:$B$3257,"="&amp;'Output - County'!B1763)*VLOOKUP(A1763,'Output - State'!$B$2:$G$52,5,FALSE)</f>
        <v>415.13936131610103</v>
      </c>
      <c r="G1763" s="99">
        <f>SUMIFS(Input!$D$115:$D$3257,Input!$A$115:$A$3257,"="&amp;'Output - County'!A1763,Input!$B$115:$B$3257,"="&amp;'Output - County'!B1763)*VLOOKUP(A1763,'Output - State'!$B$2:$G$52,6,FALSE)</f>
        <v>67.605213602322067</v>
      </c>
    </row>
    <row r="1764" spans="1:7" x14ac:dyDescent="0.25">
      <c r="A1764" s="88">
        <v>32</v>
      </c>
      <c r="B1764" s="88">
        <v>33</v>
      </c>
      <c r="C1764" s="97">
        <f>SUMIFS(Input!$C$115:$C$3257,Input!$A$115:$A$3257,"="&amp;'Output - County'!A1764,Input!$B$115:$B$3257,"="&amp;'Output - County'!B1764)*VLOOKUP(A1764,'Output - State'!$B$2:$G$52,2,FALSE)</f>
        <v>1.7663949923829263</v>
      </c>
      <c r="D1764" s="98">
        <f>SUMIFS(Input!$C$115:$C$3257,Input!$A$115:$A$3257,"="&amp;'Output - County'!A1764,Input!$B$115:$B$3257,"="&amp;'Output - County'!B1764)*VLOOKUP(A1764,'Output - State'!$B$2:$G$52,3,FALSE)</f>
        <v>0</v>
      </c>
      <c r="E1764" s="98">
        <f>SUMIFS(Input!$C$115:$C$3257,Input!$A$115:$A$3257,"="&amp;'Output - County'!A1764,Input!$B$115:$B$3257,"="&amp;'Output - County'!B1764)*VLOOKUP(A1764,'Output - State'!$B$2:$G$52,4,FALSE)</f>
        <v>0.66875003658035825</v>
      </c>
      <c r="F1764" s="98">
        <f>SUMIFS(Input!$C$115:$C$3257,Input!$A$115:$A$3257,"="&amp;'Output - County'!A1764,Input!$B$115:$B$3257,"="&amp;'Output - County'!B1764)*VLOOKUP(A1764,'Output - State'!$B$2:$G$52,5,FALSE)</f>
        <v>6.2517995690762893</v>
      </c>
      <c r="G1764" s="99">
        <f>SUMIFS(Input!$D$115:$D$3257,Input!$A$115:$A$3257,"="&amp;'Output - County'!A1764,Input!$B$115:$B$3257,"="&amp;'Output - County'!B1764)*VLOOKUP(A1764,'Output - State'!$B$2:$G$52,6,FALSE)</f>
        <v>1.389986503806363</v>
      </c>
    </row>
    <row r="1765" spans="1:7" x14ac:dyDescent="0.25">
      <c r="A1765" s="88">
        <v>32</v>
      </c>
      <c r="B1765" s="88">
        <v>510</v>
      </c>
      <c r="C1765" s="97">
        <f>SUMIFS(Input!$C$115:$C$3257,Input!$A$115:$A$3257,"="&amp;'Output - County'!A1765,Input!$B$115:$B$3257,"="&amp;'Output - County'!B1765)*VLOOKUP(A1765,'Output - State'!$B$2:$G$52,2,FALSE)</f>
        <v>12.314812654454014</v>
      </c>
      <c r="D1765" s="98">
        <f>SUMIFS(Input!$C$115:$C$3257,Input!$A$115:$A$3257,"="&amp;'Output - County'!A1765,Input!$B$115:$B$3257,"="&amp;'Output - County'!B1765)*VLOOKUP(A1765,'Output - State'!$B$2:$G$52,3,FALSE)</f>
        <v>0</v>
      </c>
      <c r="E1765" s="98">
        <f>SUMIFS(Input!$C$115:$C$3257,Input!$A$115:$A$3257,"="&amp;'Output - County'!A1765,Input!$B$115:$B$3257,"="&amp;'Output - County'!B1765)*VLOOKUP(A1765,'Output - State'!$B$2:$G$52,4,FALSE)</f>
        <v>4.6623385192212146</v>
      </c>
      <c r="F1765" s="98">
        <f>SUMIFS(Input!$C$115:$C$3257,Input!$A$115:$A$3257,"="&amp;'Output - County'!A1765,Input!$B$115:$B$3257,"="&amp;'Output - County'!B1765)*VLOOKUP(A1765,'Output - State'!$B$2:$G$52,5,FALSE)</f>
        <v>43.585800898647868</v>
      </c>
      <c r="G1765" s="99">
        <f>SUMIFS(Input!$D$115:$D$3257,Input!$A$115:$A$3257,"="&amp;'Output - County'!A1765,Input!$B$115:$B$3257,"="&amp;'Output - County'!B1765)*VLOOKUP(A1765,'Output - State'!$B$2:$G$52,6,FALSE)</f>
        <v>8.0426892044141756</v>
      </c>
    </row>
    <row r="1766" spans="1:7" x14ac:dyDescent="0.25">
      <c r="A1766" s="88">
        <v>33</v>
      </c>
      <c r="B1766" s="88">
        <v>1</v>
      </c>
      <c r="C1766" s="97">
        <f>SUMIFS(Input!$C$115:$C$3257,Input!$A$115:$A$3257,"="&amp;'Output - County'!A1766,Input!$B$115:$B$3257,"="&amp;'Output - County'!B1766)*VLOOKUP(A1766,'Output - State'!$B$2:$G$52,2,FALSE)</f>
        <v>17.420920724920506</v>
      </c>
      <c r="D1766" s="98">
        <f>SUMIFS(Input!$C$115:$C$3257,Input!$A$115:$A$3257,"="&amp;'Output - County'!A1766,Input!$B$115:$B$3257,"="&amp;'Output - County'!B1766)*VLOOKUP(A1766,'Output - State'!$B$2:$G$52,3,FALSE)</f>
        <v>0.68578624495489338</v>
      </c>
      <c r="E1766" s="98">
        <f>SUMIFS(Input!$C$115:$C$3257,Input!$A$115:$A$3257,"="&amp;'Output - County'!A1766,Input!$B$115:$B$3257,"="&amp;'Output - County'!B1766)*VLOOKUP(A1766,'Output - State'!$B$2:$G$52,4,FALSE)</f>
        <v>0</v>
      </c>
      <c r="F1766" s="98">
        <f>SUMIFS(Input!$C$115:$C$3257,Input!$A$115:$A$3257,"="&amp;'Output - County'!A1766,Input!$B$115:$B$3257,"="&amp;'Output - County'!B1766)*VLOOKUP(A1766,'Output - State'!$B$2:$G$52,5,FALSE)</f>
        <v>1.2722024721491261</v>
      </c>
      <c r="G1766" s="99">
        <f>SUMIFS(Input!$D$115:$D$3257,Input!$A$115:$A$3257,"="&amp;'Output - County'!A1766,Input!$B$115:$B$3257,"="&amp;'Output - County'!B1766)*VLOOKUP(A1766,'Output - State'!$B$2:$G$52,6,FALSE)</f>
        <v>0.55591007759630184</v>
      </c>
    </row>
    <row r="1767" spans="1:7" x14ac:dyDescent="0.25">
      <c r="A1767" s="88">
        <v>33</v>
      </c>
      <c r="B1767" s="88">
        <v>3</v>
      </c>
      <c r="C1767" s="97">
        <f>SUMIFS(Input!$C$115:$C$3257,Input!$A$115:$A$3257,"="&amp;'Output - County'!A1767,Input!$B$115:$B$3257,"="&amp;'Output - County'!B1767)*VLOOKUP(A1767,'Output - State'!$B$2:$G$52,2,FALSE)</f>
        <v>10.699029676148662</v>
      </c>
      <c r="D1767" s="98">
        <f>SUMIFS(Input!$C$115:$C$3257,Input!$A$115:$A$3257,"="&amp;'Output - County'!A1767,Input!$B$115:$B$3257,"="&amp;'Output - County'!B1767)*VLOOKUP(A1767,'Output - State'!$B$2:$G$52,3,FALSE)</f>
        <v>0.42117448911704636</v>
      </c>
      <c r="E1767" s="98">
        <f>SUMIFS(Input!$C$115:$C$3257,Input!$A$115:$A$3257,"="&amp;'Output - County'!A1767,Input!$B$115:$B$3257,"="&amp;'Output - County'!B1767)*VLOOKUP(A1767,'Output - State'!$B$2:$G$52,4,FALSE)</f>
        <v>0</v>
      </c>
      <c r="F1767" s="98">
        <f>SUMIFS(Input!$C$115:$C$3257,Input!$A$115:$A$3257,"="&amp;'Output - County'!A1767,Input!$B$115:$B$3257,"="&amp;'Output - County'!B1767)*VLOOKUP(A1767,'Output - State'!$B$2:$G$52,5,FALSE)</f>
        <v>0.78132104602957497</v>
      </c>
      <c r="G1767" s="99">
        <f>SUMIFS(Input!$D$115:$D$3257,Input!$A$115:$A$3257,"="&amp;'Output - County'!A1767,Input!$B$115:$B$3257,"="&amp;'Output - County'!B1767)*VLOOKUP(A1767,'Output - State'!$B$2:$G$52,6,FALSE)</f>
        <v>0.44400019290833925</v>
      </c>
    </row>
    <row r="1768" spans="1:7" x14ac:dyDescent="0.25">
      <c r="A1768" s="88">
        <v>33</v>
      </c>
      <c r="B1768" s="88">
        <v>5</v>
      </c>
      <c r="C1768" s="97">
        <f>SUMIFS(Input!$C$115:$C$3257,Input!$A$115:$A$3257,"="&amp;'Output - County'!A1768,Input!$B$115:$B$3257,"="&amp;'Output - County'!B1768)*VLOOKUP(A1768,'Output - State'!$B$2:$G$52,2,FALSE)</f>
        <v>14.548155356208269</v>
      </c>
      <c r="D1768" s="98">
        <f>SUMIFS(Input!$C$115:$C$3257,Input!$A$115:$A$3257,"="&amp;'Output - County'!A1768,Input!$B$115:$B$3257,"="&amp;'Output - County'!B1768)*VLOOKUP(A1768,'Output - State'!$B$2:$G$52,3,FALSE)</f>
        <v>0.57269790674625864</v>
      </c>
      <c r="E1768" s="98">
        <f>SUMIFS(Input!$C$115:$C$3257,Input!$A$115:$A$3257,"="&amp;'Output - County'!A1768,Input!$B$115:$B$3257,"="&amp;'Output - County'!B1768)*VLOOKUP(A1768,'Output - State'!$B$2:$G$52,4,FALSE)</f>
        <v>0</v>
      </c>
      <c r="F1768" s="98">
        <f>SUMIFS(Input!$C$115:$C$3257,Input!$A$115:$A$3257,"="&amp;'Output - County'!A1768,Input!$B$115:$B$3257,"="&amp;'Output - County'!B1768)*VLOOKUP(A1768,'Output - State'!$B$2:$G$52,5,FALSE)</f>
        <v>1.0624122284709017</v>
      </c>
      <c r="G1768" s="99">
        <f>SUMIFS(Input!$D$115:$D$3257,Input!$A$115:$A$3257,"="&amp;'Output - County'!A1768,Input!$B$115:$B$3257,"="&amp;'Output - County'!B1768)*VLOOKUP(A1768,'Output - State'!$B$2:$G$52,6,FALSE)</f>
        <v>0.69056587380620793</v>
      </c>
    </row>
    <row r="1769" spans="1:7" x14ac:dyDescent="0.25">
      <c r="A1769" s="88">
        <v>33</v>
      </c>
      <c r="B1769" s="88">
        <v>7</v>
      </c>
      <c r="C1769" s="97">
        <f>SUMIFS(Input!$C$115:$C$3257,Input!$A$115:$A$3257,"="&amp;'Output - County'!A1769,Input!$B$115:$B$3257,"="&amp;'Output - County'!B1769)*VLOOKUP(A1769,'Output - State'!$B$2:$G$52,2,FALSE)</f>
        <v>7.5644857815304123</v>
      </c>
      <c r="D1769" s="98">
        <f>SUMIFS(Input!$C$115:$C$3257,Input!$A$115:$A$3257,"="&amp;'Output - County'!A1769,Input!$B$115:$B$3257,"="&amp;'Output - County'!B1769)*VLOOKUP(A1769,'Output - State'!$B$2:$G$52,3,FALSE)</f>
        <v>0.29778106341472343</v>
      </c>
      <c r="E1769" s="98">
        <f>SUMIFS(Input!$C$115:$C$3257,Input!$A$115:$A$3257,"="&amp;'Output - County'!A1769,Input!$B$115:$B$3257,"="&amp;'Output - County'!B1769)*VLOOKUP(A1769,'Output - State'!$B$2:$G$52,4,FALSE)</f>
        <v>0</v>
      </c>
      <c r="F1769" s="98">
        <f>SUMIFS(Input!$C$115:$C$3257,Input!$A$115:$A$3257,"="&amp;'Output - County'!A1769,Input!$B$115:$B$3257,"="&amp;'Output - County'!B1769)*VLOOKUP(A1769,'Output - State'!$B$2:$G$52,5,FALSE)</f>
        <v>0.55241382839389608</v>
      </c>
      <c r="G1769" s="99">
        <f>SUMIFS(Input!$D$115:$D$3257,Input!$A$115:$A$3257,"="&amp;'Output - County'!A1769,Input!$B$115:$B$3257,"="&amp;'Output - County'!B1769)*VLOOKUP(A1769,'Output - State'!$B$2:$G$52,6,FALSE)</f>
        <v>0.28659848517648945</v>
      </c>
    </row>
    <row r="1770" spans="1:7" x14ac:dyDescent="0.25">
      <c r="A1770" s="88">
        <v>33</v>
      </c>
      <c r="B1770" s="88">
        <v>9</v>
      </c>
      <c r="C1770" s="97">
        <f>SUMIFS(Input!$C$115:$C$3257,Input!$A$115:$A$3257,"="&amp;'Output - County'!A1770,Input!$B$115:$B$3257,"="&amp;'Output - County'!B1770)*VLOOKUP(A1770,'Output - State'!$B$2:$G$52,2,FALSE)</f>
        <v>24.883424978247792</v>
      </c>
      <c r="D1770" s="98">
        <f>SUMIFS(Input!$C$115:$C$3257,Input!$A$115:$A$3257,"="&amp;'Output - County'!A1770,Input!$B$115:$B$3257,"="&amp;'Output - County'!B1770)*VLOOKUP(A1770,'Output - State'!$B$2:$G$52,3,FALSE)</f>
        <v>0.97955273701684442</v>
      </c>
      <c r="E1770" s="98">
        <f>SUMIFS(Input!$C$115:$C$3257,Input!$A$115:$A$3257,"="&amp;'Output - County'!A1770,Input!$B$115:$B$3257,"="&amp;'Output - County'!B1770)*VLOOKUP(A1770,'Output - State'!$B$2:$G$52,4,FALSE)</f>
        <v>0</v>
      </c>
      <c r="F1770" s="98">
        <f>SUMIFS(Input!$C$115:$C$3257,Input!$A$115:$A$3257,"="&amp;'Output - County'!A1770,Input!$B$115:$B$3257,"="&amp;'Output - County'!B1770)*VLOOKUP(A1770,'Output - State'!$B$2:$G$52,5,FALSE)</f>
        <v>1.8171688668314405</v>
      </c>
      <c r="G1770" s="99">
        <f>SUMIFS(Input!$D$115:$D$3257,Input!$A$115:$A$3257,"="&amp;'Output - County'!A1770,Input!$B$115:$B$3257,"="&amp;'Output - County'!B1770)*VLOOKUP(A1770,'Output - State'!$B$2:$G$52,6,FALSE)</f>
        <v>0.81612330540733669</v>
      </c>
    </row>
    <row r="1771" spans="1:7" x14ac:dyDescent="0.25">
      <c r="A1771" s="88">
        <v>33</v>
      </c>
      <c r="B1771" s="88">
        <v>11</v>
      </c>
      <c r="C1771" s="97">
        <f>SUMIFS(Input!$C$115:$C$3257,Input!$A$115:$A$3257,"="&amp;'Output - County'!A1771,Input!$B$115:$B$3257,"="&amp;'Output - County'!B1771)*VLOOKUP(A1771,'Output - State'!$B$2:$G$52,2,FALSE)</f>
        <v>82.30036152365949</v>
      </c>
      <c r="D1771" s="98">
        <f>SUMIFS(Input!$C$115:$C$3257,Input!$A$115:$A$3257,"="&amp;'Output - County'!A1771,Input!$B$115:$B$3257,"="&amp;'Output - County'!B1771)*VLOOKUP(A1771,'Output - State'!$B$2:$G$52,3,FALSE)</f>
        <v>3.2398090077410746</v>
      </c>
      <c r="E1771" s="98">
        <f>SUMIFS(Input!$C$115:$C$3257,Input!$A$115:$A$3257,"="&amp;'Output - County'!A1771,Input!$B$115:$B$3257,"="&amp;'Output - County'!B1771)*VLOOKUP(A1771,'Output - State'!$B$2:$G$52,4,FALSE)</f>
        <v>0</v>
      </c>
      <c r="F1771" s="98">
        <f>SUMIFS(Input!$C$115:$C$3257,Input!$A$115:$A$3257,"="&amp;'Output - County'!A1771,Input!$B$115:$B$3257,"="&amp;'Output - County'!B1771)*VLOOKUP(A1771,'Output - State'!$B$2:$G$52,5,FALSE)</f>
        <v>6.0101716230985369</v>
      </c>
      <c r="G1771" s="99">
        <f>SUMIFS(Input!$D$115:$D$3257,Input!$A$115:$A$3257,"="&amp;'Output - County'!A1771,Input!$B$115:$B$3257,"="&amp;'Output - County'!B1771)*VLOOKUP(A1771,'Output - State'!$B$2:$G$52,6,FALSE)</f>
        <v>3.7758213126426385</v>
      </c>
    </row>
    <row r="1772" spans="1:7" x14ac:dyDescent="0.25">
      <c r="A1772" s="88">
        <v>33</v>
      </c>
      <c r="B1772" s="88">
        <v>13</v>
      </c>
      <c r="C1772" s="97">
        <f>SUMIFS(Input!$C$115:$C$3257,Input!$A$115:$A$3257,"="&amp;'Output - County'!A1772,Input!$B$115:$B$3257,"="&amp;'Output - County'!B1772)*VLOOKUP(A1772,'Output - State'!$B$2:$G$52,2,FALSE)</f>
        <v>51.102533563594911</v>
      </c>
      <c r="D1772" s="98">
        <f>SUMIFS(Input!$C$115:$C$3257,Input!$A$115:$A$3257,"="&amp;'Output - County'!A1772,Input!$B$115:$B$3257,"="&amp;'Output - County'!B1772)*VLOOKUP(A1772,'Output - State'!$B$2:$G$52,3,FALSE)</f>
        <v>2.011685556328084</v>
      </c>
      <c r="E1772" s="98">
        <f>SUMIFS(Input!$C$115:$C$3257,Input!$A$115:$A$3257,"="&amp;'Output - County'!A1772,Input!$B$115:$B$3257,"="&amp;'Output - County'!B1772)*VLOOKUP(A1772,'Output - State'!$B$2:$G$52,4,FALSE)</f>
        <v>0</v>
      </c>
      <c r="F1772" s="98">
        <f>SUMIFS(Input!$C$115:$C$3257,Input!$A$115:$A$3257,"="&amp;'Output - County'!A1772,Input!$B$115:$B$3257,"="&amp;'Output - County'!B1772)*VLOOKUP(A1772,'Output - State'!$B$2:$G$52,5,FALSE)</f>
        <v>3.7318790756959714</v>
      </c>
      <c r="G1772" s="99">
        <f>SUMIFS(Input!$D$115:$D$3257,Input!$A$115:$A$3257,"="&amp;'Output - County'!A1772,Input!$B$115:$B$3257,"="&amp;'Output - County'!B1772)*VLOOKUP(A1772,'Output - State'!$B$2:$G$52,6,FALSE)</f>
        <v>1.3738530559253939</v>
      </c>
    </row>
    <row r="1773" spans="1:7" x14ac:dyDescent="0.25">
      <c r="A1773" s="88">
        <v>33</v>
      </c>
      <c r="B1773" s="88">
        <v>15</v>
      </c>
      <c r="C1773" s="97">
        <f>SUMIFS(Input!$C$115:$C$3257,Input!$A$115:$A$3257,"="&amp;'Output - County'!A1773,Input!$B$115:$B$3257,"="&amp;'Output - County'!B1773)*VLOOKUP(A1773,'Output - State'!$B$2:$G$52,2,FALSE)</f>
        <v>89.356188985850281</v>
      </c>
      <c r="D1773" s="98">
        <f>SUMIFS(Input!$C$115:$C$3257,Input!$A$115:$A$3257,"="&amp;'Output - County'!A1773,Input!$B$115:$B$3257,"="&amp;'Output - County'!B1773)*VLOOKUP(A1773,'Output - State'!$B$2:$G$52,3,FALSE)</f>
        <v>3.5175663947788092</v>
      </c>
      <c r="E1773" s="98">
        <f>SUMIFS(Input!$C$115:$C$3257,Input!$A$115:$A$3257,"="&amp;'Output - County'!A1773,Input!$B$115:$B$3257,"="&amp;'Output - County'!B1773)*VLOOKUP(A1773,'Output - State'!$B$2:$G$52,4,FALSE)</f>
        <v>0</v>
      </c>
      <c r="F1773" s="98">
        <f>SUMIFS(Input!$C$115:$C$3257,Input!$A$115:$A$3257,"="&amp;'Output - County'!A1773,Input!$B$115:$B$3257,"="&amp;'Output - County'!B1773)*VLOOKUP(A1773,'Output - State'!$B$2:$G$52,5,FALSE)</f>
        <v>6.525439517499553</v>
      </c>
      <c r="G1773" s="99">
        <f>SUMIFS(Input!$D$115:$D$3257,Input!$A$115:$A$3257,"="&amp;'Output - County'!A1773,Input!$B$115:$B$3257,"="&amp;'Output - County'!B1773)*VLOOKUP(A1773,'Output - State'!$B$2:$G$52,6,FALSE)</f>
        <v>2.8022962995034524</v>
      </c>
    </row>
    <row r="1774" spans="1:7" x14ac:dyDescent="0.25">
      <c r="A1774" s="88">
        <v>33</v>
      </c>
      <c r="B1774" s="88">
        <v>17</v>
      </c>
      <c r="C1774" s="97">
        <f>SUMIFS(Input!$C$115:$C$3257,Input!$A$115:$A$3257,"="&amp;'Output - County'!A1774,Input!$B$115:$B$3257,"="&amp;'Output - County'!B1774)*VLOOKUP(A1774,'Output - State'!$B$2:$G$52,2,FALSE)</f>
        <v>28.058652287504312</v>
      </c>
      <c r="D1774" s="98">
        <f>SUMIFS(Input!$C$115:$C$3257,Input!$A$115:$A$3257,"="&amp;'Output - County'!A1774,Input!$B$115:$B$3257,"="&amp;'Output - County'!B1774)*VLOOKUP(A1774,'Output - State'!$B$2:$G$52,3,FALSE)</f>
        <v>1.1045476926610842</v>
      </c>
      <c r="E1774" s="98">
        <f>SUMIFS(Input!$C$115:$C$3257,Input!$A$115:$A$3257,"="&amp;'Output - County'!A1774,Input!$B$115:$B$3257,"="&amp;'Output - County'!B1774)*VLOOKUP(A1774,'Output - State'!$B$2:$G$52,4,FALSE)</f>
        <v>0</v>
      </c>
      <c r="F1774" s="98">
        <f>SUMIFS(Input!$C$115:$C$3257,Input!$A$115:$A$3257,"="&amp;'Output - County'!A1774,Input!$B$115:$B$3257,"="&amp;'Output - County'!B1774)*VLOOKUP(A1774,'Output - State'!$B$2:$G$52,5,FALSE)</f>
        <v>2.0490470836178263</v>
      </c>
      <c r="G1774" s="99">
        <f>SUMIFS(Input!$D$115:$D$3257,Input!$A$115:$A$3257,"="&amp;'Output - County'!A1774,Input!$B$115:$B$3257,"="&amp;'Output - County'!B1774)*VLOOKUP(A1774,'Output - State'!$B$2:$G$52,6,FALSE)</f>
        <v>1.1827873991410676</v>
      </c>
    </row>
    <row r="1775" spans="1:7" x14ac:dyDescent="0.25">
      <c r="A1775" s="88">
        <v>33</v>
      </c>
      <c r="B1775" s="88">
        <v>19</v>
      </c>
      <c r="C1775" s="97">
        <f>SUMIFS(Input!$C$115:$C$3257,Input!$A$115:$A$3257,"="&amp;'Output - County'!A1775,Input!$B$115:$B$3257,"="&amp;'Output - County'!B1775)*VLOOKUP(A1775,'Output - State'!$B$2:$G$52,2,FALSE)</f>
        <v>8.4040875478671246</v>
      </c>
      <c r="D1775" s="98">
        <f>SUMIFS(Input!$C$115:$C$3257,Input!$A$115:$A$3257,"="&amp;'Output - County'!A1775,Input!$B$115:$B$3257,"="&amp;'Output - County'!B1775)*VLOOKUP(A1775,'Output - State'!$B$2:$G$52,3,FALSE)</f>
        <v>0.33083255085820223</v>
      </c>
      <c r="E1775" s="98">
        <f>SUMIFS(Input!$C$115:$C$3257,Input!$A$115:$A$3257,"="&amp;'Output - County'!A1775,Input!$B$115:$B$3257,"="&amp;'Output - County'!B1775)*VLOOKUP(A1775,'Output - State'!$B$2:$G$52,4,FALSE)</f>
        <v>0</v>
      </c>
      <c r="F1775" s="98">
        <f>SUMIFS(Input!$C$115:$C$3257,Input!$A$115:$A$3257,"="&amp;'Output - County'!A1775,Input!$B$115:$B$3257,"="&amp;'Output - County'!B1775)*VLOOKUP(A1775,'Output - State'!$B$2:$G$52,5,FALSE)</f>
        <v>0.61372766246848476</v>
      </c>
      <c r="G1775" s="99">
        <f>SUMIFS(Input!$D$115:$D$3257,Input!$A$115:$A$3257,"="&amp;'Output - County'!A1775,Input!$B$115:$B$3257,"="&amp;'Output - County'!B1775)*VLOOKUP(A1775,'Output - State'!$B$2:$G$52,6,FALSE)</f>
        <v>0.39213951463830776</v>
      </c>
    </row>
    <row r="1776" spans="1:7" x14ac:dyDescent="0.25">
      <c r="A1776" s="88">
        <v>34</v>
      </c>
      <c r="B1776" s="88">
        <v>1</v>
      </c>
      <c r="C1776" s="97">
        <f>SUMIFS(Input!$C$115:$C$3257,Input!$A$115:$A$3257,"="&amp;'Output - County'!A1776,Input!$B$115:$B$3257,"="&amp;'Output - County'!B1776)*VLOOKUP(A1776,'Output - State'!$B$2:$G$52,2,FALSE)</f>
        <v>69.838400188016337</v>
      </c>
      <c r="D1776" s="98">
        <f>SUMIFS(Input!$C$115:$C$3257,Input!$A$115:$A$3257,"="&amp;'Output - County'!A1776,Input!$B$115:$B$3257,"="&amp;'Output - County'!B1776)*VLOOKUP(A1776,'Output - State'!$B$2:$G$52,3,FALSE)</f>
        <v>0</v>
      </c>
      <c r="E1776" s="98">
        <f>SUMIFS(Input!$C$115:$C$3257,Input!$A$115:$A$3257,"="&amp;'Output - County'!A1776,Input!$B$115:$B$3257,"="&amp;'Output - County'!B1776)*VLOOKUP(A1776,'Output - State'!$B$2:$G$52,4,FALSE)</f>
        <v>1.7151746428575592</v>
      </c>
      <c r="F1776" s="98">
        <f>SUMIFS(Input!$C$115:$C$3257,Input!$A$115:$A$3257,"="&amp;'Output - County'!A1776,Input!$B$115:$B$3257,"="&amp;'Output - County'!B1776)*VLOOKUP(A1776,'Output - State'!$B$2:$G$52,5,FALSE)</f>
        <v>107.10977868707765</v>
      </c>
      <c r="G1776" s="99">
        <f>SUMIFS(Input!$D$115:$D$3257,Input!$A$115:$A$3257,"="&amp;'Output - County'!A1776,Input!$B$115:$B$3257,"="&amp;'Output - County'!B1776)*VLOOKUP(A1776,'Output - State'!$B$2:$G$52,6,FALSE)</f>
        <v>38.702497445971396</v>
      </c>
    </row>
    <row r="1777" spans="1:7" x14ac:dyDescent="0.25">
      <c r="A1777" s="88">
        <v>34</v>
      </c>
      <c r="B1777" s="88">
        <v>3</v>
      </c>
      <c r="C1777" s="97">
        <f>SUMIFS(Input!$C$115:$C$3257,Input!$A$115:$A$3257,"="&amp;'Output - County'!A1777,Input!$B$115:$B$3257,"="&amp;'Output - County'!B1777)*VLOOKUP(A1777,'Output - State'!$B$2:$G$52,2,FALSE)</f>
        <v>186.81678731128625</v>
      </c>
      <c r="D1777" s="98">
        <f>SUMIFS(Input!$C$115:$C$3257,Input!$A$115:$A$3257,"="&amp;'Output - County'!A1777,Input!$B$115:$B$3257,"="&amp;'Output - County'!B1777)*VLOOKUP(A1777,'Output - State'!$B$2:$G$52,3,FALSE)</f>
        <v>0</v>
      </c>
      <c r="E1777" s="98">
        <f>SUMIFS(Input!$C$115:$C$3257,Input!$A$115:$A$3257,"="&amp;'Output - County'!A1777,Input!$B$115:$B$3257,"="&amp;'Output - County'!B1777)*VLOOKUP(A1777,'Output - State'!$B$2:$G$52,4,FALSE)</f>
        <v>4.5880692512113672</v>
      </c>
      <c r="F1777" s="98">
        <f>SUMIFS(Input!$C$115:$C$3257,Input!$A$115:$A$3257,"="&amp;'Output - County'!A1777,Input!$B$115:$B$3257,"="&amp;'Output - County'!B1777)*VLOOKUP(A1777,'Output - State'!$B$2:$G$52,5,FALSE)</f>
        <v>286.51722677026976</v>
      </c>
      <c r="G1777" s="99">
        <f>SUMIFS(Input!$D$115:$D$3257,Input!$A$115:$A$3257,"="&amp;'Output - County'!A1777,Input!$B$115:$B$3257,"="&amp;'Output - County'!B1777)*VLOOKUP(A1777,'Output - State'!$B$2:$G$52,6,FALSE)</f>
        <v>136.77814438292165</v>
      </c>
    </row>
    <row r="1778" spans="1:7" x14ac:dyDescent="0.25">
      <c r="A1778" s="88">
        <v>34</v>
      </c>
      <c r="B1778" s="88">
        <v>5</v>
      </c>
      <c r="C1778" s="97">
        <f>SUMIFS(Input!$C$115:$C$3257,Input!$A$115:$A$3257,"="&amp;'Output - County'!A1778,Input!$B$115:$B$3257,"="&amp;'Output - County'!B1778)*VLOOKUP(A1778,'Output - State'!$B$2:$G$52,2,FALSE)</f>
        <v>120.91286421287361</v>
      </c>
      <c r="D1778" s="98">
        <f>SUMIFS(Input!$C$115:$C$3257,Input!$A$115:$A$3257,"="&amp;'Output - County'!A1778,Input!$B$115:$B$3257,"="&amp;'Output - County'!B1778)*VLOOKUP(A1778,'Output - State'!$B$2:$G$52,3,FALSE)</f>
        <v>0</v>
      </c>
      <c r="E1778" s="98">
        <f>SUMIFS(Input!$C$115:$C$3257,Input!$A$115:$A$3257,"="&amp;'Output - County'!A1778,Input!$B$115:$B$3257,"="&amp;'Output - County'!B1778)*VLOOKUP(A1778,'Output - State'!$B$2:$G$52,4,FALSE)</f>
        <v>2.969522184570113</v>
      </c>
      <c r="F1778" s="98">
        <f>SUMIFS(Input!$C$115:$C$3257,Input!$A$115:$A$3257,"="&amp;'Output - County'!A1778,Input!$B$115:$B$3257,"="&amp;'Output - County'!B1778)*VLOOKUP(A1778,'Output - State'!$B$2:$G$52,5,FALSE)</f>
        <v>185.44167809393542</v>
      </c>
      <c r="G1778" s="99">
        <f>SUMIFS(Input!$D$115:$D$3257,Input!$A$115:$A$3257,"="&amp;'Output - County'!A1778,Input!$B$115:$B$3257,"="&amp;'Output - County'!B1778)*VLOOKUP(A1778,'Output - State'!$B$2:$G$52,6,FALSE)</f>
        <v>65.237164255519971</v>
      </c>
    </row>
    <row r="1779" spans="1:7" x14ac:dyDescent="0.25">
      <c r="A1779" s="88">
        <v>34</v>
      </c>
      <c r="B1779" s="88">
        <v>7</v>
      </c>
      <c r="C1779" s="97">
        <f>SUMIFS(Input!$C$115:$C$3257,Input!$A$115:$A$3257,"="&amp;'Output - County'!A1779,Input!$B$115:$B$3257,"="&amp;'Output - County'!B1779)*VLOOKUP(A1779,'Output - State'!$B$2:$G$52,2,FALSE)</f>
        <v>110.91887645840497</v>
      </c>
      <c r="D1779" s="98">
        <f>SUMIFS(Input!$C$115:$C$3257,Input!$A$115:$A$3257,"="&amp;'Output - County'!A1779,Input!$B$115:$B$3257,"="&amp;'Output - County'!B1779)*VLOOKUP(A1779,'Output - State'!$B$2:$G$52,3,FALSE)</f>
        <v>0</v>
      </c>
      <c r="E1779" s="98">
        <f>SUMIFS(Input!$C$115:$C$3257,Input!$A$115:$A$3257,"="&amp;'Output - County'!A1779,Input!$B$115:$B$3257,"="&amp;'Output - County'!B1779)*VLOOKUP(A1779,'Output - State'!$B$2:$G$52,4,FALSE)</f>
        <v>2.7240779256617467</v>
      </c>
      <c r="F1779" s="98">
        <f>SUMIFS(Input!$C$115:$C$3257,Input!$A$115:$A$3257,"="&amp;'Output - County'!A1779,Input!$B$115:$B$3257,"="&amp;'Output - County'!B1779)*VLOOKUP(A1779,'Output - State'!$B$2:$G$52,5,FALSE)</f>
        <v>170.11409593711818</v>
      </c>
      <c r="G1779" s="99">
        <f>SUMIFS(Input!$D$115:$D$3257,Input!$A$115:$A$3257,"="&amp;'Output - County'!A1779,Input!$B$115:$B$3257,"="&amp;'Output - County'!B1779)*VLOOKUP(A1779,'Output - State'!$B$2:$G$52,6,FALSE)</f>
        <v>74.17978677144518</v>
      </c>
    </row>
    <row r="1780" spans="1:7" x14ac:dyDescent="0.25">
      <c r="A1780" s="88">
        <v>34</v>
      </c>
      <c r="B1780" s="88">
        <v>9</v>
      </c>
      <c r="C1780" s="97">
        <f>SUMIFS(Input!$C$115:$C$3257,Input!$A$115:$A$3257,"="&amp;'Output - County'!A1780,Input!$B$115:$B$3257,"="&amp;'Output - County'!B1780)*VLOOKUP(A1780,'Output - State'!$B$2:$G$52,2,FALSE)</f>
        <v>27.360597918866954</v>
      </c>
      <c r="D1780" s="98">
        <f>SUMIFS(Input!$C$115:$C$3257,Input!$A$115:$A$3257,"="&amp;'Output - County'!A1780,Input!$B$115:$B$3257,"="&amp;'Output - County'!B1780)*VLOOKUP(A1780,'Output - State'!$B$2:$G$52,3,FALSE)</f>
        <v>0</v>
      </c>
      <c r="E1780" s="98">
        <f>SUMIFS(Input!$C$115:$C$3257,Input!$A$115:$A$3257,"="&amp;'Output - County'!A1780,Input!$B$115:$B$3257,"="&amp;'Output - County'!B1780)*VLOOKUP(A1780,'Output - State'!$B$2:$G$52,4,FALSE)</f>
        <v>0.67195416329016044</v>
      </c>
      <c r="F1780" s="98">
        <f>SUMIFS(Input!$C$115:$C$3257,Input!$A$115:$A$3257,"="&amp;'Output - County'!A1780,Input!$B$115:$B$3257,"="&amp;'Output - County'!B1780)*VLOOKUP(A1780,'Output - State'!$B$2:$G$52,5,FALSE)</f>
        <v>41.962410077354839</v>
      </c>
      <c r="G1780" s="99">
        <f>SUMIFS(Input!$D$115:$D$3257,Input!$A$115:$A$3257,"="&amp;'Output - County'!A1780,Input!$B$115:$B$3257,"="&amp;'Output - County'!B1780)*VLOOKUP(A1780,'Output - State'!$B$2:$G$52,6,FALSE)</f>
        <v>13.54587410608999</v>
      </c>
    </row>
    <row r="1781" spans="1:7" x14ac:dyDescent="0.25">
      <c r="A1781" s="88">
        <v>34</v>
      </c>
      <c r="B1781" s="88">
        <v>11</v>
      </c>
      <c r="C1781" s="97">
        <f>SUMIFS(Input!$C$115:$C$3257,Input!$A$115:$A$3257,"="&amp;'Output - County'!A1781,Input!$B$115:$B$3257,"="&amp;'Output - County'!B1781)*VLOOKUP(A1781,'Output - State'!$B$2:$G$52,2,FALSE)</f>
        <v>30.356976950273342</v>
      </c>
      <c r="D1781" s="98">
        <f>SUMIFS(Input!$C$115:$C$3257,Input!$A$115:$A$3257,"="&amp;'Output - County'!A1781,Input!$B$115:$B$3257,"="&amp;'Output - County'!B1781)*VLOOKUP(A1781,'Output - State'!$B$2:$G$52,3,FALSE)</f>
        <v>0</v>
      </c>
      <c r="E1781" s="98">
        <f>SUMIFS(Input!$C$115:$C$3257,Input!$A$115:$A$3257,"="&amp;'Output - County'!A1781,Input!$B$115:$B$3257,"="&amp;'Output - County'!B1781)*VLOOKUP(A1781,'Output - State'!$B$2:$G$52,4,FALSE)</f>
        <v>0.74554280966840603</v>
      </c>
      <c r="F1781" s="98">
        <f>SUMIFS(Input!$C$115:$C$3257,Input!$A$115:$A$3257,"="&amp;'Output - County'!A1781,Input!$B$115:$B$3257,"="&amp;'Output - County'!B1781)*VLOOKUP(A1781,'Output - State'!$B$2:$G$52,5,FALSE)</f>
        <v>46.557897574956613</v>
      </c>
      <c r="G1781" s="99">
        <f>SUMIFS(Input!$D$115:$D$3257,Input!$A$115:$A$3257,"="&amp;'Output - County'!A1781,Input!$B$115:$B$3257,"="&amp;'Output - County'!B1781)*VLOOKUP(A1781,'Output - State'!$B$2:$G$52,6,FALSE)</f>
        <v>22.136655736142728</v>
      </c>
    </row>
    <row r="1782" spans="1:7" x14ac:dyDescent="0.25">
      <c r="A1782" s="88">
        <v>34</v>
      </c>
      <c r="B1782" s="88">
        <v>13</v>
      </c>
      <c r="C1782" s="97">
        <f>SUMIFS(Input!$C$115:$C$3257,Input!$A$115:$A$3257,"="&amp;'Output - County'!A1782,Input!$B$115:$B$3257,"="&amp;'Output - County'!B1782)*VLOOKUP(A1782,'Output - State'!$B$2:$G$52,2,FALSE)</f>
        <v>139.7146977930843</v>
      </c>
      <c r="D1782" s="98">
        <f>SUMIFS(Input!$C$115:$C$3257,Input!$A$115:$A$3257,"="&amp;'Output - County'!A1782,Input!$B$115:$B$3257,"="&amp;'Output - County'!B1782)*VLOOKUP(A1782,'Output - State'!$B$2:$G$52,3,FALSE)</f>
        <v>0</v>
      </c>
      <c r="E1782" s="98">
        <f>SUMIFS(Input!$C$115:$C$3257,Input!$A$115:$A$3257,"="&amp;'Output - County'!A1782,Input!$B$115:$B$3257,"="&amp;'Output - County'!B1782)*VLOOKUP(A1782,'Output - State'!$B$2:$G$52,4,FALSE)</f>
        <v>3.4312800156370771</v>
      </c>
      <c r="F1782" s="98">
        <f>SUMIFS(Input!$C$115:$C$3257,Input!$A$115:$A$3257,"="&amp;'Output - County'!A1782,Input!$B$115:$B$3257,"="&amp;'Output - County'!B1782)*VLOOKUP(A1782,'Output - State'!$B$2:$G$52,5,FALSE)</f>
        <v>214.27767989618164</v>
      </c>
      <c r="G1782" s="99">
        <f>SUMIFS(Input!$D$115:$D$3257,Input!$A$115:$A$3257,"="&amp;'Output - County'!A1782,Input!$B$115:$B$3257,"="&amp;'Output - County'!B1782)*VLOOKUP(A1782,'Output - State'!$B$2:$G$52,6,FALSE)</f>
        <v>117.13369492170889</v>
      </c>
    </row>
    <row r="1783" spans="1:7" x14ac:dyDescent="0.25">
      <c r="A1783" s="88">
        <v>34</v>
      </c>
      <c r="B1783" s="88">
        <v>15</v>
      </c>
      <c r="C1783" s="97">
        <f>SUMIFS(Input!$C$115:$C$3257,Input!$A$115:$A$3257,"="&amp;'Output - County'!A1783,Input!$B$115:$B$3257,"="&amp;'Output - County'!B1783)*VLOOKUP(A1783,'Output - State'!$B$2:$G$52,2,FALSE)</f>
        <v>79.145885136458688</v>
      </c>
      <c r="D1783" s="98">
        <f>SUMIFS(Input!$C$115:$C$3257,Input!$A$115:$A$3257,"="&amp;'Output - County'!A1783,Input!$B$115:$B$3257,"="&amp;'Output - County'!B1783)*VLOOKUP(A1783,'Output - State'!$B$2:$G$52,3,FALSE)</f>
        <v>0</v>
      </c>
      <c r="E1783" s="98">
        <f>SUMIFS(Input!$C$115:$C$3257,Input!$A$115:$A$3257,"="&amp;'Output - County'!A1783,Input!$B$115:$B$3257,"="&amp;'Output - County'!B1783)*VLOOKUP(A1783,'Output - State'!$B$2:$G$52,4,FALSE)</f>
        <v>1.9437589479013335</v>
      </c>
      <c r="F1783" s="98">
        <f>SUMIFS(Input!$C$115:$C$3257,Input!$A$115:$A$3257,"="&amp;'Output - County'!A1783,Input!$B$115:$B$3257,"="&amp;'Output - County'!B1783)*VLOOKUP(A1783,'Output - State'!$B$2:$G$52,5,FALSE)</f>
        <v>121.38448501306864</v>
      </c>
      <c r="G1783" s="99">
        <f>SUMIFS(Input!$D$115:$D$3257,Input!$A$115:$A$3257,"="&amp;'Output - County'!A1783,Input!$B$115:$B$3257,"="&amp;'Output - County'!B1783)*VLOOKUP(A1783,'Output - State'!$B$2:$G$52,6,FALSE)</f>
        <v>42.807307781150186</v>
      </c>
    </row>
    <row r="1784" spans="1:7" x14ac:dyDescent="0.25">
      <c r="A1784" s="88">
        <v>34</v>
      </c>
      <c r="B1784" s="88">
        <v>17</v>
      </c>
      <c r="C1784" s="97">
        <f>SUMIFS(Input!$C$115:$C$3257,Input!$A$115:$A$3257,"="&amp;'Output - County'!A1784,Input!$B$115:$B$3257,"="&amp;'Output - County'!B1784)*VLOOKUP(A1784,'Output - State'!$B$2:$G$52,2,FALSE)</f>
        <v>74.692337203551958</v>
      </c>
      <c r="D1784" s="98">
        <f>SUMIFS(Input!$C$115:$C$3257,Input!$A$115:$A$3257,"="&amp;'Output - County'!A1784,Input!$B$115:$B$3257,"="&amp;'Output - County'!B1784)*VLOOKUP(A1784,'Output - State'!$B$2:$G$52,3,FALSE)</f>
        <v>0</v>
      </c>
      <c r="E1784" s="98">
        <f>SUMIFS(Input!$C$115:$C$3257,Input!$A$115:$A$3257,"="&amp;'Output - County'!A1784,Input!$B$115:$B$3257,"="&amp;'Output - County'!B1784)*VLOOKUP(A1784,'Output - State'!$B$2:$G$52,4,FALSE)</f>
        <v>1.8343834114527904</v>
      </c>
      <c r="F1784" s="98">
        <f>SUMIFS(Input!$C$115:$C$3257,Input!$A$115:$A$3257,"="&amp;'Output - County'!A1784,Input!$B$115:$B$3257,"="&amp;'Output - County'!B1784)*VLOOKUP(A1784,'Output - State'!$B$2:$G$52,5,FALSE)</f>
        <v>114.5541662746422</v>
      </c>
      <c r="G1784" s="99">
        <f>SUMIFS(Input!$D$115:$D$3257,Input!$A$115:$A$3257,"="&amp;'Output - County'!A1784,Input!$B$115:$B$3257,"="&amp;'Output - County'!B1784)*VLOOKUP(A1784,'Output - State'!$B$2:$G$52,6,FALSE)</f>
        <v>98.515448044290835</v>
      </c>
    </row>
    <row r="1785" spans="1:7" x14ac:dyDescent="0.25">
      <c r="A1785" s="88">
        <v>34</v>
      </c>
      <c r="B1785" s="88">
        <v>19</v>
      </c>
      <c r="C1785" s="97">
        <f>SUMIFS(Input!$C$115:$C$3257,Input!$A$115:$A$3257,"="&amp;'Output - County'!A1785,Input!$B$115:$B$3257,"="&amp;'Output - County'!B1785)*VLOOKUP(A1785,'Output - State'!$B$2:$G$52,2,FALSE)</f>
        <v>45.214159617406317</v>
      </c>
      <c r="D1785" s="98">
        <f>SUMIFS(Input!$C$115:$C$3257,Input!$A$115:$A$3257,"="&amp;'Output - County'!A1785,Input!$B$115:$B$3257,"="&amp;'Output - County'!B1785)*VLOOKUP(A1785,'Output - State'!$B$2:$G$52,3,FALSE)</f>
        <v>0</v>
      </c>
      <c r="E1785" s="98">
        <f>SUMIFS(Input!$C$115:$C$3257,Input!$A$115:$A$3257,"="&amp;'Output - County'!A1785,Input!$B$115:$B$3257,"="&amp;'Output - County'!B1785)*VLOOKUP(A1785,'Output - State'!$B$2:$G$52,4,FALSE)</f>
        <v>1.1104232036402875</v>
      </c>
      <c r="F1785" s="98">
        <f>SUMIFS(Input!$C$115:$C$3257,Input!$A$115:$A$3257,"="&amp;'Output - County'!A1785,Input!$B$115:$B$3257,"="&amp;'Output - County'!B1785)*VLOOKUP(A1785,'Output - State'!$B$2:$G$52,5,FALSE)</f>
        <v>69.344065973802046</v>
      </c>
      <c r="G1785" s="99">
        <f>SUMIFS(Input!$D$115:$D$3257,Input!$A$115:$A$3257,"="&amp;'Output - County'!A1785,Input!$B$115:$B$3257,"="&amp;'Output - County'!B1785)*VLOOKUP(A1785,'Output - State'!$B$2:$G$52,6,FALSE)</f>
        <v>18.325046139191002</v>
      </c>
    </row>
    <row r="1786" spans="1:7" x14ac:dyDescent="0.25">
      <c r="A1786" s="88">
        <v>34</v>
      </c>
      <c r="B1786" s="88">
        <v>21</v>
      </c>
      <c r="C1786" s="97">
        <f>SUMIFS(Input!$C$115:$C$3257,Input!$A$115:$A$3257,"="&amp;'Output - County'!A1786,Input!$B$115:$B$3257,"="&amp;'Output - County'!B1786)*VLOOKUP(A1786,'Output - State'!$B$2:$G$52,2,FALSE)</f>
        <v>96.506890518615378</v>
      </c>
      <c r="D1786" s="98">
        <f>SUMIFS(Input!$C$115:$C$3257,Input!$A$115:$A$3257,"="&amp;'Output - County'!A1786,Input!$B$115:$B$3257,"="&amp;'Output - County'!B1786)*VLOOKUP(A1786,'Output - State'!$B$2:$G$52,3,FALSE)</f>
        <v>0</v>
      </c>
      <c r="E1786" s="98">
        <f>SUMIFS(Input!$C$115:$C$3257,Input!$A$115:$A$3257,"="&amp;'Output - County'!A1786,Input!$B$115:$B$3257,"="&amp;'Output - County'!B1786)*VLOOKUP(A1786,'Output - State'!$B$2:$G$52,4,FALSE)</f>
        <v>2.3701312033628534</v>
      </c>
      <c r="F1786" s="98">
        <f>SUMIFS(Input!$C$115:$C$3257,Input!$A$115:$A$3257,"="&amp;'Output - County'!A1786,Input!$B$115:$B$3257,"="&amp;'Output - County'!B1786)*VLOOKUP(A1786,'Output - State'!$B$2:$G$52,5,FALSE)</f>
        <v>148.01071698948562</v>
      </c>
      <c r="G1786" s="99">
        <f>SUMIFS(Input!$D$115:$D$3257,Input!$A$115:$A$3257,"="&amp;'Output - County'!A1786,Input!$B$115:$B$3257,"="&amp;'Output - County'!B1786)*VLOOKUP(A1786,'Output - State'!$B$2:$G$52,6,FALSE)</f>
        <v>53.948935833778314</v>
      </c>
    </row>
    <row r="1787" spans="1:7" x14ac:dyDescent="0.25">
      <c r="A1787" s="88">
        <v>34</v>
      </c>
      <c r="B1787" s="88">
        <v>23</v>
      </c>
      <c r="C1787" s="97">
        <f>SUMIFS(Input!$C$115:$C$3257,Input!$A$115:$A$3257,"="&amp;'Output - County'!A1787,Input!$B$115:$B$3257,"="&amp;'Output - County'!B1787)*VLOOKUP(A1787,'Output - State'!$B$2:$G$52,2,FALSE)</f>
        <v>210.5486423427549</v>
      </c>
      <c r="D1787" s="98">
        <f>SUMIFS(Input!$C$115:$C$3257,Input!$A$115:$A$3257,"="&amp;'Output - County'!A1787,Input!$B$115:$B$3257,"="&amp;'Output - County'!B1787)*VLOOKUP(A1787,'Output - State'!$B$2:$G$52,3,FALSE)</f>
        <v>0</v>
      </c>
      <c r="E1787" s="98">
        <f>SUMIFS(Input!$C$115:$C$3257,Input!$A$115:$A$3257,"="&amp;'Output - County'!A1787,Input!$B$115:$B$3257,"="&amp;'Output - County'!B1787)*VLOOKUP(A1787,'Output - State'!$B$2:$G$52,4,FALSE)</f>
        <v>5.1709044230990981</v>
      </c>
      <c r="F1787" s="98">
        <f>SUMIFS(Input!$C$115:$C$3257,Input!$A$115:$A$3257,"="&amp;'Output - County'!A1787,Input!$B$115:$B$3257,"="&amp;'Output - County'!B1787)*VLOOKUP(A1787,'Output - State'!$B$2:$G$52,5,FALSE)</f>
        <v>322.9143053604318</v>
      </c>
      <c r="G1787" s="99">
        <f>SUMIFS(Input!$D$115:$D$3257,Input!$A$115:$A$3257,"="&amp;'Output - County'!A1787,Input!$B$115:$B$3257,"="&amp;'Output - County'!B1787)*VLOOKUP(A1787,'Output - State'!$B$2:$G$52,6,FALSE)</f>
        <v>121.09190488777415</v>
      </c>
    </row>
    <row r="1788" spans="1:7" x14ac:dyDescent="0.25">
      <c r="A1788" s="88">
        <v>34</v>
      </c>
      <c r="B1788" s="88">
        <v>25</v>
      </c>
      <c r="C1788" s="97">
        <f>SUMIFS(Input!$C$115:$C$3257,Input!$A$115:$A$3257,"="&amp;'Output - County'!A1788,Input!$B$115:$B$3257,"="&amp;'Output - County'!B1788)*VLOOKUP(A1788,'Output - State'!$B$2:$G$52,2,FALSE)</f>
        <v>155.7001722512656</v>
      </c>
      <c r="D1788" s="98">
        <f>SUMIFS(Input!$C$115:$C$3257,Input!$A$115:$A$3257,"="&amp;'Output - County'!A1788,Input!$B$115:$B$3257,"="&amp;'Output - County'!B1788)*VLOOKUP(A1788,'Output - State'!$B$2:$G$52,3,FALSE)</f>
        <v>0</v>
      </c>
      <c r="E1788" s="98">
        <f>SUMIFS(Input!$C$115:$C$3257,Input!$A$115:$A$3257,"="&amp;'Output - County'!A1788,Input!$B$115:$B$3257,"="&amp;'Output - County'!B1788)*VLOOKUP(A1788,'Output - State'!$B$2:$G$52,4,FALSE)</f>
        <v>3.8238703437503552</v>
      </c>
      <c r="F1788" s="98">
        <f>SUMIFS(Input!$C$115:$C$3257,Input!$A$115:$A$3257,"="&amp;'Output - County'!A1788,Input!$B$115:$B$3257,"="&amp;'Output - County'!B1788)*VLOOKUP(A1788,'Output - State'!$B$2:$G$52,5,FALSE)</f>
        <v>238.79428718979386</v>
      </c>
      <c r="G1788" s="99">
        <f>SUMIFS(Input!$D$115:$D$3257,Input!$A$115:$A$3257,"="&amp;'Output - County'!A1788,Input!$B$115:$B$3257,"="&amp;'Output - County'!B1788)*VLOOKUP(A1788,'Output - State'!$B$2:$G$52,6,FALSE)</f>
        <v>90.892228850387369</v>
      </c>
    </row>
    <row r="1789" spans="1:7" x14ac:dyDescent="0.25">
      <c r="A1789" s="88">
        <v>34</v>
      </c>
      <c r="B1789" s="88">
        <v>27</v>
      </c>
      <c r="C1789" s="97">
        <f>SUMIFS(Input!$C$115:$C$3257,Input!$A$115:$A$3257,"="&amp;'Output - County'!A1789,Input!$B$115:$B$3257,"="&amp;'Output - County'!B1789)*VLOOKUP(A1789,'Output - State'!$B$2:$G$52,2,FALSE)</f>
        <v>128.39060860094193</v>
      </c>
      <c r="D1789" s="98">
        <f>SUMIFS(Input!$C$115:$C$3257,Input!$A$115:$A$3257,"="&amp;'Output - County'!A1789,Input!$B$115:$B$3257,"="&amp;'Output - County'!B1789)*VLOOKUP(A1789,'Output - State'!$B$2:$G$52,3,FALSE)</f>
        <v>0</v>
      </c>
      <c r="E1789" s="98">
        <f>SUMIFS(Input!$C$115:$C$3257,Input!$A$115:$A$3257,"="&amp;'Output - County'!A1789,Input!$B$115:$B$3257,"="&amp;'Output - County'!B1789)*VLOOKUP(A1789,'Output - State'!$B$2:$G$52,4,FALSE)</f>
        <v>3.1531695408333786</v>
      </c>
      <c r="F1789" s="98">
        <f>SUMIFS(Input!$C$115:$C$3257,Input!$A$115:$A$3257,"="&amp;'Output - County'!A1789,Input!$B$115:$B$3257,"="&amp;'Output - County'!B1789)*VLOOKUP(A1789,'Output - State'!$B$2:$G$52,5,FALSE)</f>
        <v>196.91014736482757</v>
      </c>
      <c r="G1789" s="99">
        <f>SUMIFS(Input!$D$115:$D$3257,Input!$A$115:$A$3257,"="&amp;'Output - County'!A1789,Input!$B$115:$B$3257,"="&amp;'Output - County'!B1789)*VLOOKUP(A1789,'Output - State'!$B$2:$G$52,6,FALSE)</f>
        <v>72.27398197296931</v>
      </c>
    </row>
    <row r="1790" spans="1:7" x14ac:dyDescent="0.25">
      <c r="A1790" s="88">
        <v>34</v>
      </c>
      <c r="B1790" s="88">
        <v>29</v>
      </c>
      <c r="C1790" s="97">
        <f>SUMIFS(Input!$C$115:$C$3257,Input!$A$115:$A$3257,"="&amp;'Output - County'!A1790,Input!$B$115:$B$3257,"="&amp;'Output - County'!B1790)*VLOOKUP(A1790,'Output - State'!$B$2:$G$52,2,FALSE)</f>
        <v>119.87755604604824</v>
      </c>
      <c r="D1790" s="98">
        <f>SUMIFS(Input!$C$115:$C$3257,Input!$A$115:$A$3257,"="&amp;'Output - County'!A1790,Input!$B$115:$B$3257,"="&amp;'Output - County'!B1790)*VLOOKUP(A1790,'Output - State'!$B$2:$G$52,3,FALSE)</f>
        <v>0</v>
      </c>
      <c r="E1790" s="98">
        <f>SUMIFS(Input!$C$115:$C$3257,Input!$A$115:$A$3257,"="&amp;'Output - County'!A1790,Input!$B$115:$B$3257,"="&amp;'Output - County'!B1790)*VLOOKUP(A1790,'Output - State'!$B$2:$G$52,4,FALSE)</f>
        <v>2.9440958530604897</v>
      </c>
      <c r="F1790" s="98">
        <f>SUMIFS(Input!$C$115:$C$3257,Input!$A$115:$A$3257,"="&amp;'Output - County'!A1790,Input!$B$115:$B$3257,"="&amp;'Output - County'!B1790)*VLOOKUP(A1790,'Output - State'!$B$2:$G$52,5,FALSE)</f>
        <v>183.85384635204198</v>
      </c>
      <c r="G1790" s="99">
        <f>SUMIFS(Input!$D$115:$D$3257,Input!$A$115:$A$3257,"="&amp;'Output - County'!A1790,Input!$B$115:$B$3257,"="&amp;'Output - County'!B1790)*VLOOKUP(A1790,'Output - State'!$B$2:$G$52,6,FALSE)</f>
        <v>88.106821837230342</v>
      </c>
    </row>
    <row r="1791" spans="1:7" x14ac:dyDescent="0.25">
      <c r="A1791" s="88">
        <v>34</v>
      </c>
      <c r="B1791" s="88">
        <v>31</v>
      </c>
      <c r="C1791" s="97">
        <f>SUMIFS(Input!$C$115:$C$3257,Input!$A$115:$A$3257,"="&amp;'Output - County'!A1791,Input!$B$115:$B$3257,"="&amp;'Output - County'!B1791)*VLOOKUP(A1791,'Output - State'!$B$2:$G$52,2,FALSE)</f>
        <v>83.469252099579137</v>
      </c>
      <c r="D1791" s="98">
        <f>SUMIFS(Input!$C$115:$C$3257,Input!$A$115:$A$3257,"="&amp;'Output - County'!A1791,Input!$B$115:$B$3257,"="&amp;'Output - County'!B1791)*VLOOKUP(A1791,'Output - State'!$B$2:$G$52,3,FALSE)</f>
        <v>0</v>
      </c>
      <c r="E1791" s="98">
        <f>SUMIFS(Input!$C$115:$C$3257,Input!$A$115:$A$3257,"="&amp;'Output - County'!A1791,Input!$B$115:$B$3257,"="&amp;'Output - County'!B1791)*VLOOKUP(A1791,'Output - State'!$B$2:$G$52,4,FALSE)</f>
        <v>2.0499373449858744</v>
      </c>
      <c r="F1791" s="98">
        <f>SUMIFS(Input!$C$115:$C$3257,Input!$A$115:$A$3257,"="&amp;'Output - County'!A1791,Input!$B$115:$B$3257,"="&amp;'Output - County'!B1791)*VLOOKUP(A1791,'Output - State'!$B$2:$G$52,5,FALSE)</f>
        <v>128.01514776244693</v>
      </c>
      <c r="G1791" s="99">
        <f>SUMIFS(Input!$D$115:$D$3257,Input!$A$115:$A$3257,"="&amp;'Output - County'!A1791,Input!$B$115:$B$3257,"="&amp;'Output - County'!B1791)*VLOOKUP(A1791,'Output - State'!$B$2:$G$52,6,FALSE)</f>
        <v>73.739985664104594</v>
      </c>
    </row>
    <row r="1792" spans="1:7" x14ac:dyDescent="0.25">
      <c r="A1792" s="88">
        <v>34</v>
      </c>
      <c r="B1792" s="88">
        <v>33</v>
      </c>
      <c r="C1792" s="97">
        <f>SUMIFS(Input!$C$115:$C$3257,Input!$A$115:$A$3257,"="&amp;'Output - County'!A1792,Input!$B$115:$B$3257,"="&amp;'Output - County'!B1792)*VLOOKUP(A1792,'Output - State'!$B$2:$G$52,2,FALSE)</f>
        <v>18.818669506873722</v>
      </c>
      <c r="D1792" s="98">
        <f>SUMIFS(Input!$C$115:$C$3257,Input!$A$115:$A$3257,"="&amp;'Output - County'!A1792,Input!$B$115:$B$3257,"="&amp;'Output - County'!B1792)*VLOOKUP(A1792,'Output - State'!$B$2:$G$52,3,FALSE)</f>
        <v>0</v>
      </c>
      <c r="E1792" s="98">
        <f>SUMIFS(Input!$C$115:$C$3257,Input!$A$115:$A$3257,"="&amp;'Output - County'!A1792,Input!$B$115:$B$3257,"="&amp;'Output - County'!B1792)*VLOOKUP(A1792,'Output - State'!$B$2:$G$52,4,FALSE)</f>
        <v>0.46217130781362142</v>
      </c>
      <c r="F1792" s="98">
        <f>SUMIFS(Input!$C$115:$C$3257,Input!$A$115:$A$3257,"="&amp;'Output - County'!A1792,Input!$B$115:$B$3257,"="&amp;'Output - County'!B1792)*VLOOKUP(A1792,'Output - State'!$B$2:$G$52,5,FALSE)</f>
        <v>28.861822731334151</v>
      </c>
      <c r="G1792" s="99">
        <f>SUMIFS(Input!$D$115:$D$3257,Input!$A$115:$A$3257,"="&amp;'Output - County'!A1792,Input!$B$115:$B$3257,"="&amp;'Output - County'!B1792)*VLOOKUP(A1792,'Output - State'!$B$2:$G$52,6,FALSE)</f>
        <v>9.1918431434182075</v>
      </c>
    </row>
    <row r="1793" spans="1:7" x14ac:dyDescent="0.25">
      <c r="A1793" s="88">
        <v>34</v>
      </c>
      <c r="B1793" s="88">
        <v>35</v>
      </c>
      <c r="C1793" s="97">
        <f>SUMIFS(Input!$C$115:$C$3257,Input!$A$115:$A$3257,"="&amp;'Output - County'!A1793,Input!$B$115:$B$3257,"="&amp;'Output - County'!B1793)*VLOOKUP(A1793,'Output - State'!$B$2:$G$52,2,FALSE)</f>
        <v>86.203580459178411</v>
      </c>
      <c r="D1793" s="98">
        <f>SUMIFS(Input!$C$115:$C$3257,Input!$A$115:$A$3257,"="&amp;'Output - County'!A1793,Input!$B$115:$B$3257,"="&amp;'Output - County'!B1793)*VLOOKUP(A1793,'Output - State'!$B$2:$G$52,3,FALSE)</f>
        <v>0</v>
      </c>
      <c r="E1793" s="98">
        <f>SUMIFS(Input!$C$115:$C$3257,Input!$A$115:$A$3257,"="&amp;'Output - County'!A1793,Input!$B$115:$B$3257,"="&amp;'Output - County'!B1793)*VLOOKUP(A1793,'Output - State'!$B$2:$G$52,4,FALSE)</f>
        <v>2.1170902387378097</v>
      </c>
      <c r="F1793" s="98">
        <f>SUMIFS(Input!$C$115:$C$3257,Input!$A$115:$A$3257,"="&amp;'Output - County'!A1793,Input!$B$115:$B$3257,"="&amp;'Output - County'!B1793)*VLOOKUP(A1793,'Output - State'!$B$2:$G$52,5,FALSE)</f>
        <v>132.20873330658907</v>
      </c>
      <c r="G1793" s="99">
        <f>SUMIFS(Input!$D$115:$D$3257,Input!$A$115:$A$3257,"="&amp;'Output - County'!A1793,Input!$B$115:$B$3257,"="&amp;'Output - County'!B1793)*VLOOKUP(A1793,'Output - State'!$B$2:$G$52,6,FALSE)</f>
        <v>48.378121807464247</v>
      </c>
    </row>
    <row r="1794" spans="1:7" x14ac:dyDescent="0.25">
      <c r="A1794" s="88">
        <v>34</v>
      </c>
      <c r="B1794" s="88">
        <v>37</v>
      </c>
      <c r="C1794" s="97">
        <f>SUMIFS(Input!$C$115:$C$3257,Input!$A$115:$A$3257,"="&amp;'Output - County'!A1794,Input!$B$115:$B$3257,"="&amp;'Output - County'!B1794)*VLOOKUP(A1794,'Output - State'!$B$2:$G$52,2,FALSE)</f>
        <v>27.324880587994862</v>
      </c>
      <c r="D1794" s="98">
        <f>SUMIFS(Input!$C$115:$C$3257,Input!$A$115:$A$3257,"="&amp;'Output - County'!A1794,Input!$B$115:$B$3257,"="&amp;'Output - County'!B1794)*VLOOKUP(A1794,'Output - State'!$B$2:$G$52,3,FALSE)</f>
        <v>0</v>
      </c>
      <c r="E1794" s="98">
        <f>SUMIFS(Input!$C$115:$C$3257,Input!$A$115:$A$3257,"="&amp;'Output - County'!A1794,Input!$B$115:$B$3257,"="&amp;'Output - County'!B1794)*VLOOKUP(A1794,'Output - State'!$B$2:$G$52,4,FALSE)</f>
        <v>0.67107697452212689</v>
      </c>
      <c r="F1794" s="98">
        <f>SUMIFS(Input!$C$115:$C$3257,Input!$A$115:$A$3257,"="&amp;'Output - County'!A1794,Input!$B$115:$B$3257,"="&amp;'Output - County'!B1794)*VLOOKUP(A1794,'Output - State'!$B$2:$G$52,5,FALSE)</f>
        <v>41.907631110558583</v>
      </c>
      <c r="G1794" s="99">
        <f>SUMIFS(Input!$D$115:$D$3257,Input!$A$115:$A$3257,"="&amp;'Output - County'!A1794,Input!$B$115:$B$3257,"="&amp;'Output - County'!B1794)*VLOOKUP(A1794,'Output - State'!$B$2:$G$52,6,FALSE)</f>
        <v>20.670652045007451</v>
      </c>
    </row>
    <row r="1795" spans="1:7" x14ac:dyDescent="0.25">
      <c r="A1795" s="88">
        <v>34</v>
      </c>
      <c r="B1795" s="88">
        <v>39</v>
      </c>
      <c r="C1795" s="97">
        <f>SUMIFS(Input!$C$115:$C$3257,Input!$A$115:$A$3257,"="&amp;'Output - County'!A1795,Input!$B$115:$B$3257,"="&amp;'Output - County'!B1795)*VLOOKUP(A1795,'Output - State'!$B$2:$G$52,2,FALSE)</f>
        <v>104.10467950860652</v>
      </c>
      <c r="D1795" s="98">
        <f>SUMIFS(Input!$C$115:$C$3257,Input!$A$115:$A$3257,"="&amp;'Output - County'!A1795,Input!$B$115:$B$3257,"="&amp;'Output - County'!B1795)*VLOOKUP(A1795,'Output - State'!$B$2:$G$52,3,FALSE)</f>
        <v>0</v>
      </c>
      <c r="E1795" s="98">
        <f>SUMIFS(Input!$C$115:$C$3257,Input!$A$115:$A$3257,"="&amp;'Output - County'!A1795,Input!$B$115:$B$3257,"="&amp;'Output - County'!B1795)*VLOOKUP(A1795,'Output - State'!$B$2:$G$52,4,FALSE)</f>
        <v>2.5567267579908539</v>
      </c>
      <c r="F1795" s="98">
        <f>SUMIFS(Input!$C$115:$C$3257,Input!$A$115:$A$3257,"="&amp;'Output - County'!A1795,Input!$B$115:$B$3257,"="&amp;'Output - County'!B1795)*VLOOKUP(A1795,'Output - State'!$B$2:$G$52,5,FALSE)</f>
        <v>159.66329630170057</v>
      </c>
      <c r="G1795" s="99">
        <f>SUMIFS(Input!$D$115:$D$3257,Input!$A$115:$A$3257,"="&amp;'Output - County'!A1795,Input!$B$115:$B$3257,"="&amp;'Output - County'!B1795)*VLOOKUP(A1795,'Output - State'!$B$2:$G$52,6,FALSE)</f>
        <v>81.509805227121575</v>
      </c>
    </row>
    <row r="1796" spans="1:7" x14ac:dyDescent="0.25">
      <c r="A1796" s="88">
        <v>34</v>
      </c>
      <c r="B1796" s="88">
        <v>41</v>
      </c>
      <c r="C1796" s="97">
        <f>SUMIFS(Input!$C$115:$C$3257,Input!$A$115:$A$3257,"="&amp;'Output - County'!A1796,Input!$B$115:$B$3257,"="&amp;'Output - County'!B1796)*VLOOKUP(A1796,'Output - State'!$B$2:$G$52,2,FALSE)</f>
        <v>36.714072328198611</v>
      </c>
      <c r="D1796" s="98">
        <f>SUMIFS(Input!$C$115:$C$3257,Input!$A$115:$A$3257,"="&amp;'Output - County'!A1796,Input!$B$115:$B$3257,"="&amp;'Output - County'!B1796)*VLOOKUP(A1796,'Output - State'!$B$2:$G$52,3,FALSE)</f>
        <v>0</v>
      </c>
      <c r="E1796" s="98">
        <f>SUMIFS(Input!$C$115:$C$3257,Input!$A$115:$A$3257,"="&amp;'Output - County'!A1796,Input!$B$115:$B$3257,"="&amp;'Output - County'!B1796)*VLOOKUP(A1796,'Output - State'!$B$2:$G$52,4,FALSE)</f>
        <v>0.90166793230996611</v>
      </c>
      <c r="F1796" s="98">
        <f>SUMIFS(Input!$C$115:$C$3257,Input!$A$115:$A$3257,"="&amp;'Output - County'!A1796,Input!$B$115:$B$3257,"="&amp;'Output - County'!B1796)*VLOOKUP(A1796,'Output - State'!$B$2:$G$52,5,FALSE)</f>
        <v>56.307649533608398</v>
      </c>
      <c r="G1796" s="99">
        <f>SUMIFS(Input!$D$115:$D$3257,Input!$A$115:$A$3257,"="&amp;'Output - County'!A1796,Input!$B$115:$B$3257,"="&amp;'Output - County'!B1796)*VLOOKUP(A1796,'Output - State'!$B$2:$G$52,6,FALSE)</f>
        <v>15.53963912603397</v>
      </c>
    </row>
    <row r="1797" spans="1:7" x14ac:dyDescent="0.25">
      <c r="A1797" s="88">
        <v>35</v>
      </c>
      <c r="B1797" s="88">
        <v>1</v>
      </c>
      <c r="C1797" s="97">
        <f>SUMIFS(Input!$C$115:$C$3257,Input!$A$115:$A$3257,"="&amp;'Output - County'!A1797,Input!$B$115:$B$3257,"="&amp;'Output - County'!B1797)*VLOOKUP(A1797,'Output - State'!$B$2:$G$52,2,FALSE)</f>
        <v>310.47893225187715</v>
      </c>
      <c r="D1797" s="98">
        <f>SUMIFS(Input!$C$115:$C$3257,Input!$A$115:$A$3257,"="&amp;'Output - County'!A1797,Input!$B$115:$B$3257,"="&amp;'Output - County'!B1797)*VLOOKUP(A1797,'Output - State'!$B$2:$G$52,3,FALSE)</f>
        <v>29.629604118112201</v>
      </c>
      <c r="E1797" s="98">
        <f>SUMIFS(Input!$C$115:$C$3257,Input!$A$115:$A$3257,"="&amp;'Output - County'!A1797,Input!$B$115:$B$3257,"="&amp;'Output - County'!B1797)*VLOOKUP(A1797,'Output - State'!$B$2:$G$52,4,FALSE)</f>
        <v>620.23532272960836</v>
      </c>
      <c r="F1797" s="98">
        <f>SUMIFS(Input!$C$115:$C$3257,Input!$A$115:$A$3257,"="&amp;'Output - County'!A1797,Input!$B$115:$B$3257,"="&amp;'Output - County'!B1797)*VLOOKUP(A1797,'Output - State'!$B$2:$G$52,5,FALSE)</f>
        <v>1139.7613690760147</v>
      </c>
      <c r="G1797" s="99">
        <f>SUMIFS(Input!$D$115:$D$3257,Input!$A$115:$A$3257,"="&amp;'Output - County'!A1797,Input!$B$115:$B$3257,"="&amp;'Output - County'!B1797)*VLOOKUP(A1797,'Output - State'!$B$2:$G$52,6,FALSE)</f>
        <v>87.366971303239822</v>
      </c>
    </row>
    <row r="1798" spans="1:7" x14ac:dyDescent="0.25">
      <c r="A1798" s="88">
        <v>35</v>
      </c>
      <c r="B1798" s="88">
        <v>3</v>
      </c>
      <c r="C1798" s="97">
        <f>SUMIFS(Input!$C$115:$C$3257,Input!$A$115:$A$3257,"="&amp;'Output - County'!A1798,Input!$B$115:$B$3257,"="&amp;'Output - County'!B1798)*VLOOKUP(A1798,'Output - State'!$B$2:$G$52,2,FALSE)</f>
        <v>0.95554659950746601</v>
      </c>
      <c r="D1798" s="98">
        <f>SUMIFS(Input!$C$115:$C$3257,Input!$A$115:$A$3257,"="&amp;'Output - County'!A1798,Input!$B$115:$B$3257,"="&amp;'Output - County'!B1798)*VLOOKUP(A1798,'Output - State'!$B$2:$G$52,3,FALSE)</f>
        <v>9.1189657393068904E-2</v>
      </c>
      <c r="E1798" s="98">
        <f>SUMIFS(Input!$C$115:$C$3257,Input!$A$115:$A$3257,"="&amp;'Output - County'!A1798,Input!$B$115:$B$3257,"="&amp;'Output - County'!B1798)*VLOOKUP(A1798,'Output - State'!$B$2:$G$52,4,FALSE)</f>
        <v>1.9088694657320338</v>
      </c>
      <c r="F1798" s="98">
        <f>SUMIFS(Input!$C$115:$C$3257,Input!$A$115:$A$3257,"="&amp;'Output - County'!A1798,Input!$B$115:$B$3257,"="&amp;'Output - County'!B1798)*VLOOKUP(A1798,'Output - State'!$B$2:$G$52,5,FALSE)</f>
        <v>3.5077906657673883</v>
      </c>
      <c r="G1798" s="99">
        <f>SUMIFS(Input!$D$115:$D$3257,Input!$A$115:$A$3257,"="&amp;'Output - County'!A1798,Input!$B$115:$B$3257,"="&amp;'Output - County'!B1798)*VLOOKUP(A1798,'Output - State'!$B$2:$G$52,6,FALSE)</f>
        <v>0.45745243086504628</v>
      </c>
    </row>
    <row r="1799" spans="1:7" x14ac:dyDescent="0.25">
      <c r="A1799" s="88">
        <v>35</v>
      </c>
      <c r="B1799" s="88">
        <v>5</v>
      </c>
      <c r="C1799" s="97">
        <f>SUMIFS(Input!$C$115:$C$3257,Input!$A$115:$A$3257,"="&amp;'Output - County'!A1799,Input!$B$115:$B$3257,"="&amp;'Output - County'!B1799)*VLOOKUP(A1799,'Output - State'!$B$2:$G$52,2,FALSE)</f>
        <v>16.03576675621316</v>
      </c>
      <c r="D1799" s="98">
        <f>SUMIFS(Input!$C$115:$C$3257,Input!$A$115:$A$3257,"="&amp;'Output - County'!A1799,Input!$B$115:$B$3257,"="&amp;'Output - County'!B1799)*VLOOKUP(A1799,'Output - State'!$B$2:$G$52,3,FALSE)</f>
        <v>1.5303241906652996</v>
      </c>
      <c r="E1799" s="98">
        <f>SUMIFS(Input!$C$115:$C$3257,Input!$A$115:$A$3257,"="&amp;'Output - County'!A1799,Input!$B$115:$B$3257,"="&amp;'Output - County'!B1799)*VLOOKUP(A1799,'Output - State'!$B$2:$G$52,4,FALSE)</f>
        <v>32.034215323788565</v>
      </c>
      <c r="F1799" s="98">
        <f>SUMIFS(Input!$C$115:$C$3257,Input!$A$115:$A$3257,"="&amp;'Output - County'!A1799,Input!$B$115:$B$3257,"="&amp;'Output - County'!B1799)*VLOOKUP(A1799,'Output - State'!$B$2:$G$52,5,FALSE)</f>
        <v>58.866949005795732</v>
      </c>
      <c r="G1799" s="99">
        <f>SUMIFS(Input!$D$115:$D$3257,Input!$A$115:$A$3257,"="&amp;'Output - County'!A1799,Input!$B$115:$B$3257,"="&amp;'Output - County'!B1799)*VLOOKUP(A1799,'Output - State'!$B$2:$G$52,6,FALSE)</f>
        <v>8.3243456433470389</v>
      </c>
    </row>
    <row r="1800" spans="1:7" x14ac:dyDescent="0.25">
      <c r="A1800" s="88">
        <v>35</v>
      </c>
      <c r="B1800" s="88">
        <v>6</v>
      </c>
      <c r="C1800" s="97">
        <f>SUMIFS(Input!$C$115:$C$3257,Input!$A$115:$A$3257,"="&amp;'Output - County'!A1800,Input!$B$115:$B$3257,"="&amp;'Output - County'!B1800)*VLOOKUP(A1800,'Output - State'!$B$2:$G$52,2,FALSE)</f>
        <v>38.771247823682188</v>
      </c>
      <c r="D1800" s="98">
        <f>SUMIFS(Input!$C$115:$C$3257,Input!$A$115:$A$3257,"="&amp;'Output - County'!A1800,Input!$B$115:$B$3257,"="&amp;'Output - County'!B1800)*VLOOKUP(A1800,'Output - State'!$B$2:$G$52,3,FALSE)</f>
        <v>3.7000150568959485</v>
      </c>
      <c r="E1800" s="98">
        <f>SUMIFS(Input!$C$115:$C$3257,Input!$A$115:$A$3257,"="&amp;'Output - County'!A1800,Input!$B$115:$B$3257,"="&amp;'Output - County'!B1800)*VLOOKUP(A1800,'Output - State'!$B$2:$G$52,4,FALSE)</f>
        <v>77.452267798456262</v>
      </c>
      <c r="F1800" s="98">
        <f>SUMIFS(Input!$C$115:$C$3257,Input!$A$115:$A$3257,"="&amp;'Output - County'!A1800,Input!$B$115:$B$3257,"="&amp;'Output - County'!B1800)*VLOOKUP(A1800,'Output - State'!$B$2:$G$52,5,FALSE)</f>
        <v>142.32840270288034</v>
      </c>
      <c r="G1800" s="99">
        <f>SUMIFS(Input!$D$115:$D$3257,Input!$A$115:$A$3257,"="&amp;'Output - County'!A1800,Input!$B$115:$B$3257,"="&amp;'Output - County'!B1800)*VLOOKUP(A1800,'Output - State'!$B$2:$G$52,6,FALSE)</f>
        <v>3.4534437034318985</v>
      </c>
    </row>
    <row r="1801" spans="1:7" x14ac:dyDescent="0.25">
      <c r="A1801" s="88">
        <v>35</v>
      </c>
      <c r="B1801" s="88">
        <v>7</v>
      </c>
      <c r="C1801" s="97">
        <f>SUMIFS(Input!$C$115:$C$3257,Input!$A$115:$A$3257,"="&amp;'Output - County'!A1801,Input!$B$115:$B$3257,"="&amp;'Output - County'!B1801)*VLOOKUP(A1801,'Output - State'!$B$2:$G$52,2,FALSE)</f>
        <v>12.555124788713989</v>
      </c>
      <c r="D1801" s="98">
        <f>SUMIFS(Input!$C$115:$C$3257,Input!$A$115:$A$3257,"="&amp;'Output - County'!A1801,Input!$B$115:$B$3257,"="&amp;'Output - County'!B1801)*VLOOKUP(A1801,'Output - State'!$B$2:$G$52,3,FALSE)</f>
        <v>1.1981598057072149</v>
      </c>
      <c r="E1801" s="98">
        <f>SUMIFS(Input!$C$115:$C$3257,Input!$A$115:$A$3257,"="&amp;'Output - County'!A1801,Input!$B$115:$B$3257,"="&amp;'Output - County'!B1801)*VLOOKUP(A1801,'Output - State'!$B$2:$G$52,4,FALSE)</f>
        <v>25.081031485000047</v>
      </c>
      <c r="F1801" s="98">
        <f>SUMIFS(Input!$C$115:$C$3257,Input!$A$115:$A$3257,"="&amp;'Output - County'!A1801,Input!$B$115:$B$3257,"="&amp;'Output - County'!B1801)*VLOOKUP(A1801,'Output - State'!$B$2:$G$52,5,FALSE)</f>
        <v>46.089588476476578</v>
      </c>
      <c r="G1801" s="99">
        <f>SUMIFS(Input!$D$115:$D$3257,Input!$A$115:$A$3257,"="&amp;'Output - County'!A1801,Input!$B$115:$B$3257,"="&amp;'Output - County'!B1801)*VLOOKUP(A1801,'Output - State'!$B$2:$G$52,6,FALSE)</f>
        <v>1.559204060131566</v>
      </c>
    </row>
    <row r="1802" spans="1:7" x14ac:dyDescent="0.25">
      <c r="A1802" s="88">
        <v>35</v>
      </c>
      <c r="B1802" s="88">
        <v>9</v>
      </c>
      <c r="C1802" s="97">
        <f>SUMIFS(Input!$C$115:$C$3257,Input!$A$115:$A$3257,"="&amp;'Output - County'!A1802,Input!$B$115:$B$3257,"="&amp;'Output - County'!B1802)*VLOOKUP(A1802,'Output - State'!$B$2:$G$52,2,FALSE)</f>
        <v>11.091033068135543</v>
      </c>
      <c r="D1802" s="98">
        <f>SUMIFS(Input!$C$115:$C$3257,Input!$A$115:$A$3257,"="&amp;'Output - County'!A1802,Input!$B$115:$B$3257,"="&amp;'Output - County'!B1802)*VLOOKUP(A1802,'Output - State'!$B$2:$G$52,3,FALSE)</f>
        <v>1.0584387052811395</v>
      </c>
      <c r="E1802" s="98">
        <f>SUMIFS(Input!$C$115:$C$3257,Input!$A$115:$A$3257,"="&amp;'Output - County'!A1802,Input!$B$115:$B$3257,"="&amp;'Output - County'!B1802)*VLOOKUP(A1802,'Output - State'!$B$2:$G$52,4,FALSE)</f>
        <v>22.156255255474637</v>
      </c>
      <c r="F1802" s="98">
        <f>SUMIFS(Input!$C$115:$C$3257,Input!$A$115:$A$3257,"="&amp;'Output - County'!A1802,Input!$B$115:$B$3257,"="&amp;'Output - County'!B1802)*VLOOKUP(A1802,'Output - State'!$B$2:$G$52,5,FALSE)</f>
        <v>40.714939794853315</v>
      </c>
      <c r="G1802" s="99">
        <f>SUMIFS(Input!$D$115:$D$3257,Input!$A$115:$A$3257,"="&amp;'Output - County'!A1802,Input!$B$115:$B$3257,"="&amp;'Output - County'!B1802)*VLOOKUP(A1802,'Output - State'!$B$2:$G$52,6,FALSE)</f>
        <v>6.3527900962385297</v>
      </c>
    </row>
    <row r="1803" spans="1:7" x14ac:dyDescent="0.25">
      <c r="A1803" s="88">
        <v>35</v>
      </c>
      <c r="B1803" s="88">
        <v>11</v>
      </c>
      <c r="C1803" s="97">
        <f>SUMIFS(Input!$C$115:$C$3257,Input!$A$115:$A$3257,"="&amp;'Output - County'!A1803,Input!$B$115:$B$3257,"="&amp;'Output - County'!B1803)*VLOOKUP(A1803,'Output - State'!$B$2:$G$52,2,FALSE)</f>
        <v>1.0912646479035397</v>
      </c>
      <c r="D1803" s="98">
        <f>SUMIFS(Input!$C$115:$C$3257,Input!$A$115:$A$3257,"="&amp;'Output - County'!A1803,Input!$B$115:$B$3257,"="&amp;'Output - County'!B1803)*VLOOKUP(A1803,'Output - State'!$B$2:$G$52,3,FALSE)</f>
        <v>0.10414149285737083</v>
      </c>
      <c r="E1803" s="98">
        <f>SUMIFS(Input!$C$115:$C$3257,Input!$A$115:$A$3257,"="&amp;'Output - County'!A1803,Input!$B$115:$B$3257,"="&amp;'Output - County'!B1803)*VLOOKUP(A1803,'Output - State'!$B$2:$G$52,4,FALSE)</f>
        <v>2.1799897215788375</v>
      </c>
      <c r="F1803" s="98">
        <f>SUMIFS(Input!$C$115:$C$3257,Input!$A$115:$A$3257,"="&amp;'Output - County'!A1803,Input!$B$115:$B$3257,"="&amp;'Output - County'!B1803)*VLOOKUP(A1803,'Output - State'!$B$2:$G$52,5,FALSE)</f>
        <v>4.0060086528182586</v>
      </c>
      <c r="G1803" s="99">
        <f>SUMIFS(Input!$D$115:$D$3257,Input!$A$115:$A$3257,"="&amp;'Output - County'!A1803,Input!$B$115:$B$3257,"="&amp;'Output - County'!B1803)*VLOOKUP(A1803,'Output - State'!$B$2:$G$52,6,FALSE)</f>
        <v>0.22937051463092459</v>
      </c>
    </row>
    <row r="1804" spans="1:7" x14ac:dyDescent="0.25">
      <c r="A1804" s="88">
        <v>35</v>
      </c>
      <c r="B1804" s="88">
        <v>13</v>
      </c>
      <c r="C1804" s="97">
        <f>SUMIFS(Input!$C$115:$C$3257,Input!$A$115:$A$3257,"="&amp;'Output - County'!A1804,Input!$B$115:$B$3257,"="&amp;'Output - County'!B1804)*VLOOKUP(A1804,'Output - State'!$B$2:$G$52,2,FALSE)</f>
        <v>104.69101281188681</v>
      </c>
      <c r="D1804" s="98">
        <f>SUMIFS(Input!$C$115:$C$3257,Input!$A$115:$A$3257,"="&amp;'Output - County'!A1804,Input!$B$115:$B$3257,"="&amp;'Output - County'!B1804)*VLOOKUP(A1804,'Output - State'!$B$2:$G$52,3,FALSE)</f>
        <v>9.9908655374527893</v>
      </c>
      <c r="E1804" s="98">
        <f>SUMIFS(Input!$C$115:$C$3257,Input!$A$115:$A$3257,"="&amp;'Output - County'!A1804,Input!$B$115:$B$3257,"="&amp;'Output - County'!B1804)*VLOOKUP(A1804,'Output - State'!$B$2:$G$52,4,FALSE)</f>
        <v>209.13839031626466</v>
      </c>
      <c r="F1804" s="98">
        <f>SUMIFS(Input!$C$115:$C$3257,Input!$A$115:$A$3257,"="&amp;'Output - County'!A1804,Input!$B$115:$B$3257,"="&amp;'Output - County'!B1804)*VLOOKUP(A1804,'Output - State'!$B$2:$G$52,5,FALSE)</f>
        <v>384.31841808715609</v>
      </c>
      <c r="G1804" s="99">
        <f>SUMIFS(Input!$D$115:$D$3257,Input!$A$115:$A$3257,"="&amp;'Output - County'!A1804,Input!$B$115:$B$3257,"="&amp;'Output - County'!B1804)*VLOOKUP(A1804,'Output - State'!$B$2:$G$52,6,FALSE)</f>
        <v>27.962585210623956</v>
      </c>
    </row>
    <row r="1805" spans="1:7" x14ac:dyDescent="0.25">
      <c r="A1805" s="88">
        <v>35</v>
      </c>
      <c r="B1805" s="88">
        <v>15</v>
      </c>
      <c r="C1805" s="97">
        <f>SUMIFS(Input!$C$115:$C$3257,Input!$A$115:$A$3257,"="&amp;'Output - County'!A1805,Input!$B$115:$B$3257,"="&amp;'Output - County'!B1805)*VLOOKUP(A1805,'Output - State'!$B$2:$G$52,2,FALSE)</f>
        <v>23.606586146059922</v>
      </c>
      <c r="D1805" s="98">
        <f>SUMIFS(Input!$C$115:$C$3257,Input!$A$115:$A$3257,"="&amp;'Output - County'!A1805,Input!$B$115:$B$3257,"="&amp;'Output - County'!B1805)*VLOOKUP(A1805,'Output - State'!$B$2:$G$52,3,FALSE)</f>
        <v>2.2528221062047238</v>
      </c>
      <c r="E1805" s="98">
        <f>SUMIFS(Input!$C$115:$C$3257,Input!$A$115:$A$3257,"="&amp;'Output - County'!A1805,Input!$B$115:$B$3257,"="&amp;'Output - County'!B1805)*VLOOKUP(A1805,'Output - State'!$B$2:$G$52,4,FALSE)</f>
        <v>47.158235409569414</v>
      </c>
      <c r="F1805" s="98">
        <f>SUMIFS(Input!$C$115:$C$3257,Input!$A$115:$A$3257,"="&amp;'Output - County'!A1805,Input!$B$115:$B$3257,"="&amp;'Output - County'!B1805)*VLOOKUP(A1805,'Output - State'!$B$2:$G$52,5,FALSE)</f>
        <v>86.659261386587914</v>
      </c>
      <c r="G1805" s="99">
        <f>SUMIFS(Input!$D$115:$D$3257,Input!$A$115:$A$3257,"="&amp;'Output - County'!A1805,Input!$B$115:$B$3257,"="&amp;'Output - County'!B1805)*VLOOKUP(A1805,'Output - State'!$B$2:$G$52,6,FALSE)</f>
        <v>7.4352127495530054</v>
      </c>
    </row>
    <row r="1806" spans="1:7" x14ac:dyDescent="0.25">
      <c r="A1806" s="88">
        <v>35</v>
      </c>
      <c r="B1806" s="88">
        <v>17</v>
      </c>
      <c r="C1806" s="97">
        <f>SUMIFS(Input!$C$115:$C$3257,Input!$A$115:$A$3257,"="&amp;'Output - County'!A1806,Input!$B$115:$B$3257,"="&amp;'Output - County'!B1806)*VLOOKUP(A1806,'Output - State'!$B$2:$G$52,2,FALSE)</f>
        <v>12.95846477554224</v>
      </c>
      <c r="D1806" s="98">
        <f>SUMIFS(Input!$C$115:$C$3257,Input!$A$115:$A$3257,"="&amp;'Output - County'!A1806,Input!$B$115:$B$3257,"="&amp;'Output - County'!B1806)*VLOOKUP(A1806,'Output - State'!$B$2:$G$52,3,FALSE)</f>
        <v>1.2366513196017246</v>
      </c>
      <c r="E1806" s="98">
        <f>SUMIFS(Input!$C$115:$C$3257,Input!$A$115:$A$3257,"="&amp;'Output - County'!A1806,Input!$B$115:$B$3257,"="&amp;'Output - County'!B1806)*VLOOKUP(A1806,'Output - State'!$B$2:$G$52,4,FALSE)</f>
        <v>25.886772812070923</v>
      </c>
      <c r="F1806" s="98">
        <f>SUMIFS(Input!$C$115:$C$3257,Input!$A$115:$A$3257,"="&amp;'Output - County'!A1806,Input!$B$115:$B$3257,"="&amp;'Output - County'!B1806)*VLOOKUP(A1806,'Output - State'!$B$2:$G$52,5,FALSE)</f>
        <v>47.570240745718237</v>
      </c>
      <c r="G1806" s="99">
        <f>SUMIFS(Input!$D$115:$D$3257,Input!$A$115:$A$3257,"="&amp;'Output - County'!A1806,Input!$B$115:$B$3257,"="&amp;'Output - County'!B1806)*VLOOKUP(A1806,'Output - State'!$B$2:$G$52,6,FALSE)</f>
        <v>3.5178736232720458</v>
      </c>
    </row>
    <row r="1807" spans="1:7" x14ac:dyDescent="0.25">
      <c r="A1807" s="88">
        <v>35</v>
      </c>
      <c r="B1807" s="88">
        <v>19</v>
      </c>
      <c r="C1807" s="97">
        <f>SUMIFS(Input!$C$115:$C$3257,Input!$A$115:$A$3257,"="&amp;'Output - County'!A1807,Input!$B$115:$B$3257,"="&amp;'Output - County'!B1807)*VLOOKUP(A1807,'Output - State'!$B$2:$G$52,2,FALSE)</f>
        <v>25.839333615232636</v>
      </c>
      <c r="D1807" s="98">
        <f>SUMIFS(Input!$C$115:$C$3257,Input!$A$115:$A$3257,"="&amp;'Output - County'!A1807,Input!$B$115:$B$3257,"="&amp;'Output - County'!B1807)*VLOOKUP(A1807,'Output - State'!$B$2:$G$52,3,FALSE)</f>
        <v>2.4658975091877369</v>
      </c>
      <c r="E1807" s="98">
        <f>SUMIFS(Input!$C$115:$C$3257,Input!$A$115:$A$3257,"="&amp;'Output - County'!A1807,Input!$B$115:$B$3257,"="&amp;'Output - County'!B1807)*VLOOKUP(A1807,'Output - State'!$B$2:$G$52,4,FALSE)</f>
        <v>51.618534332501191</v>
      </c>
      <c r="F1807" s="98">
        <f>SUMIFS(Input!$C$115:$C$3257,Input!$A$115:$A$3257,"="&amp;'Output - County'!A1807,Input!$B$115:$B$3257,"="&amp;'Output - County'!B1807)*VLOOKUP(A1807,'Output - State'!$B$2:$G$52,5,FALSE)</f>
        <v>94.85562850820898</v>
      </c>
      <c r="G1807" s="99">
        <f>SUMIFS(Input!$D$115:$D$3257,Input!$A$115:$A$3257,"="&amp;'Output - County'!A1807,Input!$B$115:$B$3257,"="&amp;'Output - County'!B1807)*VLOOKUP(A1807,'Output - State'!$B$2:$G$52,6,FALSE)</f>
        <v>0.5579631058156761</v>
      </c>
    </row>
    <row r="1808" spans="1:7" x14ac:dyDescent="0.25">
      <c r="A1808" s="88">
        <v>35</v>
      </c>
      <c r="B1808" s="88">
        <v>21</v>
      </c>
      <c r="C1808" s="97">
        <f>SUMIFS(Input!$C$115:$C$3257,Input!$A$115:$A$3257,"="&amp;'Output - County'!A1808,Input!$B$115:$B$3257,"="&amp;'Output - County'!B1808)*VLOOKUP(A1808,'Output - State'!$B$2:$G$52,2,FALSE)</f>
        <v>0.16486925090960322</v>
      </c>
      <c r="D1808" s="98">
        <f>SUMIFS(Input!$C$115:$C$3257,Input!$A$115:$A$3257,"="&amp;'Output - County'!A1808,Input!$B$115:$B$3257,"="&amp;'Output - County'!B1808)*VLOOKUP(A1808,'Output - State'!$B$2:$G$52,3,FALSE)</f>
        <v>1.5733791018510305E-2</v>
      </c>
      <c r="E1808" s="98">
        <f>SUMIFS(Input!$C$115:$C$3257,Input!$A$115:$A$3257,"="&amp;'Output - County'!A1808,Input!$B$115:$B$3257,"="&amp;'Output - County'!B1808)*VLOOKUP(A1808,'Output - State'!$B$2:$G$52,4,FALSE)</f>
        <v>0.32935482064576793</v>
      </c>
      <c r="F1808" s="98">
        <f>SUMIFS(Input!$C$115:$C$3257,Input!$A$115:$A$3257,"="&amp;'Output - County'!A1808,Input!$B$115:$B$3257,"="&amp;'Output - County'!B1808)*VLOOKUP(A1808,'Output - State'!$B$2:$G$52,5,FALSE)</f>
        <v>0.60523141384299284</v>
      </c>
      <c r="G1808" s="99">
        <f>SUMIFS(Input!$D$115:$D$3257,Input!$A$115:$A$3257,"="&amp;'Output - County'!A1808,Input!$B$115:$B$3257,"="&amp;'Output - County'!B1808)*VLOOKUP(A1808,'Output - State'!$B$2:$G$52,6,FALSE)</f>
        <v>8.3758895792191562E-2</v>
      </c>
    </row>
    <row r="1809" spans="1:7" x14ac:dyDescent="0.25">
      <c r="A1809" s="88">
        <v>35</v>
      </c>
      <c r="B1809" s="88">
        <v>23</v>
      </c>
      <c r="C1809" s="97">
        <f>SUMIFS(Input!$C$115:$C$3257,Input!$A$115:$A$3257,"="&amp;'Output - County'!A1809,Input!$B$115:$B$3257,"="&amp;'Output - County'!B1809)*VLOOKUP(A1809,'Output - State'!$B$2:$G$52,2,FALSE)</f>
        <v>12.616061989045216</v>
      </c>
      <c r="D1809" s="98">
        <f>SUMIFS(Input!$C$115:$C$3257,Input!$A$115:$A$3257,"="&amp;'Output - County'!A1809,Input!$B$115:$B$3257,"="&amp;'Output - County'!B1809)*VLOOKUP(A1809,'Output - State'!$B$2:$G$52,3,FALSE)</f>
        <v>1.203975160419964</v>
      </c>
      <c r="E1809" s="98">
        <f>SUMIFS(Input!$C$115:$C$3257,Input!$A$115:$A$3257,"="&amp;'Output - County'!A1809,Input!$B$115:$B$3257,"="&amp;'Output - County'!B1809)*VLOOKUP(A1809,'Output - State'!$B$2:$G$52,4,FALSE)</f>
        <v>25.202764073551386</v>
      </c>
      <c r="F1809" s="98">
        <f>SUMIFS(Input!$C$115:$C$3257,Input!$A$115:$A$3257,"="&amp;'Output - County'!A1809,Input!$B$115:$B$3257,"="&amp;'Output - County'!B1809)*VLOOKUP(A1809,'Output - State'!$B$2:$G$52,5,FALSE)</f>
        <v>46.313287605990567</v>
      </c>
      <c r="G1809" s="99">
        <f>SUMIFS(Input!$D$115:$D$3257,Input!$A$115:$A$3257,"="&amp;'Output - County'!A1809,Input!$B$115:$B$3257,"="&amp;'Output - County'!B1809)*VLOOKUP(A1809,'Output - State'!$B$2:$G$52,6,FALSE)</f>
        <v>0.54507712184764667</v>
      </c>
    </row>
    <row r="1810" spans="1:7" x14ac:dyDescent="0.25">
      <c r="A1810" s="88">
        <v>35</v>
      </c>
      <c r="B1810" s="88">
        <v>25</v>
      </c>
      <c r="C1810" s="97">
        <f>SUMIFS(Input!$C$115:$C$3257,Input!$A$115:$A$3257,"="&amp;'Output - County'!A1810,Input!$B$115:$B$3257,"="&amp;'Output - County'!B1810)*VLOOKUP(A1810,'Output - State'!$B$2:$G$52,2,FALSE)</f>
        <v>26.877801316118315</v>
      </c>
      <c r="D1810" s="98">
        <f>SUMIFS(Input!$C$115:$C$3257,Input!$A$115:$A$3257,"="&amp;'Output - County'!A1810,Input!$B$115:$B$3257,"="&amp;'Output - County'!B1810)*VLOOKUP(A1810,'Output - State'!$B$2:$G$52,3,FALSE)</f>
        <v>2.5650004874269405</v>
      </c>
      <c r="E1810" s="98">
        <f>SUMIFS(Input!$C$115:$C$3257,Input!$A$115:$A$3257,"="&amp;'Output - County'!A1810,Input!$B$115:$B$3257,"="&amp;'Output - County'!B1810)*VLOOKUP(A1810,'Output - State'!$B$2:$G$52,4,FALSE)</f>
        <v>53.693053028283686</v>
      </c>
      <c r="F1810" s="98">
        <f>SUMIFS(Input!$C$115:$C$3257,Input!$A$115:$A$3257,"="&amp;'Output - County'!A1810,Input!$B$115:$B$3257,"="&amp;'Output - County'!B1810)*VLOOKUP(A1810,'Output - State'!$B$2:$G$52,5,FALSE)</f>
        <v>98.667820723371847</v>
      </c>
      <c r="G1810" s="99">
        <f>SUMIFS(Input!$D$115:$D$3257,Input!$A$115:$A$3257,"="&amp;'Output - County'!A1810,Input!$B$115:$B$3257,"="&amp;'Output - County'!B1810)*VLOOKUP(A1810,'Output - State'!$B$2:$G$52,6,FALSE)</f>
        <v>8.9557588577804825</v>
      </c>
    </row>
    <row r="1811" spans="1:7" x14ac:dyDescent="0.25">
      <c r="A1811" s="88">
        <v>35</v>
      </c>
      <c r="B1811" s="88">
        <v>27</v>
      </c>
      <c r="C1811" s="97">
        <f>SUMIFS(Input!$C$115:$C$3257,Input!$A$115:$A$3257,"="&amp;'Output - County'!A1811,Input!$B$115:$B$3257,"="&amp;'Output - County'!B1811)*VLOOKUP(A1811,'Output - State'!$B$2:$G$52,2,FALSE)</f>
        <v>7.4673000188672454</v>
      </c>
      <c r="D1811" s="98">
        <f>SUMIFS(Input!$C$115:$C$3257,Input!$A$115:$A$3257,"="&amp;'Output - County'!A1811,Input!$B$115:$B$3257,"="&amp;'Output - County'!B1811)*VLOOKUP(A1811,'Output - State'!$B$2:$G$52,3,FALSE)</f>
        <v>0.7126188620447711</v>
      </c>
      <c r="E1811" s="98">
        <f>SUMIFS(Input!$C$115:$C$3257,Input!$A$115:$A$3257,"="&amp;'Output - County'!A1811,Input!$B$115:$B$3257,"="&amp;'Output - County'!B1811)*VLOOKUP(A1811,'Output - State'!$B$2:$G$52,4,FALSE)</f>
        <v>14.91722225250256</v>
      </c>
      <c r="F1811" s="98">
        <f>SUMIFS(Input!$C$115:$C$3257,Input!$A$115:$A$3257,"="&amp;'Output - County'!A1811,Input!$B$115:$B$3257,"="&amp;'Output - County'!B1811)*VLOOKUP(A1811,'Output - State'!$B$2:$G$52,5,FALSE)</f>
        <v>27.412295034243908</v>
      </c>
      <c r="G1811" s="99">
        <f>SUMIFS(Input!$D$115:$D$3257,Input!$A$115:$A$3257,"="&amp;'Output - County'!A1811,Input!$B$115:$B$3257,"="&amp;'Output - County'!B1811)*VLOOKUP(A1811,'Output - State'!$B$2:$G$52,6,FALSE)</f>
        <v>2.5127668737657469</v>
      </c>
    </row>
    <row r="1812" spans="1:7" x14ac:dyDescent="0.25">
      <c r="A1812" s="88">
        <v>35</v>
      </c>
      <c r="B1812" s="88">
        <v>28</v>
      </c>
      <c r="C1812" s="97">
        <f>SUMIFS(Input!$C$115:$C$3257,Input!$A$115:$A$3257,"="&amp;'Output - County'!A1812,Input!$B$115:$B$3257,"="&amp;'Output - County'!B1812)*VLOOKUP(A1812,'Output - State'!$B$2:$G$52,2,FALSE)</f>
        <v>4.6017481055197962</v>
      </c>
      <c r="D1812" s="98">
        <f>SUMIFS(Input!$C$115:$C$3257,Input!$A$115:$A$3257,"="&amp;'Output - County'!A1812,Input!$B$115:$B$3257,"="&amp;'Output - County'!B1812)*VLOOKUP(A1812,'Output - State'!$B$2:$G$52,3,FALSE)</f>
        <v>0.43915370884879107</v>
      </c>
      <c r="E1812" s="98">
        <f>SUMIFS(Input!$C$115:$C$3257,Input!$A$115:$A$3257,"="&amp;'Output - County'!A1812,Input!$B$115:$B$3257,"="&amp;'Output - County'!B1812)*VLOOKUP(A1812,'Output - State'!$B$2:$G$52,4,FALSE)</f>
        <v>9.1927870939467855</v>
      </c>
      <c r="F1812" s="98">
        <f>SUMIFS(Input!$C$115:$C$3257,Input!$A$115:$A$3257,"="&amp;'Output - County'!A1812,Input!$B$115:$B$3257,"="&amp;'Output - County'!B1812)*VLOOKUP(A1812,'Output - State'!$B$2:$G$52,5,FALSE)</f>
        <v>16.892916639623266</v>
      </c>
      <c r="G1812" s="99">
        <f>SUMIFS(Input!$D$115:$D$3257,Input!$A$115:$A$3257,"="&amp;'Output - County'!A1812,Input!$B$115:$B$3257,"="&amp;'Output - County'!B1812)*VLOOKUP(A1812,'Output - State'!$B$2:$G$52,6,FALSE)</f>
        <v>2.4483369539255997</v>
      </c>
    </row>
    <row r="1813" spans="1:7" x14ac:dyDescent="0.25">
      <c r="A1813" s="88">
        <v>35</v>
      </c>
      <c r="B1813" s="88">
        <v>29</v>
      </c>
      <c r="C1813" s="97">
        <f>SUMIFS(Input!$C$115:$C$3257,Input!$A$115:$A$3257,"="&amp;'Output - County'!A1813,Input!$B$115:$B$3257,"="&amp;'Output - County'!B1813)*VLOOKUP(A1813,'Output - State'!$B$2:$G$52,2,FALSE)</f>
        <v>25.915783585752234</v>
      </c>
      <c r="D1813" s="98">
        <f>SUMIFS(Input!$C$115:$C$3257,Input!$A$115:$A$3257,"="&amp;'Output - County'!A1813,Input!$B$115:$B$3257,"="&amp;'Output - County'!B1813)*VLOOKUP(A1813,'Output - State'!$B$2:$G$52,3,FALSE)</f>
        <v>2.4731932775186438</v>
      </c>
      <c r="E1813" s="98">
        <f>SUMIFS(Input!$C$115:$C$3257,Input!$A$115:$A$3257,"="&amp;'Output - County'!A1813,Input!$B$115:$B$3257,"="&amp;'Output - County'!B1813)*VLOOKUP(A1813,'Output - State'!$B$2:$G$52,4,FALSE)</f>
        <v>51.771256360350172</v>
      </c>
      <c r="F1813" s="98">
        <f>SUMIFS(Input!$C$115:$C$3257,Input!$A$115:$A$3257,"="&amp;'Output - County'!A1813,Input!$B$115:$B$3257,"="&amp;'Output - County'!B1813)*VLOOKUP(A1813,'Output - State'!$B$2:$G$52,5,FALSE)</f>
        <v>95.136274677767915</v>
      </c>
      <c r="G1813" s="99">
        <f>SUMIFS(Input!$D$115:$D$3257,Input!$A$115:$A$3257,"="&amp;'Output - County'!A1813,Input!$B$115:$B$3257,"="&amp;'Output - County'!B1813)*VLOOKUP(A1813,'Output - State'!$B$2:$G$52,6,FALSE)</f>
        <v>3.0797501683590434</v>
      </c>
    </row>
    <row r="1814" spans="1:7" x14ac:dyDescent="0.25">
      <c r="A1814" s="88">
        <v>35</v>
      </c>
      <c r="B1814" s="88">
        <v>31</v>
      </c>
      <c r="C1814" s="97">
        <f>SUMIFS(Input!$C$115:$C$3257,Input!$A$115:$A$3257,"="&amp;'Output - County'!A1814,Input!$B$115:$B$3257,"="&amp;'Output - County'!B1814)*VLOOKUP(A1814,'Output - State'!$B$2:$G$52,2,FALSE)</f>
        <v>52.481883997346436</v>
      </c>
      <c r="D1814" s="98">
        <f>SUMIFS(Input!$C$115:$C$3257,Input!$A$115:$A$3257,"="&amp;'Output - County'!A1814,Input!$B$115:$B$3257,"="&amp;'Output - County'!B1814)*VLOOKUP(A1814,'Output - State'!$B$2:$G$52,3,FALSE)</f>
        <v>5.0084475456535946</v>
      </c>
      <c r="E1814" s="98">
        <f>SUMIFS(Input!$C$115:$C$3257,Input!$A$115:$A$3257,"="&amp;'Output - County'!A1814,Input!$B$115:$B$3257,"="&amp;'Output - County'!B1814)*VLOOKUP(A1814,'Output - State'!$B$2:$G$52,4,FALSE)</f>
        <v>104.84163296511475</v>
      </c>
      <c r="F1814" s="98">
        <f>SUMIFS(Input!$C$115:$C$3257,Input!$A$115:$A$3257,"="&amp;'Output - County'!A1814,Input!$B$115:$B$3257,"="&amp;'Output - County'!B1814)*VLOOKUP(A1814,'Output - State'!$B$2:$G$52,5,FALSE)</f>
        <v>192.65984819858102</v>
      </c>
      <c r="G1814" s="99">
        <f>SUMIFS(Input!$D$115:$D$3257,Input!$A$115:$A$3257,"="&amp;'Output - County'!A1814,Input!$B$115:$B$3257,"="&amp;'Output - County'!B1814)*VLOOKUP(A1814,'Output - State'!$B$2:$G$52,6,FALSE)</f>
        <v>9.2650224730131914</v>
      </c>
    </row>
    <row r="1815" spans="1:7" x14ac:dyDescent="0.25">
      <c r="A1815" s="88">
        <v>35</v>
      </c>
      <c r="B1815" s="88">
        <v>33</v>
      </c>
      <c r="C1815" s="97">
        <f>SUMIFS(Input!$C$115:$C$3257,Input!$A$115:$A$3257,"="&amp;'Output - County'!A1815,Input!$B$115:$B$3257,"="&amp;'Output - County'!B1815)*VLOOKUP(A1815,'Output - State'!$B$2:$G$52,2,FALSE)</f>
        <v>6.4868123775364985</v>
      </c>
      <c r="D1815" s="98">
        <f>SUMIFS(Input!$C$115:$C$3257,Input!$A$115:$A$3257,"="&amp;'Output - County'!A1815,Input!$B$115:$B$3257,"="&amp;'Output - County'!B1815)*VLOOKUP(A1815,'Output - State'!$B$2:$G$52,3,FALSE)</f>
        <v>0.61904903286304902</v>
      </c>
      <c r="E1815" s="98">
        <f>SUMIFS(Input!$C$115:$C$3257,Input!$A$115:$A$3257,"="&amp;'Output - County'!A1815,Input!$B$115:$B$3257,"="&amp;'Output - County'!B1815)*VLOOKUP(A1815,'Output - State'!$B$2:$G$52,4,FALSE)</f>
        <v>12.958528745531149</v>
      </c>
      <c r="F1815" s="98">
        <f>SUMIFS(Input!$C$115:$C$3257,Input!$A$115:$A$3257,"="&amp;'Output - County'!A1815,Input!$B$115:$B$3257,"="&amp;'Output - County'!B1815)*VLOOKUP(A1815,'Output - State'!$B$2:$G$52,5,FALSE)</f>
        <v>23.812946349487898</v>
      </c>
      <c r="G1815" s="99">
        <f>SUMIFS(Input!$D$115:$D$3257,Input!$A$115:$A$3257,"="&amp;'Output - County'!A1815,Input!$B$115:$B$3257,"="&amp;'Output - County'!B1815)*VLOOKUP(A1815,'Output - State'!$B$2:$G$52,6,FALSE)</f>
        <v>0.57858068016452335</v>
      </c>
    </row>
    <row r="1816" spans="1:7" x14ac:dyDescent="0.25">
      <c r="A1816" s="88">
        <v>35</v>
      </c>
      <c r="B1816" s="88">
        <v>35</v>
      </c>
      <c r="C1816" s="97">
        <f>SUMIFS(Input!$C$115:$C$3257,Input!$A$115:$A$3257,"="&amp;'Output - County'!A1816,Input!$B$115:$B$3257,"="&amp;'Output - County'!B1816)*VLOOKUP(A1816,'Output - State'!$B$2:$G$52,2,FALSE)</f>
        <v>16.317117611720906</v>
      </c>
      <c r="D1816" s="98">
        <f>SUMIFS(Input!$C$115:$C$3257,Input!$A$115:$A$3257,"="&amp;'Output - County'!A1816,Input!$B$115:$B$3257,"="&amp;'Output - County'!B1816)*VLOOKUP(A1816,'Output - State'!$B$2:$G$52,3,FALSE)</f>
        <v>1.5571740461660388</v>
      </c>
      <c r="E1816" s="98">
        <f>SUMIFS(Input!$C$115:$C$3257,Input!$A$115:$A$3257,"="&amp;'Output - County'!A1816,Input!$B$115:$B$3257,"="&amp;'Output - County'!B1816)*VLOOKUP(A1816,'Output - State'!$B$2:$G$52,4,FALSE)</f>
        <v>32.596262279440076</v>
      </c>
      <c r="F1816" s="98">
        <f>SUMIFS(Input!$C$115:$C$3257,Input!$A$115:$A$3257,"="&amp;'Output - County'!A1816,Input!$B$115:$B$3257,"="&amp;'Output - County'!B1816)*VLOOKUP(A1816,'Output - State'!$B$2:$G$52,5,FALSE)</f>
        <v>59.899781842273242</v>
      </c>
      <c r="G1816" s="99">
        <f>SUMIFS(Input!$D$115:$D$3257,Input!$A$115:$A$3257,"="&amp;'Output - County'!A1816,Input!$B$115:$B$3257,"="&amp;'Output - County'!B1816)*VLOOKUP(A1816,'Output - State'!$B$2:$G$52,6,FALSE)</f>
        <v>8.5949513066756573</v>
      </c>
    </row>
    <row r="1817" spans="1:7" x14ac:dyDescent="0.25">
      <c r="A1817" s="88">
        <v>35</v>
      </c>
      <c r="B1817" s="88">
        <v>37</v>
      </c>
      <c r="C1817" s="97">
        <f>SUMIFS(Input!$C$115:$C$3257,Input!$A$115:$A$3257,"="&amp;'Output - County'!A1817,Input!$B$115:$B$3257,"="&amp;'Output - County'!B1817)*VLOOKUP(A1817,'Output - State'!$B$2:$G$52,2,FALSE)</f>
        <v>23.668601608503874</v>
      </c>
      <c r="D1817" s="98">
        <f>SUMIFS(Input!$C$115:$C$3257,Input!$A$115:$A$3257,"="&amp;'Output - County'!A1817,Input!$B$115:$B$3257,"="&amp;'Output - County'!B1817)*VLOOKUP(A1817,'Output - State'!$B$2:$G$52,3,FALSE)</f>
        <v>2.2587403615532873</v>
      </c>
      <c r="E1817" s="98">
        <f>SUMIFS(Input!$C$115:$C$3257,Input!$A$115:$A$3257,"="&amp;'Output - County'!A1817,Input!$B$115:$B$3257,"="&amp;'Output - County'!B1817)*VLOOKUP(A1817,'Output - State'!$B$2:$G$52,4,FALSE)</f>
        <v>47.282122013031277</v>
      </c>
      <c r="F1817" s="98">
        <f>SUMIFS(Input!$C$115:$C$3257,Input!$A$115:$A$3257,"="&amp;'Output - County'!A1817,Input!$B$115:$B$3257,"="&amp;'Output - County'!B1817)*VLOOKUP(A1817,'Output - State'!$B$2:$G$52,5,FALSE)</f>
        <v>86.886918792732502</v>
      </c>
      <c r="G1817" s="99">
        <f>SUMIFS(Input!$D$115:$D$3257,Input!$A$115:$A$3257,"="&amp;'Output - County'!A1817,Input!$B$115:$B$3257,"="&amp;'Output - County'!B1817)*VLOOKUP(A1817,'Output - State'!$B$2:$G$52,6,FALSE)</f>
        <v>1.0618050789656284</v>
      </c>
    </row>
    <row r="1818" spans="1:7" x14ac:dyDescent="0.25">
      <c r="A1818" s="88">
        <v>35</v>
      </c>
      <c r="B1818" s="88">
        <v>39</v>
      </c>
      <c r="C1818" s="97">
        <f>SUMIFS(Input!$C$115:$C$3257,Input!$A$115:$A$3257,"="&amp;'Output - County'!A1818,Input!$B$115:$B$3257,"="&amp;'Output - County'!B1818)*VLOOKUP(A1818,'Output - State'!$B$2:$G$52,2,FALSE)</f>
        <v>12.216663065685129</v>
      </c>
      <c r="D1818" s="98">
        <f>SUMIFS(Input!$C$115:$C$3257,Input!$A$115:$A$3257,"="&amp;'Output - County'!A1818,Input!$B$115:$B$3257,"="&amp;'Output - County'!B1818)*VLOOKUP(A1818,'Output - State'!$B$2:$G$52,3,FALSE)</f>
        <v>1.1658597498234113</v>
      </c>
      <c r="E1818" s="98">
        <f>SUMIFS(Input!$C$115:$C$3257,Input!$A$115:$A$3257,"="&amp;'Output - County'!A1818,Input!$B$115:$B$3257,"="&amp;'Output - County'!B1818)*VLOOKUP(A1818,'Output - State'!$B$2:$G$52,4,FALSE)</f>
        <v>24.404895701834825</v>
      </c>
      <c r="F1818" s="98">
        <f>SUMIFS(Input!$C$115:$C$3257,Input!$A$115:$A$3257,"="&amp;'Output - County'!A1818,Input!$B$115:$B$3257,"="&amp;'Output - County'!B1818)*VLOOKUP(A1818,'Output - State'!$B$2:$G$52,5,FALSE)</f>
        <v>44.847102894536199</v>
      </c>
      <c r="G1818" s="99">
        <f>SUMIFS(Input!$D$115:$D$3257,Input!$A$115:$A$3257,"="&amp;'Output - County'!A1818,Input!$B$115:$B$3257,"="&amp;'Output - County'!B1818)*VLOOKUP(A1818,'Output - State'!$B$2:$G$52,6,FALSE)</f>
        <v>5.0255337475314938</v>
      </c>
    </row>
    <row r="1819" spans="1:7" x14ac:dyDescent="0.25">
      <c r="A1819" s="88">
        <v>35</v>
      </c>
      <c r="B1819" s="88">
        <v>41</v>
      </c>
      <c r="C1819" s="97">
        <f>SUMIFS(Input!$C$115:$C$3257,Input!$A$115:$A$3257,"="&amp;'Output - County'!A1819,Input!$B$115:$B$3257,"="&amp;'Output - County'!B1819)*VLOOKUP(A1819,'Output - State'!$B$2:$G$52,2,FALSE)</f>
        <v>4.4686688970954602</v>
      </c>
      <c r="D1819" s="98">
        <f>SUMIFS(Input!$C$115:$C$3257,Input!$A$115:$A$3257,"="&amp;'Output - County'!A1819,Input!$B$115:$B$3257,"="&amp;'Output - County'!B1819)*VLOOKUP(A1819,'Output - State'!$B$2:$G$52,3,FALSE)</f>
        <v>0.42645370297925922</v>
      </c>
      <c r="E1819" s="98">
        <f>SUMIFS(Input!$C$115:$C$3257,Input!$A$115:$A$3257,"="&amp;'Output - County'!A1819,Input!$B$115:$B$3257,"="&amp;'Output - County'!B1819)*VLOOKUP(A1819,'Output - State'!$B$2:$G$52,4,FALSE)</f>
        <v>8.9269383769758459</v>
      </c>
      <c r="F1819" s="98">
        <f>SUMIFS(Input!$C$115:$C$3257,Input!$A$115:$A$3257,"="&amp;'Output - County'!A1819,Input!$B$115:$B$3257,"="&amp;'Output - County'!B1819)*VLOOKUP(A1819,'Output - State'!$B$2:$G$52,5,FALSE)</f>
        <v>16.404385776388324</v>
      </c>
      <c r="G1819" s="99">
        <f>SUMIFS(Input!$D$115:$D$3257,Input!$A$115:$A$3257,"="&amp;'Output - County'!A1819,Input!$B$115:$B$3257,"="&amp;'Output - County'!B1819)*VLOOKUP(A1819,'Output - State'!$B$2:$G$52,6,FALSE)</f>
        <v>2.4225649859895406</v>
      </c>
    </row>
    <row r="1820" spans="1:7" x14ac:dyDescent="0.25">
      <c r="A1820" s="88">
        <v>35</v>
      </c>
      <c r="B1820" s="88">
        <v>43</v>
      </c>
      <c r="C1820" s="97">
        <f>SUMIFS(Input!$C$115:$C$3257,Input!$A$115:$A$3257,"="&amp;'Output - County'!A1820,Input!$B$115:$B$3257,"="&amp;'Output - County'!B1820)*VLOOKUP(A1820,'Output - State'!$B$2:$G$52,2,FALSE)</f>
        <v>67.760487073926868</v>
      </c>
      <c r="D1820" s="98">
        <f>SUMIFS(Input!$C$115:$C$3257,Input!$A$115:$A$3257,"="&amp;'Output - County'!A1820,Input!$B$115:$B$3257,"="&amp;'Output - County'!B1820)*VLOOKUP(A1820,'Output - State'!$B$2:$G$52,3,FALSE)</f>
        <v>6.4665141440970464</v>
      </c>
      <c r="E1820" s="98">
        <f>SUMIFS(Input!$C$115:$C$3257,Input!$A$115:$A$3257,"="&amp;'Output - County'!A1820,Input!$B$115:$B$3257,"="&amp;'Output - County'!B1820)*VLOOKUP(A1820,'Output - State'!$B$2:$G$52,4,FALSE)</f>
        <v>135.36328298925471</v>
      </c>
      <c r="F1820" s="98">
        <f>SUMIFS(Input!$C$115:$C$3257,Input!$A$115:$A$3257,"="&amp;'Output - County'!A1820,Input!$B$115:$B$3257,"="&amp;'Output - County'!B1820)*VLOOKUP(A1820,'Output - State'!$B$2:$G$52,5,FALSE)</f>
        <v>248.74726589816646</v>
      </c>
      <c r="G1820" s="99">
        <f>SUMIFS(Input!$D$115:$D$3257,Input!$A$115:$A$3257,"="&amp;'Output - County'!A1820,Input!$B$115:$B$3257,"="&amp;'Output - County'!B1820)*VLOOKUP(A1820,'Output - State'!$B$2:$G$52,6,FALSE)</f>
        <v>18.684676753642734</v>
      </c>
    </row>
    <row r="1821" spans="1:7" x14ac:dyDescent="0.25">
      <c r="A1821" s="88">
        <v>35</v>
      </c>
      <c r="B1821" s="88">
        <v>45</v>
      </c>
      <c r="C1821" s="97">
        <f>SUMIFS(Input!$C$115:$C$3257,Input!$A$115:$A$3257,"="&amp;'Output - County'!A1821,Input!$B$115:$B$3257,"="&amp;'Output - County'!B1821)*VLOOKUP(A1821,'Output - State'!$B$2:$G$52,2,FALSE)</f>
        <v>40.455634442535207</v>
      </c>
      <c r="D1821" s="98">
        <f>SUMIFS(Input!$C$115:$C$3257,Input!$A$115:$A$3257,"="&amp;'Output - County'!A1821,Input!$B$115:$B$3257,"="&amp;'Output - County'!B1821)*VLOOKUP(A1821,'Output - State'!$B$2:$G$52,3,FALSE)</f>
        <v>3.8607593249095107</v>
      </c>
      <c r="E1821" s="98">
        <f>SUMIFS(Input!$C$115:$C$3257,Input!$A$115:$A$3257,"="&amp;'Output - County'!A1821,Input!$B$115:$B$3257,"="&amp;'Output - County'!B1821)*VLOOKUP(A1821,'Output - State'!$B$2:$G$52,4,FALSE)</f>
        <v>80.817121157647165</v>
      </c>
      <c r="F1821" s="98">
        <f>SUMIFS(Input!$C$115:$C$3257,Input!$A$115:$A$3257,"="&amp;'Output - County'!A1821,Input!$B$115:$B$3257,"="&amp;'Output - County'!B1821)*VLOOKUP(A1821,'Output - State'!$B$2:$G$52,5,FALSE)</f>
        <v>148.51174913747766</v>
      </c>
      <c r="G1821" s="99">
        <f>SUMIFS(Input!$D$115:$D$3257,Input!$A$115:$A$3257,"="&amp;'Output - County'!A1821,Input!$B$115:$B$3257,"="&amp;'Output - County'!B1821)*VLOOKUP(A1821,'Output - State'!$B$2:$G$52,6,FALSE)</f>
        <v>16.107479960036841</v>
      </c>
    </row>
    <row r="1822" spans="1:7" x14ac:dyDescent="0.25">
      <c r="A1822" s="88">
        <v>35</v>
      </c>
      <c r="B1822" s="88">
        <v>47</v>
      </c>
      <c r="C1822" s="97">
        <f>SUMIFS(Input!$C$115:$C$3257,Input!$A$115:$A$3257,"="&amp;'Output - County'!A1822,Input!$B$115:$B$3257,"="&amp;'Output - County'!B1822)*VLOOKUP(A1822,'Output - State'!$B$2:$G$52,2,FALSE)</f>
        <v>16.819901260965263</v>
      </c>
      <c r="D1822" s="98">
        <f>SUMIFS(Input!$C$115:$C$3257,Input!$A$115:$A$3257,"="&amp;'Output - County'!A1822,Input!$B$115:$B$3257,"="&amp;'Output - County'!B1822)*VLOOKUP(A1822,'Output - State'!$B$2:$G$52,3,FALSE)</f>
        <v>1.6051556608157715</v>
      </c>
      <c r="E1822" s="98">
        <f>SUMIFS(Input!$C$115:$C$3257,Input!$A$115:$A$3257,"="&amp;'Output - County'!A1822,Input!$B$115:$B$3257,"="&amp;'Output - County'!B1822)*VLOOKUP(A1822,'Output - State'!$B$2:$G$52,4,FALSE)</f>
        <v>33.600659507588418</v>
      </c>
      <c r="F1822" s="98">
        <f>SUMIFS(Input!$C$115:$C$3257,Input!$A$115:$A$3257,"="&amp;'Output - County'!A1822,Input!$B$115:$B$3257,"="&amp;'Output - County'!B1822)*VLOOKUP(A1822,'Output - State'!$B$2:$G$52,5,FALSE)</f>
        <v>61.745489621076381</v>
      </c>
      <c r="G1822" s="99">
        <f>SUMIFS(Input!$D$115:$D$3257,Input!$A$115:$A$3257,"="&amp;'Output - County'!A1822,Input!$B$115:$B$3257,"="&amp;'Output - County'!B1822)*VLOOKUP(A1822,'Output - State'!$B$2:$G$52,6,FALSE)</f>
        <v>3.5436455912081049</v>
      </c>
    </row>
    <row r="1823" spans="1:7" x14ac:dyDescent="0.25">
      <c r="A1823" s="88">
        <v>35</v>
      </c>
      <c r="B1823" s="88">
        <v>49</v>
      </c>
      <c r="C1823" s="97">
        <f>SUMIFS(Input!$C$115:$C$3257,Input!$A$115:$A$3257,"="&amp;'Output - County'!A1823,Input!$B$115:$B$3257,"="&amp;'Output - County'!B1823)*VLOOKUP(A1823,'Output - State'!$B$2:$G$52,2,FALSE)</f>
        <v>70.73963229710364</v>
      </c>
      <c r="D1823" s="98">
        <f>SUMIFS(Input!$C$115:$C$3257,Input!$A$115:$A$3257,"="&amp;'Output - County'!A1823,Input!$B$115:$B$3257,"="&amp;'Output - County'!B1823)*VLOOKUP(A1823,'Output - State'!$B$2:$G$52,3,FALSE)</f>
        <v>6.7508197262274399</v>
      </c>
      <c r="E1823" s="98">
        <f>SUMIFS(Input!$C$115:$C$3257,Input!$A$115:$A$3257,"="&amp;'Output - County'!A1823,Input!$B$115:$B$3257,"="&amp;'Output - County'!B1823)*VLOOKUP(A1823,'Output - State'!$B$2:$G$52,4,FALSE)</f>
        <v>141.31464041487357</v>
      </c>
      <c r="F1823" s="98">
        <f>SUMIFS(Input!$C$115:$C$3257,Input!$A$115:$A$3257,"="&amp;'Output - County'!A1823,Input!$B$115:$B$3257,"="&amp;'Output - County'!B1823)*VLOOKUP(A1823,'Output - State'!$B$2:$G$52,5,FALSE)</f>
        <v>259.68364284850207</v>
      </c>
      <c r="G1823" s="99">
        <f>SUMIFS(Input!$D$115:$D$3257,Input!$A$115:$A$3257,"="&amp;'Output - County'!A1823,Input!$B$115:$B$3257,"="&amp;'Output - County'!B1823)*VLOOKUP(A1823,'Output - State'!$B$2:$G$52,6,FALSE)</f>
        <v>19.328975952044207</v>
      </c>
    </row>
    <row r="1824" spans="1:7" x14ac:dyDescent="0.25">
      <c r="A1824" s="88">
        <v>35</v>
      </c>
      <c r="B1824" s="88">
        <v>51</v>
      </c>
      <c r="C1824" s="97">
        <f>SUMIFS(Input!$C$115:$C$3257,Input!$A$115:$A$3257,"="&amp;'Output - County'!A1824,Input!$B$115:$B$3257,"="&amp;'Output - County'!B1824)*VLOOKUP(A1824,'Output - State'!$B$2:$G$52,2,FALSE)</f>
        <v>10.580760128052873</v>
      </c>
      <c r="D1824" s="98">
        <f>SUMIFS(Input!$C$115:$C$3257,Input!$A$115:$A$3257,"="&amp;'Output - County'!A1824,Input!$B$115:$B$3257,"="&amp;'Output - County'!B1824)*VLOOKUP(A1824,'Output - State'!$B$2:$G$52,3,FALSE)</f>
        <v>1.0097423731429924</v>
      </c>
      <c r="E1824" s="98">
        <f>SUMIFS(Input!$C$115:$C$3257,Input!$A$115:$A$3257,"="&amp;'Output - County'!A1824,Input!$B$115:$B$3257,"="&amp;'Output - County'!B1824)*VLOOKUP(A1824,'Output - State'!$B$2:$G$52,4,FALSE)</f>
        <v>21.13689687461159</v>
      </c>
      <c r="F1824" s="98">
        <f>SUMIFS(Input!$C$115:$C$3257,Input!$A$115:$A$3257,"="&amp;'Output - County'!A1824,Input!$B$115:$B$3257,"="&amp;'Output - County'!B1824)*VLOOKUP(A1824,'Output - State'!$B$2:$G$52,5,FALSE)</f>
        <v>38.84173899319876</v>
      </c>
      <c r="G1824" s="99">
        <f>SUMIFS(Input!$D$115:$D$3257,Input!$A$115:$A$3257,"="&amp;'Output - County'!A1824,Input!$B$115:$B$3257,"="&amp;'Output - County'!B1824)*VLOOKUP(A1824,'Output - State'!$B$2:$G$52,6,FALSE)</f>
        <v>1.4045722525152124</v>
      </c>
    </row>
    <row r="1825" spans="1:7" x14ac:dyDescent="0.25">
      <c r="A1825" s="88">
        <v>35</v>
      </c>
      <c r="B1825" s="88">
        <v>53</v>
      </c>
      <c r="C1825" s="97">
        <f>SUMIFS(Input!$C$115:$C$3257,Input!$A$115:$A$3257,"="&amp;'Output - County'!A1825,Input!$B$115:$B$3257,"="&amp;'Output - County'!B1825)*VLOOKUP(A1825,'Output - State'!$B$2:$G$52,2,FALSE)</f>
        <v>18.49279312120251</v>
      </c>
      <c r="D1825" s="98">
        <f>SUMIFS(Input!$C$115:$C$3257,Input!$A$115:$A$3257,"="&amp;'Output - County'!A1825,Input!$B$115:$B$3257,"="&amp;'Output - County'!B1825)*VLOOKUP(A1825,'Output - State'!$B$2:$G$52,3,FALSE)</f>
        <v>1.764802961815346</v>
      </c>
      <c r="E1825" s="98">
        <f>SUMIFS(Input!$C$115:$C$3257,Input!$A$115:$A$3257,"="&amp;'Output - County'!A1825,Input!$B$115:$B$3257,"="&amp;'Output - County'!B1825)*VLOOKUP(A1825,'Output - State'!$B$2:$G$52,4,FALSE)</f>
        <v>36.942550099972443</v>
      </c>
      <c r="F1825" s="98">
        <f>SUMIFS(Input!$C$115:$C$3257,Input!$A$115:$A$3257,"="&amp;'Output - County'!A1825,Input!$B$115:$B$3257,"="&amp;'Output - County'!B1825)*VLOOKUP(A1825,'Output - State'!$B$2:$G$52,5,FALSE)</f>
        <v>67.886639048224339</v>
      </c>
      <c r="G1825" s="99">
        <f>SUMIFS(Input!$D$115:$D$3257,Input!$A$115:$A$3257,"="&amp;'Output - County'!A1825,Input!$B$115:$B$3257,"="&amp;'Output - County'!B1825)*VLOOKUP(A1825,'Output - State'!$B$2:$G$52,6,FALSE)</f>
        <v>2.1519593226609222</v>
      </c>
    </row>
    <row r="1826" spans="1:7" x14ac:dyDescent="0.25">
      <c r="A1826" s="88">
        <v>35</v>
      </c>
      <c r="B1826" s="88">
        <v>55</v>
      </c>
      <c r="C1826" s="97">
        <f>SUMIFS(Input!$C$115:$C$3257,Input!$A$115:$A$3257,"="&amp;'Output - County'!A1826,Input!$B$115:$B$3257,"="&amp;'Output - County'!B1826)*VLOOKUP(A1826,'Output - State'!$B$2:$G$52,2,FALSE)</f>
        <v>8.9024315469333395</v>
      </c>
      <c r="D1826" s="98">
        <f>SUMIFS(Input!$C$115:$C$3257,Input!$A$115:$A$3257,"="&amp;'Output - County'!A1826,Input!$B$115:$B$3257,"="&amp;'Output - County'!B1826)*VLOOKUP(A1826,'Output - State'!$B$2:$G$52,3,FALSE)</f>
        <v>0.84957623536993887</v>
      </c>
      <c r="E1826" s="98">
        <f>SUMIFS(Input!$C$115:$C$3257,Input!$A$115:$A$3257,"="&amp;'Output - County'!A1826,Input!$B$115:$B$3257,"="&amp;'Output - County'!B1826)*VLOOKUP(A1826,'Output - State'!$B$2:$G$52,4,FALSE)</f>
        <v>17.784145492715837</v>
      </c>
      <c r="F1826" s="98">
        <f>SUMIFS(Input!$C$115:$C$3257,Input!$A$115:$A$3257,"="&amp;'Output - County'!A1826,Input!$B$115:$B$3257,"="&amp;'Output - County'!B1826)*VLOOKUP(A1826,'Output - State'!$B$2:$G$52,5,FALSE)</f>
        <v>32.680631482611339</v>
      </c>
      <c r="G1826" s="99">
        <f>SUMIFS(Input!$D$115:$D$3257,Input!$A$115:$A$3257,"="&amp;'Output - County'!A1826,Input!$B$115:$B$3257,"="&amp;'Output - County'!B1826)*VLOOKUP(A1826,'Output - State'!$B$2:$G$52,6,FALSE)</f>
        <v>4.2137167575456376</v>
      </c>
    </row>
    <row r="1827" spans="1:7" x14ac:dyDescent="0.25">
      <c r="A1827" s="88">
        <v>35</v>
      </c>
      <c r="B1827" s="88">
        <v>57</v>
      </c>
      <c r="C1827" s="97">
        <f>SUMIFS(Input!$C$115:$C$3257,Input!$A$115:$A$3257,"="&amp;'Output - County'!A1827,Input!$B$115:$B$3257,"="&amp;'Output - County'!B1827)*VLOOKUP(A1827,'Output - State'!$B$2:$G$52,2,FALSE)</f>
        <v>26.161460730386217</v>
      </c>
      <c r="D1827" s="98">
        <f>SUMIFS(Input!$C$115:$C$3257,Input!$A$115:$A$3257,"="&amp;'Output - County'!A1827,Input!$B$115:$B$3257,"="&amp;'Output - County'!B1827)*VLOOKUP(A1827,'Output - State'!$B$2:$G$52,3,FALSE)</f>
        <v>2.4966387218957453</v>
      </c>
      <c r="E1827" s="98">
        <f>SUMIFS(Input!$C$115:$C$3257,Input!$A$115:$A$3257,"="&amp;'Output - County'!A1827,Input!$B$115:$B$3257,"="&amp;'Output - County'!B1827)*VLOOKUP(A1827,'Output - State'!$B$2:$G$52,4,FALSE)</f>
        <v>52.262038913562925</v>
      </c>
      <c r="F1827" s="98">
        <f>SUMIFS(Input!$C$115:$C$3257,Input!$A$115:$A$3257,"="&amp;'Output - County'!A1827,Input!$B$115:$B$3257,"="&amp;'Output - County'!B1827)*VLOOKUP(A1827,'Output - State'!$B$2:$G$52,5,FALSE)</f>
        <v>96.038150101932132</v>
      </c>
      <c r="G1827" s="99">
        <f>SUMIFS(Input!$D$115:$D$3257,Input!$A$115:$A$3257,"="&amp;'Output - County'!A1827,Input!$B$115:$B$3257,"="&amp;'Output - County'!B1827)*VLOOKUP(A1827,'Output - State'!$B$2:$G$52,6,FALSE)</f>
        <v>1.997327515044568</v>
      </c>
    </row>
    <row r="1828" spans="1:7" x14ac:dyDescent="0.25">
      <c r="A1828" s="88">
        <v>35</v>
      </c>
      <c r="B1828" s="88">
        <v>59</v>
      </c>
      <c r="C1828" s="97">
        <f>SUMIFS(Input!$C$115:$C$3257,Input!$A$115:$A$3257,"="&amp;'Output - County'!A1828,Input!$B$115:$B$3257,"="&amp;'Output - County'!B1828)*VLOOKUP(A1828,'Output - State'!$B$2:$G$52,2,FALSE)</f>
        <v>1.9881900913572239</v>
      </c>
      <c r="D1828" s="98">
        <f>SUMIFS(Input!$C$115:$C$3257,Input!$A$115:$A$3257,"="&amp;'Output - County'!A1828,Input!$B$115:$B$3257,"="&amp;'Output - County'!B1828)*VLOOKUP(A1828,'Output - State'!$B$2:$G$52,3,FALSE)</f>
        <v>0.189736820115954</v>
      </c>
      <c r="E1828" s="98">
        <f>SUMIFS(Input!$C$115:$C$3257,Input!$A$115:$A$3257,"="&amp;'Output - County'!A1828,Input!$B$115:$B$3257,"="&amp;'Output - County'!B1828)*VLOOKUP(A1828,'Output - State'!$B$2:$G$52,4,FALSE)</f>
        <v>3.9717532974519618</v>
      </c>
      <c r="F1828" s="98">
        <f>SUMIFS(Input!$C$115:$C$3257,Input!$A$115:$A$3257,"="&amp;'Output - County'!A1828,Input!$B$115:$B$3257,"="&amp;'Output - County'!B1828)*VLOOKUP(A1828,'Output - State'!$B$2:$G$52,5,FALSE)</f>
        <v>7.2986023369544624</v>
      </c>
      <c r="G1828" s="99">
        <f>SUMIFS(Input!$D$115:$D$3257,Input!$A$115:$A$3257,"="&amp;'Output - County'!A1828,Input!$B$115:$B$3257,"="&amp;'Output - County'!B1828)*VLOOKUP(A1828,'Output - State'!$B$2:$G$52,6,FALSE)</f>
        <v>0.52961394108601123</v>
      </c>
    </row>
    <row r="1829" spans="1:7" x14ac:dyDescent="0.25">
      <c r="A1829" s="88">
        <v>35</v>
      </c>
      <c r="B1829" s="88">
        <v>61</v>
      </c>
      <c r="C1829" s="97">
        <f>SUMIFS(Input!$C$115:$C$3257,Input!$A$115:$A$3257,"="&amp;'Output - County'!A1829,Input!$B$115:$B$3257,"="&amp;'Output - County'!B1829)*VLOOKUP(A1829,'Output - State'!$B$2:$G$52,2,FALSE)</f>
        <v>28.159197412966797</v>
      </c>
      <c r="D1829" s="98">
        <f>SUMIFS(Input!$C$115:$C$3257,Input!$A$115:$A$3257,"="&amp;'Output - County'!A1829,Input!$B$115:$B$3257,"="&amp;'Output - County'!B1829)*VLOOKUP(A1829,'Output - State'!$B$2:$G$52,3,FALSE)</f>
        <v>2.6872865916490252</v>
      </c>
      <c r="E1829" s="98">
        <f>SUMIFS(Input!$C$115:$C$3257,Input!$A$115:$A$3257,"="&amp;'Output - County'!A1829,Input!$B$115:$B$3257,"="&amp;'Output - County'!B1829)*VLOOKUP(A1829,'Output - State'!$B$2:$G$52,4,FALSE)</f>
        <v>56.252863176782007</v>
      </c>
      <c r="F1829" s="98">
        <f>SUMIFS(Input!$C$115:$C$3257,Input!$A$115:$A$3257,"="&amp;'Output - County'!A1829,Input!$B$115:$B$3257,"="&amp;'Output - County'!B1829)*VLOOKUP(A1829,'Output - State'!$B$2:$G$52,5,FALSE)</f>
        <v>103.37179776645141</v>
      </c>
      <c r="G1829" s="99">
        <f>SUMIFS(Input!$D$115:$D$3257,Input!$A$115:$A$3257,"="&amp;'Output - County'!A1829,Input!$B$115:$B$3257,"="&amp;'Output - County'!B1829)*VLOOKUP(A1829,'Output - State'!$B$2:$G$52,6,FALSE)</f>
        <v>9.8320057676064874</v>
      </c>
    </row>
    <row r="1830" spans="1:7" x14ac:dyDescent="0.25">
      <c r="A1830" s="88">
        <v>36</v>
      </c>
      <c r="B1830" s="88">
        <v>1</v>
      </c>
      <c r="C1830" s="97">
        <f>SUMIFS(Input!$C$115:$C$3257,Input!$A$115:$A$3257,"="&amp;'Output - County'!A1830,Input!$B$115:$B$3257,"="&amp;'Output - County'!B1830)*VLOOKUP(A1830,'Output - State'!$B$2:$G$52,2,FALSE)</f>
        <v>64.621324523164191</v>
      </c>
      <c r="D1830" s="98">
        <f>SUMIFS(Input!$C$115:$C$3257,Input!$A$115:$A$3257,"="&amp;'Output - County'!A1830,Input!$B$115:$B$3257,"="&amp;'Output - County'!B1830)*VLOOKUP(A1830,'Output - State'!$B$2:$G$52,3,FALSE)</f>
        <v>8.3712900340264991</v>
      </c>
      <c r="E1830" s="98">
        <f>SUMIFS(Input!$C$115:$C$3257,Input!$A$115:$A$3257,"="&amp;'Output - County'!A1830,Input!$B$115:$B$3257,"="&amp;'Output - County'!B1830)*VLOOKUP(A1830,'Output - State'!$B$2:$G$52,4,FALSE)</f>
        <v>1.9134615038922733</v>
      </c>
      <c r="F1830" s="98">
        <f>SUMIFS(Input!$C$115:$C$3257,Input!$A$115:$A$3257,"="&amp;'Output - County'!A1830,Input!$B$115:$B$3257,"="&amp;'Output - County'!B1830)*VLOOKUP(A1830,'Output - State'!$B$2:$G$52,5,FALSE)</f>
        <v>119.49246046844968</v>
      </c>
      <c r="G1830" s="99">
        <f>SUMIFS(Input!$D$115:$D$3257,Input!$A$115:$A$3257,"="&amp;'Output - County'!A1830,Input!$B$115:$B$3257,"="&amp;'Output - County'!B1830)*VLOOKUP(A1830,'Output - State'!$B$2:$G$52,6,FALSE)</f>
        <v>86.536151460790165</v>
      </c>
    </row>
    <row r="1831" spans="1:7" x14ac:dyDescent="0.25">
      <c r="A1831" s="88">
        <v>36</v>
      </c>
      <c r="B1831" s="88">
        <v>3</v>
      </c>
      <c r="C1831" s="97">
        <f>SUMIFS(Input!$C$115:$C$3257,Input!$A$115:$A$3257,"="&amp;'Output - County'!A1831,Input!$B$115:$B$3257,"="&amp;'Output - County'!B1831)*VLOOKUP(A1831,'Output - State'!$B$2:$G$52,2,FALSE)</f>
        <v>7.4552608080198013</v>
      </c>
      <c r="D1831" s="98">
        <f>SUMIFS(Input!$C$115:$C$3257,Input!$A$115:$A$3257,"="&amp;'Output - County'!A1831,Input!$B$115:$B$3257,"="&amp;'Output - County'!B1831)*VLOOKUP(A1831,'Output - State'!$B$2:$G$52,3,FALSE)</f>
        <v>0.96578259520002463</v>
      </c>
      <c r="E1831" s="98">
        <f>SUMIFS(Input!$C$115:$C$3257,Input!$A$115:$A$3257,"="&amp;'Output - County'!A1831,Input!$B$115:$B$3257,"="&amp;'Output - County'!B1831)*VLOOKUP(A1831,'Output - State'!$B$2:$G$52,4,FALSE)</f>
        <v>0.22075305114659372</v>
      </c>
      <c r="F1831" s="98">
        <f>SUMIFS(Input!$C$115:$C$3257,Input!$A$115:$A$3257,"="&amp;'Output - County'!A1831,Input!$B$115:$B$3257,"="&amp;'Output - County'!B1831)*VLOOKUP(A1831,'Output - State'!$B$2:$G$52,5,FALSE)</f>
        <v>13.785657659569555</v>
      </c>
      <c r="G1831" s="99">
        <f>SUMIFS(Input!$D$115:$D$3257,Input!$A$115:$A$3257,"="&amp;'Output - County'!A1831,Input!$B$115:$B$3257,"="&amp;'Output - County'!B1831)*VLOOKUP(A1831,'Output - State'!$B$2:$G$52,6,FALSE)</f>
        <v>13.050891897832523</v>
      </c>
    </row>
    <row r="1832" spans="1:7" x14ac:dyDescent="0.25">
      <c r="A1832" s="88">
        <v>36</v>
      </c>
      <c r="B1832" s="88">
        <v>5</v>
      </c>
      <c r="C1832" s="97">
        <f>SUMIFS(Input!$C$115:$C$3257,Input!$A$115:$A$3257,"="&amp;'Output - County'!A1832,Input!$B$115:$B$3257,"="&amp;'Output - County'!B1832)*VLOOKUP(A1832,'Output - State'!$B$2:$G$52,2,FALSE)</f>
        <v>103.24173463188431</v>
      </c>
      <c r="D1832" s="98">
        <f>SUMIFS(Input!$C$115:$C$3257,Input!$A$115:$A$3257,"="&amp;'Output - County'!A1832,Input!$B$115:$B$3257,"="&amp;'Output - County'!B1832)*VLOOKUP(A1832,'Output - State'!$B$2:$G$52,3,FALSE)</f>
        <v>13.374323578120041</v>
      </c>
      <c r="E1832" s="98">
        <f>SUMIFS(Input!$C$115:$C$3257,Input!$A$115:$A$3257,"="&amp;'Output - County'!A1832,Input!$B$115:$B$3257,"="&amp;'Output - County'!B1832)*VLOOKUP(A1832,'Output - State'!$B$2:$G$52,4,FALSE)</f>
        <v>3.0570262412736344</v>
      </c>
      <c r="F1832" s="98">
        <f>SUMIFS(Input!$C$115:$C$3257,Input!$A$115:$A$3257,"="&amp;'Output - County'!A1832,Input!$B$115:$B$3257,"="&amp;'Output - County'!B1832)*VLOOKUP(A1832,'Output - State'!$B$2:$G$52,5,FALSE)</f>
        <v>190.90615961875591</v>
      </c>
      <c r="G1832" s="99">
        <f>SUMIFS(Input!$D$115:$D$3257,Input!$A$115:$A$3257,"="&amp;'Output - County'!A1832,Input!$B$115:$B$3257,"="&amp;'Output - County'!B1832)*VLOOKUP(A1832,'Output - State'!$B$2:$G$52,6,FALSE)</f>
        <v>403.08370224407145</v>
      </c>
    </row>
    <row r="1833" spans="1:7" x14ac:dyDescent="0.25">
      <c r="A1833" s="88">
        <v>36</v>
      </c>
      <c r="B1833" s="88">
        <v>7</v>
      </c>
      <c r="C1833" s="97">
        <f>SUMIFS(Input!$C$115:$C$3257,Input!$A$115:$A$3257,"="&amp;'Output - County'!A1833,Input!$B$115:$B$3257,"="&amp;'Output - County'!B1833)*VLOOKUP(A1833,'Output - State'!$B$2:$G$52,2,FALSE)</f>
        <v>37.910094315443544</v>
      </c>
      <c r="D1833" s="98">
        <f>SUMIFS(Input!$C$115:$C$3257,Input!$A$115:$A$3257,"="&amp;'Output - County'!A1833,Input!$B$115:$B$3257,"="&amp;'Output - County'!B1833)*VLOOKUP(A1833,'Output - State'!$B$2:$G$52,3,FALSE)</f>
        <v>4.9110165579802914</v>
      </c>
      <c r="E1833" s="98">
        <f>SUMIFS(Input!$C$115:$C$3257,Input!$A$115:$A$3257,"="&amp;'Output - County'!A1833,Input!$B$115:$B$3257,"="&amp;'Output - County'!B1833)*VLOOKUP(A1833,'Output - State'!$B$2:$G$52,4,FALSE)</f>
        <v>1.1225320220034176</v>
      </c>
      <c r="F1833" s="98">
        <f>SUMIFS(Input!$C$115:$C$3257,Input!$A$115:$A$3257,"="&amp;'Output - County'!A1833,Input!$B$115:$B$3257,"="&amp;'Output - County'!B1833)*VLOOKUP(A1833,'Output - State'!$B$2:$G$52,5,FALSE)</f>
        <v>70.100241364126191</v>
      </c>
      <c r="G1833" s="99">
        <f>SUMIFS(Input!$D$115:$D$3257,Input!$A$115:$A$3257,"="&amp;'Output - County'!A1833,Input!$B$115:$B$3257,"="&amp;'Output - County'!B1833)*VLOOKUP(A1833,'Output - State'!$B$2:$G$52,6,FALSE)</f>
        <v>54.120329252350864</v>
      </c>
    </row>
    <row r="1834" spans="1:7" x14ac:dyDescent="0.25">
      <c r="A1834" s="88">
        <v>36</v>
      </c>
      <c r="B1834" s="88">
        <v>9</v>
      </c>
      <c r="C1834" s="97">
        <f>SUMIFS(Input!$C$115:$C$3257,Input!$A$115:$A$3257,"="&amp;'Output - County'!A1834,Input!$B$115:$B$3257,"="&amp;'Output - County'!B1834)*VLOOKUP(A1834,'Output - State'!$B$2:$G$52,2,FALSE)</f>
        <v>15.239228526245883</v>
      </c>
      <c r="D1834" s="98">
        <f>SUMIFS(Input!$C$115:$C$3257,Input!$A$115:$A$3257,"="&amp;'Output - County'!A1834,Input!$B$115:$B$3257,"="&amp;'Output - County'!B1834)*VLOOKUP(A1834,'Output - State'!$B$2:$G$52,3,FALSE)</f>
        <v>1.9741471229405856</v>
      </c>
      <c r="E1834" s="98">
        <f>SUMIFS(Input!$C$115:$C$3257,Input!$A$115:$A$3257,"="&amp;'Output - County'!A1834,Input!$B$115:$B$3257,"="&amp;'Output - County'!B1834)*VLOOKUP(A1834,'Output - State'!$B$2:$G$52,4,FALSE)</f>
        <v>0.4512392364154636</v>
      </c>
      <c r="F1834" s="98">
        <f>SUMIFS(Input!$C$115:$C$3257,Input!$A$115:$A$3257,"="&amp;'Output - County'!A1834,Input!$B$115:$B$3257,"="&amp;'Output - County'!B1834)*VLOOKUP(A1834,'Output - State'!$B$2:$G$52,5,FALSE)</f>
        <v>28.179133214599464</v>
      </c>
      <c r="G1834" s="99">
        <f>SUMIFS(Input!$D$115:$D$3257,Input!$A$115:$A$3257,"="&amp;'Output - County'!A1834,Input!$B$115:$B$3257,"="&amp;'Output - County'!B1834)*VLOOKUP(A1834,'Output - State'!$B$2:$G$52,6,FALSE)</f>
        <v>21.619944029454746</v>
      </c>
    </row>
    <row r="1835" spans="1:7" x14ac:dyDescent="0.25">
      <c r="A1835" s="88">
        <v>36</v>
      </c>
      <c r="B1835" s="88">
        <v>11</v>
      </c>
      <c r="C1835" s="97">
        <f>SUMIFS(Input!$C$115:$C$3257,Input!$A$115:$A$3257,"="&amp;'Output - County'!A1835,Input!$B$115:$B$3257,"="&amp;'Output - County'!B1835)*VLOOKUP(A1835,'Output - State'!$B$2:$G$52,2,FALSE)</f>
        <v>13.359691948051854</v>
      </c>
      <c r="D1835" s="98">
        <f>SUMIFS(Input!$C$115:$C$3257,Input!$A$115:$A$3257,"="&amp;'Output - County'!A1835,Input!$B$115:$B$3257,"="&amp;'Output - County'!B1835)*VLOOKUP(A1835,'Output - State'!$B$2:$G$52,3,FALSE)</f>
        <v>1.7306648677914533</v>
      </c>
      <c r="E1835" s="98">
        <f>SUMIFS(Input!$C$115:$C$3257,Input!$A$115:$A$3257,"="&amp;'Output - County'!A1835,Input!$B$115:$B$3257,"="&amp;'Output - County'!B1835)*VLOOKUP(A1835,'Output - State'!$B$2:$G$52,4,FALSE)</f>
        <v>0.39558545782040389</v>
      </c>
      <c r="F1835" s="98">
        <f>SUMIFS(Input!$C$115:$C$3257,Input!$A$115:$A$3257,"="&amp;'Output - County'!A1835,Input!$B$115:$B$3257,"="&amp;'Output - County'!B1835)*VLOOKUP(A1835,'Output - State'!$B$2:$G$52,5,FALSE)</f>
        <v>24.703648118524896</v>
      </c>
      <c r="G1835" s="99">
        <f>SUMIFS(Input!$D$115:$D$3257,Input!$A$115:$A$3257,"="&amp;'Output - County'!A1835,Input!$B$115:$B$3257,"="&amp;'Output - County'!B1835)*VLOOKUP(A1835,'Output - State'!$B$2:$G$52,6,FALSE)</f>
        <v>21.732694715397141</v>
      </c>
    </row>
    <row r="1836" spans="1:7" x14ac:dyDescent="0.25">
      <c r="A1836" s="88">
        <v>36</v>
      </c>
      <c r="B1836" s="88">
        <v>13</v>
      </c>
      <c r="C1836" s="97">
        <f>SUMIFS(Input!$C$115:$C$3257,Input!$A$115:$A$3257,"="&amp;'Output - County'!A1836,Input!$B$115:$B$3257,"="&amp;'Output - County'!B1836)*VLOOKUP(A1836,'Output - State'!$B$2:$G$52,2,FALSE)</f>
        <v>26.322733000246842</v>
      </c>
      <c r="D1836" s="98">
        <f>SUMIFS(Input!$C$115:$C$3257,Input!$A$115:$A$3257,"="&amp;'Output - County'!A1836,Input!$B$115:$B$3257,"="&amp;'Output - County'!B1836)*VLOOKUP(A1836,'Output - State'!$B$2:$G$52,3,FALSE)</f>
        <v>3.4099460829577732</v>
      </c>
      <c r="E1836" s="98">
        <f>SUMIFS(Input!$C$115:$C$3257,Input!$A$115:$A$3257,"="&amp;'Output - County'!A1836,Input!$B$115:$B$3257,"="&amp;'Output - County'!B1836)*VLOOKUP(A1836,'Output - State'!$B$2:$G$52,4,FALSE)</f>
        <v>0.77942593478028022</v>
      </c>
      <c r="F1836" s="98">
        <f>SUMIFS(Input!$C$115:$C$3257,Input!$A$115:$A$3257,"="&amp;'Output - County'!A1836,Input!$B$115:$B$3257,"="&amp;'Output - County'!B1836)*VLOOKUP(A1836,'Output - State'!$B$2:$G$52,5,FALSE)</f>
        <v>48.673841888308267</v>
      </c>
      <c r="G1836" s="99">
        <f>SUMIFS(Input!$D$115:$D$3257,Input!$A$115:$A$3257,"="&amp;'Output - County'!A1836,Input!$B$115:$B$3257,"="&amp;'Output - County'!B1836)*VLOOKUP(A1836,'Output - State'!$B$2:$G$52,6,FALSE)</f>
        <v>35.798342786711245</v>
      </c>
    </row>
    <row r="1837" spans="1:7" x14ac:dyDescent="0.25">
      <c r="A1837" s="88">
        <v>36</v>
      </c>
      <c r="B1837" s="88">
        <v>15</v>
      </c>
      <c r="C1837" s="97">
        <f>SUMIFS(Input!$C$115:$C$3257,Input!$A$115:$A$3257,"="&amp;'Output - County'!A1837,Input!$B$115:$B$3257,"="&amp;'Output - County'!B1837)*VLOOKUP(A1837,'Output - State'!$B$2:$G$52,2,FALSE)</f>
        <v>16.829079769491727</v>
      </c>
      <c r="D1837" s="98">
        <f>SUMIFS(Input!$C$115:$C$3257,Input!$A$115:$A$3257,"="&amp;'Output - County'!A1837,Input!$B$115:$B$3257,"="&amp;'Output - County'!B1837)*VLOOKUP(A1837,'Output - State'!$B$2:$G$52,3,FALSE)</f>
        <v>2.1801024475393223</v>
      </c>
      <c r="E1837" s="98">
        <f>SUMIFS(Input!$C$115:$C$3257,Input!$A$115:$A$3257,"="&amp;'Output - County'!A1837,Input!$B$115:$B$3257,"="&amp;'Output - County'!B1837)*VLOOKUP(A1837,'Output - State'!$B$2:$G$52,4,FALSE)</f>
        <v>0.49831532427521819</v>
      </c>
      <c r="F1837" s="98">
        <f>SUMIFS(Input!$C$115:$C$3257,Input!$A$115:$A$3257,"="&amp;'Output - County'!A1837,Input!$B$115:$B$3257,"="&amp;'Output - County'!B1837)*VLOOKUP(A1837,'Output - State'!$B$2:$G$52,5,FALSE)</f>
        <v>31.118955916100589</v>
      </c>
      <c r="G1837" s="99">
        <f>SUMIFS(Input!$D$115:$D$3257,Input!$A$115:$A$3257,"="&amp;'Output - County'!A1837,Input!$B$115:$B$3257,"="&amp;'Output - County'!B1837)*VLOOKUP(A1837,'Output - State'!$B$2:$G$52,6,FALSE)</f>
        <v>23.649456376417898</v>
      </c>
    </row>
    <row r="1838" spans="1:7" x14ac:dyDescent="0.25">
      <c r="A1838" s="88">
        <v>36</v>
      </c>
      <c r="B1838" s="88">
        <v>17</v>
      </c>
      <c r="C1838" s="97">
        <f>SUMIFS(Input!$C$115:$C$3257,Input!$A$115:$A$3257,"="&amp;'Output - County'!A1838,Input!$B$115:$B$3257,"="&amp;'Output - County'!B1838)*VLOOKUP(A1838,'Output - State'!$B$2:$G$52,2,FALSE)</f>
        <v>8.1921103859098867</v>
      </c>
      <c r="D1838" s="98">
        <f>SUMIFS(Input!$C$115:$C$3257,Input!$A$115:$A$3257,"="&amp;'Output - County'!A1838,Input!$B$115:$B$3257,"="&amp;'Output - County'!B1838)*VLOOKUP(A1838,'Output - State'!$B$2:$G$52,3,FALSE)</f>
        <v>1.0612368678179867</v>
      </c>
      <c r="E1838" s="98">
        <f>SUMIFS(Input!$C$115:$C$3257,Input!$A$115:$A$3257,"="&amp;'Output - County'!A1838,Input!$B$115:$B$3257,"="&amp;'Output - County'!B1838)*VLOOKUP(A1838,'Output - State'!$B$2:$G$52,4,FALSE)</f>
        <v>0.24257144177624637</v>
      </c>
      <c r="F1838" s="98">
        <f>SUMIFS(Input!$C$115:$C$3257,Input!$A$115:$A$3257,"="&amp;'Output - County'!A1838,Input!$B$115:$B$3257,"="&amp;'Output - County'!B1838)*VLOOKUP(A1838,'Output - State'!$B$2:$G$52,5,FALSE)</f>
        <v>15.148179546994861</v>
      </c>
      <c r="G1838" s="99">
        <f>SUMIFS(Input!$D$115:$D$3257,Input!$A$115:$A$3257,"="&amp;'Output - County'!A1838,Input!$B$115:$B$3257,"="&amp;'Output - County'!B1838)*VLOOKUP(A1838,'Output - State'!$B$2:$G$52,6,FALSE)</f>
        <v>13.360956284174119</v>
      </c>
    </row>
    <row r="1839" spans="1:7" x14ac:dyDescent="0.25">
      <c r="A1839" s="88">
        <v>36</v>
      </c>
      <c r="B1839" s="88">
        <v>19</v>
      </c>
      <c r="C1839" s="97">
        <f>SUMIFS(Input!$C$115:$C$3257,Input!$A$115:$A$3257,"="&amp;'Output - County'!A1839,Input!$B$115:$B$3257,"="&amp;'Output - County'!B1839)*VLOOKUP(A1839,'Output - State'!$B$2:$G$52,2,FALSE)</f>
        <v>13.368366433425741</v>
      </c>
      <c r="D1839" s="98">
        <f>SUMIFS(Input!$C$115:$C$3257,Input!$A$115:$A$3257,"="&amp;'Output - County'!A1839,Input!$B$115:$B$3257,"="&amp;'Output - County'!B1839)*VLOOKUP(A1839,'Output - State'!$B$2:$G$52,3,FALSE)</f>
        <v>1.7317885933340134</v>
      </c>
      <c r="E1839" s="98">
        <f>SUMIFS(Input!$C$115:$C$3257,Input!$A$115:$A$3257,"="&amp;'Output - County'!A1839,Input!$B$115:$B$3257,"="&amp;'Output - County'!B1839)*VLOOKUP(A1839,'Output - State'!$B$2:$G$52,4,FALSE)</f>
        <v>0.39584231256535823</v>
      </c>
      <c r="F1839" s="98">
        <f>SUMIFS(Input!$C$115:$C$3257,Input!$A$115:$A$3257,"="&amp;'Output - County'!A1839,Input!$B$115:$B$3257,"="&amp;'Output - County'!B1839)*VLOOKUP(A1839,'Output - State'!$B$2:$G$52,5,FALSE)</f>
        <v>24.719688266390509</v>
      </c>
      <c r="G1839" s="99">
        <f>SUMIFS(Input!$D$115:$D$3257,Input!$A$115:$A$3257,"="&amp;'Output - County'!A1839,Input!$B$115:$B$3257,"="&amp;'Output - County'!B1839)*VLOOKUP(A1839,'Output - State'!$B$2:$G$52,6,FALSE)</f>
        <v>22.747450888878717</v>
      </c>
    </row>
    <row r="1840" spans="1:7" x14ac:dyDescent="0.25">
      <c r="A1840" s="88">
        <v>36</v>
      </c>
      <c r="B1840" s="88">
        <v>21</v>
      </c>
      <c r="C1840" s="97">
        <f>SUMIFS(Input!$C$115:$C$3257,Input!$A$115:$A$3257,"="&amp;'Output - County'!A1840,Input!$B$115:$B$3257,"="&amp;'Output - County'!B1840)*VLOOKUP(A1840,'Output - State'!$B$2:$G$52,2,FALSE)</f>
        <v>14.411958760140996</v>
      </c>
      <c r="D1840" s="98">
        <f>SUMIFS(Input!$C$115:$C$3257,Input!$A$115:$A$3257,"="&amp;'Output - County'!A1840,Input!$B$115:$B$3257,"="&amp;'Output - County'!B1840)*VLOOKUP(A1840,'Output - State'!$B$2:$G$52,3,FALSE)</f>
        <v>1.8669794782111306</v>
      </c>
      <c r="E1840" s="98">
        <f>SUMIFS(Input!$C$115:$C$3257,Input!$A$115:$A$3257,"="&amp;'Output - County'!A1840,Input!$B$115:$B$3257,"="&amp;'Output - County'!B1840)*VLOOKUP(A1840,'Output - State'!$B$2:$G$52,4,FALSE)</f>
        <v>0.42674347031261556</v>
      </c>
      <c r="F1840" s="98">
        <f>SUMIFS(Input!$C$115:$C$3257,Input!$A$115:$A$3257,"="&amp;'Output - County'!A1840,Input!$B$115:$B$3257,"="&amp;'Output - County'!B1840)*VLOOKUP(A1840,'Output - State'!$B$2:$G$52,5,FALSE)</f>
        <v>26.649413721035121</v>
      </c>
      <c r="G1840" s="99">
        <f>SUMIFS(Input!$D$115:$D$3257,Input!$A$115:$A$3257,"="&amp;'Output - County'!A1840,Input!$B$115:$B$3257,"="&amp;'Output - County'!B1840)*VLOOKUP(A1840,'Output - State'!$B$2:$G$52,6,FALSE)</f>
        <v>16.856227548388443</v>
      </c>
    </row>
    <row r="1841" spans="1:7" x14ac:dyDescent="0.25">
      <c r="A1841" s="88">
        <v>36</v>
      </c>
      <c r="B1841" s="88">
        <v>23</v>
      </c>
      <c r="C1841" s="97">
        <f>SUMIFS(Input!$C$115:$C$3257,Input!$A$115:$A$3257,"="&amp;'Output - County'!A1841,Input!$B$115:$B$3257,"="&amp;'Output - County'!B1841)*VLOOKUP(A1841,'Output - State'!$B$2:$G$52,2,FALSE)</f>
        <v>10.863054016969249</v>
      </c>
      <c r="D1841" s="98">
        <f>SUMIFS(Input!$C$115:$C$3257,Input!$A$115:$A$3257,"="&amp;'Output - County'!A1841,Input!$B$115:$B$3257,"="&amp;'Output - County'!B1841)*VLOOKUP(A1841,'Output - State'!$B$2:$G$52,3,FALSE)</f>
        <v>1.4072409766028333</v>
      </c>
      <c r="E1841" s="98">
        <f>SUMIFS(Input!$C$115:$C$3257,Input!$A$115:$A$3257,"="&amp;'Output - County'!A1841,Input!$B$115:$B$3257,"="&amp;'Output - County'!B1841)*VLOOKUP(A1841,'Output - State'!$B$2:$G$52,4,FALSE)</f>
        <v>0.32165907816887923</v>
      </c>
      <c r="F1841" s="98">
        <f>SUMIFS(Input!$C$115:$C$3257,Input!$A$115:$A$3257,"="&amp;'Output - County'!A1841,Input!$B$115:$B$3257,"="&amp;'Output - County'!B1841)*VLOOKUP(A1841,'Output - State'!$B$2:$G$52,5,FALSE)</f>
        <v>20.087069744663477</v>
      </c>
      <c r="G1841" s="99">
        <f>SUMIFS(Input!$D$115:$D$3257,Input!$A$115:$A$3257,"="&amp;'Output - County'!A1841,Input!$B$115:$B$3257,"="&amp;'Output - County'!B1841)*VLOOKUP(A1841,'Output - State'!$B$2:$G$52,6,FALSE)</f>
        <v>13.445519298630916</v>
      </c>
    </row>
    <row r="1842" spans="1:7" x14ac:dyDescent="0.25">
      <c r="A1842" s="88">
        <v>36</v>
      </c>
      <c r="B1842" s="88">
        <v>25</v>
      </c>
      <c r="C1842" s="97">
        <f>SUMIFS(Input!$C$115:$C$3257,Input!$A$115:$A$3257,"="&amp;'Output - County'!A1842,Input!$B$115:$B$3257,"="&amp;'Output - County'!B1842)*VLOOKUP(A1842,'Output - State'!$B$2:$G$52,2,FALSE)</f>
        <v>9.6950924014332607</v>
      </c>
      <c r="D1842" s="98">
        <f>SUMIFS(Input!$C$115:$C$3257,Input!$A$115:$A$3257,"="&amp;'Output - County'!A1842,Input!$B$115:$B$3257,"="&amp;'Output - County'!B1842)*VLOOKUP(A1842,'Output - State'!$B$2:$G$52,3,FALSE)</f>
        <v>1.2559388251163359</v>
      </c>
      <c r="E1842" s="98">
        <f>SUMIFS(Input!$C$115:$C$3257,Input!$A$115:$A$3257,"="&amp;'Output - County'!A1842,Input!$B$115:$B$3257,"="&amp;'Output - County'!B1842)*VLOOKUP(A1842,'Output - State'!$B$2:$G$52,4,FALSE)</f>
        <v>0.28707529942644822</v>
      </c>
      <c r="F1842" s="98">
        <f>SUMIFS(Input!$C$115:$C$3257,Input!$A$115:$A$3257,"="&amp;'Output - County'!A1842,Input!$B$115:$B$3257,"="&amp;'Output - County'!B1842)*VLOOKUP(A1842,'Output - State'!$B$2:$G$52,5,FALSE)</f>
        <v>17.927370787656294</v>
      </c>
      <c r="G1842" s="99">
        <f>SUMIFS(Input!$D$115:$D$3257,Input!$A$115:$A$3257,"="&amp;'Output - County'!A1842,Input!$B$115:$B$3257,"="&amp;'Output - County'!B1842)*VLOOKUP(A1842,'Output - State'!$B$2:$G$52,6,FALSE)</f>
        <v>12.543513811091737</v>
      </c>
    </row>
    <row r="1843" spans="1:7" x14ac:dyDescent="0.25">
      <c r="A1843" s="88">
        <v>36</v>
      </c>
      <c r="B1843" s="88">
        <v>27</v>
      </c>
      <c r="C1843" s="97">
        <f>SUMIFS(Input!$C$115:$C$3257,Input!$A$115:$A$3257,"="&amp;'Output - County'!A1843,Input!$B$115:$B$3257,"="&amp;'Output - County'!B1843)*VLOOKUP(A1843,'Output - State'!$B$2:$G$52,2,FALSE)</f>
        <v>55.164369693963891</v>
      </c>
      <c r="D1843" s="98">
        <f>SUMIFS(Input!$C$115:$C$3257,Input!$A$115:$A$3257,"="&amp;'Output - County'!A1843,Input!$B$115:$B$3257,"="&amp;'Output - County'!B1843)*VLOOKUP(A1843,'Output - State'!$B$2:$G$52,3,FALSE)</f>
        <v>7.1462004479171179</v>
      </c>
      <c r="E1843" s="98">
        <f>SUMIFS(Input!$C$115:$C$3257,Input!$A$115:$A$3257,"="&amp;'Output - County'!A1843,Input!$B$115:$B$3257,"="&amp;'Output - County'!B1843)*VLOOKUP(A1843,'Output - State'!$B$2:$G$52,4,FALSE)</f>
        <v>1.6334375467349675</v>
      </c>
      <c r="F1843" s="98">
        <f>SUMIFS(Input!$C$115:$C$3257,Input!$A$115:$A$3257,"="&amp;'Output - County'!A1843,Input!$B$115:$B$3257,"="&amp;'Output - County'!B1843)*VLOOKUP(A1843,'Output - State'!$B$2:$G$52,5,FALSE)</f>
        <v>102.00543417459744</v>
      </c>
      <c r="G1843" s="99">
        <f>SUMIFS(Input!$D$115:$D$3257,Input!$A$115:$A$3257,"="&amp;'Output - County'!A1843,Input!$B$115:$B$3257,"="&amp;'Output - County'!B1843)*VLOOKUP(A1843,'Output - State'!$B$2:$G$52,6,FALSE)</f>
        <v>82.871754167662246</v>
      </c>
    </row>
    <row r="1844" spans="1:7" x14ac:dyDescent="0.25">
      <c r="A1844" s="88">
        <v>36</v>
      </c>
      <c r="B1844" s="88">
        <v>29</v>
      </c>
      <c r="C1844" s="97">
        <f>SUMIFS(Input!$C$115:$C$3257,Input!$A$115:$A$3257,"="&amp;'Output - County'!A1844,Input!$B$115:$B$3257,"="&amp;'Output - County'!B1844)*VLOOKUP(A1844,'Output - State'!$B$2:$G$52,2,FALSE)</f>
        <v>150.78477781657941</v>
      </c>
      <c r="D1844" s="98">
        <f>SUMIFS(Input!$C$115:$C$3257,Input!$A$115:$A$3257,"="&amp;'Output - County'!A1844,Input!$B$115:$B$3257,"="&amp;'Output - County'!B1844)*VLOOKUP(A1844,'Output - State'!$B$2:$G$52,3,FALSE)</f>
        <v>19.533228653745095</v>
      </c>
      <c r="E1844" s="98">
        <f>SUMIFS(Input!$C$115:$C$3257,Input!$A$115:$A$3257,"="&amp;'Output - County'!A1844,Input!$B$115:$B$3257,"="&amp;'Output - County'!B1844)*VLOOKUP(A1844,'Output - State'!$B$2:$G$52,4,FALSE)</f>
        <v>4.4647934695543272</v>
      </c>
      <c r="F1844" s="98">
        <f>SUMIFS(Input!$C$115:$C$3257,Input!$A$115:$A$3257,"="&amp;'Output - County'!A1844,Input!$B$115:$B$3257,"="&amp;'Output - County'!B1844)*VLOOKUP(A1844,'Output - State'!$B$2:$G$52,5,FALSE)</f>
        <v>278.81886104072305</v>
      </c>
      <c r="G1844" s="99">
        <f>SUMIFS(Input!$D$115:$D$3257,Input!$A$115:$A$3257,"="&amp;'Output - County'!A1844,Input!$B$115:$B$3257,"="&amp;'Output - County'!B1844)*VLOOKUP(A1844,'Output - State'!$B$2:$G$52,6,FALSE)</f>
        <v>259.32657766751453</v>
      </c>
    </row>
    <row r="1845" spans="1:7" x14ac:dyDescent="0.25">
      <c r="A1845" s="88">
        <v>36</v>
      </c>
      <c r="B1845" s="88">
        <v>31</v>
      </c>
      <c r="C1845" s="97">
        <f>SUMIFS(Input!$C$115:$C$3257,Input!$A$115:$A$3257,"="&amp;'Output - County'!A1845,Input!$B$115:$B$3257,"="&amp;'Output - County'!B1845)*VLOOKUP(A1845,'Output - State'!$B$2:$G$52,2,FALSE)</f>
        <v>9.8121166172714815</v>
      </c>
      <c r="D1845" s="98">
        <f>SUMIFS(Input!$C$115:$C$3257,Input!$A$115:$A$3257,"="&amp;'Output - County'!A1845,Input!$B$115:$B$3257,"="&amp;'Output - County'!B1845)*VLOOKUP(A1845,'Output - State'!$B$2:$G$52,3,FALSE)</f>
        <v>1.2710985832768964</v>
      </c>
      <c r="E1845" s="98">
        <f>SUMIFS(Input!$C$115:$C$3257,Input!$A$115:$A$3257,"="&amp;'Output - County'!A1845,Input!$B$115:$B$3257,"="&amp;'Output - County'!B1845)*VLOOKUP(A1845,'Output - State'!$B$2:$G$52,4,FALSE)</f>
        <v>0.29054043007305619</v>
      </c>
      <c r="F1845" s="98">
        <f>SUMIFS(Input!$C$115:$C$3257,Input!$A$115:$A$3257,"="&amp;'Output - County'!A1845,Input!$B$115:$B$3257,"="&amp;'Output - County'!B1845)*VLOOKUP(A1845,'Output - State'!$B$2:$G$52,5,FALSE)</f>
        <v>18.14376238266124</v>
      </c>
      <c r="G1845" s="99">
        <f>SUMIFS(Input!$D$115:$D$3257,Input!$A$115:$A$3257,"="&amp;'Output - County'!A1845,Input!$B$115:$B$3257,"="&amp;'Output - County'!B1845)*VLOOKUP(A1845,'Output - State'!$B$2:$G$52,6,FALSE)</f>
        <v>10.514001464128578</v>
      </c>
    </row>
    <row r="1846" spans="1:7" x14ac:dyDescent="0.25">
      <c r="A1846" s="88">
        <v>36</v>
      </c>
      <c r="B1846" s="88">
        <v>33</v>
      </c>
      <c r="C1846" s="97">
        <f>SUMIFS(Input!$C$115:$C$3257,Input!$A$115:$A$3257,"="&amp;'Output - County'!A1846,Input!$B$115:$B$3257,"="&amp;'Output - County'!B1846)*VLOOKUP(A1846,'Output - State'!$B$2:$G$52,2,FALSE)</f>
        <v>7.7790925020308137</v>
      </c>
      <c r="D1846" s="98">
        <f>SUMIFS(Input!$C$115:$C$3257,Input!$A$115:$A$3257,"="&amp;'Output - County'!A1846,Input!$B$115:$B$3257,"="&amp;'Output - County'!B1846)*VLOOKUP(A1846,'Output - State'!$B$2:$G$52,3,FALSE)</f>
        <v>1.0077329738525787</v>
      </c>
      <c r="E1846" s="98">
        <f>SUMIFS(Input!$C$115:$C$3257,Input!$A$115:$A$3257,"="&amp;'Output - County'!A1846,Input!$B$115:$B$3257,"="&amp;'Output - County'!B1846)*VLOOKUP(A1846,'Output - State'!$B$2:$G$52,4,FALSE)</f>
        <v>0.23034182830030522</v>
      </c>
      <c r="F1846" s="98">
        <f>SUMIFS(Input!$C$115:$C$3257,Input!$A$115:$A$3257,"="&amp;'Output - County'!A1846,Input!$B$115:$B$3257,"="&amp;'Output - County'!B1846)*VLOOKUP(A1846,'Output - State'!$B$2:$G$52,5,FALSE)</f>
        <v>14.384460704548479</v>
      </c>
      <c r="G1846" s="99">
        <f>SUMIFS(Input!$D$115:$D$3257,Input!$A$115:$A$3257,"="&amp;'Output - County'!A1846,Input!$B$115:$B$3257,"="&amp;'Output - County'!B1846)*VLOOKUP(A1846,'Output - State'!$B$2:$G$52,6,FALSE)</f>
        <v>14.178398757256501</v>
      </c>
    </row>
    <row r="1847" spans="1:7" x14ac:dyDescent="0.25">
      <c r="A1847" s="88">
        <v>36</v>
      </c>
      <c r="B1847" s="88">
        <v>35</v>
      </c>
      <c r="C1847" s="97">
        <f>SUMIFS(Input!$C$115:$C$3257,Input!$A$115:$A$3257,"="&amp;'Output - County'!A1847,Input!$B$115:$B$3257,"="&amp;'Output - County'!B1847)*VLOOKUP(A1847,'Output - State'!$B$2:$G$52,2,FALSE)</f>
        <v>7.3923233870655487</v>
      </c>
      <c r="D1847" s="98">
        <f>SUMIFS(Input!$C$115:$C$3257,Input!$A$115:$A$3257,"="&amp;'Output - County'!A1847,Input!$B$115:$B$3257,"="&amp;'Output - County'!B1847)*VLOOKUP(A1847,'Output - State'!$B$2:$G$52,3,FALSE)</f>
        <v>0.95762944438348874</v>
      </c>
      <c r="E1847" s="98">
        <f>SUMIFS(Input!$C$115:$C$3257,Input!$A$115:$A$3257,"="&amp;'Output - County'!A1847,Input!$B$115:$B$3257,"="&amp;'Output - County'!B1847)*VLOOKUP(A1847,'Output - State'!$B$2:$G$52,4,FALSE)</f>
        <v>0.21888945065497803</v>
      </c>
      <c r="F1847" s="98">
        <f>SUMIFS(Input!$C$115:$C$3257,Input!$A$115:$A$3257,"="&amp;'Output - County'!A1847,Input!$B$115:$B$3257,"="&amp;'Output - County'!B1847)*VLOOKUP(A1847,'Output - State'!$B$2:$G$52,5,FALSE)</f>
        <v>13.669278935659827</v>
      </c>
      <c r="G1847" s="99">
        <f>SUMIFS(Input!$D$115:$D$3257,Input!$A$115:$A$3257,"="&amp;'Output - County'!A1847,Input!$B$115:$B$3257,"="&amp;'Output - County'!B1847)*VLOOKUP(A1847,'Output - State'!$B$2:$G$52,6,FALSE)</f>
        <v>15.108591916281281</v>
      </c>
    </row>
    <row r="1848" spans="1:7" x14ac:dyDescent="0.25">
      <c r="A1848" s="88">
        <v>36</v>
      </c>
      <c r="B1848" s="88">
        <v>37</v>
      </c>
      <c r="C1848" s="97">
        <f>SUMIFS(Input!$C$115:$C$3257,Input!$A$115:$A$3257,"="&amp;'Output - County'!A1848,Input!$B$115:$B$3257,"="&amp;'Output - County'!B1848)*VLOOKUP(A1848,'Output - State'!$B$2:$G$52,2,FALSE)</f>
        <v>18.273365561249651</v>
      </c>
      <c r="D1848" s="98">
        <f>SUMIFS(Input!$C$115:$C$3257,Input!$A$115:$A$3257,"="&amp;'Output - County'!A1848,Input!$B$115:$B$3257,"="&amp;'Output - County'!B1848)*VLOOKUP(A1848,'Output - State'!$B$2:$G$52,3,FALSE)</f>
        <v>2.3672006746964458</v>
      </c>
      <c r="E1848" s="98">
        <f>SUMIFS(Input!$C$115:$C$3257,Input!$A$115:$A$3257,"="&amp;'Output - County'!A1848,Input!$B$115:$B$3257,"="&amp;'Output - County'!B1848)*VLOOKUP(A1848,'Output - State'!$B$2:$G$52,4,FALSE)</f>
        <v>0.54108116486328484</v>
      </c>
      <c r="F1848" s="98">
        <f>SUMIFS(Input!$C$115:$C$3257,Input!$A$115:$A$3257,"="&amp;'Output - County'!A1848,Input!$B$115:$B$3257,"="&amp;'Output - County'!B1848)*VLOOKUP(A1848,'Output - State'!$B$2:$G$52,5,FALSE)</f>
        <v>33.789610907316593</v>
      </c>
      <c r="G1848" s="99">
        <f>SUMIFS(Input!$D$115:$D$3257,Input!$A$115:$A$3257,"="&amp;'Output - County'!A1848,Input!$B$115:$B$3257,"="&amp;'Output - County'!B1848)*VLOOKUP(A1848,'Output - State'!$B$2:$G$52,6,FALSE)</f>
        <v>16.207911104219658</v>
      </c>
    </row>
    <row r="1849" spans="1:7" x14ac:dyDescent="0.25">
      <c r="A1849" s="88">
        <v>36</v>
      </c>
      <c r="B1849" s="88">
        <v>39</v>
      </c>
      <c r="C1849" s="97">
        <f>SUMIFS(Input!$C$115:$C$3257,Input!$A$115:$A$3257,"="&amp;'Output - County'!A1849,Input!$B$115:$B$3257,"="&amp;'Output - County'!B1849)*VLOOKUP(A1849,'Output - State'!$B$2:$G$52,2,FALSE)</f>
        <v>13.607100627140898</v>
      </c>
      <c r="D1849" s="98">
        <f>SUMIFS(Input!$C$115:$C$3257,Input!$A$115:$A$3257,"="&amp;'Output - County'!A1849,Input!$B$115:$B$3257,"="&amp;'Output - County'!B1849)*VLOOKUP(A1849,'Output - State'!$B$2:$G$52,3,FALSE)</f>
        <v>1.762715120937338</v>
      </c>
      <c r="E1849" s="98">
        <f>SUMIFS(Input!$C$115:$C$3257,Input!$A$115:$A$3257,"="&amp;'Output - County'!A1849,Input!$B$115:$B$3257,"="&amp;'Output - County'!B1849)*VLOOKUP(A1849,'Output - State'!$B$2:$G$52,4,FALSE)</f>
        <v>0.40291132101895261</v>
      </c>
      <c r="F1849" s="98">
        <f>SUMIFS(Input!$C$115:$C$3257,Input!$A$115:$A$3257,"="&amp;'Output - County'!A1849,Input!$B$115:$B$3257,"="&amp;'Output - County'!B1849)*VLOOKUP(A1849,'Output - State'!$B$2:$G$52,5,FALSE)</f>
        <v>25.161135983772869</v>
      </c>
      <c r="G1849" s="99">
        <f>SUMIFS(Input!$D$115:$D$3257,Input!$A$115:$A$3257,"="&amp;'Output - County'!A1849,Input!$B$115:$B$3257,"="&amp;'Output - County'!B1849)*VLOOKUP(A1849,'Output - State'!$B$2:$G$52,6,FALSE)</f>
        <v>13.360956284174119</v>
      </c>
    </row>
    <row r="1850" spans="1:7" x14ac:dyDescent="0.25">
      <c r="A1850" s="88">
        <v>36</v>
      </c>
      <c r="B1850" s="88">
        <v>41</v>
      </c>
      <c r="C1850" s="97">
        <f>SUMIFS(Input!$C$115:$C$3257,Input!$A$115:$A$3257,"="&amp;'Output - County'!A1850,Input!$B$115:$B$3257,"="&amp;'Output - County'!B1850)*VLOOKUP(A1850,'Output - State'!$B$2:$G$52,2,FALSE)</f>
        <v>1.983469457555832</v>
      </c>
      <c r="D1850" s="98">
        <f>SUMIFS(Input!$C$115:$C$3257,Input!$A$115:$A$3257,"="&amp;'Output - County'!A1850,Input!$B$115:$B$3257,"="&amp;'Output - County'!B1850)*VLOOKUP(A1850,'Output - State'!$B$2:$G$52,3,FALSE)</f>
        <v>0.25694611222153357</v>
      </c>
      <c r="E1850" s="98">
        <f>SUMIFS(Input!$C$115:$C$3257,Input!$A$115:$A$3257,"="&amp;'Output - County'!A1850,Input!$B$115:$B$3257,"="&amp;'Output - County'!B1850)*VLOOKUP(A1850,'Output - State'!$B$2:$G$52,4,FALSE)</f>
        <v>5.8731269889380121E-2</v>
      </c>
      <c r="F1850" s="98">
        <f>SUMIFS(Input!$C$115:$C$3257,Input!$A$115:$A$3257,"="&amp;'Output - County'!A1850,Input!$B$115:$B$3257,"="&amp;'Output - County'!B1850)*VLOOKUP(A1850,'Output - State'!$B$2:$G$52,5,FALSE)</f>
        <v>3.6676692639193584</v>
      </c>
      <c r="G1850" s="99">
        <f>SUMIFS(Input!$D$115:$D$3257,Input!$A$115:$A$3257,"="&amp;'Output - County'!A1850,Input!$B$115:$B$3257,"="&amp;'Output - County'!B1850)*VLOOKUP(A1850,'Output - State'!$B$2:$G$52,6,FALSE)</f>
        <v>1.2487138468120536</v>
      </c>
    </row>
    <row r="1851" spans="1:7" x14ac:dyDescent="0.25">
      <c r="A1851" s="88">
        <v>36</v>
      </c>
      <c r="B1851" s="88">
        <v>43</v>
      </c>
      <c r="C1851" s="97">
        <f>SUMIFS(Input!$C$115:$C$3257,Input!$A$115:$A$3257,"="&amp;'Output - County'!A1851,Input!$B$115:$B$3257,"="&amp;'Output - County'!B1851)*VLOOKUP(A1851,'Output - State'!$B$2:$G$52,2,FALSE)</f>
        <v>13.590400464813458</v>
      </c>
      <c r="D1851" s="98">
        <f>SUMIFS(Input!$C$115:$C$3257,Input!$A$115:$A$3257,"="&amp;'Output - County'!A1851,Input!$B$115:$B$3257,"="&amp;'Output - County'!B1851)*VLOOKUP(A1851,'Output - State'!$B$2:$G$52,3,FALSE)</f>
        <v>1.7605517189413262</v>
      </c>
      <c r="E1851" s="98">
        <f>SUMIFS(Input!$C$115:$C$3257,Input!$A$115:$A$3257,"="&amp;'Output - County'!A1851,Input!$B$115:$B$3257,"="&amp;'Output - County'!B1851)*VLOOKUP(A1851,'Output - State'!$B$2:$G$52,4,FALSE)</f>
        <v>0.40241682298818482</v>
      </c>
      <c r="F1851" s="98">
        <f>SUMIFS(Input!$C$115:$C$3257,Input!$A$115:$A$3257,"="&amp;'Output - County'!A1851,Input!$B$115:$B$3257,"="&amp;'Output - County'!B1851)*VLOOKUP(A1851,'Output - State'!$B$2:$G$52,5,FALSE)</f>
        <v>25.130255411431566</v>
      </c>
      <c r="G1851" s="99">
        <f>SUMIFS(Input!$D$115:$D$3257,Input!$A$115:$A$3257,"="&amp;'Output - County'!A1851,Input!$B$115:$B$3257,"="&amp;'Output - County'!B1851)*VLOOKUP(A1851,'Output - State'!$B$2:$G$52,6,FALSE)</f>
        <v>17.391793306614833</v>
      </c>
    </row>
    <row r="1852" spans="1:7" x14ac:dyDescent="0.25">
      <c r="A1852" s="88">
        <v>36</v>
      </c>
      <c r="B1852" s="88">
        <v>45</v>
      </c>
      <c r="C1852" s="97">
        <f>SUMIFS(Input!$C$115:$C$3257,Input!$A$115:$A$3257,"="&amp;'Output - County'!A1852,Input!$B$115:$B$3257,"="&amp;'Output - County'!B1852)*VLOOKUP(A1852,'Output - State'!$B$2:$G$52,2,FALSE)</f>
        <v>20.586882656871619</v>
      </c>
      <c r="D1852" s="98">
        <f>SUMIFS(Input!$C$115:$C$3257,Input!$A$115:$A$3257,"="&amp;'Output - County'!A1852,Input!$B$115:$B$3257,"="&amp;'Output - County'!B1852)*VLOOKUP(A1852,'Output - State'!$B$2:$G$52,3,FALSE)</f>
        <v>2.6669024024007082</v>
      </c>
      <c r="E1852" s="98">
        <f>SUMIFS(Input!$C$115:$C$3257,Input!$A$115:$A$3257,"="&amp;'Output - County'!A1852,Input!$B$115:$B$3257,"="&amp;'Output - County'!B1852)*VLOOKUP(A1852,'Output - State'!$B$2:$G$52,4,FALSE)</f>
        <v>0.6095852683265689</v>
      </c>
      <c r="F1852" s="98">
        <f>SUMIFS(Input!$C$115:$C$3257,Input!$A$115:$A$3257,"="&amp;'Output - County'!A1852,Input!$B$115:$B$3257,"="&amp;'Output - County'!B1852)*VLOOKUP(A1852,'Output - State'!$B$2:$G$52,5,FALSE)</f>
        <v>38.067577230841806</v>
      </c>
      <c r="G1852" s="99">
        <f>SUMIFS(Input!$D$115:$D$3257,Input!$A$115:$A$3257,"="&amp;'Output - County'!A1852,Input!$B$115:$B$3257,"="&amp;'Output - County'!B1852)*VLOOKUP(A1852,'Output - State'!$B$2:$G$52,6,FALSE)</f>
        <v>31.570192063871335</v>
      </c>
    </row>
    <row r="1853" spans="1:7" x14ac:dyDescent="0.25">
      <c r="A1853" s="88">
        <v>36</v>
      </c>
      <c r="B1853" s="88">
        <v>47</v>
      </c>
      <c r="C1853" s="97">
        <f>SUMIFS(Input!$C$115:$C$3257,Input!$A$115:$A$3257,"="&amp;'Output - County'!A1853,Input!$B$115:$B$3257,"="&amp;'Output - County'!B1853)*VLOOKUP(A1853,'Output - State'!$B$2:$G$52,2,FALSE)</f>
        <v>153.29828072736666</v>
      </c>
      <c r="D1853" s="98">
        <f>SUMIFS(Input!$C$115:$C$3257,Input!$A$115:$A$3257,"="&amp;'Output - County'!A1853,Input!$B$115:$B$3257,"="&amp;'Output - County'!B1853)*VLOOKUP(A1853,'Output - State'!$B$2:$G$52,3,FALSE)</f>
        <v>19.858837297994214</v>
      </c>
      <c r="E1853" s="98">
        <f>SUMIFS(Input!$C$115:$C$3257,Input!$A$115:$A$3257,"="&amp;'Output - County'!A1853,Input!$B$115:$B$3257,"="&amp;'Output - County'!B1853)*VLOOKUP(A1853,'Output - State'!$B$2:$G$52,4,FALSE)</f>
        <v>4.5392192275405874</v>
      </c>
      <c r="F1853" s="98">
        <f>SUMIFS(Input!$C$115:$C$3257,Input!$A$115:$A$3257,"="&amp;'Output - County'!A1853,Input!$B$115:$B$3257,"="&amp;'Output - County'!B1853)*VLOOKUP(A1853,'Output - State'!$B$2:$G$52,5,FALSE)</f>
        <v>283.46662475372023</v>
      </c>
      <c r="G1853" s="99">
        <f>SUMIFS(Input!$D$115:$D$3257,Input!$A$115:$A$3257,"="&amp;'Output - County'!A1853,Input!$B$115:$B$3257,"="&amp;'Output - County'!B1853)*VLOOKUP(A1853,'Output - State'!$B$2:$G$52,6,FALSE)</f>
        <v>727.24192432846473</v>
      </c>
    </row>
    <row r="1854" spans="1:7" x14ac:dyDescent="0.25">
      <c r="A1854" s="88">
        <v>36</v>
      </c>
      <c r="B1854" s="88">
        <v>49</v>
      </c>
      <c r="C1854" s="97">
        <f>SUMIFS(Input!$C$115:$C$3257,Input!$A$115:$A$3257,"="&amp;'Output - County'!A1854,Input!$B$115:$B$3257,"="&amp;'Output - County'!B1854)*VLOOKUP(A1854,'Output - State'!$B$2:$G$52,2,FALSE)</f>
        <v>3.9359103287441242</v>
      </c>
      <c r="D1854" s="98">
        <f>SUMIFS(Input!$C$115:$C$3257,Input!$A$115:$A$3257,"="&amp;'Output - County'!A1854,Input!$B$115:$B$3257,"="&amp;'Output - County'!B1854)*VLOOKUP(A1854,'Output - State'!$B$2:$G$52,3,FALSE)</f>
        <v>0.50987266437144696</v>
      </c>
      <c r="E1854" s="98">
        <f>SUMIFS(Input!$C$115:$C$3257,Input!$A$115:$A$3257,"="&amp;'Output - County'!A1854,Input!$B$115:$B$3257,"="&amp;'Output - County'!B1854)*VLOOKUP(A1854,'Output - State'!$B$2:$G$52,4,FALSE)</f>
        <v>0.11654377177187419</v>
      </c>
      <c r="F1854" s="98">
        <f>SUMIFS(Input!$C$115:$C$3257,Input!$A$115:$A$3257,"="&amp;'Output - County'!A1854,Input!$B$115:$B$3257,"="&amp;'Output - County'!B1854)*VLOOKUP(A1854,'Output - State'!$B$2:$G$52,5,FALSE)</f>
        <v>7.2779630073387294</v>
      </c>
      <c r="G1854" s="99">
        <f>SUMIFS(Input!$D$115:$D$3257,Input!$A$115:$A$3257,"="&amp;'Output - County'!A1854,Input!$B$115:$B$3257,"="&amp;'Output - County'!B1854)*VLOOKUP(A1854,'Output - State'!$B$2:$G$52,6,FALSE)</f>
        <v>7.4697329436838418</v>
      </c>
    </row>
    <row r="1855" spans="1:7" x14ac:dyDescent="0.25">
      <c r="A1855" s="88">
        <v>36</v>
      </c>
      <c r="B1855" s="88">
        <v>51</v>
      </c>
      <c r="C1855" s="97">
        <f>SUMIFS(Input!$C$115:$C$3257,Input!$A$115:$A$3257,"="&amp;'Output - County'!A1855,Input!$B$115:$B$3257,"="&amp;'Output - County'!B1855)*VLOOKUP(A1855,'Output - State'!$B$2:$G$52,2,FALSE)</f>
        <v>13.23084777276476</v>
      </c>
      <c r="D1855" s="98">
        <f>SUMIFS(Input!$C$115:$C$3257,Input!$A$115:$A$3257,"="&amp;'Output - County'!A1855,Input!$B$115:$B$3257,"="&amp;'Output - County'!B1855)*VLOOKUP(A1855,'Output - State'!$B$2:$G$52,3,FALSE)</f>
        <v>1.7139739075166205</v>
      </c>
      <c r="E1855" s="98">
        <f>SUMIFS(Input!$C$115:$C$3257,Input!$A$115:$A$3257,"="&amp;'Output - County'!A1855,Input!$B$115:$B$3257,"="&amp;'Output - County'!B1855)*VLOOKUP(A1855,'Output - State'!$B$2:$G$52,4,FALSE)</f>
        <v>0.39177033376914383</v>
      </c>
      <c r="F1855" s="98">
        <f>SUMIFS(Input!$C$115:$C$3257,Input!$A$115:$A$3257,"="&amp;'Output - County'!A1855,Input!$B$115:$B$3257,"="&amp;'Output - County'!B1855)*VLOOKUP(A1855,'Output - State'!$B$2:$G$52,5,FALSE)</f>
        <v>24.465400022626394</v>
      </c>
      <c r="G1855" s="99">
        <f>SUMIFS(Input!$D$115:$D$3257,Input!$A$115:$A$3257,"="&amp;'Output - County'!A1855,Input!$B$115:$B$3257,"="&amp;'Output - County'!B1855)*VLOOKUP(A1855,'Output - State'!$B$2:$G$52,6,FALSE)</f>
        <v>17.814608378898821</v>
      </c>
    </row>
    <row r="1856" spans="1:7" x14ac:dyDescent="0.25">
      <c r="A1856" s="88">
        <v>36</v>
      </c>
      <c r="B1856" s="88">
        <v>53</v>
      </c>
      <c r="C1856" s="97">
        <f>SUMIFS(Input!$C$115:$C$3257,Input!$A$115:$A$3257,"="&amp;'Output - County'!A1856,Input!$B$115:$B$3257,"="&amp;'Output - County'!B1856)*VLOOKUP(A1856,'Output - State'!$B$2:$G$52,2,FALSE)</f>
        <v>14.071669113025372</v>
      </c>
      <c r="D1856" s="98">
        <f>SUMIFS(Input!$C$115:$C$3257,Input!$A$115:$A$3257,"="&amp;'Output - County'!A1856,Input!$B$115:$B$3257,"="&amp;'Output - County'!B1856)*VLOOKUP(A1856,'Output - State'!$B$2:$G$52,3,FALSE)</f>
        <v>1.8228970742585426</v>
      </c>
      <c r="E1856" s="98">
        <f>SUMIFS(Input!$C$115:$C$3257,Input!$A$115:$A$3257,"="&amp;'Output - County'!A1856,Input!$B$115:$B$3257,"="&amp;'Output - County'!B1856)*VLOOKUP(A1856,'Output - State'!$B$2:$G$52,4,FALSE)</f>
        <v>0.41666736703349716</v>
      </c>
      <c r="F1856" s="98">
        <f>SUMIFS(Input!$C$115:$C$3257,Input!$A$115:$A$3257,"="&amp;'Output - County'!A1856,Input!$B$115:$B$3257,"="&amp;'Output - County'!B1856)*VLOOKUP(A1856,'Output - State'!$B$2:$G$52,5,FALSE)</f>
        <v>26.020177977171489</v>
      </c>
      <c r="G1856" s="99">
        <f>SUMIFS(Input!$D$115:$D$3257,Input!$A$115:$A$3257,"="&amp;'Output - County'!A1856,Input!$B$115:$B$3257,"="&amp;'Output - County'!B1856)*VLOOKUP(A1856,'Output - State'!$B$2:$G$52,6,FALSE)</f>
        <v>20.041434426261176</v>
      </c>
    </row>
    <row r="1857" spans="1:7" x14ac:dyDescent="0.25">
      <c r="A1857" s="88">
        <v>36</v>
      </c>
      <c r="B1857" s="88">
        <v>55</v>
      </c>
      <c r="C1857" s="97">
        <f>SUMIFS(Input!$C$115:$C$3257,Input!$A$115:$A$3257,"="&amp;'Output - County'!A1857,Input!$B$115:$B$3257,"="&amp;'Output - County'!B1857)*VLOOKUP(A1857,'Output - State'!$B$2:$G$52,2,FALSE)</f>
        <v>129.2286848749234</v>
      </c>
      <c r="D1857" s="98">
        <f>SUMIFS(Input!$C$115:$C$3257,Input!$A$115:$A$3257,"="&amp;'Output - County'!A1857,Input!$B$115:$B$3257,"="&amp;'Output - County'!B1857)*VLOOKUP(A1857,'Output - State'!$B$2:$G$52,3,FALSE)</f>
        <v>16.740771096637161</v>
      </c>
      <c r="E1857" s="98">
        <f>SUMIFS(Input!$C$115:$C$3257,Input!$A$115:$A$3257,"="&amp;'Output - County'!A1857,Input!$B$115:$B$3257,"="&amp;'Output - County'!B1857)*VLOOKUP(A1857,'Output - State'!$B$2:$G$52,4,FALSE)</f>
        <v>3.8265095234647135</v>
      </c>
      <c r="F1857" s="98">
        <f>SUMIFS(Input!$C$115:$C$3257,Input!$A$115:$A$3257,"="&amp;'Output - County'!A1857,Input!$B$115:$B$3257,"="&amp;'Output - County'!B1857)*VLOOKUP(A1857,'Output - State'!$B$2:$G$52,5,FALSE)</f>
        <v>238.95909953487924</v>
      </c>
      <c r="G1857" s="99">
        <f>SUMIFS(Input!$D$115:$D$3257,Input!$A$115:$A$3257,"="&amp;'Output - County'!A1857,Input!$B$115:$B$3257,"="&amp;'Output - County'!B1857)*VLOOKUP(A1857,'Output - State'!$B$2:$G$52,6,FALSE)</f>
        <v>209.43439913800358</v>
      </c>
    </row>
    <row r="1858" spans="1:7" x14ac:dyDescent="0.25">
      <c r="A1858" s="88">
        <v>36</v>
      </c>
      <c r="B1858" s="88">
        <v>57</v>
      </c>
      <c r="C1858" s="97">
        <f>SUMIFS(Input!$C$115:$C$3257,Input!$A$115:$A$3257,"="&amp;'Output - County'!A1858,Input!$B$115:$B$3257,"="&amp;'Output - County'!B1858)*VLOOKUP(A1858,'Output - State'!$B$2:$G$52,2,FALSE)</f>
        <v>14.765272285121558</v>
      </c>
      <c r="D1858" s="98">
        <f>SUMIFS(Input!$C$115:$C$3257,Input!$A$115:$A$3257,"="&amp;'Output - County'!A1858,Input!$B$115:$B$3257,"="&amp;'Output - County'!B1858)*VLOOKUP(A1858,'Output - State'!$B$2:$G$52,3,FALSE)</f>
        <v>1.9127490444089938</v>
      </c>
      <c r="E1858" s="98">
        <f>SUMIFS(Input!$C$115:$C$3257,Input!$A$115:$A$3257,"="&amp;'Output - County'!A1858,Input!$B$115:$B$3257,"="&amp;'Output - County'!B1858)*VLOOKUP(A1858,'Output - State'!$B$2:$G$52,4,FALSE)</f>
        <v>0.4372052154693935</v>
      </c>
      <c r="F1858" s="98">
        <f>SUMIFS(Input!$C$115:$C$3257,Input!$A$115:$A$3257,"="&amp;'Output - County'!A1858,Input!$B$115:$B$3257,"="&amp;'Output - County'!B1858)*VLOOKUP(A1858,'Output - State'!$B$2:$G$52,5,FALSE)</f>
        <v>27.302732153119795</v>
      </c>
      <c r="G1858" s="99">
        <f>SUMIFS(Input!$D$115:$D$3257,Input!$A$115:$A$3257,"="&amp;'Output - County'!A1858,Input!$B$115:$B$3257,"="&amp;'Output - County'!B1858)*VLOOKUP(A1858,'Output - State'!$B$2:$G$52,6,FALSE)</f>
        <v>13.924709713886106</v>
      </c>
    </row>
    <row r="1859" spans="1:7" x14ac:dyDescent="0.25">
      <c r="A1859" s="88">
        <v>36</v>
      </c>
      <c r="B1859" s="88">
        <v>59</v>
      </c>
      <c r="C1859" s="97">
        <f>SUMIFS(Input!$C$115:$C$3257,Input!$A$115:$A$3257,"="&amp;'Output - County'!A1859,Input!$B$115:$B$3257,"="&amp;'Output - County'!B1859)*VLOOKUP(A1859,'Output - State'!$B$2:$G$52,2,FALSE)</f>
        <v>220.68736283268268</v>
      </c>
      <c r="D1859" s="98">
        <f>SUMIFS(Input!$C$115:$C$3257,Input!$A$115:$A$3257,"="&amp;'Output - County'!A1859,Input!$B$115:$B$3257,"="&amp;'Output - County'!B1859)*VLOOKUP(A1859,'Output - State'!$B$2:$G$52,3,FALSE)</f>
        <v>28.588673085067967</v>
      </c>
      <c r="E1859" s="98">
        <f>SUMIFS(Input!$C$115:$C$3257,Input!$A$115:$A$3257,"="&amp;'Output - County'!A1859,Input!$B$115:$B$3257,"="&amp;'Output - County'!B1859)*VLOOKUP(A1859,'Output - State'!$B$2:$G$52,4,FALSE)</f>
        <v>6.5346350650004901</v>
      </c>
      <c r="F1859" s="98">
        <f>SUMIFS(Input!$C$115:$C$3257,Input!$A$115:$A$3257,"="&amp;'Output - County'!A1859,Input!$B$115:$B$3257,"="&amp;'Output - County'!B1859)*VLOOKUP(A1859,'Output - State'!$B$2:$G$52,5,FALSE)</f>
        <v>408.07699584860683</v>
      </c>
      <c r="G1859" s="99">
        <f>SUMIFS(Input!$D$115:$D$3257,Input!$A$115:$A$3257,"="&amp;'Output - County'!A1859,Input!$B$115:$B$3257,"="&amp;'Output - County'!B1859)*VLOOKUP(A1859,'Output - State'!$B$2:$G$52,6,FALSE)</f>
        <v>383.35233220415188</v>
      </c>
    </row>
    <row r="1860" spans="1:7" x14ac:dyDescent="0.25">
      <c r="A1860" s="88">
        <v>36</v>
      </c>
      <c r="B1860" s="88">
        <v>61</v>
      </c>
      <c r="C1860" s="97">
        <f>SUMIFS(Input!$C$115:$C$3257,Input!$A$115:$A$3257,"="&amp;'Output - County'!A1860,Input!$B$115:$B$3257,"="&amp;'Output - County'!B1860)*VLOOKUP(A1860,'Output - State'!$B$2:$G$52,2,FALSE)</f>
        <v>103.21284721656123</v>
      </c>
      <c r="D1860" s="98">
        <f>SUMIFS(Input!$C$115:$C$3257,Input!$A$115:$A$3257,"="&amp;'Output - County'!A1860,Input!$B$115:$B$3257,"="&amp;'Output - County'!B1860)*VLOOKUP(A1860,'Output - State'!$B$2:$G$52,3,FALSE)</f>
        <v>13.370581393418826</v>
      </c>
      <c r="E1860" s="98">
        <f>SUMIFS(Input!$C$115:$C$3257,Input!$A$115:$A$3257,"="&amp;'Output - County'!A1860,Input!$B$115:$B$3257,"="&amp;'Output - County'!B1860)*VLOOKUP(A1860,'Output - State'!$B$2:$G$52,4,FALSE)</f>
        <v>3.0561708741394025</v>
      </c>
      <c r="F1860" s="98">
        <f>SUMIFS(Input!$C$115:$C$3257,Input!$A$115:$A$3257,"="&amp;'Output - County'!A1860,Input!$B$115:$B$3257,"="&amp;'Output - County'!B1860)*VLOOKUP(A1860,'Output - State'!$B$2:$G$52,5,FALSE)</f>
        <v>190.85274337637773</v>
      </c>
      <c r="G1860" s="99">
        <f>SUMIFS(Input!$D$115:$D$3257,Input!$A$115:$A$3257,"="&amp;'Output - County'!A1860,Input!$B$115:$B$3257,"="&amp;'Output - County'!B1860)*VLOOKUP(A1860,'Output - State'!$B$2:$G$52,6,FALSE)</f>
        <v>459.45904521527029</v>
      </c>
    </row>
    <row r="1861" spans="1:7" x14ac:dyDescent="0.25">
      <c r="A1861" s="88">
        <v>36</v>
      </c>
      <c r="B1861" s="88">
        <v>63</v>
      </c>
      <c r="C1861" s="97">
        <f>SUMIFS(Input!$C$115:$C$3257,Input!$A$115:$A$3257,"="&amp;'Output - County'!A1861,Input!$B$115:$B$3257,"="&amp;'Output - County'!B1861)*VLOOKUP(A1861,'Output - State'!$B$2:$G$52,2,FALSE)</f>
        <v>27.822747313537835</v>
      </c>
      <c r="D1861" s="98">
        <f>SUMIFS(Input!$C$115:$C$3257,Input!$A$115:$A$3257,"="&amp;'Output - County'!A1861,Input!$B$115:$B$3257,"="&amp;'Output - County'!B1861)*VLOOKUP(A1861,'Output - State'!$B$2:$G$52,3,FALSE)</f>
        <v>3.6042635929191915</v>
      </c>
      <c r="E1861" s="98">
        <f>SUMIFS(Input!$C$115:$C$3257,Input!$A$115:$A$3257,"="&amp;'Output - County'!A1861,Input!$B$115:$B$3257,"="&amp;'Output - County'!B1861)*VLOOKUP(A1861,'Output - State'!$B$2:$G$52,4,FALSE)</f>
        <v>0.82384191766130055</v>
      </c>
      <c r="F1861" s="98">
        <f>SUMIFS(Input!$C$115:$C$3257,Input!$A$115:$A$3257,"="&amp;'Output - County'!A1861,Input!$B$115:$B$3257,"="&amp;'Output - County'!B1861)*VLOOKUP(A1861,'Output - State'!$B$2:$G$52,5,FALSE)</f>
        <v>51.447545497072618</v>
      </c>
      <c r="G1861" s="99">
        <f>SUMIFS(Input!$D$115:$D$3257,Input!$A$115:$A$3257,"="&amp;'Output - County'!A1861,Input!$B$115:$B$3257,"="&amp;'Output - County'!B1861)*VLOOKUP(A1861,'Output - State'!$B$2:$G$52,6,FALSE)</f>
        <v>59.194110119758754</v>
      </c>
    </row>
    <row r="1862" spans="1:7" x14ac:dyDescent="0.25">
      <c r="A1862" s="88">
        <v>36</v>
      </c>
      <c r="B1862" s="88">
        <v>65</v>
      </c>
      <c r="C1862" s="97">
        <f>SUMIFS(Input!$C$115:$C$3257,Input!$A$115:$A$3257,"="&amp;'Output - County'!A1862,Input!$B$115:$B$3257,"="&amp;'Output - County'!B1862)*VLOOKUP(A1862,'Output - State'!$B$2:$G$52,2,FALSE)</f>
        <v>42.018717840624497</v>
      </c>
      <c r="D1862" s="98">
        <f>SUMIFS(Input!$C$115:$C$3257,Input!$A$115:$A$3257,"="&amp;'Output - County'!A1862,Input!$B$115:$B$3257,"="&amp;'Output - County'!B1862)*VLOOKUP(A1862,'Output - State'!$B$2:$G$52,3,FALSE)</f>
        <v>5.443263141034854</v>
      </c>
      <c r="E1862" s="98">
        <f>SUMIFS(Input!$C$115:$C$3257,Input!$A$115:$A$3257,"="&amp;'Output - County'!A1862,Input!$B$115:$B$3257,"="&amp;'Output - County'!B1862)*VLOOKUP(A1862,'Output - State'!$B$2:$G$52,4,FALSE)</f>
        <v>1.2441898958930471</v>
      </c>
      <c r="F1862" s="98">
        <f>SUMIFS(Input!$C$115:$C$3257,Input!$A$115:$A$3257,"="&amp;'Output - County'!A1862,Input!$B$115:$B$3257,"="&amp;'Output - County'!B1862)*VLOOKUP(A1862,'Output - State'!$B$2:$G$52,5,FALSE)</f>
        <v>77.697571468160845</v>
      </c>
      <c r="G1862" s="99">
        <f>SUMIFS(Input!$D$115:$D$3257,Input!$A$115:$A$3257,"="&amp;'Output - County'!A1862,Input!$B$115:$B$3257,"="&amp;'Output - County'!B1862)*VLOOKUP(A1862,'Output - State'!$B$2:$G$52,6,FALSE)</f>
        <v>64.549767702022635</v>
      </c>
    </row>
    <row r="1863" spans="1:7" x14ac:dyDescent="0.25">
      <c r="A1863" s="88">
        <v>36</v>
      </c>
      <c r="B1863" s="88">
        <v>67</v>
      </c>
      <c r="C1863" s="97">
        <f>SUMIFS(Input!$C$115:$C$3257,Input!$A$115:$A$3257,"="&amp;'Output - County'!A1863,Input!$B$115:$B$3257,"="&amp;'Output - County'!B1863)*VLOOKUP(A1863,'Output - State'!$B$2:$G$52,2,FALSE)</f>
        <v>84.633425464438133</v>
      </c>
      <c r="D1863" s="98">
        <f>SUMIFS(Input!$C$115:$C$3257,Input!$A$115:$A$3257,"="&amp;'Output - County'!A1863,Input!$B$115:$B$3257,"="&amp;'Output - County'!B1863)*VLOOKUP(A1863,'Output - State'!$B$2:$G$52,3,FALSE)</f>
        <v>10.963733045768963</v>
      </c>
      <c r="E1863" s="98">
        <f>SUMIFS(Input!$C$115:$C$3257,Input!$A$115:$A$3257,"="&amp;'Output - County'!A1863,Input!$B$115:$B$3257,"="&amp;'Output - County'!B1863)*VLOOKUP(A1863,'Output - State'!$B$2:$G$52,4,FALSE)</f>
        <v>2.506027271395348</v>
      </c>
      <c r="F1863" s="98">
        <f>SUMIFS(Input!$C$115:$C$3257,Input!$A$115:$A$3257,"="&amp;'Output - County'!A1863,Input!$B$115:$B$3257,"="&amp;'Output - County'!B1863)*VLOOKUP(A1863,'Output - State'!$B$2:$G$52,5,FALSE)</f>
        <v>156.49719842857331</v>
      </c>
      <c r="G1863" s="99">
        <f>SUMIFS(Input!$D$115:$D$3257,Input!$A$115:$A$3257,"="&amp;'Output - County'!A1863,Input!$B$115:$B$3257,"="&amp;'Output - County'!B1863)*VLOOKUP(A1863,'Output - State'!$B$2:$G$52,6,FALSE)</f>
        <v>130.22704226346923</v>
      </c>
    </row>
    <row r="1864" spans="1:7" x14ac:dyDescent="0.25">
      <c r="A1864" s="88">
        <v>36</v>
      </c>
      <c r="B1864" s="88">
        <v>69</v>
      </c>
      <c r="C1864" s="97">
        <f>SUMIFS(Input!$C$115:$C$3257,Input!$A$115:$A$3257,"="&amp;'Output - County'!A1864,Input!$B$115:$B$3257,"="&amp;'Output - County'!B1864)*VLOOKUP(A1864,'Output - State'!$B$2:$G$52,2,FALSE)</f>
        <v>26.239073204094073</v>
      </c>
      <c r="D1864" s="98">
        <f>SUMIFS(Input!$C$115:$C$3257,Input!$A$115:$A$3257,"="&amp;'Output - County'!A1864,Input!$B$115:$B$3257,"="&amp;'Output - County'!B1864)*VLOOKUP(A1864,'Output - State'!$B$2:$G$52,3,FALSE)</f>
        <v>3.3991084775241163</v>
      </c>
      <c r="E1864" s="98">
        <f>SUMIFS(Input!$C$115:$C$3257,Input!$A$115:$A$3257,"="&amp;'Output - County'!A1864,Input!$B$115:$B$3257,"="&amp;'Output - County'!B1864)*VLOOKUP(A1864,'Output - State'!$B$2:$G$52,4,FALSE)</f>
        <v>0.77694873703568101</v>
      </c>
      <c r="F1864" s="98">
        <f>SUMIFS(Input!$C$115:$C$3257,Input!$A$115:$A$3257,"="&amp;'Output - County'!A1864,Input!$B$115:$B$3257,"="&amp;'Output - County'!B1864)*VLOOKUP(A1864,'Output - State'!$B$2:$G$52,5,FALSE)</f>
        <v>48.519145045457272</v>
      </c>
      <c r="G1864" s="99">
        <f>SUMIFS(Input!$D$115:$D$3257,Input!$A$115:$A$3257,"="&amp;'Output - County'!A1864,Input!$B$115:$B$3257,"="&amp;'Output - County'!B1864)*VLOOKUP(A1864,'Output - State'!$B$2:$G$52,6,FALSE)</f>
        <v>31.006438634159348</v>
      </c>
    </row>
    <row r="1865" spans="1:7" x14ac:dyDescent="0.25">
      <c r="A1865" s="88">
        <v>36</v>
      </c>
      <c r="B1865" s="88">
        <v>71</v>
      </c>
      <c r="C1865" s="97">
        <f>SUMIFS(Input!$C$115:$C$3257,Input!$A$115:$A$3257,"="&amp;'Output - County'!A1865,Input!$B$115:$B$3257,"="&amp;'Output - County'!B1865)*VLOOKUP(A1865,'Output - State'!$B$2:$G$52,2,FALSE)</f>
        <v>91.544239420103381</v>
      </c>
      <c r="D1865" s="98">
        <f>SUMIFS(Input!$C$115:$C$3257,Input!$A$115:$A$3257,"="&amp;'Output - County'!A1865,Input!$B$115:$B$3257,"="&amp;'Output - County'!B1865)*VLOOKUP(A1865,'Output - State'!$B$2:$G$52,3,FALSE)</f>
        <v>11.858985942873137</v>
      </c>
      <c r="E1865" s="98">
        <f>SUMIFS(Input!$C$115:$C$3257,Input!$A$115:$A$3257,"="&amp;'Output - County'!A1865,Input!$B$115:$B$3257,"="&amp;'Output - County'!B1865)*VLOOKUP(A1865,'Output - State'!$B$2:$G$52,4,FALSE)</f>
        <v>2.7106590483250637</v>
      </c>
      <c r="F1865" s="98">
        <f>SUMIFS(Input!$C$115:$C$3257,Input!$A$115:$A$3257,"="&amp;'Output - County'!A1865,Input!$B$115:$B$3257,"="&amp;'Output - County'!B1865)*VLOOKUP(A1865,'Output - State'!$B$2:$G$52,5,FALSE)</f>
        <v>169.27610956194269</v>
      </c>
      <c r="G1865" s="99">
        <f>SUMIFS(Input!$D$115:$D$3257,Input!$A$115:$A$3257,"="&amp;'Output - County'!A1865,Input!$B$115:$B$3257,"="&amp;'Output - County'!B1865)*VLOOKUP(A1865,'Output - State'!$B$2:$G$52,6,FALSE)</f>
        <v>107.67690507498972</v>
      </c>
    </row>
    <row r="1866" spans="1:7" x14ac:dyDescent="0.25">
      <c r="A1866" s="88">
        <v>36</v>
      </c>
      <c r="B1866" s="88">
        <v>73</v>
      </c>
      <c r="C1866" s="97">
        <f>SUMIFS(Input!$C$115:$C$3257,Input!$A$115:$A$3257,"="&amp;'Output - County'!A1866,Input!$B$115:$B$3257,"="&amp;'Output - County'!B1866)*VLOOKUP(A1866,'Output - State'!$B$2:$G$52,2,FALSE)</f>
        <v>5.0576076173560764</v>
      </c>
      <c r="D1866" s="98">
        <f>SUMIFS(Input!$C$115:$C$3257,Input!$A$115:$A$3257,"="&amp;'Output - County'!A1866,Input!$B$115:$B$3257,"="&amp;'Output - County'!B1866)*VLOOKUP(A1866,'Output - State'!$B$2:$G$52,3,FALSE)</f>
        <v>0.65518156050813658</v>
      </c>
      <c r="E1866" s="98">
        <f>SUMIFS(Input!$C$115:$C$3257,Input!$A$115:$A$3257,"="&amp;'Output - County'!A1866,Input!$B$115:$B$3257,"="&amp;'Output - County'!B1866)*VLOOKUP(A1866,'Output - State'!$B$2:$G$52,4,FALSE)</f>
        <v>0.14975764655108798</v>
      </c>
      <c r="F1866" s="98">
        <f>SUMIFS(Input!$C$115:$C$3257,Input!$A$115:$A$3257,"="&amp;'Output - County'!A1866,Input!$B$115:$B$3257,"="&amp;'Output - County'!B1866)*VLOOKUP(A1866,'Output - State'!$B$2:$G$52,5,FALSE)</f>
        <v>9.3521137602993072</v>
      </c>
      <c r="G1866" s="99">
        <f>SUMIFS(Input!$D$115:$D$3257,Input!$A$115:$A$3257,"="&amp;'Output - County'!A1866,Input!$B$115:$B$3257,"="&amp;'Output - County'!B1866)*VLOOKUP(A1866,'Output - State'!$B$2:$G$52,6,FALSE)</f>
        <v>11.472382294638958</v>
      </c>
    </row>
    <row r="1867" spans="1:7" x14ac:dyDescent="0.25">
      <c r="A1867" s="88">
        <v>36</v>
      </c>
      <c r="B1867" s="88">
        <v>75</v>
      </c>
      <c r="C1867" s="97">
        <f>SUMIFS(Input!$C$115:$C$3257,Input!$A$115:$A$3257,"="&amp;'Output - County'!A1867,Input!$B$115:$B$3257,"="&amp;'Output - County'!B1867)*VLOOKUP(A1867,'Output - State'!$B$2:$G$52,2,FALSE)</f>
        <v>19.22826075644895</v>
      </c>
      <c r="D1867" s="98">
        <f>SUMIFS(Input!$C$115:$C$3257,Input!$A$115:$A$3257,"="&amp;'Output - County'!A1867,Input!$B$115:$B$3257,"="&amp;'Output - County'!B1867)*VLOOKUP(A1867,'Output - State'!$B$2:$G$52,3,FALSE)</f>
        <v>2.4909013987236404</v>
      </c>
      <c r="E1867" s="98">
        <f>SUMIFS(Input!$C$115:$C$3257,Input!$A$115:$A$3257,"="&amp;'Output - County'!A1867,Input!$B$115:$B$3257,"="&amp;'Output - County'!B1867)*VLOOKUP(A1867,'Output - State'!$B$2:$G$52,4,FALSE)</f>
        <v>0.56935596748839346</v>
      </c>
      <c r="F1867" s="98">
        <f>SUMIFS(Input!$C$115:$C$3257,Input!$A$115:$A$3257,"="&amp;'Output - County'!A1867,Input!$B$115:$B$3257,"="&amp;'Output - County'!B1867)*VLOOKUP(A1867,'Output - State'!$B$2:$G$52,5,FALSE)</f>
        <v>35.555324891141908</v>
      </c>
      <c r="G1867" s="99">
        <f>SUMIFS(Input!$D$115:$D$3257,Input!$A$115:$A$3257,"="&amp;'Output - County'!A1867,Input!$B$115:$B$3257,"="&amp;'Output - County'!B1867)*VLOOKUP(A1867,'Output - State'!$B$2:$G$52,6,FALSE)</f>
        <v>33.2614523530073</v>
      </c>
    </row>
    <row r="1868" spans="1:7" x14ac:dyDescent="0.25">
      <c r="A1868" s="88">
        <v>36</v>
      </c>
      <c r="B1868" s="88">
        <v>77</v>
      </c>
      <c r="C1868" s="97">
        <f>SUMIFS(Input!$C$115:$C$3257,Input!$A$115:$A$3257,"="&amp;'Output - County'!A1868,Input!$B$115:$B$3257,"="&amp;'Output - County'!B1868)*VLOOKUP(A1868,'Output - State'!$B$2:$G$52,2,FALSE)</f>
        <v>11.152834783495305</v>
      </c>
      <c r="D1868" s="98">
        <f>SUMIFS(Input!$C$115:$C$3257,Input!$A$115:$A$3257,"="&amp;'Output - County'!A1868,Input!$B$115:$B$3257,"="&amp;'Output - County'!B1868)*VLOOKUP(A1868,'Output - State'!$B$2:$G$52,3,FALSE)</f>
        <v>1.4447802697196521</v>
      </c>
      <c r="E1868" s="98">
        <f>SUMIFS(Input!$C$115:$C$3257,Input!$A$115:$A$3257,"="&amp;'Output - County'!A1868,Input!$B$115:$B$3257,"="&amp;'Output - County'!B1868)*VLOOKUP(A1868,'Output - State'!$B$2:$G$52,4,FALSE)</f>
        <v>0.33023959466877301</v>
      </c>
      <c r="F1868" s="98">
        <f>SUMIFS(Input!$C$115:$C$3257,Input!$A$115:$A$3257,"="&amp;'Output - County'!A1868,Input!$B$115:$B$3257,"="&amp;'Output - County'!B1868)*VLOOKUP(A1868,'Output - State'!$B$2:$G$52,5,FALSE)</f>
        <v>20.622908603494352</v>
      </c>
      <c r="G1868" s="99">
        <f>SUMIFS(Input!$D$115:$D$3257,Input!$A$115:$A$3257,"="&amp;'Output - County'!A1868,Input!$B$115:$B$3257,"="&amp;'Output - County'!B1868)*VLOOKUP(A1868,'Output - State'!$B$2:$G$52,6,FALSE)</f>
        <v>16.856227548388443</v>
      </c>
    </row>
    <row r="1869" spans="1:7" x14ac:dyDescent="0.25">
      <c r="A1869" s="88">
        <v>36</v>
      </c>
      <c r="B1869" s="88">
        <v>79</v>
      </c>
      <c r="C1869" s="97">
        <f>SUMIFS(Input!$C$115:$C$3257,Input!$A$115:$A$3257,"="&amp;'Output - County'!A1869,Input!$B$115:$B$3257,"="&amp;'Output - County'!B1869)*VLOOKUP(A1869,'Output - State'!$B$2:$G$52,2,FALSE)</f>
        <v>25.897094219207048</v>
      </c>
      <c r="D1869" s="98">
        <f>SUMIFS(Input!$C$115:$C$3257,Input!$A$115:$A$3257,"="&amp;'Output - County'!A1869,Input!$B$115:$B$3257,"="&amp;'Output - County'!B1869)*VLOOKUP(A1869,'Output - State'!$B$2:$G$52,3,FALSE)</f>
        <v>3.3548072303869576</v>
      </c>
      <c r="E1869" s="98">
        <f>SUMIFS(Input!$C$115:$C$3257,Input!$A$115:$A$3257,"="&amp;'Output - County'!A1869,Input!$B$115:$B$3257,"="&amp;'Output - County'!B1869)*VLOOKUP(A1869,'Output - State'!$B$2:$G$52,4,FALSE)</f>
        <v>0.76682261183552491</v>
      </c>
      <c r="F1869" s="98">
        <f>SUMIFS(Input!$C$115:$C$3257,Input!$A$115:$A$3257,"="&amp;'Output - County'!A1869,Input!$B$115:$B$3257,"="&amp;'Output - County'!B1869)*VLOOKUP(A1869,'Output - State'!$B$2:$G$52,5,FALSE)</f>
        <v>47.88678551655277</v>
      </c>
      <c r="G1869" s="99">
        <f>SUMIFS(Input!$D$115:$D$3257,Input!$A$115:$A$3257,"="&amp;'Output - County'!A1869,Input!$B$115:$B$3257,"="&amp;'Output - County'!B1869)*VLOOKUP(A1869,'Output - State'!$B$2:$G$52,6,FALSE)</f>
        <v>27.849419427772212</v>
      </c>
    </row>
    <row r="1870" spans="1:7" x14ac:dyDescent="0.25">
      <c r="A1870" s="88">
        <v>36</v>
      </c>
      <c r="B1870" s="88">
        <v>81</v>
      </c>
      <c r="C1870" s="97">
        <f>SUMIFS(Input!$C$115:$C$3257,Input!$A$115:$A$3257,"="&amp;'Output - County'!A1870,Input!$B$115:$B$3257,"="&amp;'Output - County'!B1870)*VLOOKUP(A1870,'Output - State'!$B$2:$G$52,2,FALSE)</f>
        <v>197.70864569574826</v>
      </c>
      <c r="D1870" s="98">
        <f>SUMIFS(Input!$C$115:$C$3257,Input!$A$115:$A$3257,"="&amp;'Output - County'!A1870,Input!$B$115:$B$3257,"="&amp;'Output - County'!B1870)*VLOOKUP(A1870,'Output - State'!$B$2:$G$52,3,FALSE)</f>
        <v>25.611923425686115</v>
      </c>
      <c r="E1870" s="98">
        <f>SUMIFS(Input!$C$115:$C$3257,Input!$A$115:$A$3257,"="&amp;'Output - County'!A1870,Input!$B$115:$B$3257,"="&amp;'Output - County'!B1870)*VLOOKUP(A1870,'Output - State'!$B$2:$G$52,4,FALSE)</f>
        <v>5.8542266862679782</v>
      </c>
      <c r="F1870" s="98">
        <f>SUMIFS(Input!$C$115:$C$3257,Input!$A$115:$A$3257,"="&amp;'Output - County'!A1870,Input!$B$115:$B$3257,"="&amp;'Output - County'!B1870)*VLOOKUP(A1870,'Output - State'!$B$2:$G$52,5,FALSE)</f>
        <v>365.58663420155375</v>
      </c>
      <c r="G1870" s="99">
        <f>SUMIFS(Input!$D$115:$D$3257,Input!$A$115:$A$3257,"="&amp;'Output - County'!A1870,Input!$B$115:$B$3257,"="&amp;'Output - County'!B1870)*VLOOKUP(A1870,'Output - State'!$B$2:$G$52,6,FALSE)</f>
        <v>639.86014272310649</v>
      </c>
    </row>
    <row r="1871" spans="1:7" x14ac:dyDescent="0.25">
      <c r="A1871" s="88">
        <v>36</v>
      </c>
      <c r="B1871" s="88">
        <v>83</v>
      </c>
      <c r="C1871" s="97">
        <f>SUMIFS(Input!$C$115:$C$3257,Input!$A$115:$A$3257,"="&amp;'Output - County'!A1871,Input!$B$115:$B$3257,"="&amp;'Output - County'!B1871)*VLOOKUP(A1871,'Output - State'!$B$2:$G$52,2,FALSE)</f>
        <v>25.136899352930111</v>
      </c>
      <c r="D1871" s="98">
        <f>SUMIFS(Input!$C$115:$C$3257,Input!$A$115:$A$3257,"="&amp;'Output - County'!A1871,Input!$B$115:$B$3257,"="&amp;'Output - County'!B1871)*VLOOKUP(A1871,'Output - State'!$B$2:$G$52,3,FALSE)</f>
        <v>3.2563287210877392</v>
      </c>
      <c r="E1871" s="98">
        <f>SUMIFS(Input!$C$115:$C$3257,Input!$A$115:$A$3257,"="&amp;'Output - County'!A1871,Input!$B$115:$B$3257,"="&amp;'Output - County'!B1871)*VLOOKUP(A1871,'Output - State'!$B$2:$G$52,4,FALSE)</f>
        <v>0.74431295851580637</v>
      </c>
      <c r="F1871" s="98">
        <f>SUMIFS(Input!$C$115:$C$3257,Input!$A$115:$A$3257,"="&amp;'Output - County'!A1871,Input!$B$115:$B$3257,"="&amp;'Output - County'!B1871)*VLOOKUP(A1871,'Output - State'!$B$2:$G$52,5,FALSE)</f>
        <v>46.48109543394925</v>
      </c>
      <c r="G1871" s="99">
        <f>SUMIFS(Input!$D$115:$D$3257,Input!$A$115:$A$3257,"="&amp;'Output - County'!A1871,Input!$B$115:$B$3257,"="&amp;'Output - County'!B1871)*VLOOKUP(A1871,'Output - State'!$B$2:$G$52,6,FALSE)</f>
        <v>44.818397662103052</v>
      </c>
    </row>
    <row r="1872" spans="1:7" x14ac:dyDescent="0.25">
      <c r="A1872" s="88">
        <v>36</v>
      </c>
      <c r="B1872" s="88">
        <v>85</v>
      </c>
      <c r="C1872" s="97">
        <f>SUMIFS(Input!$C$115:$C$3257,Input!$A$115:$A$3257,"="&amp;'Output - County'!A1872,Input!$B$115:$B$3257,"="&amp;'Output - County'!B1872)*VLOOKUP(A1872,'Output - State'!$B$2:$G$52,2,FALSE)</f>
        <v>53.041244281773132</v>
      </c>
      <c r="D1872" s="98">
        <f>SUMIFS(Input!$C$115:$C$3257,Input!$A$115:$A$3257,"="&amp;'Output - County'!A1872,Input!$B$115:$B$3257,"="&amp;'Output - County'!B1872)*VLOOKUP(A1872,'Output - State'!$B$2:$G$52,3,FALSE)</f>
        <v>6.87116277675812</v>
      </c>
      <c r="E1872" s="98">
        <f>SUMIFS(Input!$C$115:$C$3257,Input!$A$115:$A$3257,"="&amp;'Output - County'!A1872,Input!$B$115:$B$3257,"="&amp;'Output - County'!B1872)*VLOOKUP(A1872,'Output - State'!$B$2:$G$52,4,FALSE)</f>
        <v>1.5705710119782219</v>
      </c>
      <c r="F1872" s="98">
        <f>SUMIFS(Input!$C$115:$C$3257,Input!$A$115:$A$3257,"="&amp;'Output - County'!A1872,Input!$B$115:$B$3257,"="&amp;'Output - County'!B1872)*VLOOKUP(A1872,'Output - State'!$B$2:$G$52,5,FALSE)</f>
        <v>98.079524557953405</v>
      </c>
      <c r="G1872" s="99">
        <f>SUMIFS(Input!$D$115:$D$3257,Input!$A$115:$A$3257,"="&amp;'Output - County'!A1872,Input!$B$115:$B$3257,"="&amp;'Output - County'!B1872)*VLOOKUP(A1872,'Output - State'!$B$2:$G$52,6,FALSE)</f>
        <v>134.17331627145316</v>
      </c>
    </row>
    <row r="1873" spans="1:7" x14ac:dyDescent="0.25">
      <c r="A1873" s="88">
        <v>36</v>
      </c>
      <c r="B1873" s="88">
        <v>87</v>
      </c>
      <c r="C1873" s="97">
        <f>SUMIFS(Input!$C$115:$C$3257,Input!$A$115:$A$3257,"="&amp;'Output - County'!A1873,Input!$B$115:$B$3257,"="&amp;'Output - County'!B1873)*VLOOKUP(A1873,'Output - State'!$B$2:$G$52,2,FALSE)</f>
        <v>60.695490989245286</v>
      </c>
      <c r="D1873" s="98">
        <f>SUMIFS(Input!$C$115:$C$3257,Input!$A$115:$A$3257,"="&amp;'Output - County'!A1873,Input!$B$115:$B$3257,"="&amp;'Output - County'!B1873)*VLOOKUP(A1873,'Output - State'!$B$2:$G$52,3,FALSE)</f>
        <v>7.862722755651359</v>
      </c>
      <c r="E1873" s="98">
        <f>SUMIFS(Input!$C$115:$C$3257,Input!$A$115:$A$3257,"="&amp;'Output - County'!A1873,Input!$B$115:$B$3257,"="&amp;'Output - County'!B1873)*VLOOKUP(A1873,'Output - State'!$B$2:$G$52,4,FALSE)</f>
        <v>1.797216109770857</v>
      </c>
      <c r="F1873" s="98">
        <f>SUMIFS(Input!$C$115:$C$3257,Input!$A$115:$A$3257,"="&amp;'Output - County'!A1873,Input!$B$115:$B$3257,"="&amp;'Output - County'!B1873)*VLOOKUP(A1873,'Output - State'!$B$2:$G$52,5,FALSE)</f>
        <v>112.23313064475717</v>
      </c>
      <c r="G1873" s="99">
        <f>SUMIFS(Input!$D$115:$D$3257,Input!$A$115:$A$3257,"="&amp;'Output - County'!A1873,Input!$B$115:$B$3257,"="&amp;'Output - County'!B1873)*VLOOKUP(A1873,'Output - State'!$B$2:$G$52,6,FALSE)</f>
        <v>91.891809043054067</v>
      </c>
    </row>
    <row r="1874" spans="1:7" x14ac:dyDescent="0.25">
      <c r="A1874" s="88">
        <v>36</v>
      </c>
      <c r="B1874" s="88">
        <v>89</v>
      </c>
      <c r="C1874" s="97">
        <f>SUMIFS(Input!$C$115:$C$3257,Input!$A$115:$A$3257,"="&amp;'Output - County'!A1874,Input!$B$115:$B$3257,"="&amp;'Output - County'!B1874)*VLOOKUP(A1874,'Output - State'!$B$2:$G$52,2,FALSE)</f>
        <v>15.232387777787208</v>
      </c>
      <c r="D1874" s="98">
        <f>SUMIFS(Input!$C$115:$C$3257,Input!$A$115:$A$3257,"="&amp;'Output - County'!A1874,Input!$B$115:$B$3257,"="&amp;'Output - County'!B1874)*VLOOKUP(A1874,'Output - State'!$B$2:$G$52,3,FALSE)</f>
        <v>1.9732609465921442</v>
      </c>
      <c r="E1874" s="98">
        <f>SUMIFS(Input!$C$115:$C$3257,Input!$A$115:$A$3257,"="&amp;'Output - County'!A1874,Input!$B$115:$B$3257,"="&amp;'Output - County'!B1874)*VLOOKUP(A1874,'Output - State'!$B$2:$G$52,4,FALSE)</f>
        <v>0.45103667930401364</v>
      </c>
      <c r="F1874" s="98">
        <f>SUMIFS(Input!$C$115:$C$3257,Input!$A$115:$A$3257,"="&amp;'Output - County'!A1874,Input!$B$115:$B$3257,"="&amp;'Output - County'!B1874)*VLOOKUP(A1874,'Output - State'!$B$2:$G$52,5,FALSE)</f>
        <v>28.166483862844384</v>
      </c>
      <c r="G1874" s="99">
        <f>SUMIFS(Input!$D$115:$D$3257,Input!$A$115:$A$3257,"="&amp;'Output - County'!A1874,Input!$B$115:$B$3257,"="&amp;'Output - County'!B1874)*VLOOKUP(A1874,'Output - State'!$B$2:$G$52,6,FALSE)</f>
        <v>30.442685204447354</v>
      </c>
    </row>
    <row r="1875" spans="1:7" x14ac:dyDescent="0.25">
      <c r="A1875" s="88">
        <v>36</v>
      </c>
      <c r="B1875" s="88">
        <v>91</v>
      </c>
      <c r="C1875" s="97">
        <f>SUMIFS(Input!$C$115:$C$3257,Input!$A$115:$A$3257,"="&amp;'Output - County'!A1875,Input!$B$115:$B$3257,"="&amp;'Output - County'!B1875)*VLOOKUP(A1875,'Output - State'!$B$2:$G$52,2,FALSE)</f>
        <v>45.546056027790456</v>
      </c>
      <c r="D1875" s="98">
        <f>SUMIFS(Input!$C$115:$C$3257,Input!$A$115:$A$3257,"="&amp;'Output - County'!A1875,Input!$B$115:$B$3257,"="&amp;'Output - County'!B1875)*VLOOKUP(A1875,'Output - State'!$B$2:$G$52,3,FALSE)</f>
        <v>5.900207829661265</v>
      </c>
      <c r="E1875" s="98">
        <f>SUMIFS(Input!$C$115:$C$3257,Input!$A$115:$A$3257,"="&amp;'Output - County'!A1875,Input!$B$115:$B$3257,"="&amp;'Output - County'!B1875)*VLOOKUP(A1875,'Output - State'!$B$2:$G$52,4,FALSE)</f>
        <v>1.3486356942754651</v>
      </c>
      <c r="F1875" s="98">
        <f>SUMIFS(Input!$C$115:$C$3257,Input!$A$115:$A$3257,"="&amp;'Output - County'!A1875,Input!$B$115:$B$3257,"="&amp;'Output - County'!B1875)*VLOOKUP(A1875,'Output - State'!$B$2:$G$52,5,FALSE)</f>
        <v>84.220036335585434</v>
      </c>
      <c r="G1875" s="99">
        <f>SUMIFS(Input!$D$115:$D$3257,Input!$A$115:$A$3257,"="&amp;'Output - County'!A1875,Input!$B$115:$B$3257,"="&amp;'Output - County'!B1875)*VLOOKUP(A1875,'Output - State'!$B$2:$G$52,6,FALSE)</f>
        <v>64.831644416878632</v>
      </c>
    </row>
    <row r="1876" spans="1:7" x14ac:dyDescent="0.25">
      <c r="A1876" s="88">
        <v>36</v>
      </c>
      <c r="B1876" s="88">
        <v>93</v>
      </c>
      <c r="C1876" s="97">
        <f>SUMIFS(Input!$C$115:$C$3257,Input!$A$115:$A$3257,"="&amp;'Output - County'!A1876,Input!$B$115:$B$3257,"="&amp;'Output - County'!B1876)*VLOOKUP(A1876,'Output - State'!$B$2:$G$52,2,FALSE)</f>
        <v>23.341590202629597</v>
      </c>
      <c r="D1876" s="98">
        <f>SUMIFS(Input!$C$115:$C$3257,Input!$A$115:$A$3257,"="&amp;'Output - County'!A1876,Input!$B$115:$B$3257,"="&amp;'Output - County'!B1876)*VLOOKUP(A1876,'Output - State'!$B$2:$G$52,3,FALSE)</f>
        <v>3.0237576045282206</v>
      </c>
      <c r="E1876" s="98">
        <f>SUMIFS(Input!$C$115:$C$3257,Input!$A$115:$A$3257,"="&amp;'Output - County'!A1876,Input!$B$115:$B$3257,"="&amp;'Output - County'!B1876)*VLOOKUP(A1876,'Output - State'!$B$2:$G$52,4,FALSE)</f>
        <v>0.69115318545274906</v>
      </c>
      <c r="F1876" s="98">
        <f>SUMIFS(Input!$C$115:$C$3257,Input!$A$115:$A$3257,"="&amp;'Output - County'!A1876,Input!$B$115:$B$3257,"="&amp;'Output - County'!B1876)*VLOOKUP(A1876,'Output - State'!$B$2:$G$52,5,FALSE)</f>
        <v>43.161356798848523</v>
      </c>
      <c r="G1876" s="99">
        <f>SUMIFS(Input!$D$115:$D$3257,Input!$A$115:$A$3257,"="&amp;'Output - County'!A1876,Input!$B$115:$B$3257,"="&amp;'Output - County'!B1876)*VLOOKUP(A1876,'Output - State'!$B$2:$G$52,6,FALSE)</f>
        <v>43.690890802679078</v>
      </c>
    </row>
    <row r="1877" spans="1:7" x14ac:dyDescent="0.25">
      <c r="A1877" s="88">
        <v>36</v>
      </c>
      <c r="B1877" s="88">
        <v>95</v>
      </c>
      <c r="C1877" s="97">
        <f>SUMIFS(Input!$C$115:$C$3257,Input!$A$115:$A$3257,"="&amp;'Output - County'!A1877,Input!$B$115:$B$3257,"="&amp;'Output - County'!B1877)*VLOOKUP(A1877,'Output - State'!$B$2:$G$52,2,FALSE)</f>
        <v>6.1575461431492542</v>
      </c>
      <c r="D1877" s="98">
        <f>SUMIFS(Input!$C$115:$C$3257,Input!$A$115:$A$3257,"="&amp;'Output - County'!A1877,Input!$B$115:$B$3257,"="&amp;'Output - County'!B1877)*VLOOKUP(A1877,'Output - State'!$B$2:$G$52,3,FALSE)</f>
        <v>0.79767174446766786</v>
      </c>
      <c r="E1877" s="98">
        <f>SUMIFS(Input!$C$115:$C$3257,Input!$A$115:$A$3257,"="&amp;'Output - County'!A1877,Input!$B$115:$B$3257,"="&amp;'Output - County'!B1877)*VLOOKUP(A1877,'Output - State'!$B$2:$G$52,4,FALSE)</f>
        <v>0.18232723625361436</v>
      </c>
      <c r="F1877" s="98">
        <f>SUMIFS(Input!$C$115:$C$3257,Input!$A$115:$A$3257,"="&amp;'Output - County'!A1877,Input!$B$115:$B$3257,"="&amp;'Output - County'!B1877)*VLOOKUP(A1877,'Output - State'!$B$2:$G$52,5,FALSE)</f>
        <v>11.386029991217047</v>
      </c>
      <c r="G1877" s="99">
        <f>SUMIFS(Input!$D$115:$D$3257,Input!$A$115:$A$3257,"="&amp;'Output - County'!A1877,Input!$B$115:$B$3257,"="&amp;'Output - County'!B1877)*VLOOKUP(A1877,'Output - State'!$B$2:$G$52,6,FALSE)</f>
        <v>8.766365832021414</v>
      </c>
    </row>
    <row r="1878" spans="1:7" x14ac:dyDescent="0.25">
      <c r="A1878" s="88">
        <v>36</v>
      </c>
      <c r="B1878" s="88">
        <v>97</v>
      </c>
      <c r="C1878" s="97">
        <f>SUMIFS(Input!$C$115:$C$3257,Input!$A$115:$A$3257,"="&amp;'Output - County'!A1878,Input!$B$115:$B$3257,"="&amp;'Output - County'!B1878)*VLOOKUP(A1878,'Output - State'!$B$2:$G$52,2,FALSE)</f>
        <v>3.1948052813061794</v>
      </c>
      <c r="D1878" s="98">
        <f>SUMIFS(Input!$C$115:$C$3257,Input!$A$115:$A$3257,"="&amp;'Output - County'!A1878,Input!$B$115:$B$3257,"="&amp;'Output - County'!B1878)*VLOOKUP(A1878,'Output - State'!$B$2:$G$52,3,FALSE)</f>
        <v>0.41386712218296839</v>
      </c>
      <c r="E1878" s="98">
        <f>SUMIFS(Input!$C$115:$C$3257,Input!$A$115:$A$3257,"="&amp;'Output - County'!A1878,Input!$B$115:$B$3257,"="&amp;'Output - County'!B1878)*VLOOKUP(A1878,'Output - State'!$B$2:$G$52,4,FALSE)</f>
        <v>9.459937510286999E-2</v>
      </c>
      <c r="F1878" s="98">
        <f>SUMIFS(Input!$C$115:$C$3257,Input!$A$115:$A$3257,"="&amp;'Output - County'!A1878,Input!$B$115:$B$3257,"="&amp;'Output - County'!B1878)*VLOOKUP(A1878,'Output - State'!$B$2:$G$52,5,FALSE)</f>
        <v>5.907572254171745</v>
      </c>
      <c r="G1878" s="99">
        <f>SUMIFS(Input!$D$115:$D$3257,Input!$A$115:$A$3257,"="&amp;'Output - County'!A1878,Input!$B$115:$B$3257,"="&amp;'Output - County'!B1878)*VLOOKUP(A1878,'Output - State'!$B$2:$G$52,6,FALSE)</f>
        <v>5.0455931959222937</v>
      </c>
    </row>
    <row r="1879" spans="1:7" x14ac:dyDescent="0.25">
      <c r="A1879" s="88">
        <v>36</v>
      </c>
      <c r="B1879" s="88">
        <v>99</v>
      </c>
      <c r="C1879" s="97">
        <f>SUMIFS(Input!$C$115:$C$3257,Input!$A$115:$A$3257,"="&amp;'Output - County'!A1879,Input!$B$115:$B$3257,"="&amp;'Output - County'!B1879)*VLOOKUP(A1879,'Output - State'!$B$2:$G$52,2,FALSE)</f>
        <v>9.2110380778888725</v>
      </c>
      <c r="D1879" s="98">
        <f>SUMIFS(Input!$C$115:$C$3257,Input!$A$115:$A$3257,"="&amp;'Output - County'!A1879,Input!$B$115:$B$3257,"="&amp;'Output - County'!B1879)*VLOOKUP(A1879,'Output - State'!$B$2:$G$52,3,FALSE)</f>
        <v>1.1932326029131368</v>
      </c>
      <c r="E1879" s="98">
        <f>SUMIFS(Input!$C$115:$C$3257,Input!$A$115:$A$3257,"="&amp;'Output - County'!A1879,Input!$B$115:$B$3257,"="&amp;'Output - County'!B1879)*VLOOKUP(A1879,'Output - State'!$B$2:$G$52,4,FALSE)</f>
        <v>0.27274227049630323</v>
      </c>
      <c r="F1879" s="98">
        <f>SUMIFS(Input!$C$115:$C$3257,Input!$A$115:$A$3257,"="&amp;'Output - County'!A1879,Input!$B$115:$B$3257,"="&amp;'Output - County'!B1879)*VLOOKUP(A1879,'Output - State'!$B$2:$G$52,5,FALSE)</f>
        <v>17.0322971792536</v>
      </c>
      <c r="G1879" s="99">
        <f>SUMIFS(Input!$D$115:$D$3257,Input!$A$115:$A$3257,"="&amp;'Output - County'!A1879,Input!$B$115:$B$3257,"="&amp;'Output - County'!B1879)*VLOOKUP(A1879,'Output - State'!$B$2:$G$52,6,FALSE)</f>
        <v>9.6401836480749967</v>
      </c>
    </row>
    <row r="1880" spans="1:7" x14ac:dyDescent="0.25">
      <c r="A1880" s="88">
        <v>36</v>
      </c>
      <c r="B1880" s="88">
        <v>101</v>
      </c>
      <c r="C1880" s="97">
        <f>SUMIFS(Input!$C$115:$C$3257,Input!$A$115:$A$3257,"="&amp;'Output - County'!A1880,Input!$B$115:$B$3257,"="&amp;'Output - County'!B1880)*VLOOKUP(A1880,'Output - State'!$B$2:$G$52,2,FALSE)</f>
        <v>23.662331883540869</v>
      </c>
      <c r="D1880" s="98">
        <f>SUMIFS(Input!$C$115:$C$3257,Input!$A$115:$A$3257,"="&amp;'Output - County'!A1880,Input!$B$115:$B$3257,"="&amp;'Output - County'!B1880)*VLOOKUP(A1880,'Output - State'!$B$2:$G$52,3,FALSE)</f>
        <v>3.0653076912329116</v>
      </c>
      <c r="E1880" s="98">
        <f>SUMIFS(Input!$C$115:$C$3257,Input!$A$115:$A$3257,"="&amp;'Output - County'!A1880,Input!$B$115:$B$3257,"="&amp;'Output - County'!B1880)*VLOOKUP(A1880,'Output - State'!$B$2:$G$52,4,FALSE)</f>
        <v>0.70065046616691062</v>
      </c>
      <c r="F1880" s="98">
        <f>SUMIFS(Input!$C$115:$C$3257,Input!$A$115:$A$3257,"="&amp;'Output - County'!A1880,Input!$B$115:$B$3257,"="&amp;'Output - County'!B1880)*VLOOKUP(A1880,'Output - State'!$B$2:$G$52,5,FALSE)</f>
        <v>43.754446044692372</v>
      </c>
      <c r="G1880" s="99">
        <f>SUMIFS(Input!$D$115:$D$3257,Input!$A$115:$A$3257,"="&amp;'Output - County'!A1880,Input!$B$115:$B$3257,"="&amp;'Output - County'!B1880)*VLOOKUP(A1880,'Output - State'!$B$2:$G$52,6,FALSE)</f>
        <v>27.031976954689828</v>
      </c>
    </row>
    <row r="1881" spans="1:7" x14ac:dyDescent="0.25">
      <c r="A1881" s="88">
        <v>36</v>
      </c>
      <c r="B1881" s="88">
        <v>103</v>
      </c>
      <c r="C1881" s="97">
        <f>SUMIFS(Input!$C$115:$C$3257,Input!$A$115:$A$3257,"="&amp;'Output - County'!A1881,Input!$B$115:$B$3257,"="&amp;'Output - County'!B1881)*VLOOKUP(A1881,'Output - State'!$B$2:$G$52,2,FALSE)</f>
        <v>297.77851192405751</v>
      </c>
      <c r="D1881" s="98">
        <f>SUMIFS(Input!$C$115:$C$3257,Input!$A$115:$A$3257,"="&amp;'Output - County'!A1881,Input!$B$115:$B$3257,"="&amp;'Output - County'!B1881)*VLOOKUP(A1881,'Output - State'!$B$2:$G$52,3,FALSE)</f>
        <v>38.575351211248183</v>
      </c>
      <c r="E1881" s="98">
        <f>SUMIFS(Input!$C$115:$C$3257,Input!$A$115:$A$3257,"="&amp;'Output - County'!A1881,Input!$B$115:$B$3257,"="&amp;'Output - County'!B1881)*VLOOKUP(A1881,'Output - State'!$B$2:$G$52,4,FALSE)</f>
        <v>8.8173327219370758</v>
      </c>
      <c r="F1881" s="98">
        <f>SUMIFS(Input!$C$115:$C$3257,Input!$A$115:$A$3257,"="&amp;'Output - County'!A1881,Input!$B$115:$B$3257,"="&amp;'Output - County'!B1881)*VLOOKUP(A1881,'Output - State'!$B$2:$G$52,5,FALSE)</f>
        <v>550.62763456178266</v>
      </c>
      <c r="G1881" s="99">
        <f>SUMIFS(Input!$D$115:$D$3257,Input!$A$115:$A$3257,"="&amp;'Output - County'!A1881,Input!$B$115:$B$3257,"="&amp;'Output - County'!B1881)*VLOOKUP(A1881,'Output - State'!$B$2:$G$52,6,FALSE)</f>
        <v>417.17753798687119</v>
      </c>
    </row>
    <row r="1882" spans="1:7" x14ac:dyDescent="0.25">
      <c r="A1882" s="88">
        <v>36</v>
      </c>
      <c r="B1882" s="88">
        <v>105</v>
      </c>
      <c r="C1882" s="97">
        <f>SUMIFS(Input!$C$115:$C$3257,Input!$A$115:$A$3257,"="&amp;'Output - County'!A1882,Input!$B$115:$B$3257,"="&amp;'Output - County'!B1882)*VLOOKUP(A1882,'Output - State'!$B$2:$G$52,2,FALSE)</f>
        <v>17.085692516571751</v>
      </c>
      <c r="D1882" s="98">
        <f>SUMIFS(Input!$C$115:$C$3257,Input!$A$115:$A$3257,"="&amp;'Output - County'!A1882,Input!$B$115:$B$3257,"="&amp;'Output - County'!B1882)*VLOOKUP(A1882,'Output - State'!$B$2:$G$52,3,FALSE)</f>
        <v>2.213345030356781</v>
      </c>
      <c r="E1882" s="98">
        <f>SUMIFS(Input!$C$115:$C$3257,Input!$A$115:$A$3257,"="&amp;'Output - County'!A1882,Input!$B$115:$B$3257,"="&amp;'Output - County'!B1882)*VLOOKUP(A1882,'Output - State'!$B$2:$G$52,4,FALSE)</f>
        <v>0.50591372335739204</v>
      </c>
      <c r="F1882" s="98">
        <f>SUMIFS(Input!$C$115:$C$3257,Input!$A$115:$A$3257,"="&amp;'Output - County'!A1882,Input!$B$115:$B$3257,"="&amp;'Output - County'!B1882)*VLOOKUP(A1882,'Output - State'!$B$2:$G$52,5,FALSE)</f>
        <v>31.593463190013992</v>
      </c>
      <c r="G1882" s="99">
        <f>SUMIFS(Input!$D$115:$D$3257,Input!$A$115:$A$3257,"="&amp;'Output - County'!A1882,Input!$B$115:$B$3257,"="&amp;'Output - County'!B1882)*VLOOKUP(A1882,'Output - State'!$B$2:$G$52,6,FALSE)</f>
        <v>21.253504300141948</v>
      </c>
    </row>
    <row r="1883" spans="1:7" x14ac:dyDescent="0.25">
      <c r="A1883" s="88">
        <v>36</v>
      </c>
      <c r="B1883" s="88">
        <v>107</v>
      </c>
      <c r="C1883" s="97">
        <f>SUMIFS(Input!$C$115:$C$3257,Input!$A$115:$A$3257,"="&amp;'Output - County'!A1883,Input!$B$115:$B$3257,"="&amp;'Output - County'!B1883)*VLOOKUP(A1883,'Output - State'!$B$2:$G$52,2,FALSE)</f>
        <v>11.138303004872093</v>
      </c>
      <c r="D1883" s="98">
        <f>SUMIFS(Input!$C$115:$C$3257,Input!$A$115:$A$3257,"="&amp;'Output - County'!A1883,Input!$B$115:$B$3257,"="&amp;'Output - County'!B1883)*VLOOKUP(A1883,'Output - State'!$B$2:$G$52,3,FALSE)</f>
        <v>1.4428977683245969</v>
      </c>
      <c r="E1883" s="98">
        <f>SUMIFS(Input!$C$115:$C$3257,Input!$A$115:$A$3257,"="&amp;'Output - County'!A1883,Input!$B$115:$B$3257,"="&amp;'Output - County'!B1883)*VLOOKUP(A1883,'Output - State'!$B$2:$G$52,4,FALSE)</f>
        <v>0.32980930328765728</v>
      </c>
      <c r="F1883" s="98">
        <f>SUMIFS(Input!$C$115:$C$3257,Input!$A$115:$A$3257,"="&amp;'Output - County'!A1883,Input!$B$115:$B$3257,"="&amp;'Output - County'!B1883)*VLOOKUP(A1883,'Output - State'!$B$2:$G$52,5,FALSE)</f>
        <v>20.596037628696429</v>
      </c>
      <c r="G1883" s="99">
        <f>SUMIFS(Input!$D$115:$D$3257,Input!$A$115:$A$3257,"="&amp;'Output - County'!A1883,Input!$B$115:$B$3257,"="&amp;'Output - County'!B1883)*VLOOKUP(A1883,'Output - State'!$B$2:$G$52,6,FALSE)</f>
        <v>13.642832999030112</v>
      </c>
    </row>
    <row r="1884" spans="1:7" x14ac:dyDescent="0.25">
      <c r="A1884" s="88">
        <v>36</v>
      </c>
      <c r="B1884" s="88">
        <v>109</v>
      </c>
      <c r="C1884" s="97">
        <f>SUMIFS(Input!$C$115:$C$3257,Input!$A$115:$A$3257,"="&amp;'Output - County'!A1884,Input!$B$115:$B$3257,"="&amp;'Output - County'!B1884)*VLOOKUP(A1884,'Output - State'!$B$2:$G$52,2,FALSE)</f>
        <v>13.750752932926027</v>
      </c>
      <c r="D1884" s="98">
        <f>SUMIFS(Input!$C$115:$C$3257,Input!$A$115:$A$3257,"="&amp;'Output - County'!A1884,Input!$B$115:$B$3257,"="&amp;'Output - County'!B1884)*VLOOKUP(A1884,'Output - State'!$B$2:$G$52,3,FALSE)</f>
        <v>1.7813243822710778</v>
      </c>
      <c r="E1884" s="98">
        <f>SUMIFS(Input!$C$115:$C$3257,Input!$A$115:$A$3257,"="&amp;'Output - County'!A1884,Input!$B$115:$B$3257,"="&amp;'Output - County'!B1884)*VLOOKUP(A1884,'Output - State'!$B$2:$G$52,4,FALSE)</f>
        <v>0.40716491933333987</v>
      </c>
      <c r="F1884" s="98">
        <f>SUMIFS(Input!$C$115:$C$3257,Input!$A$115:$A$3257,"="&amp;'Output - County'!A1884,Input!$B$115:$B$3257,"="&amp;'Output - County'!B1884)*VLOOKUP(A1884,'Output - State'!$B$2:$G$52,5,FALSE)</f>
        <v>25.426766061721487</v>
      </c>
      <c r="G1884" s="99">
        <f>SUMIFS(Input!$D$115:$D$3257,Input!$A$115:$A$3257,"="&amp;'Output - County'!A1884,Input!$B$115:$B$3257,"="&amp;'Output - County'!B1884)*VLOOKUP(A1884,'Output - State'!$B$2:$G$52,6,FALSE)</f>
        <v>28.751424915311389</v>
      </c>
    </row>
    <row r="1885" spans="1:7" x14ac:dyDescent="0.25">
      <c r="A1885" s="88">
        <v>36</v>
      </c>
      <c r="B1885" s="88">
        <v>111</v>
      </c>
      <c r="C1885" s="97">
        <f>SUMIFS(Input!$C$115:$C$3257,Input!$A$115:$A$3257,"="&amp;'Output - County'!A1885,Input!$B$115:$B$3257,"="&amp;'Output - County'!B1885)*VLOOKUP(A1885,'Output - State'!$B$2:$G$52,2,FALSE)</f>
        <v>39.937974729597947</v>
      </c>
      <c r="D1885" s="98">
        <f>SUMIFS(Input!$C$115:$C$3257,Input!$A$115:$A$3257,"="&amp;'Output - County'!A1885,Input!$B$115:$B$3257,"="&amp;'Output - County'!B1885)*VLOOKUP(A1885,'Output - State'!$B$2:$G$52,3,FALSE)</f>
        <v>5.1737158329715225</v>
      </c>
      <c r="E1885" s="98">
        <f>SUMIFS(Input!$C$115:$C$3257,Input!$A$115:$A$3257,"="&amp;'Output - County'!A1885,Input!$B$115:$B$3257,"="&amp;'Output - County'!B1885)*VLOOKUP(A1885,'Output - State'!$B$2:$G$52,4,FALSE)</f>
        <v>1.1825783168699155</v>
      </c>
      <c r="F1885" s="98">
        <f>SUMIFS(Input!$C$115:$C$3257,Input!$A$115:$A$3257,"="&amp;'Output - County'!A1885,Input!$B$115:$B$3257,"="&amp;'Output - County'!B1885)*VLOOKUP(A1885,'Output - State'!$B$2:$G$52,5,FALSE)</f>
        <v>73.850031731487476</v>
      </c>
      <c r="G1885" s="99">
        <f>SUMIFS(Input!$D$115:$D$3257,Input!$A$115:$A$3257,"="&amp;'Output - County'!A1885,Input!$B$115:$B$3257,"="&amp;'Output - County'!B1885)*VLOOKUP(A1885,'Output - State'!$B$2:$G$52,6,FALSE)</f>
        <v>50.174055244366947</v>
      </c>
    </row>
    <row r="1886" spans="1:7" x14ac:dyDescent="0.25">
      <c r="A1886" s="88">
        <v>36</v>
      </c>
      <c r="B1886" s="88">
        <v>113</v>
      </c>
      <c r="C1886" s="97">
        <f>SUMIFS(Input!$C$115:$C$3257,Input!$A$115:$A$3257,"="&amp;'Output - County'!A1886,Input!$B$115:$B$3257,"="&amp;'Output - County'!B1886)*VLOOKUP(A1886,'Output - State'!$B$2:$G$52,2,FALSE)</f>
        <v>15.480312941407798</v>
      </c>
      <c r="D1886" s="98">
        <f>SUMIFS(Input!$C$115:$C$3257,Input!$A$115:$A$3257,"="&amp;'Output - County'!A1886,Input!$B$115:$B$3257,"="&amp;'Output - County'!B1886)*VLOOKUP(A1886,'Output - State'!$B$2:$G$52,3,FALSE)</f>
        <v>2.005378107091655</v>
      </c>
      <c r="E1886" s="98">
        <f>SUMIFS(Input!$C$115:$C$3257,Input!$A$115:$A$3257,"="&amp;'Output - County'!A1886,Input!$B$115:$B$3257,"="&amp;'Output - County'!B1886)*VLOOKUP(A1886,'Output - State'!$B$2:$G$52,4,FALSE)</f>
        <v>0.45837783580203834</v>
      </c>
      <c r="F1886" s="98">
        <f>SUMIFS(Input!$C$115:$C$3257,Input!$A$115:$A$3257,"="&amp;'Output - County'!A1886,Input!$B$115:$B$3257,"="&amp;'Output - County'!B1886)*VLOOKUP(A1886,'Output - State'!$B$2:$G$52,5,FALSE)</f>
        <v>28.624926768985183</v>
      </c>
      <c r="G1886" s="99">
        <f>SUMIFS(Input!$D$115:$D$3257,Input!$A$115:$A$3257,"="&amp;'Output - County'!A1886,Input!$B$115:$B$3257,"="&amp;'Output - County'!B1886)*VLOOKUP(A1886,'Output - State'!$B$2:$G$52,6,FALSE)</f>
        <v>18.096485093754819</v>
      </c>
    </row>
    <row r="1887" spans="1:7" x14ac:dyDescent="0.25">
      <c r="A1887" s="88">
        <v>36</v>
      </c>
      <c r="B1887" s="88">
        <v>115</v>
      </c>
      <c r="C1887" s="97">
        <f>SUMIFS(Input!$C$115:$C$3257,Input!$A$115:$A$3257,"="&amp;'Output - County'!A1887,Input!$B$115:$B$3257,"="&amp;'Output - County'!B1887)*VLOOKUP(A1887,'Output - State'!$B$2:$G$52,2,FALSE)</f>
        <v>9.1866125340897931</v>
      </c>
      <c r="D1887" s="98">
        <f>SUMIFS(Input!$C$115:$C$3257,Input!$A$115:$A$3257,"="&amp;'Output - County'!A1887,Input!$B$115:$B$3257,"="&amp;'Output - County'!B1887)*VLOOKUP(A1887,'Output - State'!$B$2:$G$52,3,FALSE)</f>
        <v>1.1900684258726675</v>
      </c>
      <c r="E1887" s="98">
        <f>SUMIFS(Input!$C$115:$C$3257,Input!$A$115:$A$3257,"="&amp;'Output - County'!A1887,Input!$B$115:$B$3257,"="&amp;'Output - County'!B1887)*VLOOKUP(A1887,'Output - State'!$B$2:$G$52,4,FALSE)</f>
        <v>0.27201902104086345</v>
      </c>
      <c r="F1887" s="98">
        <f>SUMIFS(Input!$C$115:$C$3257,Input!$A$115:$A$3257,"="&amp;'Output - County'!A1887,Input!$B$115:$B$3257,"="&amp;'Output - County'!B1887)*VLOOKUP(A1887,'Output - State'!$B$2:$G$52,5,FALSE)</f>
        <v>16.98713146424592</v>
      </c>
      <c r="G1887" s="99">
        <f>SUMIFS(Input!$D$115:$D$3257,Input!$A$115:$A$3257,"="&amp;'Output - County'!A1887,Input!$B$115:$B$3257,"="&amp;'Output - County'!B1887)*VLOOKUP(A1887,'Output - State'!$B$2:$G$52,6,FALSE)</f>
        <v>17.279042620672435</v>
      </c>
    </row>
    <row r="1888" spans="1:7" x14ac:dyDescent="0.25">
      <c r="A1888" s="88">
        <v>36</v>
      </c>
      <c r="B1888" s="88">
        <v>117</v>
      </c>
      <c r="C1888" s="97">
        <f>SUMIFS(Input!$C$115:$C$3257,Input!$A$115:$A$3257,"="&amp;'Output - County'!A1888,Input!$B$115:$B$3257,"="&amp;'Output - County'!B1888)*VLOOKUP(A1888,'Output - State'!$B$2:$G$52,2,FALSE)</f>
        <v>12.96527334965778</v>
      </c>
      <c r="D1888" s="98">
        <f>SUMIFS(Input!$C$115:$C$3257,Input!$A$115:$A$3257,"="&amp;'Output - County'!A1888,Input!$B$115:$B$3257,"="&amp;'Output - County'!B1888)*VLOOKUP(A1888,'Output - State'!$B$2:$G$52,3,FALSE)</f>
        <v>1.6795703953965482</v>
      </c>
      <c r="E1888" s="98">
        <f>SUMIFS(Input!$C$115:$C$3257,Input!$A$115:$A$3257,"="&amp;'Output - County'!A1888,Input!$B$115:$B$3257,"="&amp;'Output - County'!B1888)*VLOOKUP(A1888,'Output - State'!$B$2:$G$52,4,FALSE)</f>
        <v>0.38390657611974055</v>
      </c>
      <c r="F1888" s="98">
        <f>SUMIFS(Input!$C$115:$C$3257,Input!$A$115:$A$3257,"="&amp;'Output - County'!A1888,Input!$B$115:$B$3257,"="&amp;'Output - County'!B1888)*VLOOKUP(A1888,'Output - State'!$B$2:$G$52,5,FALSE)</f>
        <v>23.974321551414203</v>
      </c>
      <c r="G1888" s="99">
        <f>SUMIFS(Input!$D$115:$D$3257,Input!$A$115:$A$3257,"="&amp;'Output - County'!A1888,Input!$B$115:$B$3257,"="&amp;'Output - County'!B1888)*VLOOKUP(A1888,'Output - State'!$B$2:$G$52,6,FALSE)</f>
        <v>25.425279680010664</v>
      </c>
    </row>
    <row r="1889" spans="1:7" x14ac:dyDescent="0.25">
      <c r="A1889" s="88">
        <v>36</v>
      </c>
      <c r="B1889" s="88">
        <v>119</v>
      </c>
      <c r="C1889" s="97">
        <f>SUMIFS(Input!$C$115:$C$3257,Input!$A$115:$A$3257,"="&amp;'Output - County'!A1889,Input!$B$115:$B$3257,"="&amp;'Output - County'!B1889)*VLOOKUP(A1889,'Output - State'!$B$2:$G$52,2,FALSE)</f>
        <v>183.26388456262998</v>
      </c>
      <c r="D1889" s="98">
        <f>SUMIFS(Input!$C$115:$C$3257,Input!$A$115:$A$3257,"="&amp;'Output - County'!A1889,Input!$B$115:$B$3257,"="&amp;'Output - County'!B1889)*VLOOKUP(A1889,'Output - State'!$B$2:$G$52,3,FALSE)</f>
        <v>23.740694604397859</v>
      </c>
      <c r="E1889" s="98">
        <f>SUMIFS(Input!$C$115:$C$3257,Input!$A$115:$A$3257,"="&amp;'Output - County'!A1889,Input!$B$115:$B$3257,"="&amp;'Output - County'!B1889)*VLOOKUP(A1889,'Output - State'!$B$2:$G$52,4,FALSE)</f>
        <v>5.4265119254658609</v>
      </c>
      <c r="F1889" s="98">
        <f>SUMIFS(Input!$C$115:$C$3257,Input!$A$115:$A$3257,"="&amp;'Output - County'!A1889,Input!$B$115:$B$3257,"="&amp;'Output - County'!B1889)*VLOOKUP(A1889,'Output - State'!$B$2:$G$52,5,FALSE)</f>
        <v>338.87656501910277</v>
      </c>
      <c r="G1889" s="99">
        <f>SUMIFS(Input!$D$115:$D$3257,Input!$A$115:$A$3257,"="&amp;'Output - County'!A1889,Input!$B$115:$B$3257,"="&amp;'Output - County'!B1889)*VLOOKUP(A1889,'Output - State'!$B$2:$G$52,6,FALSE)</f>
        <v>272.85665998060222</v>
      </c>
    </row>
    <row r="1890" spans="1:7" x14ac:dyDescent="0.25">
      <c r="A1890" s="88">
        <v>36</v>
      </c>
      <c r="B1890" s="88">
        <v>121</v>
      </c>
      <c r="C1890" s="97">
        <f>SUMIFS(Input!$C$115:$C$3257,Input!$A$115:$A$3257,"="&amp;'Output - County'!A1890,Input!$B$115:$B$3257,"="&amp;'Output - County'!B1890)*VLOOKUP(A1890,'Output - State'!$B$2:$G$52,2,FALSE)</f>
        <v>5.4501774972329091</v>
      </c>
      <c r="D1890" s="98">
        <f>SUMIFS(Input!$C$115:$C$3257,Input!$A$115:$A$3257,"="&amp;'Output - County'!A1890,Input!$B$115:$B$3257,"="&amp;'Output - County'!B1890)*VLOOKUP(A1890,'Output - State'!$B$2:$G$52,3,FALSE)</f>
        <v>0.70603654293570817</v>
      </c>
      <c r="E1890" s="98">
        <f>SUMIFS(Input!$C$115:$C$3257,Input!$A$115:$A$3257,"="&amp;'Output - County'!A1890,Input!$B$115:$B$3257,"="&amp;'Output - County'!B1890)*VLOOKUP(A1890,'Output - State'!$B$2:$G$52,4,FALSE)</f>
        <v>0.16138178700742711</v>
      </c>
      <c r="F1890" s="98">
        <f>SUMIFS(Input!$C$115:$C$3257,Input!$A$115:$A$3257,"="&amp;'Output - County'!A1890,Input!$B$115:$B$3257,"="&amp;'Output - County'!B1890)*VLOOKUP(A1890,'Output - State'!$B$2:$G$52,5,FALSE)</f>
        <v>10.078021828548071</v>
      </c>
      <c r="G1890" s="99">
        <f>SUMIFS(Input!$D$115:$D$3257,Input!$A$115:$A$3257,"="&amp;'Output - County'!A1890,Input!$B$115:$B$3257,"="&amp;'Output - County'!B1890)*VLOOKUP(A1890,'Output - State'!$B$2:$G$52,6,FALSE)</f>
        <v>11.275068594239761</v>
      </c>
    </row>
    <row r="1891" spans="1:7" x14ac:dyDescent="0.25">
      <c r="A1891" s="88">
        <v>36</v>
      </c>
      <c r="B1891" s="88">
        <v>123</v>
      </c>
      <c r="C1891" s="97">
        <f>SUMIFS(Input!$C$115:$C$3257,Input!$A$115:$A$3257,"="&amp;'Output - County'!A1891,Input!$B$115:$B$3257,"="&amp;'Output - County'!B1891)*VLOOKUP(A1891,'Output - State'!$B$2:$G$52,2,FALSE)</f>
        <v>3.7505992439717937</v>
      </c>
      <c r="D1891" s="98">
        <f>SUMIFS(Input!$C$115:$C$3257,Input!$A$115:$A$3257,"="&amp;'Output - County'!A1891,Input!$B$115:$B$3257,"="&amp;'Output - County'!B1891)*VLOOKUP(A1891,'Output - State'!$B$2:$G$52,3,FALSE)</f>
        <v>0.48586676773289739</v>
      </c>
      <c r="E1891" s="98">
        <f>SUMIFS(Input!$C$115:$C$3257,Input!$A$115:$A$3257,"="&amp;'Output - County'!A1891,Input!$B$115:$B$3257,"="&amp;'Output - County'!B1891)*VLOOKUP(A1891,'Output - State'!$B$2:$G$52,4,FALSE)</f>
        <v>0.11105664148519512</v>
      </c>
      <c r="F1891" s="98">
        <f>SUMIFS(Input!$C$115:$C$3257,Input!$A$115:$A$3257,"="&amp;'Output - County'!A1891,Input!$B$115:$B$3257,"="&amp;'Output - County'!B1891)*VLOOKUP(A1891,'Output - State'!$B$2:$G$52,5,FALSE)</f>
        <v>6.9353009273687389</v>
      </c>
      <c r="G1891" s="99">
        <f>SUMIFS(Input!$D$115:$D$3257,Input!$A$115:$A$3257,"="&amp;'Output - County'!A1891,Input!$B$115:$B$3257,"="&amp;'Output - County'!B1891)*VLOOKUP(A1891,'Output - State'!$B$2:$G$52,6,FALSE)</f>
        <v>7.0469178713998506</v>
      </c>
    </row>
    <row r="1892" spans="1:7" x14ac:dyDescent="0.25">
      <c r="A1892" s="88">
        <v>37</v>
      </c>
      <c r="B1892" s="88">
        <v>1</v>
      </c>
      <c r="C1892" s="97">
        <f>SUMIFS(Input!$C$115:$C$3257,Input!$A$115:$A$3257,"="&amp;'Output - County'!A1892,Input!$B$115:$B$3257,"="&amp;'Output - County'!B1892)*VLOOKUP(A1892,'Output - State'!$B$2:$G$52,2,FALSE)</f>
        <v>61.498344939765893</v>
      </c>
      <c r="D1892" s="98">
        <f>SUMIFS(Input!$C$115:$C$3257,Input!$A$115:$A$3257,"="&amp;'Output - County'!A1892,Input!$B$115:$B$3257,"="&amp;'Output - County'!B1892)*VLOOKUP(A1892,'Output - State'!$B$2:$G$52,3,FALSE)</f>
        <v>0.79050568274691468</v>
      </c>
      <c r="E1892" s="98">
        <f>SUMIFS(Input!$C$115:$C$3257,Input!$A$115:$A$3257,"="&amp;'Output - County'!A1892,Input!$B$115:$B$3257,"="&amp;'Output - County'!B1892)*VLOOKUP(A1892,'Output - State'!$B$2:$G$52,4,FALSE)</f>
        <v>1.9596417047772314</v>
      </c>
      <c r="F1892" s="98">
        <f>SUMIFS(Input!$C$115:$C$3257,Input!$A$115:$A$3257,"="&amp;'Output - County'!A1892,Input!$B$115:$B$3257,"="&amp;'Output - County'!B1892)*VLOOKUP(A1892,'Output - State'!$B$2:$G$52,5,FALSE)</f>
        <v>91.422016542914378</v>
      </c>
      <c r="G1892" s="99">
        <f>SUMIFS(Input!$D$115:$D$3257,Input!$A$115:$A$3257,"="&amp;'Output - County'!A1892,Input!$B$115:$B$3257,"="&amp;'Output - County'!B1892)*VLOOKUP(A1892,'Output - State'!$B$2:$G$52,6,FALSE)</f>
        <v>22.71416892094598</v>
      </c>
    </row>
    <row r="1893" spans="1:7" x14ac:dyDescent="0.25">
      <c r="A1893" s="88">
        <v>37</v>
      </c>
      <c r="B1893" s="88">
        <v>3</v>
      </c>
      <c r="C1893" s="97">
        <f>SUMIFS(Input!$C$115:$C$3257,Input!$A$115:$A$3257,"="&amp;'Output - County'!A1893,Input!$B$115:$B$3257,"="&amp;'Output - County'!B1893)*VLOOKUP(A1893,'Output - State'!$B$2:$G$52,2,FALSE)</f>
        <v>8.19248638423859</v>
      </c>
      <c r="D1893" s="98">
        <f>SUMIFS(Input!$C$115:$C$3257,Input!$A$115:$A$3257,"="&amp;'Output - County'!A1893,Input!$B$115:$B$3257,"="&amp;'Output - County'!B1893)*VLOOKUP(A1893,'Output - State'!$B$2:$G$52,3,FALSE)</f>
        <v>0.10530701352874461</v>
      </c>
      <c r="E1893" s="98">
        <f>SUMIFS(Input!$C$115:$C$3257,Input!$A$115:$A$3257,"="&amp;'Output - County'!A1893,Input!$B$115:$B$3257,"="&amp;'Output - County'!B1893)*VLOOKUP(A1893,'Output - State'!$B$2:$G$52,4,FALSE)</f>
        <v>0.26105317143246493</v>
      </c>
      <c r="F1893" s="98">
        <f>SUMIFS(Input!$C$115:$C$3257,Input!$A$115:$A$3257,"="&amp;'Output - County'!A1893,Input!$B$115:$B$3257,"="&amp;'Output - County'!B1893)*VLOOKUP(A1893,'Output - State'!$B$2:$G$52,5,FALSE)</f>
        <v>12.178760688292309</v>
      </c>
      <c r="G1893" s="99">
        <f>SUMIFS(Input!$D$115:$D$3257,Input!$A$115:$A$3257,"="&amp;'Output - County'!A1893,Input!$B$115:$B$3257,"="&amp;'Output - County'!B1893)*VLOOKUP(A1893,'Output - State'!$B$2:$G$52,6,FALSE)</f>
        <v>5.0732844356364373</v>
      </c>
    </row>
    <row r="1894" spans="1:7" x14ac:dyDescent="0.25">
      <c r="A1894" s="88">
        <v>37</v>
      </c>
      <c r="B1894" s="88">
        <v>5</v>
      </c>
      <c r="C1894" s="97">
        <f>SUMIFS(Input!$C$115:$C$3257,Input!$A$115:$A$3257,"="&amp;'Output - County'!A1894,Input!$B$115:$B$3257,"="&amp;'Output - County'!B1894)*VLOOKUP(A1894,'Output - State'!$B$2:$G$52,2,FALSE)</f>
        <v>2.9164196578709412</v>
      </c>
      <c r="D1894" s="98">
        <f>SUMIFS(Input!$C$115:$C$3257,Input!$A$115:$A$3257,"="&amp;'Output - County'!A1894,Input!$B$115:$B$3257,"="&amp;'Output - County'!B1894)*VLOOKUP(A1894,'Output - State'!$B$2:$G$52,3,FALSE)</f>
        <v>3.7487940774338625E-2</v>
      </c>
      <c r="E1894" s="98">
        <f>SUMIFS(Input!$C$115:$C$3257,Input!$A$115:$A$3257,"="&amp;'Output - County'!A1894,Input!$B$115:$B$3257,"="&amp;'Output - County'!B1894)*VLOOKUP(A1894,'Output - State'!$B$2:$G$52,4,FALSE)</f>
        <v>9.2931567439639068E-2</v>
      </c>
      <c r="F1894" s="98">
        <f>SUMIFS(Input!$C$115:$C$3257,Input!$A$115:$A$3257,"="&amp;'Output - County'!A1894,Input!$B$115:$B$3257,"="&amp;'Output - County'!B1894)*VLOOKUP(A1894,'Output - State'!$B$2:$G$52,5,FALSE)</f>
        <v>4.3354819787280734</v>
      </c>
      <c r="G1894" s="99">
        <f>SUMIFS(Input!$D$115:$D$3257,Input!$A$115:$A$3257,"="&amp;'Output - County'!A1894,Input!$B$115:$B$3257,"="&amp;'Output - County'!B1894)*VLOOKUP(A1894,'Output - State'!$B$2:$G$52,6,FALSE)</f>
        <v>1.5097441618113796</v>
      </c>
    </row>
    <row r="1895" spans="1:7" x14ac:dyDescent="0.25">
      <c r="A1895" s="88">
        <v>37</v>
      </c>
      <c r="B1895" s="88">
        <v>7</v>
      </c>
      <c r="C1895" s="97">
        <f>SUMIFS(Input!$C$115:$C$3257,Input!$A$115:$A$3257,"="&amp;'Output - County'!A1895,Input!$B$115:$B$3257,"="&amp;'Output - County'!B1895)*VLOOKUP(A1895,'Output - State'!$B$2:$G$52,2,FALSE)</f>
        <v>11.48077524324162</v>
      </c>
      <c r="D1895" s="98">
        <f>SUMIFS(Input!$C$115:$C$3257,Input!$A$115:$A$3257,"="&amp;'Output - County'!A1895,Input!$B$115:$B$3257,"="&amp;'Output - County'!B1895)*VLOOKUP(A1895,'Output - State'!$B$2:$G$52,3,FALSE)</f>
        <v>0.14757499703466234</v>
      </c>
      <c r="E1895" s="98">
        <f>SUMIFS(Input!$C$115:$C$3257,Input!$A$115:$A$3257,"="&amp;'Output - County'!A1895,Input!$B$115:$B$3257,"="&amp;'Output - County'!B1895)*VLOOKUP(A1895,'Output - State'!$B$2:$G$52,4,FALSE)</f>
        <v>0.36583433248270253</v>
      </c>
      <c r="F1895" s="98">
        <f>SUMIFS(Input!$C$115:$C$3257,Input!$A$115:$A$3257,"="&amp;'Output - County'!A1895,Input!$B$115:$B$3257,"="&amp;'Output - County'!B1895)*VLOOKUP(A1895,'Output - State'!$B$2:$G$52,5,FALSE)</f>
        <v>17.067054816534267</v>
      </c>
      <c r="G1895" s="99">
        <f>SUMIFS(Input!$D$115:$D$3257,Input!$A$115:$A$3257,"="&amp;'Output - County'!A1895,Input!$B$115:$B$3257,"="&amp;'Output - County'!B1895)*VLOOKUP(A1895,'Output - State'!$B$2:$G$52,6,FALSE)</f>
        <v>3.3323181949890812</v>
      </c>
    </row>
    <row r="1896" spans="1:7" x14ac:dyDescent="0.25">
      <c r="A1896" s="88">
        <v>37</v>
      </c>
      <c r="B1896" s="88">
        <v>9</v>
      </c>
      <c r="C1896" s="97">
        <f>SUMIFS(Input!$C$115:$C$3257,Input!$A$115:$A$3257,"="&amp;'Output - County'!A1896,Input!$B$115:$B$3257,"="&amp;'Output - County'!B1896)*VLOOKUP(A1896,'Output - State'!$B$2:$G$52,2,FALSE)</f>
        <v>8.3033660340695992</v>
      </c>
      <c r="D1896" s="98">
        <f>SUMIFS(Input!$C$115:$C$3257,Input!$A$115:$A$3257,"="&amp;'Output - County'!A1896,Input!$B$115:$B$3257,"="&amp;'Output - County'!B1896)*VLOOKUP(A1896,'Output - State'!$B$2:$G$52,3,FALSE)</f>
        <v>0.1067322712877664</v>
      </c>
      <c r="E1896" s="98">
        <f>SUMIFS(Input!$C$115:$C$3257,Input!$A$115:$A$3257,"="&amp;'Output - County'!A1896,Input!$B$115:$B$3257,"="&amp;'Output - County'!B1896)*VLOOKUP(A1896,'Output - State'!$B$2:$G$52,4,FALSE)</f>
        <v>0.2645863459631414</v>
      </c>
      <c r="F1896" s="98">
        <f>SUMIFS(Input!$C$115:$C$3257,Input!$A$115:$A$3257,"="&amp;'Output - County'!A1896,Input!$B$115:$B$3257,"="&amp;'Output - County'!B1896)*VLOOKUP(A1896,'Output - State'!$B$2:$G$52,5,FALSE)</f>
        <v>12.343591810024957</v>
      </c>
      <c r="G1896" s="99">
        <f>SUMIFS(Input!$D$115:$D$3257,Input!$A$115:$A$3257,"="&amp;'Output - County'!A1896,Input!$B$115:$B$3257,"="&amp;'Output - County'!B1896)*VLOOKUP(A1896,'Output - State'!$B$2:$G$52,6,FALSE)</f>
        <v>3.6859519626205755</v>
      </c>
    </row>
    <row r="1897" spans="1:7" x14ac:dyDescent="0.25">
      <c r="A1897" s="88">
        <v>37</v>
      </c>
      <c r="B1897" s="88">
        <v>11</v>
      </c>
      <c r="C1897" s="97">
        <f>SUMIFS(Input!$C$115:$C$3257,Input!$A$115:$A$3257,"="&amp;'Output - County'!A1897,Input!$B$115:$B$3257,"="&amp;'Output - County'!B1897)*VLOOKUP(A1897,'Output - State'!$B$2:$G$52,2,FALSE)</f>
        <v>5.9094991258584644</v>
      </c>
      <c r="D1897" s="98">
        <f>SUMIFS(Input!$C$115:$C$3257,Input!$A$115:$A$3257,"="&amp;'Output - County'!A1897,Input!$B$115:$B$3257,"="&amp;'Output - County'!B1897)*VLOOKUP(A1897,'Output - State'!$B$2:$G$52,3,FALSE)</f>
        <v>7.5961274173386301E-2</v>
      </c>
      <c r="E1897" s="98">
        <f>SUMIFS(Input!$C$115:$C$3257,Input!$A$115:$A$3257,"="&amp;'Output - County'!A1897,Input!$B$115:$B$3257,"="&amp;'Output - County'!B1897)*VLOOKUP(A1897,'Output - State'!$B$2:$G$52,4,FALSE)</f>
        <v>0.18830589591832556</v>
      </c>
      <c r="F1897" s="98">
        <f>SUMIFS(Input!$C$115:$C$3257,Input!$A$115:$A$3257,"="&amp;'Output - County'!A1897,Input!$B$115:$B$3257,"="&amp;'Output - County'!B1897)*VLOOKUP(A1897,'Output - State'!$B$2:$G$52,5,FALSE)</f>
        <v>8.7849246573013087</v>
      </c>
      <c r="G1897" s="99">
        <f>SUMIFS(Input!$D$115:$D$3257,Input!$A$115:$A$3257,"="&amp;'Output - County'!A1897,Input!$B$115:$B$3257,"="&amp;'Output - County'!B1897)*VLOOKUP(A1897,'Output - State'!$B$2:$G$52,6,FALSE)</f>
        <v>2.3802272821350576</v>
      </c>
    </row>
    <row r="1898" spans="1:7" x14ac:dyDescent="0.25">
      <c r="A1898" s="88">
        <v>37</v>
      </c>
      <c r="B1898" s="88">
        <v>13</v>
      </c>
      <c r="C1898" s="97">
        <f>SUMIFS(Input!$C$115:$C$3257,Input!$A$115:$A$3257,"="&amp;'Output - County'!A1898,Input!$B$115:$B$3257,"="&amp;'Output - County'!B1898)*VLOOKUP(A1898,'Output - State'!$B$2:$G$52,2,FALSE)</f>
        <v>15.914886691127203</v>
      </c>
      <c r="D1898" s="98">
        <f>SUMIFS(Input!$C$115:$C$3257,Input!$A$115:$A$3257,"="&amp;'Output - County'!A1898,Input!$B$115:$B$3257,"="&amp;'Output - County'!B1898)*VLOOKUP(A1898,'Output - State'!$B$2:$G$52,3,FALSE)</f>
        <v>0.20457149508546085</v>
      </c>
      <c r="E1898" s="98">
        <f>SUMIFS(Input!$C$115:$C$3257,Input!$A$115:$A$3257,"="&amp;'Output - County'!A1898,Input!$B$115:$B$3257,"="&amp;'Output - County'!B1898)*VLOOKUP(A1898,'Output - State'!$B$2:$G$52,4,FALSE)</f>
        <v>0.50712707337544327</v>
      </c>
      <c r="F1898" s="98">
        <f>SUMIFS(Input!$C$115:$C$3257,Input!$A$115:$A$3257,"="&amp;'Output - County'!A1898,Input!$B$115:$B$3257,"="&amp;'Output - County'!B1898)*VLOOKUP(A1898,'Output - State'!$B$2:$G$52,5,FALSE)</f>
        <v>23.658702291580362</v>
      </c>
      <c r="G1898" s="99">
        <f>SUMIFS(Input!$D$115:$D$3257,Input!$A$115:$A$3257,"="&amp;'Output - County'!A1898,Input!$B$115:$B$3257,"="&amp;'Output - County'!B1898)*VLOOKUP(A1898,'Output - State'!$B$2:$G$52,6,FALSE)</f>
        <v>6.4062117136320698</v>
      </c>
    </row>
    <row r="1899" spans="1:7" x14ac:dyDescent="0.25">
      <c r="A1899" s="88">
        <v>37</v>
      </c>
      <c r="B1899" s="88">
        <v>15</v>
      </c>
      <c r="C1899" s="97">
        <f>SUMIFS(Input!$C$115:$C$3257,Input!$A$115:$A$3257,"="&amp;'Output - County'!A1899,Input!$B$115:$B$3257,"="&amp;'Output - County'!B1899)*VLOOKUP(A1899,'Output - State'!$B$2:$G$52,2,FALSE)</f>
        <v>9.070115919660374</v>
      </c>
      <c r="D1899" s="98">
        <f>SUMIFS(Input!$C$115:$C$3257,Input!$A$115:$A$3257,"="&amp;'Output - County'!A1899,Input!$B$115:$B$3257,"="&amp;'Output - County'!B1899)*VLOOKUP(A1899,'Output - State'!$B$2:$G$52,3,FALSE)</f>
        <v>0.11658814858655736</v>
      </c>
      <c r="E1899" s="98">
        <f>SUMIFS(Input!$C$115:$C$3257,Input!$A$115:$A$3257,"="&amp;'Output - County'!A1899,Input!$B$115:$B$3257,"="&amp;'Output - County'!B1899)*VLOOKUP(A1899,'Output - State'!$B$2:$G$52,4,FALSE)</f>
        <v>0.28901879295677224</v>
      </c>
      <c r="F1899" s="98">
        <f>SUMIFS(Input!$C$115:$C$3257,Input!$A$115:$A$3257,"="&amp;'Output - County'!A1899,Input!$B$115:$B$3257,"="&amp;'Output - County'!B1899)*VLOOKUP(A1899,'Output - State'!$B$2:$G$52,5,FALSE)</f>
        <v>13.483424447690481</v>
      </c>
      <c r="G1899" s="99">
        <f>SUMIFS(Input!$D$115:$D$3257,Input!$A$115:$A$3257,"="&amp;'Output - County'!A1899,Input!$B$115:$B$3257,"="&amp;'Output - County'!B1899)*VLOOKUP(A1899,'Output - State'!$B$2:$G$52,6,FALSE)</f>
        <v>2.5978480622159772</v>
      </c>
    </row>
    <row r="1900" spans="1:7" x14ac:dyDescent="0.25">
      <c r="A1900" s="88">
        <v>37</v>
      </c>
      <c r="B1900" s="88">
        <v>17</v>
      </c>
      <c r="C1900" s="97">
        <f>SUMIFS(Input!$C$115:$C$3257,Input!$A$115:$A$3257,"="&amp;'Output - County'!A1900,Input!$B$115:$B$3257,"="&amp;'Output - County'!B1900)*VLOOKUP(A1900,'Output - State'!$B$2:$G$52,2,FALSE)</f>
        <v>13.192417906165547</v>
      </c>
      <c r="D1900" s="98">
        <f>SUMIFS(Input!$C$115:$C$3257,Input!$A$115:$A$3257,"="&amp;'Output - County'!A1900,Input!$B$115:$B$3257,"="&amp;'Output - County'!B1900)*VLOOKUP(A1900,'Output - State'!$B$2:$G$52,3,FALSE)</f>
        <v>0.16957661761808898</v>
      </c>
      <c r="E1900" s="98">
        <f>SUMIFS(Input!$C$115:$C$3257,Input!$A$115:$A$3257,"="&amp;'Output - County'!A1900,Input!$B$115:$B$3257,"="&amp;'Output - County'!B1900)*VLOOKUP(A1900,'Output - State'!$B$2:$G$52,4,FALSE)</f>
        <v>0.42037574086087814</v>
      </c>
      <c r="F1900" s="98">
        <f>SUMIFS(Input!$C$115:$C$3257,Input!$A$115:$A$3257,"="&amp;'Output - County'!A1900,Input!$B$115:$B$3257,"="&amp;'Output - County'!B1900)*VLOOKUP(A1900,'Output - State'!$B$2:$G$52,5,FALSE)</f>
        <v>19.611543192581692</v>
      </c>
      <c r="G1900" s="99">
        <f>SUMIFS(Input!$D$115:$D$3257,Input!$A$115:$A$3257,"="&amp;'Output - County'!A1900,Input!$B$115:$B$3257,"="&amp;'Output - County'!B1900)*VLOOKUP(A1900,'Output - State'!$B$2:$G$52,6,FALSE)</f>
        <v>4.515631186679081</v>
      </c>
    </row>
    <row r="1901" spans="1:7" x14ac:dyDescent="0.25">
      <c r="A1901" s="88">
        <v>37</v>
      </c>
      <c r="B1901" s="88">
        <v>19</v>
      </c>
      <c r="C1901" s="97">
        <f>SUMIFS(Input!$C$115:$C$3257,Input!$A$115:$A$3257,"="&amp;'Output - County'!A1901,Input!$B$115:$B$3257,"="&amp;'Output - County'!B1901)*VLOOKUP(A1901,'Output - State'!$B$2:$G$52,2,FALSE)</f>
        <v>54.313016839152283</v>
      </c>
      <c r="D1901" s="98">
        <f>SUMIFS(Input!$C$115:$C$3257,Input!$A$115:$A$3257,"="&amp;'Output - County'!A1901,Input!$B$115:$B$3257,"="&amp;'Output - County'!B1901)*VLOOKUP(A1901,'Output - State'!$B$2:$G$52,3,FALSE)</f>
        <v>0.69814477935188135</v>
      </c>
      <c r="E1901" s="98">
        <f>SUMIFS(Input!$C$115:$C$3257,Input!$A$115:$A$3257,"="&amp;'Output - County'!A1901,Input!$B$115:$B$3257,"="&amp;'Output - County'!B1901)*VLOOKUP(A1901,'Output - State'!$B$2:$G$52,4,FALSE)</f>
        <v>1.7306815819924408</v>
      </c>
      <c r="F1901" s="98">
        <f>SUMIFS(Input!$C$115:$C$3257,Input!$A$115:$A$3257,"="&amp;'Output - County'!A1901,Input!$B$115:$B$3257,"="&amp;'Output - County'!B1901)*VLOOKUP(A1901,'Output - State'!$B$2:$G$52,5,FALSE)</f>
        <v>80.740474053861078</v>
      </c>
      <c r="G1901" s="99">
        <f>SUMIFS(Input!$D$115:$D$3257,Input!$A$115:$A$3257,"="&amp;'Output - County'!A1901,Input!$B$115:$B$3257,"="&amp;'Output - County'!B1901)*VLOOKUP(A1901,'Output - State'!$B$2:$G$52,6,FALSE)</f>
        <v>18.633779294428738</v>
      </c>
    </row>
    <row r="1902" spans="1:7" x14ac:dyDescent="0.25">
      <c r="A1902" s="88">
        <v>37</v>
      </c>
      <c r="B1902" s="88">
        <v>21</v>
      </c>
      <c r="C1902" s="97">
        <f>SUMIFS(Input!$C$115:$C$3257,Input!$A$115:$A$3257,"="&amp;'Output - County'!A1902,Input!$B$115:$B$3257,"="&amp;'Output - County'!B1902)*VLOOKUP(A1902,'Output - State'!$B$2:$G$52,2,FALSE)</f>
        <v>105.90519144503833</v>
      </c>
      <c r="D1902" s="98">
        <f>SUMIFS(Input!$C$115:$C$3257,Input!$A$115:$A$3257,"="&amp;'Output - County'!A1902,Input!$B$115:$B$3257,"="&amp;'Output - County'!B1902)*VLOOKUP(A1902,'Output - State'!$B$2:$G$52,3,FALSE)</f>
        <v>1.3613155890894357</v>
      </c>
      <c r="E1902" s="98">
        <f>SUMIFS(Input!$C$115:$C$3257,Input!$A$115:$A$3257,"="&amp;'Output - County'!A1902,Input!$B$115:$B$3257,"="&amp;'Output - County'!B1902)*VLOOKUP(A1902,'Output - State'!$B$2:$G$52,4,FALSE)</f>
        <v>3.3746636614592442</v>
      </c>
      <c r="F1902" s="98">
        <f>SUMIFS(Input!$C$115:$C$3257,Input!$A$115:$A$3257,"="&amp;'Output - County'!A1902,Input!$B$115:$B$3257,"="&amp;'Output - County'!B1902)*VLOOKUP(A1902,'Output - State'!$B$2:$G$52,5,FALSE)</f>
        <v>157.4362070028362</v>
      </c>
      <c r="G1902" s="99">
        <f>SUMIFS(Input!$D$115:$D$3257,Input!$A$115:$A$3257,"="&amp;'Output - County'!A1902,Input!$B$115:$B$3257,"="&amp;'Output - County'!B1902)*VLOOKUP(A1902,'Output - State'!$B$2:$G$52,6,FALSE)</f>
        <v>35.227363775598853</v>
      </c>
    </row>
    <row r="1903" spans="1:7" x14ac:dyDescent="0.25">
      <c r="A1903" s="88">
        <v>37</v>
      </c>
      <c r="B1903" s="88">
        <v>23</v>
      </c>
      <c r="C1903" s="97">
        <f>SUMIFS(Input!$C$115:$C$3257,Input!$A$115:$A$3257,"="&amp;'Output - County'!A1903,Input!$B$115:$B$3257,"="&amp;'Output - County'!B1903)*VLOOKUP(A1903,'Output - State'!$B$2:$G$52,2,FALSE)</f>
        <v>36.349475513915742</v>
      </c>
      <c r="D1903" s="98">
        <f>SUMIFS(Input!$C$115:$C$3257,Input!$A$115:$A$3257,"="&amp;'Output - County'!A1903,Input!$B$115:$B$3257,"="&amp;'Output - County'!B1903)*VLOOKUP(A1903,'Output - State'!$B$2:$G$52,3,FALSE)</f>
        <v>0.46723967916151221</v>
      </c>
      <c r="E1903" s="98">
        <f>SUMIFS(Input!$C$115:$C$3257,Input!$A$115:$A$3257,"="&amp;'Output - County'!A1903,Input!$B$115:$B$3257,"="&amp;'Output - County'!B1903)*VLOOKUP(A1903,'Output - State'!$B$2:$G$52,4,FALSE)</f>
        <v>1.1582742305279221</v>
      </c>
      <c r="F1903" s="98">
        <f>SUMIFS(Input!$C$115:$C$3257,Input!$A$115:$A$3257,"="&amp;'Output - County'!A1903,Input!$B$115:$B$3257,"="&amp;'Output - County'!B1903)*VLOOKUP(A1903,'Output - State'!$B$2:$G$52,5,FALSE)</f>
        <v>54.036289188177236</v>
      </c>
      <c r="G1903" s="99">
        <f>SUMIFS(Input!$D$115:$D$3257,Input!$A$115:$A$3257,"="&amp;'Output - County'!A1903,Input!$B$115:$B$3257,"="&amp;'Output - County'!B1903)*VLOOKUP(A1903,'Output - State'!$B$2:$G$52,6,FALSE)</f>
        <v>12.295574074571956</v>
      </c>
    </row>
    <row r="1904" spans="1:7" x14ac:dyDescent="0.25">
      <c r="A1904" s="88">
        <v>37</v>
      </c>
      <c r="B1904" s="88">
        <v>25</v>
      </c>
      <c r="C1904" s="97">
        <f>SUMIFS(Input!$C$115:$C$3257,Input!$A$115:$A$3257,"="&amp;'Output - County'!A1904,Input!$B$115:$B$3257,"="&amp;'Output - County'!B1904)*VLOOKUP(A1904,'Output - State'!$B$2:$G$52,2,FALSE)</f>
        <v>76.6121591206321</v>
      </c>
      <c r="D1904" s="98">
        <f>SUMIFS(Input!$C$115:$C$3257,Input!$A$115:$A$3257,"="&amp;'Output - County'!A1904,Input!$B$115:$B$3257,"="&amp;'Output - County'!B1904)*VLOOKUP(A1904,'Output - State'!$B$2:$G$52,3,FALSE)</f>
        <v>0.98478011419149403</v>
      </c>
      <c r="E1904" s="98">
        <f>SUMIFS(Input!$C$115:$C$3257,Input!$A$115:$A$3257,"="&amp;'Output - County'!A1904,Input!$B$115:$B$3257,"="&amp;'Output - County'!B1904)*VLOOKUP(A1904,'Output - State'!$B$2:$G$52,4,FALSE)</f>
        <v>2.4412426424299074</v>
      </c>
      <c r="F1904" s="98">
        <f>SUMIFS(Input!$C$115:$C$3257,Input!$A$115:$A$3257,"="&amp;'Output - County'!A1904,Input!$B$115:$B$3257,"="&amp;'Output - County'!B1904)*VLOOKUP(A1904,'Output - State'!$B$2:$G$52,5,FALSE)</f>
        <v>113.88986297720484</v>
      </c>
      <c r="G1904" s="99">
        <f>SUMIFS(Input!$D$115:$D$3257,Input!$A$115:$A$3257,"="&amp;'Output - County'!A1904,Input!$B$115:$B$3257,"="&amp;'Output - County'!B1904)*VLOOKUP(A1904,'Output - State'!$B$2:$G$52,6,FALSE)</f>
        <v>28.834753360721844</v>
      </c>
    </row>
    <row r="1905" spans="1:7" x14ac:dyDescent="0.25">
      <c r="A1905" s="88">
        <v>37</v>
      </c>
      <c r="B1905" s="88">
        <v>27</v>
      </c>
      <c r="C1905" s="97">
        <f>SUMIFS(Input!$C$115:$C$3257,Input!$A$115:$A$3257,"="&amp;'Output - County'!A1905,Input!$B$115:$B$3257,"="&amp;'Output - County'!B1905)*VLOOKUP(A1905,'Output - State'!$B$2:$G$52,2,FALSE)</f>
        <v>24.250050068582738</v>
      </c>
      <c r="D1905" s="98">
        <f>SUMIFS(Input!$C$115:$C$3257,Input!$A$115:$A$3257,"="&amp;'Output - County'!A1905,Input!$B$115:$B$3257,"="&amp;'Output - County'!B1905)*VLOOKUP(A1905,'Output - State'!$B$2:$G$52,3,FALSE)</f>
        <v>0.31171249250508426</v>
      </c>
      <c r="E1905" s="98">
        <f>SUMIFS(Input!$C$115:$C$3257,Input!$A$115:$A$3257,"="&amp;'Output - County'!A1905,Input!$B$115:$B$3257,"="&amp;'Output - County'!B1905)*VLOOKUP(A1905,'Output - State'!$B$2:$G$52,4,FALSE)</f>
        <v>0.77272664010511494</v>
      </c>
      <c r="F1905" s="98">
        <f>SUMIFS(Input!$C$115:$C$3257,Input!$A$115:$A$3257,"="&amp;'Output - County'!A1905,Input!$B$115:$B$3257,"="&amp;'Output - County'!B1905)*VLOOKUP(A1905,'Output - State'!$B$2:$G$52,5,FALSE)</f>
        <v>36.049563296506371</v>
      </c>
      <c r="G1905" s="99">
        <f>SUMIFS(Input!$D$115:$D$3257,Input!$A$115:$A$3257,"="&amp;'Output - County'!A1905,Input!$B$115:$B$3257,"="&amp;'Output - County'!B1905)*VLOOKUP(A1905,'Output - State'!$B$2:$G$52,6,FALSE)</f>
        <v>11.153064979147128</v>
      </c>
    </row>
    <row r="1906" spans="1:7" x14ac:dyDescent="0.25">
      <c r="A1906" s="88">
        <v>37</v>
      </c>
      <c r="B1906" s="88">
        <v>29</v>
      </c>
      <c r="C1906" s="97">
        <f>SUMIFS(Input!$C$115:$C$3257,Input!$A$115:$A$3257,"="&amp;'Output - County'!A1906,Input!$B$115:$B$3257,"="&amp;'Output - County'!B1906)*VLOOKUP(A1906,'Output - State'!$B$2:$G$52,2,FALSE)</f>
        <v>4.6815807144367891</v>
      </c>
      <c r="D1906" s="98">
        <f>SUMIFS(Input!$C$115:$C$3257,Input!$A$115:$A$3257,"="&amp;'Output - County'!A1906,Input!$B$115:$B$3257,"="&amp;'Output - County'!B1906)*VLOOKUP(A1906,'Output - State'!$B$2:$G$52,3,FALSE)</f>
        <v>6.0177491973570668E-2</v>
      </c>
      <c r="E1906" s="98">
        <f>SUMIFS(Input!$C$115:$C$3257,Input!$A$115:$A$3257,"="&amp;'Output - County'!A1906,Input!$B$115:$B$3257,"="&amp;'Output - County'!B1906)*VLOOKUP(A1906,'Output - State'!$B$2:$G$52,4,FALSE)</f>
        <v>0.14917833677112352</v>
      </c>
      <c r="F1906" s="98">
        <f>SUMIFS(Input!$C$115:$C$3257,Input!$A$115:$A$3257,"="&amp;'Output - County'!A1906,Input!$B$115:$B$3257,"="&amp;'Output - County'!B1906)*VLOOKUP(A1906,'Output - State'!$B$2:$G$52,5,FALSE)</f>
        <v>6.9595295603715845</v>
      </c>
      <c r="G1906" s="99">
        <f>SUMIFS(Input!$D$115:$D$3257,Input!$A$115:$A$3257,"="&amp;'Output - County'!A1906,Input!$B$115:$B$3257,"="&amp;'Output - County'!B1906)*VLOOKUP(A1906,'Output - State'!$B$2:$G$52,6,FALSE)</f>
        <v>1.4553389667911496</v>
      </c>
    </row>
    <row r="1907" spans="1:7" x14ac:dyDescent="0.25">
      <c r="A1907" s="88">
        <v>37</v>
      </c>
      <c r="B1907" s="88">
        <v>31</v>
      </c>
      <c r="C1907" s="97">
        <f>SUMIFS(Input!$C$115:$C$3257,Input!$A$115:$A$3257,"="&amp;'Output - County'!A1907,Input!$B$115:$B$3257,"="&amp;'Output - County'!B1907)*VLOOKUP(A1907,'Output - State'!$B$2:$G$52,2,FALSE)</f>
        <v>28.303060069394704</v>
      </c>
      <c r="D1907" s="98">
        <f>SUMIFS(Input!$C$115:$C$3257,Input!$A$115:$A$3257,"="&amp;'Output - County'!A1907,Input!$B$115:$B$3257,"="&amp;'Output - County'!B1907)*VLOOKUP(A1907,'Output - State'!$B$2:$G$52,3,FALSE)</f>
        <v>0.36381027564071172</v>
      </c>
      <c r="E1907" s="98">
        <f>SUMIFS(Input!$C$115:$C$3257,Input!$A$115:$A$3257,"="&amp;'Output - County'!A1907,Input!$B$115:$B$3257,"="&amp;'Output - County'!B1907)*VLOOKUP(A1907,'Output - State'!$B$2:$G$52,4,FALSE)</f>
        <v>0.90187560232921216</v>
      </c>
      <c r="F1907" s="98">
        <f>SUMIFS(Input!$C$115:$C$3257,Input!$A$115:$A$3257,"="&amp;'Output - County'!A1907,Input!$B$115:$B$3257,"="&amp;'Output - County'!B1907)*VLOOKUP(A1907,'Output - State'!$B$2:$G$52,5,FALSE)</f>
        <v>42.074674178852</v>
      </c>
      <c r="G1907" s="99">
        <f>SUMIFS(Input!$D$115:$D$3257,Input!$A$115:$A$3257,"="&amp;'Output - County'!A1907,Input!$B$115:$B$3257,"="&amp;'Output - County'!B1907)*VLOOKUP(A1907,'Output - State'!$B$2:$G$52,6,FALSE)</f>
        <v>9.4393013360098852</v>
      </c>
    </row>
    <row r="1908" spans="1:7" x14ac:dyDescent="0.25">
      <c r="A1908" s="88">
        <v>37</v>
      </c>
      <c r="B1908" s="88">
        <v>33</v>
      </c>
      <c r="C1908" s="97">
        <f>SUMIFS(Input!$C$115:$C$3257,Input!$A$115:$A$3257,"="&amp;'Output - County'!A1908,Input!$B$115:$B$3257,"="&amp;'Output - County'!B1908)*VLOOKUP(A1908,'Output - State'!$B$2:$G$52,2,FALSE)</f>
        <v>7.2947196397538319</v>
      </c>
      <c r="D1908" s="98">
        <f>SUMIFS(Input!$C$115:$C$3257,Input!$A$115:$A$3257,"="&amp;'Output - County'!A1908,Input!$B$115:$B$3257,"="&amp;'Output - County'!B1908)*VLOOKUP(A1908,'Output - State'!$B$2:$G$52,3,FALSE)</f>
        <v>9.3767032835093425E-2</v>
      </c>
      <c r="E1908" s="98">
        <f>SUMIFS(Input!$C$115:$C$3257,Input!$A$115:$A$3257,"="&amp;'Output - County'!A1908,Input!$B$115:$B$3257,"="&amp;'Output - County'!B1908)*VLOOKUP(A1908,'Output - State'!$B$2:$G$52,4,FALSE)</f>
        <v>0.23244587874227055</v>
      </c>
      <c r="F1908" s="98">
        <f>SUMIFS(Input!$C$115:$C$3257,Input!$A$115:$A$3257,"="&amp;'Output - County'!A1908,Input!$B$115:$B$3257,"="&amp;'Output - County'!B1908)*VLOOKUP(A1908,'Output - State'!$B$2:$G$52,5,FALSE)</f>
        <v>10.844161419867243</v>
      </c>
      <c r="G1908" s="99">
        <f>SUMIFS(Input!$D$115:$D$3257,Input!$A$115:$A$3257,"="&amp;'Output - County'!A1908,Input!$B$115:$B$3257,"="&amp;'Output - County'!B1908)*VLOOKUP(A1908,'Output - State'!$B$2:$G$52,6,FALSE)</f>
        <v>3.073893518642989</v>
      </c>
    </row>
    <row r="1909" spans="1:7" x14ac:dyDescent="0.25">
      <c r="A1909" s="88">
        <v>37</v>
      </c>
      <c r="B1909" s="88">
        <v>35</v>
      </c>
      <c r="C1909" s="97">
        <f>SUMIFS(Input!$C$115:$C$3257,Input!$A$115:$A$3257,"="&amp;'Output - County'!A1909,Input!$B$115:$B$3257,"="&amp;'Output - County'!B1909)*VLOOKUP(A1909,'Output - State'!$B$2:$G$52,2,FALSE)</f>
        <v>62.793455180935609</v>
      </c>
      <c r="D1909" s="98">
        <f>SUMIFS(Input!$C$115:$C$3257,Input!$A$115:$A$3257,"="&amp;'Output - County'!A1909,Input!$B$115:$B$3257,"="&amp;'Output - County'!B1909)*VLOOKUP(A1909,'Output - State'!$B$2:$G$52,3,FALSE)</f>
        <v>0.80715315523468867</v>
      </c>
      <c r="E1909" s="98">
        <f>SUMIFS(Input!$C$115:$C$3257,Input!$A$115:$A$3257,"="&amp;'Output - County'!A1909,Input!$B$115:$B$3257,"="&amp;'Output - County'!B1909)*VLOOKUP(A1909,'Output - State'!$B$2:$G$52,4,FALSE)</f>
        <v>2.0009103282396357</v>
      </c>
      <c r="F1909" s="98">
        <f>SUMIFS(Input!$C$115:$C$3257,Input!$A$115:$A$3257,"="&amp;'Output - County'!A1909,Input!$B$115:$B$3257,"="&amp;'Output - County'!B1909)*VLOOKUP(A1909,'Output - State'!$B$2:$G$52,5,FALSE)</f>
        <v>93.34729745915827</v>
      </c>
      <c r="G1909" s="99">
        <f>SUMIFS(Input!$D$115:$D$3257,Input!$A$115:$A$3257,"="&amp;'Output - County'!A1909,Input!$B$115:$B$3257,"="&amp;'Output - County'!B1909)*VLOOKUP(A1909,'Output - State'!$B$2:$G$52,6,FALSE)</f>
        <v>21.626065020541382</v>
      </c>
    </row>
    <row r="1910" spans="1:7" x14ac:dyDescent="0.25">
      <c r="A1910" s="88">
        <v>37</v>
      </c>
      <c r="B1910" s="88">
        <v>37</v>
      </c>
      <c r="C1910" s="97">
        <f>SUMIFS(Input!$C$115:$C$3257,Input!$A$115:$A$3257,"="&amp;'Output - County'!A1910,Input!$B$115:$B$3257,"="&amp;'Output - County'!B1910)*VLOOKUP(A1910,'Output - State'!$B$2:$G$52,2,FALSE)</f>
        <v>31.200922004361146</v>
      </c>
      <c r="D1910" s="98">
        <f>SUMIFS(Input!$C$115:$C$3257,Input!$A$115:$A$3257,"="&amp;'Output - County'!A1910,Input!$B$115:$B$3257,"="&amp;'Output - County'!B1910)*VLOOKUP(A1910,'Output - State'!$B$2:$G$52,3,FALSE)</f>
        <v>0.40105967364728617</v>
      </c>
      <c r="E1910" s="98">
        <f>SUMIFS(Input!$C$115:$C$3257,Input!$A$115:$A$3257,"="&amp;'Output - County'!A1910,Input!$B$115:$B$3257,"="&amp;'Output - County'!B1910)*VLOOKUP(A1910,'Output - State'!$B$2:$G$52,4,FALSE)</f>
        <v>0.99421582885089688</v>
      </c>
      <c r="F1910" s="98">
        <f>SUMIFS(Input!$C$115:$C$3257,Input!$A$115:$A$3257,"="&amp;'Output - County'!A1910,Input!$B$115:$B$3257,"="&amp;'Output - County'!B1910)*VLOOKUP(A1910,'Output - State'!$B$2:$G$52,5,FALSE)</f>
        <v>46.382568676127761</v>
      </c>
      <c r="G1910" s="99">
        <f>SUMIFS(Input!$D$115:$D$3257,Input!$A$115:$A$3257,"="&amp;'Output - County'!A1910,Input!$B$115:$B$3257,"="&amp;'Output - County'!B1910)*VLOOKUP(A1910,'Output - State'!$B$2:$G$52,6,FALSE)</f>
        <v>9.942549389947013</v>
      </c>
    </row>
    <row r="1911" spans="1:7" x14ac:dyDescent="0.25">
      <c r="A1911" s="88">
        <v>37</v>
      </c>
      <c r="B1911" s="88">
        <v>39</v>
      </c>
      <c r="C1911" s="97">
        <f>SUMIFS(Input!$C$115:$C$3257,Input!$A$115:$A$3257,"="&amp;'Output - County'!A1911,Input!$B$115:$B$3257,"="&amp;'Output - County'!B1911)*VLOOKUP(A1911,'Output - State'!$B$2:$G$52,2,FALSE)</f>
        <v>9.8716230395689593</v>
      </c>
      <c r="D1911" s="98">
        <f>SUMIFS(Input!$C$115:$C$3257,Input!$A$115:$A$3257,"="&amp;'Output - County'!A1911,Input!$B$115:$B$3257,"="&amp;'Output - County'!B1911)*VLOOKUP(A1911,'Output - State'!$B$2:$G$52,3,FALSE)</f>
        <v>0.12689079874194642</v>
      </c>
      <c r="E1911" s="98">
        <f>SUMIFS(Input!$C$115:$C$3257,Input!$A$115:$A$3257,"="&amp;'Output - County'!A1911,Input!$B$115:$B$3257,"="&amp;'Output - County'!B1911)*VLOOKUP(A1911,'Output - State'!$B$2:$G$52,4,FALSE)</f>
        <v>0.31455877749435818</v>
      </c>
      <c r="F1911" s="98">
        <f>SUMIFS(Input!$C$115:$C$3257,Input!$A$115:$A$3257,"="&amp;'Output - County'!A1911,Input!$B$115:$B$3257,"="&amp;'Output - County'!B1911)*VLOOKUP(A1911,'Output - State'!$B$2:$G$52,5,FALSE)</f>
        <v>14.67492638562581</v>
      </c>
      <c r="G1911" s="99">
        <f>SUMIFS(Input!$D$115:$D$3257,Input!$A$115:$A$3257,"="&amp;'Output - County'!A1911,Input!$B$115:$B$3257,"="&amp;'Output - County'!B1911)*VLOOKUP(A1911,'Output - State'!$B$2:$G$52,6,FALSE)</f>
        <v>3.8627688464363223</v>
      </c>
    </row>
    <row r="1912" spans="1:7" x14ac:dyDescent="0.25">
      <c r="A1912" s="88">
        <v>37</v>
      </c>
      <c r="B1912" s="88">
        <v>41</v>
      </c>
      <c r="C1912" s="97">
        <f>SUMIFS(Input!$C$115:$C$3257,Input!$A$115:$A$3257,"="&amp;'Output - County'!A1912,Input!$B$115:$B$3257,"="&amp;'Output - County'!B1912)*VLOOKUP(A1912,'Output - State'!$B$2:$G$52,2,FALSE)</f>
        <v>3.9964456804787512</v>
      </c>
      <c r="D1912" s="98">
        <f>SUMIFS(Input!$C$115:$C$3257,Input!$A$115:$A$3257,"="&amp;'Output - County'!A1912,Input!$B$115:$B$3257,"="&amp;'Output - County'!B1912)*VLOOKUP(A1912,'Output - State'!$B$2:$G$52,3,FALSE)</f>
        <v>5.1370699883095741E-2</v>
      </c>
      <c r="E1912" s="98">
        <f>SUMIFS(Input!$C$115:$C$3257,Input!$A$115:$A$3257,"="&amp;'Output - County'!A1912,Input!$B$115:$B$3257,"="&amp;'Output - County'!B1912)*VLOOKUP(A1912,'Output - State'!$B$2:$G$52,4,FALSE)</f>
        <v>0.12734654296816586</v>
      </c>
      <c r="F1912" s="98">
        <f>SUMIFS(Input!$C$115:$C$3257,Input!$A$115:$A$3257,"="&amp;'Output - County'!A1912,Input!$B$115:$B$3257,"="&amp;'Output - County'!B1912)*VLOOKUP(A1912,'Output - State'!$B$2:$G$52,5,FALSE)</f>
        <v>5.9410236726116663</v>
      </c>
      <c r="G1912" s="99">
        <f>SUMIFS(Input!$D$115:$D$3257,Input!$A$115:$A$3257,"="&amp;'Output - County'!A1912,Input!$B$115:$B$3257,"="&amp;'Output - County'!B1912)*VLOOKUP(A1912,'Output - State'!$B$2:$G$52,6,FALSE)</f>
        <v>1.9177831244631038</v>
      </c>
    </row>
    <row r="1913" spans="1:7" x14ac:dyDescent="0.25">
      <c r="A1913" s="88">
        <v>37</v>
      </c>
      <c r="B1913" s="88">
        <v>43</v>
      </c>
      <c r="C1913" s="97">
        <f>SUMIFS(Input!$C$115:$C$3257,Input!$A$115:$A$3257,"="&amp;'Output - County'!A1913,Input!$B$115:$B$3257,"="&amp;'Output - County'!B1913)*VLOOKUP(A1913,'Output - State'!$B$2:$G$52,2,FALSE)</f>
        <v>3.4748693500357195</v>
      </c>
      <c r="D1913" s="98">
        <f>SUMIFS(Input!$C$115:$C$3257,Input!$A$115:$A$3257,"="&amp;'Output - County'!A1913,Input!$B$115:$B$3257,"="&amp;'Output - County'!B1913)*VLOOKUP(A1913,'Output - State'!$B$2:$G$52,3,FALSE)</f>
        <v>4.4666307210328167E-2</v>
      </c>
      <c r="E1913" s="98">
        <f>SUMIFS(Input!$C$115:$C$3257,Input!$A$115:$A$3257,"="&amp;'Output - County'!A1913,Input!$B$115:$B$3257,"="&amp;'Output - County'!B1913)*VLOOKUP(A1913,'Output - State'!$B$2:$G$52,4,FALSE)</f>
        <v>0.11072653912315301</v>
      </c>
      <c r="F1913" s="98">
        <f>SUMIFS(Input!$C$115:$C$3257,Input!$A$115:$A$3257,"="&amp;'Output - County'!A1913,Input!$B$115:$B$3257,"="&amp;'Output - County'!B1913)*VLOOKUP(A1913,'Output - State'!$B$2:$G$52,5,FALSE)</f>
        <v>5.1656603688209914</v>
      </c>
      <c r="G1913" s="99">
        <f>SUMIFS(Input!$D$115:$D$3257,Input!$A$115:$A$3257,"="&amp;'Output - County'!A1913,Input!$B$115:$B$3257,"="&amp;'Output - County'!B1913)*VLOOKUP(A1913,'Output - State'!$B$2:$G$52,6,FALSE)</f>
        <v>1.5097441618113796</v>
      </c>
    </row>
    <row r="1914" spans="1:7" x14ac:dyDescent="0.25">
      <c r="A1914" s="88">
        <v>37</v>
      </c>
      <c r="B1914" s="88">
        <v>45</v>
      </c>
      <c r="C1914" s="97">
        <f>SUMIFS(Input!$C$115:$C$3257,Input!$A$115:$A$3257,"="&amp;'Output - County'!A1914,Input!$B$115:$B$3257,"="&amp;'Output - County'!B1914)*VLOOKUP(A1914,'Output - State'!$B$2:$G$52,2,FALSE)</f>
        <v>36.824313156091783</v>
      </c>
      <c r="D1914" s="98">
        <f>SUMIFS(Input!$C$115:$C$3257,Input!$A$115:$A$3257,"="&amp;'Output - County'!A1914,Input!$B$115:$B$3257,"="&amp;'Output - County'!B1914)*VLOOKUP(A1914,'Output - State'!$B$2:$G$52,3,FALSE)</f>
        <v>0.47334328820806376</v>
      </c>
      <c r="E1914" s="98">
        <f>SUMIFS(Input!$C$115:$C$3257,Input!$A$115:$A$3257,"="&amp;'Output - County'!A1914,Input!$B$115:$B$3257,"="&amp;'Output - County'!B1914)*VLOOKUP(A1914,'Output - State'!$B$2:$G$52,4,FALSE)</f>
        <v>1.173404908394418</v>
      </c>
      <c r="F1914" s="98">
        <f>SUMIFS(Input!$C$115:$C$3257,Input!$A$115:$A$3257,"="&amp;'Output - County'!A1914,Input!$B$115:$B$3257,"="&amp;'Output - County'!B1914)*VLOOKUP(A1914,'Output - State'!$B$2:$G$52,5,FALSE)</f>
        <v>54.742171839502802</v>
      </c>
      <c r="G1914" s="99">
        <f>SUMIFS(Input!$D$115:$D$3257,Input!$A$115:$A$3257,"="&amp;'Output - County'!A1914,Input!$B$115:$B$3257,"="&amp;'Output - County'!B1914)*VLOOKUP(A1914,'Output - State'!$B$2:$G$52,6,FALSE)</f>
        <v>13.261266286181037</v>
      </c>
    </row>
    <row r="1915" spans="1:7" x14ac:dyDescent="0.25">
      <c r="A1915" s="88">
        <v>37</v>
      </c>
      <c r="B1915" s="88">
        <v>47</v>
      </c>
      <c r="C1915" s="97">
        <f>SUMIFS(Input!$C$115:$C$3257,Input!$A$115:$A$3257,"="&amp;'Output - County'!A1915,Input!$B$115:$B$3257,"="&amp;'Output - County'!B1915)*VLOOKUP(A1915,'Output - State'!$B$2:$G$52,2,FALSE)</f>
        <v>24.929300791885421</v>
      </c>
      <c r="D1915" s="98">
        <f>SUMIFS(Input!$C$115:$C$3257,Input!$A$115:$A$3257,"="&amp;'Output - County'!A1915,Input!$B$115:$B$3257,"="&amp;'Output - County'!B1915)*VLOOKUP(A1915,'Output - State'!$B$2:$G$52,3,FALSE)</f>
        <v>0.32044364709642548</v>
      </c>
      <c r="E1915" s="98">
        <f>SUMIFS(Input!$C$115:$C$3257,Input!$A$115:$A$3257,"="&amp;'Output - County'!A1915,Input!$B$115:$B$3257,"="&amp;'Output - County'!B1915)*VLOOKUP(A1915,'Output - State'!$B$2:$G$52,4,FALSE)</f>
        <v>0.79437093064151487</v>
      </c>
      <c r="F1915" s="98">
        <f>SUMIFS(Input!$C$115:$C$3257,Input!$A$115:$A$3257,"="&amp;'Output - County'!A1915,Input!$B$115:$B$3257,"="&amp;'Output - County'!B1915)*VLOOKUP(A1915,'Output - State'!$B$2:$G$52,5,FALSE)</f>
        <v>37.05932170420639</v>
      </c>
      <c r="G1915" s="99">
        <f>SUMIFS(Input!$D$115:$D$3257,Input!$A$115:$A$3257,"="&amp;'Output - County'!A1915,Input!$B$115:$B$3257,"="&amp;'Output - County'!B1915)*VLOOKUP(A1915,'Output - State'!$B$2:$G$52,6,FALSE)</f>
        <v>7.58952470532207</v>
      </c>
    </row>
    <row r="1916" spans="1:7" x14ac:dyDescent="0.25">
      <c r="A1916" s="88">
        <v>37</v>
      </c>
      <c r="B1916" s="88">
        <v>49</v>
      </c>
      <c r="C1916" s="97">
        <f>SUMIFS(Input!$C$115:$C$3257,Input!$A$115:$A$3257,"="&amp;'Output - County'!A1916,Input!$B$115:$B$3257,"="&amp;'Output - County'!B1916)*VLOOKUP(A1916,'Output - State'!$B$2:$G$52,2,FALSE)</f>
        <v>36.077067389520082</v>
      </c>
      <c r="D1916" s="98">
        <f>SUMIFS(Input!$C$115:$C$3257,Input!$A$115:$A$3257,"="&amp;'Output - County'!A1916,Input!$B$115:$B$3257,"="&amp;'Output - County'!B1916)*VLOOKUP(A1916,'Output - State'!$B$2:$G$52,3,FALSE)</f>
        <v>0.46373811874436416</v>
      </c>
      <c r="E1916" s="98">
        <f>SUMIFS(Input!$C$115:$C$3257,Input!$A$115:$A$3257,"="&amp;'Output - County'!A1916,Input!$B$115:$B$3257,"="&amp;'Output - County'!B1916)*VLOOKUP(A1916,'Output - State'!$B$2:$G$52,4,FALSE)</f>
        <v>1.1495939591838928</v>
      </c>
      <c r="F1916" s="98">
        <f>SUMIFS(Input!$C$115:$C$3257,Input!$A$115:$A$3257,"="&amp;'Output - County'!A1916,Input!$B$115:$B$3257,"="&amp;'Output - County'!B1916)*VLOOKUP(A1916,'Output - State'!$B$2:$G$52,5,FALSE)</f>
        <v>53.631333573854334</v>
      </c>
      <c r="G1916" s="99">
        <f>SUMIFS(Input!$D$115:$D$3257,Input!$A$115:$A$3257,"="&amp;'Output - County'!A1916,Input!$B$115:$B$3257,"="&amp;'Output - County'!B1916)*VLOOKUP(A1916,'Output - State'!$B$2:$G$52,6,FALSE)</f>
        <v>13.873324730158624</v>
      </c>
    </row>
    <row r="1917" spans="1:7" x14ac:dyDescent="0.25">
      <c r="A1917" s="88">
        <v>37</v>
      </c>
      <c r="B1917" s="88">
        <v>51</v>
      </c>
      <c r="C1917" s="97">
        <f>SUMIFS(Input!$C$115:$C$3257,Input!$A$115:$A$3257,"="&amp;'Output - County'!A1917,Input!$B$115:$B$3257,"="&amp;'Output - County'!B1917)*VLOOKUP(A1917,'Output - State'!$B$2:$G$52,2,FALSE)</f>
        <v>120.39142922385139</v>
      </c>
      <c r="D1917" s="98">
        <f>SUMIFS(Input!$C$115:$C$3257,Input!$A$115:$A$3257,"="&amp;'Output - County'!A1917,Input!$B$115:$B$3257,"="&amp;'Output - County'!B1917)*VLOOKUP(A1917,'Output - State'!$B$2:$G$52,3,FALSE)</f>
        <v>1.5475230926733259</v>
      </c>
      <c r="E1917" s="98">
        <f>SUMIFS(Input!$C$115:$C$3257,Input!$A$115:$A$3257,"="&amp;'Output - County'!A1917,Input!$B$115:$B$3257,"="&amp;'Output - County'!B1917)*VLOOKUP(A1917,'Output - State'!$B$2:$G$52,4,FALSE)</f>
        <v>3.8362669082537035</v>
      </c>
      <c r="F1917" s="98">
        <f>SUMIFS(Input!$C$115:$C$3257,Input!$A$115:$A$3257,"="&amp;'Output - County'!A1917,Input!$B$115:$B$3257,"="&amp;'Output - County'!B1917)*VLOOKUP(A1917,'Output - State'!$B$2:$G$52,5,FALSE)</f>
        <v>178.97111287967525</v>
      </c>
      <c r="G1917" s="99">
        <f>SUMIFS(Input!$D$115:$D$3257,Input!$A$115:$A$3257,"="&amp;'Output - County'!A1917,Input!$B$115:$B$3257,"="&amp;'Output - County'!B1917)*VLOOKUP(A1917,'Output - State'!$B$2:$G$52,6,FALSE)</f>
        <v>45.292324854341381</v>
      </c>
    </row>
    <row r="1918" spans="1:7" x14ac:dyDescent="0.25">
      <c r="A1918" s="88">
        <v>37</v>
      </c>
      <c r="B1918" s="88">
        <v>53</v>
      </c>
      <c r="C1918" s="97">
        <f>SUMIFS(Input!$C$115:$C$3257,Input!$A$115:$A$3257,"="&amp;'Output - County'!A1918,Input!$B$115:$B$3257,"="&amp;'Output - County'!B1918)*VLOOKUP(A1918,'Output - State'!$B$2:$G$52,2,FALSE)</f>
        <v>12.67989132968512</v>
      </c>
      <c r="D1918" s="98">
        <f>SUMIFS(Input!$C$115:$C$3257,Input!$A$115:$A$3257,"="&amp;'Output - County'!A1918,Input!$B$115:$B$3257,"="&amp;'Output - County'!B1918)*VLOOKUP(A1918,'Output - State'!$B$2:$G$52,3,FALSE)</f>
        <v>0.16298855135933965</v>
      </c>
      <c r="E1918" s="98">
        <f>SUMIFS(Input!$C$115:$C$3257,Input!$A$115:$A$3257,"="&amp;'Output - County'!A1918,Input!$B$115:$B$3257,"="&amp;'Output - County'!B1918)*VLOOKUP(A1918,'Output - State'!$B$2:$G$52,4,FALSE)</f>
        <v>0.40404410697607257</v>
      </c>
      <c r="F1918" s="98">
        <f>SUMIFS(Input!$C$115:$C$3257,Input!$A$115:$A$3257,"="&amp;'Output - County'!A1918,Input!$B$115:$B$3257,"="&amp;'Output - County'!B1918)*VLOOKUP(A1918,'Output - State'!$B$2:$G$52,5,FALSE)</f>
        <v>18.849633043624511</v>
      </c>
      <c r="G1918" s="99">
        <f>SUMIFS(Input!$D$115:$D$3257,Input!$A$115:$A$3257,"="&amp;'Output - County'!A1918,Input!$B$115:$B$3257,"="&amp;'Output - County'!B1918)*VLOOKUP(A1918,'Output - State'!$B$2:$G$52,6,FALSE)</f>
        <v>3.6723506638655179</v>
      </c>
    </row>
    <row r="1919" spans="1:7" x14ac:dyDescent="0.25">
      <c r="A1919" s="88">
        <v>37</v>
      </c>
      <c r="B1919" s="88">
        <v>55</v>
      </c>
      <c r="C1919" s="97">
        <f>SUMIFS(Input!$C$115:$C$3257,Input!$A$115:$A$3257,"="&amp;'Output - County'!A1919,Input!$B$115:$B$3257,"="&amp;'Output - County'!B1919)*VLOOKUP(A1919,'Output - State'!$B$2:$G$52,2,FALSE)</f>
        <v>18.728755165564039</v>
      </c>
      <c r="D1919" s="98">
        <f>SUMIFS(Input!$C$115:$C$3257,Input!$A$115:$A$3257,"="&amp;'Output - County'!A1919,Input!$B$115:$B$3257,"="&amp;'Output - County'!B1919)*VLOOKUP(A1919,'Output - State'!$B$2:$G$52,3,FALSE)</f>
        <v>0.2407412330145606</v>
      </c>
      <c r="E1919" s="98">
        <f>SUMIFS(Input!$C$115:$C$3257,Input!$A$115:$A$3257,"="&amp;'Output - County'!A1919,Input!$B$115:$B$3257,"="&amp;'Output - County'!B1919)*VLOOKUP(A1919,'Output - State'!$B$2:$G$52,4,FALSE)</f>
        <v>0.59679085245218311</v>
      </c>
      <c r="F1919" s="98">
        <f>SUMIFS(Input!$C$115:$C$3257,Input!$A$115:$A$3257,"="&amp;'Output - County'!A1919,Input!$B$115:$B$3257,"="&amp;'Output - County'!B1919)*VLOOKUP(A1919,'Output - State'!$B$2:$G$52,5,FALSE)</f>
        <v>27.841734054004387</v>
      </c>
      <c r="G1919" s="99">
        <f>SUMIFS(Input!$D$115:$D$3257,Input!$A$115:$A$3257,"="&amp;'Output - County'!A1919,Input!$B$115:$B$3257,"="&amp;'Output - County'!B1919)*VLOOKUP(A1919,'Output - State'!$B$2:$G$52,6,FALSE)</f>
        <v>4.9780753443510353</v>
      </c>
    </row>
    <row r="1920" spans="1:7" x14ac:dyDescent="0.25">
      <c r="A1920" s="88">
        <v>37</v>
      </c>
      <c r="B1920" s="88">
        <v>57</v>
      </c>
      <c r="C1920" s="97">
        <f>SUMIFS(Input!$C$115:$C$3257,Input!$A$115:$A$3257,"="&amp;'Output - County'!A1920,Input!$B$115:$B$3257,"="&amp;'Output - County'!B1920)*VLOOKUP(A1920,'Output - State'!$B$2:$G$52,2,FALSE)</f>
        <v>68.108034694556849</v>
      </c>
      <c r="D1920" s="98">
        <f>SUMIFS(Input!$C$115:$C$3257,Input!$A$115:$A$3257,"="&amp;'Output - County'!A1920,Input!$B$115:$B$3257,"="&amp;'Output - County'!B1920)*VLOOKUP(A1920,'Output - State'!$B$2:$G$52,3,FALSE)</f>
        <v>0.87546727508690203</v>
      </c>
      <c r="E1920" s="98">
        <f>SUMIFS(Input!$C$115:$C$3257,Input!$A$115:$A$3257,"="&amp;'Output - County'!A1920,Input!$B$115:$B$3257,"="&amp;'Output - County'!B1920)*VLOOKUP(A1920,'Output - State'!$B$2:$G$52,4,FALSE)</f>
        <v>2.170259140284049</v>
      </c>
      <c r="F1920" s="98">
        <f>SUMIFS(Input!$C$115:$C$3257,Input!$A$115:$A$3257,"="&amp;'Output - County'!A1920,Input!$B$115:$B$3257,"="&amp;'Output - County'!B1920)*VLOOKUP(A1920,'Output - State'!$B$2:$G$52,5,FALSE)</f>
        <v>101.24782838708481</v>
      </c>
      <c r="G1920" s="99">
        <f>SUMIFS(Input!$D$115:$D$3257,Input!$A$115:$A$3257,"="&amp;'Output - County'!A1920,Input!$B$115:$B$3257,"="&amp;'Output - County'!B1920)*VLOOKUP(A1920,'Output - State'!$B$2:$G$52,6,FALSE)</f>
        <v>22.578155933395408</v>
      </c>
    </row>
    <row r="1921" spans="1:7" x14ac:dyDescent="0.25">
      <c r="A1921" s="88">
        <v>37</v>
      </c>
      <c r="B1921" s="88">
        <v>59</v>
      </c>
      <c r="C1921" s="97">
        <f>SUMIFS(Input!$C$115:$C$3257,Input!$A$115:$A$3257,"="&amp;'Output - County'!A1921,Input!$B$115:$B$3257,"="&amp;'Output - County'!B1921)*VLOOKUP(A1921,'Output - State'!$B$2:$G$52,2,FALSE)</f>
        <v>19.513563197388532</v>
      </c>
      <c r="D1921" s="98">
        <f>SUMIFS(Input!$C$115:$C$3257,Input!$A$115:$A$3257,"="&amp;'Output - County'!A1921,Input!$B$115:$B$3257,"="&amp;'Output - County'!B1921)*VLOOKUP(A1921,'Output - State'!$B$2:$G$52,3,FALSE)</f>
        <v>0.25082923147419922</v>
      </c>
      <c r="E1921" s="98">
        <f>SUMIFS(Input!$C$115:$C$3257,Input!$A$115:$A$3257,"="&amp;'Output - County'!A1921,Input!$B$115:$B$3257,"="&amp;'Output - County'!B1921)*VLOOKUP(A1921,'Output - State'!$B$2:$G$52,4,FALSE)</f>
        <v>0.62179872137798498</v>
      </c>
      <c r="F1921" s="98">
        <f>SUMIFS(Input!$C$115:$C$3257,Input!$A$115:$A$3257,"="&amp;'Output - County'!A1921,Input!$B$115:$B$3257,"="&amp;'Output - County'!B1921)*VLOOKUP(A1921,'Output - State'!$B$2:$G$52,5,FALSE)</f>
        <v>29.008411514003427</v>
      </c>
      <c r="G1921" s="99">
        <f>SUMIFS(Input!$D$115:$D$3257,Input!$A$115:$A$3257,"="&amp;'Output - County'!A1921,Input!$B$115:$B$3257,"="&amp;'Output - County'!B1921)*VLOOKUP(A1921,'Output - State'!$B$2:$G$52,6,FALSE)</f>
        <v>5.7941532696544842</v>
      </c>
    </row>
    <row r="1922" spans="1:7" x14ac:dyDescent="0.25">
      <c r="A1922" s="88">
        <v>37</v>
      </c>
      <c r="B1922" s="88">
        <v>61</v>
      </c>
      <c r="C1922" s="97">
        <f>SUMIFS(Input!$C$115:$C$3257,Input!$A$115:$A$3257,"="&amp;'Output - County'!A1922,Input!$B$115:$B$3257,"="&amp;'Output - County'!B1922)*VLOOKUP(A1922,'Output - State'!$B$2:$G$52,2,FALSE)</f>
        <v>24.491754552267516</v>
      </c>
      <c r="D1922" s="98">
        <f>SUMIFS(Input!$C$115:$C$3257,Input!$A$115:$A$3257,"="&amp;'Output - County'!A1922,Input!$B$115:$B$3257,"="&amp;'Output - County'!B1922)*VLOOKUP(A1922,'Output - State'!$B$2:$G$52,3,FALSE)</f>
        <v>0.3148193853504993</v>
      </c>
      <c r="E1922" s="98">
        <f>SUMIFS(Input!$C$115:$C$3257,Input!$A$115:$A$3257,"="&amp;'Output - County'!A1922,Input!$B$115:$B$3257,"="&amp;'Output - County'!B1922)*VLOOKUP(A1922,'Output - State'!$B$2:$G$52,4,FALSE)</f>
        <v>0.78042854146399299</v>
      </c>
      <c r="F1922" s="98">
        <f>SUMIFS(Input!$C$115:$C$3257,Input!$A$115:$A$3257,"="&amp;'Output - County'!A1922,Input!$B$115:$B$3257,"="&amp;'Output - County'!B1922)*VLOOKUP(A1922,'Output - State'!$B$2:$G$52,5,FALSE)</f>
        <v>36.408875589017157</v>
      </c>
      <c r="G1922" s="99">
        <f>SUMIFS(Input!$D$115:$D$3257,Input!$A$115:$A$3257,"="&amp;'Output - County'!A1922,Input!$B$115:$B$3257,"="&amp;'Output - County'!B1922)*VLOOKUP(A1922,'Output - State'!$B$2:$G$52,6,FALSE)</f>
        <v>8.0247662654839083</v>
      </c>
    </row>
    <row r="1923" spans="1:7" x14ac:dyDescent="0.25">
      <c r="A1923" s="88">
        <v>37</v>
      </c>
      <c r="B1923" s="88">
        <v>63</v>
      </c>
      <c r="C1923" s="97">
        <f>SUMIFS(Input!$C$115:$C$3257,Input!$A$115:$A$3257,"="&amp;'Output - County'!A1923,Input!$B$115:$B$3257,"="&amp;'Output - County'!B1923)*VLOOKUP(A1923,'Output - State'!$B$2:$G$52,2,FALSE)</f>
        <v>118.08752266949296</v>
      </c>
      <c r="D1923" s="98">
        <f>SUMIFS(Input!$C$115:$C$3257,Input!$A$115:$A$3257,"="&amp;'Output - County'!A1923,Input!$B$115:$B$3257,"="&amp;'Output - County'!B1923)*VLOOKUP(A1923,'Output - State'!$B$2:$G$52,3,FALSE)</f>
        <v>1.5179084546611645</v>
      </c>
      <c r="E1923" s="98">
        <f>SUMIFS(Input!$C$115:$C$3257,Input!$A$115:$A$3257,"="&amp;'Output - County'!A1923,Input!$B$115:$B$3257,"="&amp;'Output - County'!B1923)*VLOOKUP(A1923,'Output - State'!$B$2:$G$52,4,FALSE)</f>
        <v>3.7628530404129932</v>
      </c>
      <c r="F1923" s="98">
        <f>SUMIFS(Input!$C$115:$C$3257,Input!$A$115:$A$3257,"="&amp;'Output - County'!A1923,Input!$B$115:$B$3257,"="&amp;'Output - County'!B1923)*VLOOKUP(A1923,'Output - State'!$B$2:$G$52,5,FALSE)</f>
        <v>175.54617870734614</v>
      </c>
      <c r="G1923" s="99">
        <f>SUMIFS(Input!$D$115:$D$3257,Input!$A$115:$A$3257,"="&amp;'Output - County'!A1923,Input!$B$115:$B$3257,"="&amp;'Output - County'!B1923)*VLOOKUP(A1923,'Output - State'!$B$2:$G$52,6,FALSE)</f>
        <v>43.116117053532193</v>
      </c>
    </row>
    <row r="1924" spans="1:7" x14ac:dyDescent="0.25">
      <c r="A1924" s="88">
        <v>37</v>
      </c>
      <c r="B1924" s="88">
        <v>65</v>
      </c>
      <c r="C1924" s="97">
        <f>SUMIFS(Input!$C$115:$C$3257,Input!$A$115:$A$3257,"="&amp;'Output - County'!A1924,Input!$B$115:$B$3257,"="&amp;'Output - County'!B1924)*VLOOKUP(A1924,'Output - State'!$B$2:$G$52,2,FALSE)</f>
        <v>18.619102838856197</v>
      </c>
      <c r="D1924" s="98">
        <f>SUMIFS(Input!$C$115:$C$3257,Input!$A$115:$A$3257,"="&amp;'Output - County'!A1924,Input!$B$115:$B$3257,"="&amp;'Output - County'!B1924)*VLOOKUP(A1924,'Output - State'!$B$2:$G$52,3,FALSE)</f>
        <v>0.23933175138584573</v>
      </c>
      <c r="E1924" s="98">
        <f>SUMIFS(Input!$C$115:$C$3257,Input!$A$115:$A$3257,"="&amp;'Output - County'!A1924,Input!$B$115:$B$3257,"="&amp;'Output - County'!B1924)*VLOOKUP(A1924,'Output - State'!$B$2:$G$52,4,FALSE)</f>
        <v>0.59329678651182316</v>
      </c>
      <c r="F1924" s="98">
        <f>SUMIFS(Input!$C$115:$C$3257,Input!$A$115:$A$3257,"="&amp;'Output - County'!A1924,Input!$B$115:$B$3257,"="&amp;'Output - County'!B1924)*VLOOKUP(A1924,'Output - State'!$B$2:$G$52,5,FALSE)</f>
        <v>27.678727442426922</v>
      </c>
      <c r="G1924" s="99">
        <f>SUMIFS(Input!$D$115:$D$3257,Input!$A$115:$A$3257,"="&amp;'Output - County'!A1924,Input!$B$115:$B$3257,"="&amp;'Output - County'!B1924)*VLOOKUP(A1924,'Output - State'!$B$2:$G$52,6,FALSE)</f>
        <v>7.0726753526298864</v>
      </c>
    </row>
    <row r="1925" spans="1:7" x14ac:dyDescent="0.25">
      <c r="A1925" s="88">
        <v>37</v>
      </c>
      <c r="B1925" s="88">
        <v>67</v>
      </c>
      <c r="C1925" s="97">
        <f>SUMIFS(Input!$C$115:$C$3257,Input!$A$115:$A$3257,"="&amp;'Output - County'!A1925,Input!$B$115:$B$3257,"="&amp;'Output - County'!B1925)*VLOOKUP(A1925,'Output - State'!$B$2:$G$52,2,FALSE)</f>
        <v>136.88325797476068</v>
      </c>
      <c r="D1925" s="98">
        <f>SUMIFS(Input!$C$115:$C$3257,Input!$A$115:$A$3257,"="&amp;'Output - County'!A1925,Input!$B$115:$B$3257,"="&amp;'Output - County'!B1925)*VLOOKUP(A1925,'Output - State'!$B$2:$G$52,3,FALSE)</f>
        <v>1.7595106568793484</v>
      </c>
      <c r="E1925" s="98">
        <f>SUMIFS(Input!$C$115:$C$3257,Input!$A$115:$A$3257,"="&amp;'Output - County'!A1925,Input!$B$115:$B$3257,"="&amp;'Output - County'!B1925)*VLOOKUP(A1925,'Output - State'!$B$2:$G$52,4,FALSE)</f>
        <v>4.3617782116876374</v>
      </c>
      <c r="F1925" s="98">
        <f>SUMIFS(Input!$C$115:$C$3257,Input!$A$115:$A$3257,"="&amp;'Output - County'!A1925,Input!$B$115:$B$3257,"="&amp;'Output - County'!B1925)*VLOOKUP(A1925,'Output - State'!$B$2:$G$52,5,FALSE)</f>
        <v>203.48748388714318</v>
      </c>
      <c r="G1925" s="99">
        <f>SUMIFS(Input!$D$115:$D$3257,Input!$A$115:$A$3257,"="&amp;'Output - County'!A1925,Input!$B$115:$B$3257,"="&amp;'Output - County'!B1925)*VLOOKUP(A1925,'Output - State'!$B$2:$G$52,6,FALSE)</f>
        <v>51.548922281667828</v>
      </c>
    </row>
    <row r="1926" spans="1:7" x14ac:dyDescent="0.25">
      <c r="A1926" s="88">
        <v>37</v>
      </c>
      <c r="B1926" s="88">
        <v>69</v>
      </c>
      <c r="C1926" s="97">
        <f>SUMIFS(Input!$C$115:$C$3257,Input!$A$115:$A$3257,"="&amp;'Output - County'!A1926,Input!$B$115:$B$3257,"="&amp;'Output - County'!B1926)*VLOOKUP(A1926,'Output - State'!$B$2:$G$52,2,FALSE)</f>
        <v>21.285975623606152</v>
      </c>
      <c r="D1926" s="98">
        <f>SUMIFS(Input!$C$115:$C$3257,Input!$A$115:$A$3257,"="&amp;'Output - County'!A1926,Input!$B$115:$B$3257,"="&amp;'Output - County'!B1926)*VLOOKUP(A1926,'Output - State'!$B$2:$G$52,3,FALSE)</f>
        <v>0.2736119924813219</v>
      </c>
      <c r="E1926" s="98">
        <f>SUMIFS(Input!$C$115:$C$3257,Input!$A$115:$A$3257,"="&amp;'Output - County'!A1926,Input!$B$115:$B$3257,"="&amp;'Output - County'!B1926)*VLOOKUP(A1926,'Output - State'!$B$2:$G$52,4,FALSE)</f>
        <v>0.67827655524299935</v>
      </c>
      <c r="F1926" s="98">
        <f>SUMIFS(Input!$C$115:$C$3257,Input!$A$115:$A$3257,"="&amp;'Output - County'!A1926,Input!$B$115:$B$3257,"="&amp;'Output - County'!B1926)*VLOOKUP(A1926,'Output - State'!$B$2:$G$52,5,FALSE)</f>
        <v>31.643238813977774</v>
      </c>
      <c r="G1926" s="99">
        <f>SUMIFS(Input!$D$115:$D$3257,Input!$A$115:$A$3257,"="&amp;'Output - County'!A1926,Input!$B$115:$B$3257,"="&amp;'Output - County'!B1926)*VLOOKUP(A1926,'Output - State'!$B$2:$G$52,6,FALSE)</f>
        <v>9.1944779584188527</v>
      </c>
    </row>
    <row r="1927" spans="1:7" x14ac:dyDescent="0.25">
      <c r="A1927" s="88">
        <v>37</v>
      </c>
      <c r="B1927" s="88">
        <v>71</v>
      </c>
      <c r="C1927" s="97">
        <f>SUMIFS(Input!$C$115:$C$3257,Input!$A$115:$A$3257,"="&amp;'Output - County'!A1927,Input!$B$115:$B$3257,"="&amp;'Output - County'!B1927)*VLOOKUP(A1927,'Output - State'!$B$2:$G$52,2,FALSE)</f>
        <v>85.529576995158735</v>
      </c>
      <c r="D1927" s="98">
        <f>SUMIFS(Input!$C$115:$C$3257,Input!$A$115:$A$3257,"="&amp;'Output - County'!A1927,Input!$B$115:$B$3257,"="&amp;'Output - County'!B1927)*VLOOKUP(A1927,'Output - State'!$B$2:$G$52,3,FALSE)</f>
        <v>1.0994054673151687</v>
      </c>
      <c r="E1927" s="98">
        <f>SUMIFS(Input!$C$115:$C$3257,Input!$A$115:$A$3257,"="&amp;'Output - County'!A1927,Input!$B$115:$B$3257,"="&amp;'Output - County'!B1927)*VLOOKUP(A1927,'Output - State'!$B$2:$G$52,4,FALSE)</f>
        <v>2.7253957197682328</v>
      </c>
      <c r="F1927" s="98">
        <f>SUMIFS(Input!$C$115:$C$3257,Input!$A$115:$A$3257,"="&amp;'Output - County'!A1927,Input!$B$115:$B$3257,"="&amp;'Output - County'!B1927)*VLOOKUP(A1927,'Output - State'!$B$2:$G$52,5,FALSE)</f>
        <v>127.14629004436483</v>
      </c>
      <c r="G1927" s="99">
        <f>SUMIFS(Input!$D$115:$D$3257,Input!$A$115:$A$3257,"="&amp;'Output - County'!A1927,Input!$B$115:$B$3257,"="&amp;'Output - County'!B1927)*VLOOKUP(A1927,'Output - State'!$B$2:$G$52,6,FALSE)</f>
        <v>30.330896223778165</v>
      </c>
    </row>
    <row r="1928" spans="1:7" x14ac:dyDescent="0.25">
      <c r="A1928" s="88">
        <v>37</v>
      </c>
      <c r="B1928" s="88">
        <v>73</v>
      </c>
      <c r="C1928" s="97">
        <f>SUMIFS(Input!$C$115:$C$3257,Input!$A$115:$A$3257,"="&amp;'Output - County'!A1928,Input!$B$115:$B$3257,"="&amp;'Output - County'!B1928)*VLOOKUP(A1928,'Output - State'!$B$2:$G$52,2,FALSE)</f>
        <v>3.8059384290345237</v>
      </c>
      <c r="D1928" s="98">
        <f>SUMIFS(Input!$C$115:$C$3257,Input!$A$115:$A$3257,"="&amp;'Output - County'!A1928,Input!$B$115:$B$3257,"="&amp;'Output - County'!B1928)*VLOOKUP(A1928,'Output - State'!$B$2:$G$52,3,FALSE)</f>
        <v>4.8921901219999057E-2</v>
      </c>
      <c r="E1928" s="98">
        <f>SUMIFS(Input!$C$115:$C$3257,Input!$A$115:$A$3257,"="&amp;'Output - County'!A1928,Input!$B$115:$B$3257,"="&amp;'Output - County'!B1928)*VLOOKUP(A1928,'Output - State'!$B$2:$G$52,4,FALSE)</f>
        <v>0.12127603886991341</v>
      </c>
      <c r="F1928" s="98">
        <f>SUMIFS(Input!$C$115:$C$3257,Input!$A$115:$A$3257,"="&amp;'Output - County'!A1928,Input!$B$115:$B$3257,"="&amp;'Output - County'!B1928)*VLOOKUP(A1928,'Output - State'!$B$2:$G$52,5,FALSE)</f>
        <v>5.6578200008683401</v>
      </c>
      <c r="G1928" s="99">
        <f>SUMIFS(Input!$D$115:$D$3257,Input!$A$115:$A$3257,"="&amp;'Output - County'!A1928,Input!$B$115:$B$3257,"="&amp;'Output - County'!B1928)*VLOOKUP(A1928,'Output - State'!$B$2:$G$52,6,FALSE)</f>
        <v>1.5777506555866667</v>
      </c>
    </row>
    <row r="1929" spans="1:7" x14ac:dyDescent="0.25">
      <c r="A1929" s="88">
        <v>37</v>
      </c>
      <c r="B1929" s="88">
        <v>75</v>
      </c>
      <c r="C1929" s="97">
        <f>SUMIFS(Input!$C$115:$C$3257,Input!$A$115:$A$3257,"="&amp;'Output - County'!A1929,Input!$B$115:$B$3257,"="&amp;'Output - County'!B1929)*VLOOKUP(A1929,'Output - State'!$B$2:$G$52,2,FALSE)</f>
        <v>2.5150859757004596</v>
      </c>
      <c r="D1929" s="98">
        <f>SUMIFS(Input!$C$115:$C$3257,Input!$A$115:$A$3257,"="&amp;'Output - County'!A1929,Input!$B$115:$B$3257,"="&amp;'Output - County'!B1929)*VLOOKUP(A1929,'Output - State'!$B$2:$G$52,3,FALSE)</f>
        <v>3.232915874948504E-2</v>
      </c>
      <c r="E1929" s="98">
        <f>SUMIFS(Input!$C$115:$C$3257,Input!$A$115:$A$3257,"="&amp;'Output - County'!A1929,Input!$B$115:$B$3257,"="&amp;'Output - County'!B1929)*VLOOKUP(A1929,'Output - State'!$B$2:$G$52,4,FALSE)</f>
        <v>8.0143089605261758E-2</v>
      </c>
      <c r="F1929" s="98">
        <f>SUMIFS(Input!$C$115:$C$3257,Input!$A$115:$A$3257,"="&amp;'Output - County'!A1929,Input!$B$115:$B$3257,"="&amp;'Output - County'!B1929)*VLOOKUP(A1929,'Output - State'!$B$2:$G$52,5,FALSE)</f>
        <v>3.738868613497595</v>
      </c>
      <c r="G1929" s="99">
        <f>SUMIFS(Input!$D$115:$D$3257,Input!$A$115:$A$3257,"="&amp;'Output - County'!A1929,Input!$B$115:$B$3257,"="&amp;'Output - County'!B1929)*VLOOKUP(A1929,'Output - State'!$B$2:$G$52,6,FALSE)</f>
        <v>1.1506698746778623</v>
      </c>
    </row>
    <row r="1930" spans="1:7" x14ac:dyDescent="0.25">
      <c r="A1930" s="88">
        <v>37</v>
      </c>
      <c r="B1930" s="88">
        <v>77</v>
      </c>
      <c r="C1930" s="97">
        <f>SUMIFS(Input!$C$115:$C$3257,Input!$A$115:$A$3257,"="&amp;'Output - County'!A1930,Input!$B$115:$B$3257,"="&amp;'Output - County'!B1930)*VLOOKUP(A1930,'Output - State'!$B$2:$G$52,2,FALSE)</f>
        <v>25.649577413895809</v>
      </c>
      <c r="D1930" s="98">
        <f>SUMIFS(Input!$C$115:$C$3257,Input!$A$115:$A$3257,"="&amp;'Output - County'!A1930,Input!$B$115:$B$3257,"="&amp;'Output - County'!B1930)*VLOOKUP(A1930,'Output - State'!$B$2:$G$52,3,FALSE)</f>
        <v>0.32970215256363178</v>
      </c>
      <c r="E1930" s="98">
        <f>SUMIFS(Input!$C$115:$C$3257,Input!$A$115:$A$3257,"="&amp;'Output - County'!A1930,Input!$B$115:$B$3257,"="&amp;'Output - County'!B1930)*VLOOKUP(A1930,'Output - State'!$B$2:$G$52,4,FALSE)</f>
        <v>0.81732250940107476</v>
      </c>
      <c r="F1930" s="98">
        <f>SUMIFS(Input!$C$115:$C$3257,Input!$A$115:$A$3257,"="&amp;'Output - County'!A1930,Input!$B$115:$B$3257,"="&amp;'Output - County'!B1930)*VLOOKUP(A1930,'Output - State'!$B$2:$G$52,5,FALSE)</f>
        <v>38.130068263604102</v>
      </c>
      <c r="G1930" s="99">
        <f>SUMIFS(Input!$D$115:$D$3257,Input!$A$115:$A$3257,"="&amp;'Output - County'!A1930,Input!$B$115:$B$3257,"="&amp;'Output - County'!B1930)*VLOOKUP(A1930,'Output - State'!$B$2:$G$52,6,FALSE)</f>
        <v>8.1607792530344838</v>
      </c>
    </row>
    <row r="1931" spans="1:7" x14ac:dyDescent="0.25">
      <c r="A1931" s="88">
        <v>37</v>
      </c>
      <c r="B1931" s="88">
        <v>79</v>
      </c>
      <c r="C1931" s="97">
        <f>SUMIFS(Input!$C$115:$C$3257,Input!$A$115:$A$3257,"="&amp;'Output - County'!A1931,Input!$B$115:$B$3257,"="&amp;'Output - County'!B1931)*VLOOKUP(A1931,'Output - State'!$B$2:$G$52,2,FALSE)</f>
        <v>7.2947816604744933</v>
      </c>
      <c r="D1931" s="98">
        <f>SUMIFS(Input!$C$115:$C$3257,Input!$A$115:$A$3257,"="&amp;'Output - County'!A1931,Input!$B$115:$B$3257,"="&amp;'Output - County'!B1931)*VLOOKUP(A1931,'Output - State'!$B$2:$G$52,3,FALSE)</f>
        <v>9.3767830055444298E-2</v>
      </c>
      <c r="E1931" s="98">
        <f>SUMIFS(Input!$C$115:$C$3257,Input!$A$115:$A$3257,"="&amp;'Output - County'!A1931,Input!$B$115:$B$3257,"="&amp;'Output - County'!B1931)*VLOOKUP(A1931,'Output - State'!$B$2:$G$52,4,FALSE)</f>
        <v>0.2324478550294517</v>
      </c>
      <c r="F1931" s="98">
        <f>SUMIFS(Input!$C$115:$C$3257,Input!$A$115:$A$3257,"="&amp;'Output - County'!A1931,Input!$B$115:$B$3257,"="&amp;'Output - County'!B1931)*VLOOKUP(A1931,'Output - State'!$B$2:$G$52,5,FALSE)</f>
        <v>10.844253618435445</v>
      </c>
      <c r="G1931" s="99">
        <f>SUMIFS(Input!$D$115:$D$3257,Input!$A$115:$A$3257,"="&amp;'Output - County'!A1931,Input!$B$115:$B$3257,"="&amp;'Output - County'!B1931)*VLOOKUP(A1931,'Output - State'!$B$2:$G$52,6,FALSE)</f>
        <v>2.8698740373171265</v>
      </c>
    </row>
    <row r="1932" spans="1:7" x14ac:dyDescent="0.25">
      <c r="A1932" s="88">
        <v>37</v>
      </c>
      <c r="B1932" s="88">
        <v>81</v>
      </c>
      <c r="C1932" s="97">
        <f>SUMIFS(Input!$C$115:$C$3257,Input!$A$115:$A$3257,"="&amp;'Output - County'!A1932,Input!$B$115:$B$3257,"="&amp;'Output - County'!B1932)*VLOOKUP(A1932,'Output - State'!$B$2:$G$52,2,FALSE)</f>
        <v>221.09069709428994</v>
      </c>
      <c r="D1932" s="98">
        <f>SUMIFS(Input!$C$115:$C$3257,Input!$A$115:$A$3257,"="&amp;'Output - County'!A1932,Input!$B$115:$B$3257,"="&amp;'Output - County'!B1932)*VLOOKUP(A1932,'Output - State'!$B$2:$G$52,3,FALSE)</f>
        <v>2.84192123587543</v>
      </c>
      <c r="E1932" s="98">
        <f>SUMIFS(Input!$C$115:$C$3257,Input!$A$115:$A$3257,"="&amp;'Output - County'!A1932,Input!$B$115:$B$3257,"="&amp;'Output - County'!B1932)*VLOOKUP(A1932,'Output - State'!$B$2:$G$52,4,FALSE)</f>
        <v>7.0450440737647941</v>
      </c>
      <c r="F1932" s="98">
        <f>SUMIFS(Input!$C$115:$C$3257,Input!$A$115:$A$3257,"="&amp;'Output - County'!A1932,Input!$B$115:$B$3257,"="&amp;'Output - County'!B1932)*VLOOKUP(A1932,'Output - State'!$B$2:$G$52,5,FALSE)</f>
        <v>328.66831435928378</v>
      </c>
      <c r="G1932" s="99">
        <f>SUMIFS(Input!$D$115:$D$3257,Input!$A$115:$A$3257,"="&amp;'Output - County'!A1932,Input!$B$115:$B$3257,"="&amp;'Output - County'!B1932)*VLOOKUP(A1932,'Output - State'!$B$2:$G$52,6,FALSE)</f>
        <v>72.494922364456329</v>
      </c>
    </row>
    <row r="1933" spans="1:7" x14ac:dyDescent="0.25">
      <c r="A1933" s="88">
        <v>37</v>
      </c>
      <c r="B1933" s="88">
        <v>83</v>
      </c>
      <c r="C1933" s="97">
        <f>SUMIFS(Input!$C$115:$C$3257,Input!$A$115:$A$3257,"="&amp;'Output - County'!A1933,Input!$B$115:$B$3257,"="&amp;'Output - County'!B1933)*VLOOKUP(A1933,'Output - State'!$B$2:$G$52,2,FALSE)</f>
        <v>24.534032952359329</v>
      </c>
      <c r="D1933" s="98">
        <f>SUMIFS(Input!$C$115:$C$3257,Input!$A$115:$A$3257,"="&amp;'Output - County'!A1933,Input!$B$115:$B$3257,"="&amp;'Output - County'!B1933)*VLOOKUP(A1933,'Output - State'!$B$2:$G$52,3,FALSE)</f>
        <v>0.31536283600047632</v>
      </c>
      <c r="E1933" s="98">
        <f>SUMIFS(Input!$C$115:$C$3257,Input!$A$115:$A$3257,"="&amp;'Output - County'!A1933,Input!$B$115:$B$3257,"="&amp;'Output - County'!B1933)*VLOOKUP(A1933,'Output - State'!$B$2:$G$52,4,FALSE)</f>
        <v>0.7817757405815029</v>
      </c>
      <c r="F1933" s="98">
        <f>SUMIFS(Input!$C$115:$C$3257,Input!$A$115:$A$3257,"="&amp;'Output - County'!A1933,Input!$B$115:$B$3257,"="&amp;'Output - County'!B1933)*VLOOKUP(A1933,'Output - State'!$B$2:$G$52,5,FALSE)</f>
        <v>36.471725680290142</v>
      </c>
      <c r="G1933" s="99">
        <f>SUMIFS(Input!$D$115:$D$3257,Input!$A$115:$A$3257,"="&amp;'Output - County'!A1933,Input!$B$115:$B$3257,"="&amp;'Output - County'!B1933)*VLOOKUP(A1933,'Output - State'!$B$2:$G$52,6,FALSE)</f>
        <v>6.8822571700590807</v>
      </c>
    </row>
    <row r="1934" spans="1:7" x14ac:dyDescent="0.25">
      <c r="A1934" s="88">
        <v>37</v>
      </c>
      <c r="B1934" s="88">
        <v>85</v>
      </c>
      <c r="C1934" s="97">
        <f>SUMIFS(Input!$C$115:$C$3257,Input!$A$115:$A$3257,"="&amp;'Output - County'!A1934,Input!$B$115:$B$3257,"="&amp;'Output - County'!B1934)*VLOOKUP(A1934,'Output - State'!$B$2:$G$52,2,FALSE)</f>
        <v>41.132509958767898</v>
      </c>
      <c r="D1934" s="98">
        <f>SUMIFS(Input!$C$115:$C$3257,Input!$A$115:$A$3257,"="&amp;'Output - County'!A1934,Input!$B$115:$B$3257,"="&amp;'Output - County'!B1934)*VLOOKUP(A1934,'Output - State'!$B$2:$G$52,3,FALSE)</f>
        <v>0.52872126721291668</v>
      </c>
      <c r="E1934" s="98">
        <f>SUMIFS(Input!$C$115:$C$3257,Input!$A$115:$A$3257,"="&amp;'Output - County'!A1934,Input!$B$115:$B$3257,"="&amp;'Output - County'!B1934)*VLOOKUP(A1934,'Output - State'!$B$2:$G$52,4,FALSE)</f>
        <v>1.3106853853760507</v>
      </c>
      <c r="F1934" s="98">
        <f>SUMIFS(Input!$C$115:$C$3257,Input!$A$115:$A$3257,"="&amp;'Output - County'!A1934,Input!$B$115:$B$3257,"="&amp;'Output - County'!B1934)*VLOOKUP(A1934,'Output - State'!$B$2:$G$52,5,FALSE)</f>
        <v>61.146637516589784</v>
      </c>
      <c r="G1934" s="99">
        <f>SUMIFS(Input!$D$115:$D$3257,Input!$A$115:$A$3257,"="&amp;'Output - County'!A1934,Input!$B$115:$B$3257,"="&amp;'Output - County'!B1934)*VLOOKUP(A1934,'Output - State'!$B$2:$G$52,6,FALSE)</f>
        <v>18.225740331777015</v>
      </c>
    </row>
    <row r="1935" spans="1:7" x14ac:dyDescent="0.25">
      <c r="A1935" s="88">
        <v>37</v>
      </c>
      <c r="B1935" s="88">
        <v>87</v>
      </c>
      <c r="C1935" s="97">
        <f>SUMIFS(Input!$C$115:$C$3257,Input!$A$115:$A$3257,"="&amp;'Output - County'!A1935,Input!$B$115:$B$3257,"="&amp;'Output - County'!B1935)*VLOOKUP(A1935,'Output - State'!$B$2:$G$52,2,FALSE)</f>
        <v>35.655728424277378</v>
      </c>
      <c r="D1935" s="98">
        <f>SUMIFS(Input!$C$115:$C$3257,Input!$A$115:$A$3257,"="&amp;'Output - County'!A1935,Input!$B$115:$B$3257,"="&amp;'Output - County'!B1935)*VLOOKUP(A1935,'Output - State'!$B$2:$G$52,3,FALSE)</f>
        <v>0.45832218687313597</v>
      </c>
      <c r="E1935" s="98">
        <f>SUMIFS(Input!$C$115:$C$3257,Input!$A$115:$A$3257,"="&amp;'Output - County'!A1935,Input!$B$115:$B$3257,"="&amp;'Output - County'!B1935)*VLOOKUP(A1935,'Output - State'!$B$2:$G$52,4,FALSE)</f>
        <v>1.1361680139987664</v>
      </c>
      <c r="F1935" s="98">
        <f>SUMIFS(Input!$C$115:$C$3257,Input!$A$115:$A$3257,"="&amp;'Output - County'!A1935,Input!$B$115:$B$3257,"="&amp;'Output - County'!B1935)*VLOOKUP(A1935,'Output - State'!$B$2:$G$52,5,FALSE)</f>
        <v>53.004980817722107</v>
      </c>
      <c r="G1935" s="99">
        <f>SUMIFS(Input!$D$115:$D$3257,Input!$A$115:$A$3257,"="&amp;'Output - County'!A1935,Input!$B$115:$B$3257,"="&amp;'Output - County'!B1935)*VLOOKUP(A1935,'Output - State'!$B$2:$G$52,6,FALSE)</f>
        <v>8.4192039293805756</v>
      </c>
    </row>
    <row r="1936" spans="1:7" x14ac:dyDescent="0.25">
      <c r="A1936" s="88">
        <v>37</v>
      </c>
      <c r="B1936" s="88">
        <v>89</v>
      </c>
      <c r="C1936" s="97">
        <f>SUMIFS(Input!$C$115:$C$3257,Input!$A$115:$A$3257,"="&amp;'Output - County'!A1936,Input!$B$115:$B$3257,"="&amp;'Output - County'!B1936)*VLOOKUP(A1936,'Output - State'!$B$2:$G$52,2,FALSE)</f>
        <v>41.675324572129647</v>
      </c>
      <c r="D1936" s="98">
        <f>SUMIFS(Input!$C$115:$C$3257,Input!$A$115:$A$3257,"="&amp;'Output - County'!A1936,Input!$B$115:$B$3257,"="&amp;'Output - County'!B1936)*VLOOKUP(A1936,'Output - State'!$B$2:$G$52,3,FALSE)</f>
        <v>0.53569865883151724</v>
      </c>
      <c r="E1936" s="98">
        <f>SUMIFS(Input!$C$115:$C$3257,Input!$A$115:$A$3257,"="&amp;'Output - County'!A1936,Input!$B$115:$B$3257,"="&amp;'Output - County'!B1936)*VLOOKUP(A1936,'Output - State'!$B$2:$G$52,4,FALSE)</f>
        <v>1.327982146050636</v>
      </c>
      <c r="F1936" s="98">
        <f>SUMIFS(Input!$C$115:$C$3257,Input!$A$115:$A$3257,"="&amp;'Output - County'!A1936,Input!$B$115:$B$3257,"="&amp;'Output - County'!B1936)*VLOOKUP(A1936,'Output - State'!$B$2:$G$52,5,FALSE)</f>
        <v>61.953573160322939</v>
      </c>
      <c r="G1936" s="99">
        <f>SUMIFS(Input!$D$115:$D$3257,Input!$A$115:$A$3257,"="&amp;'Output - County'!A1936,Input!$B$115:$B$3257,"="&amp;'Output - County'!B1936)*VLOOKUP(A1936,'Output - State'!$B$2:$G$52,6,FALSE)</f>
        <v>15.913519543417245</v>
      </c>
    </row>
    <row r="1937" spans="1:7" x14ac:dyDescent="0.25">
      <c r="A1937" s="88">
        <v>37</v>
      </c>
      <c r="B1937" s="88">
        <v>91</v>
      </c>
      <c r="C1937" s="97">
        <f>SUMIFS(Input!$C$115:$C$3257,Input!$A$115:$A$3257,"="&amp;'Output - County'!A1937,Input!$B$115:$B$3257,"="&amp;'Output - County'!B1937)*VLOOKUP(A1937,'Output - State'!$B$2:$G$52,2,FALSE)</f>
        <v>7.2599670740801647</v>
      </c>
      <c r="D1937" s="98">
        <f>SUMIFS(Input!$C$115:$C$3257,Input!$A$115:$A$3257,"="&amp;'Output - County'!A1937,Input!$B$115:$B$3257,"="&amp;'Output - County'!B1937)*VLOOKUP(A1937,'Output - State'!$B$2:$G$52,3,FALSE)</f>
        <v>9.3320319989699349E-2</v>
      </c>
      <c r="E1937" s="98">
        <f>SUMIFS(Input!$C$115:$C$3257,Input!$A$115:$A$3257,"="&amp;'Output - County'!A1937,Input!$B$115:$B$3257,"="&amp;'Output - County'!B1937)*VLOOKUP(A1937,'Output - State'!$B$2:$G$52,4,FALSE)</f>
        <v>0.23133848996442893</v>
      </c>
      <c r="F1937" s="98">
        <f>SUMIFS(Input!$C$115:$C$3257,Input!$A$115:$A$3257,"="&amp;'Output - County'!A1937,Input!$B$115:$B$3257,"="&amp;'Output - County'!B1937)*VLOOKUP(A1937,'Output - State'!$B$2:$G$52,5,FALSE)</f>
        <v>10.792499059895791</v>
      </c>
      <c r="G1937" s="99">
        <f>SUMIFS(Input!$D$115:$D$3257,Input!$A$115:$A$3257,"="&amp;'Output - County'!A1937,Input!$B$115:$B$3257,"="&amp;'Output - County'!B1937)*VLOOKUP(A1937,'Output - State'!$B$2:$G$52,6,FALSE)</f>
        <v>3.2507104024587363</v>
      </c>
    </row>
    <row r="1938" spans="1:7" x14ac:dyDescent="0.25">
      <c r="A1938" s="88">
        <v>37</v>
      </c>
      <c r="B1938" s="88">
        <v>93</v>
      </c>
      <c r="C1938" s="97">
        <f>SUMIFS(Input!$C$115:$C$3257,Input!$A$115:$A$3257,"="&amp;'Output - County'!A1938,Input!$B$115:$B$3257,"="&amp;'Output - County'!B1938)*VLOOKUP(A1938,'Output - State'!$B$2:$G$52,2,FALSE)</f>
        <v>13.737590173200974</v>
      </c>
      <c r="D1938" s="98">
        <f>SUMIFS(Input!$C$115:$C$3257,Input!$A$115:$A$3257,"="&amp;'Output - County'!A1938,Input!$B$115:$B$3257,"="&amp;'Output - County'!B1938)*VLOOKUP(A1938,'Output - State'!$B$2:$G$52,3,FALSE)</f>
        <v>0.17658431474537958</v>
      </c>
      <c r="E1938" s="98">
        <f>SUMIFS(Input!$C$115:$C$3257,Input!$A$115:$A$3257,"="&amp;'Output - County'!A1938,Input!$B$115:$B$3257,"="&amp;'Output - County'!B1938)*VLOOKUP(A1938,'Output - State'!$B$2:$G$52,4,FALSE)</f>
        <v>0.43774762805258965</v>
      </c>
      <c r="F1938" s="98">
        <f>SUMIFS(Input!$C$115:$C$3257,Input!$A$115:$A$3257,"="&amp;'Output - County'!A1938,Input!$B$115:$B$3257,"="&amp;'Output - County'!B1938)*VLOOKUP(A1938,'Output - State'!$B$2:$G$52,5,FALSE)</f>
        <v>20.421983669711068</v>
      </c>
      <c r="G1938" s="99">
        <f>SUMIFS(Input!$D$115:$D$3257,Input!$A$115:$A$3257,"="&amp;'Output - County'!A1938,Input!$B$115:$B$3257,"="&amp;'Output - County'!B1938)*VLOOKUP(A1938,'Output - State'!$B$2:$G$52,6,FALSE)</f>
        <v>7.4399104190164378</v>
      </c>
    </row>
    <row r="1939" spans="1:7" x14ac:dyDescent="0.25">
      <c r="A1939" s="88">
        <v>37</v>
      </c>
      <c r="B1939" s="88">
        <v>95</v>
      </c>
      <c r="C1939" s="97">
        <f>SUMIFS(Input!$C$115:$C$3257,Input!$A$115:$A$3257,"="&amp;'Output - County'!A1939,Input!$B$115:$B$3257,"="&amp;'Output - County'!B1939)*VLOOKUP(A1939,'Output - State'!$B$2:$G$52,2,FALSE)</f>
        <v>1.6896090343683547</v>
      </c>
      <c r="D1939" s="98">
        <f>SUMIFS(Input!$C$115:$C$3257,Input!$A$115:$A$3257,"="&amp;'Output - County'!A1939,Input!$B$115:$B$3257,"="&amp;'Output - County'!B1939)*VLOOKUP(A1939,'Output - State'!$B$2:$G$52,3,FALSE)</f>
        <v>2.1718398187738221E-2</v>
      </c>
      <c r="E1939" s="98">
        <f>SUMIFS(Input!$C$115:$C$3257,Input!$A$115:$A$3257,"="&amp;'Output - County'!A1939,Input!$B$115:$B$3257,"="&amp;'Output - County'!B1939)*VLOOKUP(A1939,'Output - State'!$B$2:$G$52,4,FALSE)</f>
        <v>5.3839307899417078E-2</v>
      </c>
      <c r="F1939" s="98">
        <f>SUMIFS(Input!$C$115:$C$3257,Input!$A$115:$A$3257,"="&amp;'Output - County'!A1939,Input!$B$115:$B$3257,"="&amp;'Output - County'!B1939)*VLOOKUP(A1939,'Output - State'!$B$2:$G$52,5,FALSE)</f>
        <v>2.5117336936851444</v>
      </c>
      <c r="G1939" s="99">
        <f>SUMIFS(Input!$D$115:$D$3257,Input!$A$115:$A$3257,"="&amp;'Output - County'!A1939,Input!$B$115:$B$3257,"="&amp;'Output - County'!B1939)*VLOOKUP(A1939,'Output - State'!$B$2:$G$52,6,FALSE)</f>
        <v>0.68414532737939093</v>
      </c>
    </row>
    <row r="1940" spans="1:7" x14ac:dyDescent="0.25">
      <c r="A1940" s="88">
        <v>37</v>
      </c>
      <c r="B1940" s="88">
        <v>97</v>
      </c>
      <c r="C1940" s="97">
        <f>SUMIFS(Input!$C$115:$C$3257,Input!$A$115:$A$3257,"="&amp;'Output - County'!A1940,Input!$B$115:$B$3257,"="&amp;'Output - County'!B1940)*VLOOKUP(A1940,'Output - State'!$B$2:$G$52,2,FALSE)</f>
        <v>78.913756734209088</v>
      </c>
      <c r="D1940" s="98">
        <f>SUMIFS(Input!$C$115:$C$3257,Input!$A$115:$A$3257,"="&amp;'Output - County'!A1940,Input!$B$115:$B$3257,"="&amp;'Output - County'!B1940)*VLOOKUP(A1940,'Output - State'!$B$2:$G$52,3,FALSE)</f>
        <v>1.0143650728552007</v>
      </c>
      <c r="E1940" s="98">
        <f>SUMIFS(Input!$C$115:$C$3257,Input!$A$115:$A$3257,"="&amp;'Output - County'!A1940,Input!$B$115:$B$3257,"="&amp;'Output - County'!B1940)*VLOOKUP(A1940,'Output - State'!$B$2:$G$52,4,FALSE)</f>
        <v>2.5145829359873808</v>
      </c>
      <c r="F1940" s="98">
        <f>SUMIFS(Input!$C$115:$C$3257,Input!$A$115:$A$3257,"="&amp;'Output - County'!A1940,Input!$B$115:$B$3257,"="&amp;'Output - County'!B1940)*VLOOKUP(A1940,'Output - State'!$B$2:$G$52,5,FALSE)</f>
        <v>117.31136473159609</v>
      </c>
      <c r="G1940" s="99">
        <f>SUMIFS(Input!$D$115:$D$3257,Input!$A$115:$A$3257,"="&amp;'Output - County'!A1940,Input!$B$115:$B$3257,"="&amp;'Output - County'!B1940)*VLOOKUP(A1940,'Output - State'!$B$2:$G$52,6,FALSE)</f>
        <v>24.210311784002304</v>
      </c>
    </row>
    <row r="1941" spans="1:7" x14ac:dyDescent="0.25">
      <c r="A1941" s="88">
        <v>37</v>
      </c>
      <c r="B1941" s="88">
        <v>99</v>
      </c>
      <c r="C1941" s="97">
        <f>SUMIFS(Input!$C$115:$C$3257,Input!$A$115:$A$3257,"="&amp;'Output - County'!A1941,Input!$B$115:$B$3257,"="&amp;'Output - County'!B1941)*VLOOKUP(A1941,'Output - State'!$B$2:$G$52,2,FALSE)</f>
        <v>18.908024776411409</v>
      </c>
      <c r="D1941" s="98">
        <f>SUMIFS(Input!$C$115:$C$3257,Input!$A$115:$A$3257,"="&amp;'Output - County'!A1941,Input!$B$115:$B$3257,"="&amp;'Output - County'!B1941)*VLOOKUP(A1941,'Output - State'!$B$2:$G$52,3,FALSE)</f>
        <v>0.24304558195691792</v>
      </c>
      <c r="E1941" s="98">
        <f>SUMIFS(Input!$C$115:$C$3257,Input!$A$115:$A$3257,"="&amp;'Output - County'!A1941,Input!$B$115:$B$3257,"="&amp;'Output - County'!B1941)*VLOOKUP(A1941,'Output - State'!$B$2:$G$52,4,FALSE)</f>
        <v>0.60250326969137513</v>
      </c>
      <c r="F1941" s="98">
        <f>SUMIFS(Input!$C$115:$C$3257,Input!$A$115:$A$3257,"="&amp;'Output - County'!A1941,Input!$B$115:$B$3257,"="&amp;'Output - County'!B1941)*VLOOKUP(A1941,'Output - State'!$B$2:$G$52,5,FALSE)</f>
        <v>28.108232109270467</v>
      </c>
      <c r="G1941" s="99">
        <f>SUMIFS(Input!$D$115:$D$3257,Input!$A$115:$A$3257,"="&amp;'Output - County'!A1941,Input!$B$115:$B$3257,"="&amp;'Output - County'!B1941)*VLOOKUP(A1941,'Output - State'!$B$2:$G$52,6,FALSE)</f>
        <v>5.9301662572050589</v>
      </c>
    </row>
    <row r="1942" spans="1:7" x14ac:dyDescent="0.25">
      <c r="A1942" s="88">
        <v>37</v>
      </c>
      <c r="B1942" s="88">
        <v>101</v>
      </c>
      <c r="C1942" s="97">
        <f>SUMIFS(Input!$C$115:$C$3257,Input!$A$115:$A$3257,"="&amp;'Output - County'!A1942,Input!$B$115:$B$3257,"="&amp;'Output - County'!B1942)*VLOOKUP(A1942,'Output - State'!$B$2:$G$52,2,FALSE)</f>
        <v>90.132064053051195</v>
      </c>
      <c r="D1942" s="98">
        <f>SUMIFS(Input!$C$115:$C$3257,Input!$A$115:$A$3257,"="&amp;'Output - County'!A1942,Input!$B$115:$B$3257,"="&amp;'Output - County'!B1942)*VLOOKUP(A1942,'Output - State'!$B$2:$G$52,3,FALSE)</f>
        <v>1.1585662817662994</v>
      </c>
      <c r="E1942" s="98">
        <f>SUMIFS(Input!$C$115:$C$3257,Input!$A$115:$A$3257,"="&amp;'Output - County'!A1942,Input!$B$115:$B$3257,"="&amp;'Output - County'!B1942)*VLOOKUP(A1942,'Output - State'!$B$2:$G$52,4,FALSE)</f>
        <v>2.8720537411048612</v>
      </c>
      <c r="F1942" s="98">
        <f>SUMIFS(Input!$C$115:$C$3257,Input!$A$115:$A$3257,"="&amp;'Output - County'!A1942,Input!$B$115:$B$3257,"="&amp;'Output - County'!B1942)*VLOOKUP(A1942,'Output - State'!$B$2:$G$52,5,FALSE)</f>
        <v>133.98824080510988</v>
      </c>
      <c r="G1942" s="99">
        <f>SUMIFS(Input!$D$115:$D$3257,Input!$A$115:$A$3257,"="&amp;'Output - County'!A1942,Input!$B$115:$B$3257,"="&amp;'Output - County'!B1942)*VLOOKUP(A1942,'Output - State'!$B$2:$G$52,6,FALSE)</f>
        <v>27.610636472766672</v>
      </c>
    </row>
    <row r="1943" spans="1:7" x14ac:dyDescent="0.25">
      <c r="A1943" s="88">
        <v>37</v>
      </c>
      <c r="B1943" s="88">
        <v>103</v>
      </c>
      <c r="C1943" s="97">
        <f>SUMIFS(Input!$C$115:$C$3257,Input!$A$115:$A$3257,"="&amp;'Output - County'!A1943,Input!$B$115:$B$3257,"="&amp;'Output - County'!B1943)*VLOOKUP(A1943,'Output - State'!$B$2:$G$52,2,FALSE)</f>
        <v>6.9402387173675759</v>
      </c>
      <c r="D1943" s="98">
        <f>SUMIFS(Input!$C$115:$C$3257,Input!$A$115:$A$3257,"="&amp;'Output - County'!A1943,Input!$B$115:$B$3257,"="&amp;'Output - County'!B1943)*VLOOKUP(A1943,'Output - State'!$B$2:$G$52,3,FALSE)</f>
        <v>8.921050072278762E-2</v>
      </c>
      <c r="E1943" s="98">
        <f>SUMIFS(Input!$C$115:$C$3257,Input!$A$115:$A$3257,"="&amp;'Output - County'!A1943,Input!$B$115:$B$3257,"="&amp;'Output - County'!B1943)*VLOOKUP(A1943,'Output - State'!$B$2:$G$52,4,FALSE)</f>
        <v>0.22115036176963684</v>
      </c>
      <c r="F1943" s="98">
        <f>SUMIFS(Input!$C$115:$C$3257,Input!$A$115:$A$3257,"="&amp;'Output - County'!A1943,Input!$B$115:$B$3257,"="&amp;'Output - County'!B1943)*VLOOKUP(A1943,'Output - State'!$B$2:$G$52,5,FALSE)</f>
        <v>10.317198283179826</v>
      </c>
      <c r="G1943" s="99">
        <f>SUMIFS(Input!$D$115:$D$3257,Input!$A$115:$A$3257,"="&amp;'Output - County'!A1943,Input!$B$115:$B$3257,"="&amp;'Output - County'!B1943)*VLOOKUP(A1943,'Output - State'!$B$2:$G$52,6,FALSE)</f>
        <v>1.3070848103610231</v>
      </c>
    </row>
    <row r="1944" spans="1:7" x14ac:dyDescent="0.25">
      <c r="A1944" s="88">
        <v>37</v>
      </c>
      <c r="B1944" s="88">
        <v>105</v>
      </c>
      <c r="C1944" s="97">
        <f>SUMIFS(Input!$C$115:$C$3257,Input!$A$115:$A$3257,"="&amp;'Output - County'!A1944,Input!$B$115:$B$3257,"="&amp;'Output - County'!B1944)*VLOOKUP(A1944,'Output - State'!$B$2:$G$52,2,FALSE)</f>
        <v>25.415956526581489</v>
      </c>
      <c r="D1944" s="98">
        <f>SUMIFS(Input!$C$115:$C$3257,Input!$A$115:$A$3257,"="&amp;'Output - County'!A1944,Input!$B$115:$B$3257,"="&amp;'Output - County'!B1944)*VLOOKUP(A1944,'Output - State'!$B$2:$G$52,3,FALSE)</f>
        <v>0.32669916704896096</v>
      </c>
      <c r="E1944" s="98">
        <f>SUMIFS(Input!$C$115:$C$3257,Input!$A$115:$A$3257,"="&amp;'Output - County'!A1944,Input!$B$115:$B$3257,"="&amp;'Output - County'!B1944)*VLOOKUP(A1944,'Output - State'!$B$2:$G$52,4,FALSE)</f>
        <v>0.80987819143875228</v>
      </c>
      <c r="F1944" s="98">
        <f>SUMIFS(Input!$C$115:$C$3257,Input!$A$115:$A$3257,"="&amp;'Output - County'!A1944,Input!$B$115:$B$3257,"="&amp;'Output - County'!B1944)*VLOOKUP(A1944,'Output - State'!$B$2:$G$52,5,FALSE)</f>
        <v>37.782772858406787</v>
      </c>
      <c r="G1944" s="99">
        <f>SUMIFS(Input!$D$115:$D$3257,Input!$A$115:$A$3257,"="&amp;'Output - County'!A1944,Input!$B$115:$B$3257,"="&amp;'Output - County'!B1944)*VLOOKUP(A1944,'Output - State'!$B$2:$G$52,6,FALSE)</f>
        <v>8.3239948380951745</v>
      </c>
    </row>
    <row r="1945" spans="1:7" x14ac:dyDescent="0.25">
      <c r="A1945" s="88">
        <v>37</v>
      </c>
      <c r="B1945" s="88">
        <v>107</v>
      </c>
      <c r="C1945" s="97">
        <f>SUMIFS(Input!$C$115:$C$3257,Input!$A$115:$A$3257,"="&amp;'Output - County'!A1945,Input!$B$115:$B$3257,"="&amp;'Output - County'!B1945)*VLOOKUP(A1945,'Output - State'!$B$2:$G$52,2,FALSE)</f>
        <v>21.690641245130898</v>
      </c>
      <c r="D1945" s="98">
        <f>SUMIFS(Input!$C$115:$C$3257,Input!$A$115:$A$3257,"="&amp;'Output - County'!A1945,Input!$B$115:$B$3257,"="&amp;'Output - County'!B1945)*VLOOKUP(A1945,'Output - State'!$B$2:$G$52,3,FALSE)</f>
        <v>0.27881360357737556</v>
      </c>
      <c r="E1945" s="98">
        <f>SUMIFS(Input!$C$115:$C$3257,Input!$A$115:$A$3257,"="&amp;'Output - County'!A1945,Input!$B$115:$B$3257,"="&amp;'Output - County'!B1945)*VLOOKUP(A1945,'Output - State'!$B$2:$G$52,4,FALSE)</f>
        <v>0.69117120515928876</v>
      </c>
      <c r="F1945" s="98">
        <f>SUMIFS(Input!$C$115:$C$3257,Input!$A$115:$A$3257,"="&amp;'Output - County'!A1945,Input!$B$115:$B$3257,"="&amp;'Output - County'!B1945)*VLOOKUP(A1945,'Output - State'!$B$2:$G$52,5,FALSE)</f>
        <v>32.244805363152693</v>
      </c>
      <c r="G1945" s="99">
        <f>SUMIFS(Input!$D$115:$D$3257,Input!$A$115:$A$3257,"="&amp;'Output - County'!A1945,Input!$B$115:$B$3257,"="&amp;'Output - County'!B1945)*VLOOKUP(A1945,'Output - State'!$B$2:$G$52,6,FALSE)</f>
        <v>7.616727302832186</v>
      </c>
    </row>
    <row r="1946" spans="1:7" x14ac:dyDescent="0.25">
      <c r="A1946" s="88">
        <v>37</v>
      </c>
      <c r="B1946" s="88">
        <v>109</v>
      </c>
      <c r="C1946" s="97">
        <f>SUMIFS(Input!$C$115:$C$3257,Input!$A$115:$A$3257,"="&amp;'Output - County'!A1946,Input!$B$115:$B$3257,"="&amp;'Output - County'!B1946)*VLOOKUP(A1946,'Output - State'!$B$2:$G$52,2,FALSE)</f>
        <v>27.295034986653363</v>
      </c>
      <c r="D1946" s="98">
        <f>SUMIFS(Input!$C$115:$C$3257,Input!$A$115:$A$3257,"="&amp;'Output - County'!A1946,Input!$B$115:$B$3257,"="&amp;'Output - County'!B1946)*VLOOKUP(A1946,'Output - State'!$B$2:$G$52,3,FALSE)</f>
        <v>0.35085302358719828</v>
      </c>
      <c r="E1946" s="98">
        <f>SUMIFS(Input!$C$115:$C$3257,Input!$A$115:$A$3257,"="&amp;'Output - County'!A1946,Input!$B$115:$B$3257,"="&amp;'Output - County'!B1946)*VLOOKUP(A1946,'Output - State'!$B$2:$G$52,4,FALSE)</f>
        <v>0.86975493317077845</v>
      </c>
      <c r="F1946" s="98">
        <f>SUMIFS(Input!$C$115:$C$3257,Input!$A$115:$A$3257,"="&amp;'Output - County'!A1946,Input!$B$115:$B$3257,"="&amp;'Output - County'!B1946)*VLOOKUP(A1946,'Output - State'!$B$2:$G$52,5,FALSE)</f>
        <v>40.576167416103949</v>
      </c>
      <c r="G1946" s="99">
        <f>SUMIFS(Input!$D$115:$D$3257,Input!$A$115:$A$3257,"="&amp;'Output - County'!A1946,Input!$B$115:$B$3257,"="&amp;'Output - County'!B1946)*VLOOKUP(A1946,'Output - State'!$B$2:$G$52,6,FALSE)</f>
        <v>11.438692253003335</v>
      </c>
    </row>
    <row r="1947" spans="1:7" x14ac:dyDescent="0.25">
      <c r="A1947" s="88">
        <v>37</v>
      </c>
      <c r="B1947" s="88">
        <v>111</v>
      </c>
      <c r="C1947" s="97">
        <f>SUMIFS(Input!$C$115:$C$3257,Input!$A$115:$A$3257,"="&amp;'Output - County'!A1947,Input!$B$115:$B$3257,"="&amp;'Output - County'!B1947)*VLOOKUP(A1947,'Output - State'!$B$2:$G$52,2,FALSE)</f>
        <v>23.976379585724256</v>
      </c>
      <c r="D1947" s="98">
        <f>SUMIFS(Input!$C$115:$C$3257,Input!$A$115:$A$3257,"="&amp;'Output - County'!A1947,Input!$B$115:$B$3257,"="&amp;'Output - County'!B1947)*VLOOKUP(A1947,'Output - State'!$B$2:$G$52,3,FALSE)</f>
        <v>0.3081947056099798</v>
      </c>
      <c r="E1947" s="98">
        <f>SUMIFS(Input!$C$115:$C$3257,Input!$A$115:$A$3257,"="&amp;'Output - County'!A1947,Input!$B$115:$B$3257,"="&amp;'Output - County'!B1947)*VLOOKUP(A1947,'Output - State'!$B$2:$G$52,4,FALSE)</f>
        <v>0.76400614377141229</v>
      </c>
      <c r="F1947" s="98">
        <f>SUMIFS(Input!$C$115:$C$3257,Input!$A$115:$A$3257,"="&amp;'Output - County'!A1947,Input!$B$115:$B$3257,"="&amp;'Output - County'!B1947)*VLOOKUP(A1947,'Output - State'!$B$2:$G$52,5,FALSE)</f>
        <v>35.642731089303062</v>
      </c>
      <c r="G1947" s="99">
        <f>SUMIFS(Input!$D$115:$D$3257,Input!$A$115:$A$3257,"="&amp;'Output - County'!A1947,Input!$B$115:$B$3257,"="&amp;'Output - County'!B1947)*VLOOKUP(A1947,'Output - State'!$B$2:$G$52,6,FALSE)</f>
        <v>6.1885909335511506</v>
      </c>
    </row>
    <row r="1948" spans="1:7" x14ac:dyDescent="0.25">
      <c r="A1948" s="88">
        <v>37</v>
      </c>
      <c r="B1948" s="88">
        <v>113</v>
      </c>
      <c r="C1948" s="97">
        <f>SUMIFS(Input!$C$115:$C$3257,Input!$A$115:$A$3257,"="&amp;'Output - County'!A1948,Input!$B$115:$B$3257,"="&amp;'Output - County'!B1948)*VLOOKUP(A1948,'Output - State'!$B$2:$G$52,2,FALSE)</f>
        <v>12.566656450740657</v>
      </c>
      <c r="D1948" s="98">
        <f>SUMIFS(Input!$C$115:$C$3257,Input!$A$115:$A$3257,"="&amp;'Output - County'!A1948,Input!$B$115:$B$3257,"="&amp;'Output - County'!B1948)*VLOOKUP(A1948,'Output - State'!$B$2:$G$52,3,FALSE)</f>
        <v>0.16153301925715985</v>
      </c>
      <c r="E1948" s="98">
        <f>SUMIFS(Input!$C$115:$C$3257,Input!$A$115:$A$3257,"="&amp;'Output - County'!A1948,Input!$B$115:$B$3257,"="&amp;'Output - County'!B1948)*VLOOKUP(A1948,'Output - State'!$B$2:$G$52,4,FALSE)</f>
        <v>0.40043588318676071</v>
      </c>
      <c r="F1948" s="98">
        <f>SUMIFS(Input!$C$115:$C$3257,Input!$A$115:$A$3257,"="&amp;'Output - County'!A1948,Input!$B$115:$B$3257,"="&amp;'Output - County'!B1948)*VLOOKUP(A1948,'Output - State'!$B$2:$G$52,5,FALSE)</f>
        <v>18.681300692790764</v>
      </c>
      <c r="G1948" s="99">
        <f>SUMIFS(Input!$D$115:$D$3257,Input!$A$115:$A$3257,"="&amp;'Output - County'!A1948,Input!$B$115:$B$3257,"="&amp;'Output - County'!B1948)*VLOOKUP(A1948,'Output - State'!$B$2:$G$52,6,FALSE)</f>
        <v>4.8012584605352879</v>
      </c>
    </row>
    <row r="1949" spans="1:7" x14ac:dyDescent="0.25">
      <c r="A1949" s="88">
        <v>37</v>
      </c>
      <c r="B1949" s="88">
        <v>115</v>
      </c>
      <c r="C1949" s="97">
        <f>SUMIFS(Input!$C$115:$C$3257,Input!$A$115:$A$3257,"="&amp;'Output - County'!A1949,Input!$B$115:$B$3257,"="&amp;'Output - County'!B1949)*VLOOKUP(A1949,'Output - State'!$B$2:$G$52,2,FALSE)</f>
        <v>7.7136489947780804</v>
      </c>
      <c r="D1949" s="98">
        <f>SUMIFS(Input!$C$115:$C$3257,Input!$A$115:$A$3257,"="&amp;'Output - County'!A1949,Input!$B$115:$B$3257,"="&amp;'Output - County'!B1949)*VLOOKUP(A1949,'Output - State'!$B$2:$G$52,3,FALSE)</f>
        <v>9.9151991343172416E-2</v>
      </c>
      <c r="E1949" s="98">
        <f>SUMIFS(Input!$C$115:$C$3257,Input!$A$115:$A$3257,"="&amp;'Output - County'!A1949,Input!$B$115:$B$3257,"="&amp;'Output - County'!B1949)*VLOOKUP(A1949,'Output - State'!$B$2:$G$52,4,FALSE)</f>
        <v>0.2457950418175536</v>
      </c>
      <c r="F1949" s="98">
        <f>SUMIFS(Input!$C$115:$C$3257,Input!$A$115:$A$3257,"="&amp;'Output - County'!A1949,Input!$B$115:$B$3257,"="&amp;'Output - County'!B1949)*VLOOKUP(A1949,'Output - State'!$B$2:$G$52,5,FALSE)</f>
        <v>11.466932105206032</v>
      </c>
      <c r="G1949" s="99">
        <f>SUMIFS(Input!$D$115:$D$3257,Input!$A$115:$A$3257,"="&amp;'Output - County'!A1949,Input!$B$115:$B$3257,"="&amp;'Output - County'!B1949)*VLOOKUP(A1949,'Output - State'!$B$2:$G$52,6,FALSE)</f>
        <v>2.9514818298474719</v>
      </c>
    </row>
    <row r="1950" spans="1:7" x14ac:dyDescent="0.25">
      <c r="A1950" s="88">
        <v>37</v>
      </c>
      <c r="B1950" s="88">
        <v>117</v>
      </c>
      <c r="C1950" s="97">
        <f>SUMIFS(Input!$C$115:$C$3257,Input!$A$115:$A$3257,"="&amp;'Output - County'!A1950,Input!$B$115:$B$3257,"="&amp;'Output - County'!B1950)*VLOOKUP(A1950,'Output - State'!$B$2:$G$52,2,FALSE)</f>
        <v>10.17032213241554</v>
      </c>
      <c r="D1950" s="98">
        <f>SUMIFS(Input!$C$115:$C$3257,Input!$A$115:$A$3257,"="&amp;'Output - County'!A1950,Input!$B$115:$B$3257,"="&amp;'Output - County'!B1950)*VLOOKUP(A1950,'Output - State'!$B$2:$G$52,3,FALSE)</f>
        <v>0.13073030581417477</v>
      </c>
      <c r="E1950" s="98">
        <f>SUMIFS(Input!$C$115:$C$3257,Input!$A$115:$A$3257,"="&amp;'Output - County'!A1950,Input!$B$115:$B$3257,"="&amp;'Output - County'!B1950)*VLOOKUP(A1950,'Output - State'!$B$2:$G$52,4,FALSE)</f>
        <v>0.3240768092413035</v>
      </c>
      <c r="F1950" s="98">
        <f>SUMIFS(Input!$C$115:$C$3257,Input!$A$115:$A$3257,"="&amp;'Output - County'!A1950,Input!$B$115:$B$3257,"="&amp;'Output - County'!B1950)*VLOOKUP(A1950,'Output - State'!$B$2:$G$52,5,FALSE)</f>
        <v>15.118965545286446</v>
      </c>
      <c r="G1950" s="99">
        <f>SUMIFS(Input!$D$115:$D$3257,Input!$A$115:$A$3257,"="&amp;'Output - County'!A1950,Input!$B$115:$B$3257,"="&amp;'Output - County'!B1950)*VLOOKUP(A1950,'Output - State'!$B$2:$G$52,6,FALSE)</f>
        <v>3.0874948173980461</v>
      </c>
    </row>
    <row r="1951" spans="1:7" x14ac:dyDescent="0.25">
      <c r="A1951" s="88">
        <v>37</v>
      </c>
      <c r="B1951" s="88">
        <v>119</v>
      </c>
      <c r="C1951" s="97">
        <f>SUMIFS(Input!$C$115:$C$3257,Input!$A$115:$A$3257,"="&amp;'Output - County'!A1951,Input!$B$115:$B$3257,"="&amp;'Output - County'!B1951)*VLOOKUP(A1951,'Output - State'!$B$2:$G$52,2,FALSE)</f>
        <v>409.83351351314826</v>
      </c>
      <c r="D1951" s="98">
        <f>SUMIFS(Input!$C$115:$C$3257,Input!$A$115:$A$3257,"="&amp;'Output - County'!A1951,Input!$B$115:$B$3257,"="&amp;'Output - County'!B1951)*VLOOKUP(A1951,'Output - State'!$B$2:$G$52,3,FALSE)</f>
        <v>5.2680396802482052</v>
      </c>
      <c r="E1951" s="98">
        <f>SUMIFS(Input!$C$115:$C$3257,Input!$A$115:$A$3257,"="&amp;'Output - County'!A1951,Input!$B$115:$B$3257,"="&amp;'Output - County'!B1951)*VLOOKUP(A1951,'Output - State'!$B$2:$G$52,4,FALSE)</f>
        <v>13.059324537633739</v>
      </c>
      <c r="F1951" s="98">
        <f>SUMIFS(Input!$C$115:$C$3257,Input!$A$115:$A$3257,"="&amp;'Output - County'!A1951,Input!$B$115:$B$3257,"="&amp;'Output - County'!B1951)*VLOOKUP(A1951,'Output - State'!$B$2:$G$52,5,FALSE)</f>
        <v>609.24901782214351</v>
      </c>
      <c r="G1951" s="99">
        <f>SUMIFS(Input!$D$115:$D$3257,Input!$A$115:$A$3257,"="&amp;'Output - County'!A1951,Input!$B$115:$B$3257,"="&amp;'Output - County'!B1951)*VLOOKUP(A1951,'Output - State'!$B$2:$G$52,6,FALSE)</f>
        <v>148.25415643012647</v>
      </c>
    </row>
    <row r="1952" spans="1:7" x14ac:dyDescent="0.25">
      <c r="A1952" s="88">
        <v>37</v>
      </c>
      <c r="B1952" s="88">
        <v>121</v>
      </c>
      <c r="C1952" s="97">
        <f>SUMIFS(Input!$C$115:$C$3257,Input!$A$115:$A$3257,"="&amp;'Output - County'!A1952,Input!$B$115:$B$3257,"="&amp;'Output - County'!B1952)*VLOOKUP(A1952,'Output - State'!$B$2:$G$52,2,FALSE)</f>
        <v>4.0017838147032467</v>
      </c>
      <c r="D1952" s="98">
        <f>SUMIFS(Input!$C$115:$C$3257,Input!$A$115:$A$3257,"="&amp;'Output - County'!A1952,Input!$B$115:$B$3257,"="&amp;'Output - County'!B1952)*VLOOKUP(A1952,'Output - State'!$B$2:$G$52,3,FALSE)</f>
        <v>5.1439316777483104E-2</v>
      </c>
      <c r="E1952" s="98">
        <f>SUMIFS(Input!$C$115:$C$3257,Input!$A$115:$A$3257,"="&amp;'Output - County'!A1952,Input!$B$115:$B$3257,"="&amp;'Output - County'!B1952)*VLOOKUP(A1952,'Output - State'!$B$2:$G$52,4,FALSE)</f>
        <v>0.12751664234990151</v>
      </c>
      <c r="F1952" s="98">
        <f>SUMIFS(Input!$C$115:$C$3257,Input!$A$115:$A$3257,"="&amp;'Output - County'!A1952,Input!$B$115:$B$3257,"="&amp;'Output - County'!B1952)*VLOOKUP(A1952,'Output - State'!$B$2:$G$52,5,FALSE)</f>
        <v>5.9489592194277332</v>
      </c>
      <c r="G1952" s="99">
        <f>SUMIFS(Input!$D$115:$D$3257,Input!$A$115:$A$3257,"="&amp;'Output - County'!A1952,Input!$B$115:$B$3257,"="&amp;'Output - County'!B1952)*VLOOKUP(A1952,'Output - State'!$B$2:$G$52,6,FALSE)</f>
        <v>2.040194813258621</v>
      </c>
    </row>
    <row r="1953" spans="1:7" x14ac:dyDescent="0.25">
      <c r="A1953" s="88">
        <v>37</v>
      </c>
      <c r="B1953" s="88">
        <v>123</v>
      </c>
      <c r="C1953" s="97">
        <f>SUMIFS(Input!$C$115:$C$3257,Input!$A$115:$A$3257,"="&amp;'Output - County'!A1953,Input!$B$115:$B$3257,"="&amp;'Output - County'!B1953)*VLOOKUP(A1953,'Output - State'!$B$2:$G$52,2,FALSE)</f>
        <v>12.275099810026795</v>
      </c>
      <c r="D1953" s="98">
        <f>SUMIFS(Input!$C$115:$C$3257,Input!$A$115:$A$3257,"="&amp;'Output - County'!A1953,Input!$B$115:$B$3257,"="&amp;'Output - County'!B1953)*VLOOKUP(A1953,'Output - State'!$B$2:$G$52,3,FALSE)</f>
        <v>0.15778532195648212</v>
      </c>
      <c r="E1953" s="98">
        <f>SUMIFS(Input!$C$115:$C$3257,Input!$A$115:$A$3257,"="&amp;'Output - County'!A1953,Input!$B$115:$B$3257,"="&amp;'Output - County'!B1953)*VLOOKUP(A1953,'Output - State'!$B$2:$G$52,4,FALSE)</f>
        <v>0.39114544532201434</v>
      </c>
      <c r="F1953" s="98">
        <f>SUMIFS(Input!$C$115:$C$3257,Input!$A$115:$A$3257,"="&amp;'Output - County'!A1953,Input!$B$115:$B$3257,"="&amp;'Output - County'!B1953)*VLOOKUP(A1953,'Output - State'!$B$2:$G$52,5,FALSE)</f>
        <v>18.247879337197439</v>
      </c>
      <c r="G1953" s="99">
        <f>SUMIFS(Input!$D$115:$D$3257,Input!$A$115:$A$3257,"="&amp;'Output - County'!A1953,Input!$B$115:$B$3257,"="&amp;'Output - County'!B1953)*VLOOKUP(A1953,'Output - State'!$B$2:$G$52,6,FALSE)</f>
        <v>3.6859519626205755</v>
      </c>
    </row>
    <row r="1954" spans="1:7" x14ac:dyDescent="0.25">
      <c r="A1954" s="88">
        <v>37</v>
      </c>
      <c r="B1954" s="88">
        <v>125</v>
      </c>
      <c r="C1954" s="97">
        <f>SUMIFS(Input!$C$115:$C$3257,Input!$A$115:$A$3257,"="&amp;'Output - County'!A1954,Input!$B$115:$B$3257,"="&amp;'Output - County'!B1954)*VLOOKUP(A1954,'Output - State'!$B$2:$G$52,2,FALSE)</f>
        <v>32.937161575812944</v>
      </c>
      <c r="D1954" s="98">
        <f>SUMIFS(Input!$C$115:$C$3257,Input!$A$115:$A$3257,"="&amp;'Output - County'!A1954,Input!$B$115:$B$3257,"="&amp;'Output - County'!B1954)*VLOOKUP(A1954,'Output - State'!$B$2:$G$52,3,FALSE)</f>
        <v>0.42337746527545123</v>
      </c>
      <c r="E1954" s="98">
        <f>SUMIFS(Input!$C$115:$C$3257,Input!$A$115:$A$3257,"="&amp;'Output - County'!A1954,Input!$B$115:$B$3257,"="&amp;'Output - County'!B1954)*VLOOKUP(A1954,'Output - State'!$B$2:$G$52,4,FALSE)</f>
        <v>1.0495410164967425</v>
      </c>
      <c r="F1954" s="98">
        <f>SUMIFS(Input!$C$115:$C$3257,Input!$A$115:$A$3257,"="&amp;'Output - County'!A1954,Input!$B$115:$B$3257,"="&amp;'Output - County'!B1954)*VLOOKUP(A1954,'Output - State'!$B$2:$G$52,5,FALSE)</f>
        <v>48.963622247231115</v>
      </c>
      <c r="G1954" s="99">
        <f>SUMIFS(Input!$D$115:$D$3257,Input!$A$115:$A$3257,"="&amp;'Output - County'!A1954,Input!$B$115:$B$3257,"="&amp;'Output - County'!B1954)*VLOOKUP(A1954,'Output - State'!$B$2:$G$52,6,FALSE)</f>
        <v>13.438083169996784</v>
      </c>
    </row>
    <row r="1955" spans="1:7" x14ac:dyDescent="0.25">
      <c r="A1955" s="88">
        <v>37</v>
      </c>
      <c r="B1955" s="88">
        <v>127</v>
      </c>
      <c r="C1955" s="97">
        <f>SUMIFS(Input!$C$115:$C$3257,Input!$A$115:$A$3257,"="&amp;'Output - County'!A1955,Input!$B$115:$B$3257,"="&amp;'Output - County'!B1955)*VLOOKUP(A1955,'Output - State'!$B$2:$G$52,2,FALSE)</f>
        <v>53.709206547532169</v>
      </c>
      <c r="D1955" s="98">
        <f>SUMIFS(Input!$C$115:$C$3257,Input!$A$115:$A$3257,"="&amp;'Output - County'!A1955,Input!$B$115:$B$3257,"="&amp;'Output - County'!B1955)*VLOOKUP(A1955,'Output - State'!$B$2:$G$52,3,FALSE)</f>
        <v>0.69038334337674623</v>
      </c>
      <c r="E1955" s="98">
        <f>SUMIFS(Input!$C$115:$C$3257,Input!$A$115:$A$3257,"="&amp;'Output - County'!A1955,Input!$B$115:$B$3257,"="&amp;'Output - County'!B1955)*VLOOKUP(A1955,'Output - State'!$B$2:$G$52,4,FALSE)</f>
        <v>1.7114411970618966</v>
      </c>
      <c r="F1955" s="98">
        <f>SUMIFS(Input!$C$115:$C$3257,Input!$A$115:$A$3257,"="&amp;'Output - County'!A1955,Input!$B$115:$B$3257,"="&amp;'Output - County'!B1955)*VLOOKUP(A1955,'Output - State'!$B$2:$G$52,5,FALSE)</f>
        <v>79.842863646242094</v>
      </c>
      <c r="G1955" s="99">
        <f>SUMIFS(Input!$D$115:$D$3257,Input!$A$115:$A$3257,"="&amp;'Output - County'!A1955,Input!$B$115:$B$3257,"="&amp;'Output - County'!B1955)*VLOOKUP(A1955,'Output - State'!$B$2:$G$52,6,FALSE)</f>
        <v>12.798822128509082</v>
      </c>
    </row>
    <row r="1956" spans="1:7" x14ac:dyDescent="0.25">
      <c r="A1956" s="88">
        <v>37</v>
      </c>
      <c r="B1956" s="88">
        <v>129</v>
      </c>
      <c r="C1956" s="97">
        <f>SUMIFS(Input!$C$115:$C$3257,Input!$A$115:$A$3257,"="&amp;'Output - County'!A1956,Input!$B$115:$B$3257,"="&amp;'Output - County'!B1956)*VLOOKUP(A1956,'Output - State'!$B$2:$G$52,2,FALSE)</f>
        <v>71.561787858644891</v>
      </c>
      <c r="D1956" s="98">
        <f>SUMIFS(Input!$C$115:$C$3257,Input!$A$115:$A$3257,"="&amp;'Output - County'!A1956,Input!$B$115:$B$3257,"="&amp;'Output - County'!B1956)*VLOOKUP(A1956,'Output - State'!$B$2:$G$52,3,FALSE)</f>
        <v>0.91986215279768946</v>
      </c>
      <c r="E1956" s="98">
        <f>SUMIFS(Input!$C$115:$C$3257,Input!$A$115:$A$3257,"="&amp;'Output - County'!A1956,Input!$B$115:$B$3257,"="&amp;'Output - County'!B1956)*VLOOKUP(A1956,'Output - State'!$B$2:$G$52,4,FALSE)</f>
        <v>2.2803128131915424</v>
      </c>
      <c r="F1956" s="98">
        <f>SUMIFS(Input!$C$115:$C$3257,Input!$A$115:$A$3257,"="&amp;'Output - County'!A1956,Input!$B$115:$B$3257,"="&amp;'Output - County'!B1956)*VLOOKUP(A1956,'Output - State'!$B$2:$G$52,5,FALSE)</f>
        <v>106.38209792249519</v>
      </c>
      <c r="G1956" s="99">
        <f>SUMIFS(Input!$D$115:$D$3257,Input!$A$115:$A$3257,"="&amp;'Output - County'!A1956,Input!$B$115:$B$3257,"="&amp;'Output - County'!B1956)*VLOOKUP(A1956,'Output - State'!$B$2:$G$52,6,FALSE)</f>
        <v>31.555013111733341</v>
      </c>
    </row>
    <row r="1957" spans="1:7" x14ac:dyDescent="0.25">
      <c r="A1957" s="88">
        <v>37</v>
      </c>
      <c r="B1957" s="88">
        <v>131</v>
      </c>
      <c r="C1957" s="97">
        <f>SUMIFS(Input!$C$115:$C$3257,Input!$A$115:$A$3257,"="&amp;'Output - County'!A1957,Input!$B$115:$B$3257,"="&amp;'Output - County'!B1957)*VLOOKUP(A1957,'Output - State'!$B$2:$G$52,2,FALSE)</f>
        <v>10.159700657695399</v>
      </c>
      <c r="D1957" s="98">
        <f>SUMIFS(Input!$C$115:$C$3257,Input!$A$115:$A$3257,"="&amp;'Output - County'!A1957,Input!$B$115:$B$3257,"="&amp;'Output - County'!B1957)*VLOOKUP(A1957,'Output - State'!$B$2:$G$52,3,FALSE)</f>
        <v>0.13059377634929817</v>
      </c>
      <c r="E1957" s="98">
        <f>SUMIFS(Input!$C$115:$C$3257,Input!$A$115:$A$3257,"="&amp;'Output - County'!A1957,Input!$B$115:$B$3257,"="&amp;'Output - County'!B1957)*VLOOKUP(A1957,'Output - State'!$B$2:$G$52,4,FALSE)</f>
        <v>0.32373835647727855</v>
      </c>
      <c r="F1957" s="98">
        <f>SUMIFS(Input!$C$115:$C$3257,Input!$A$115:$A$3257,"="&amp;'Output - County'!A1957,Input!$B$115:$B$3257,"="&amp;'Output - County'!B1957)*VLOOKUP(A1957,'Output - State'!$B$2:$G$52,5,FALSE)</f>
        <v>15.10317590674372</v>
      </c>
      <c r="G1957" s="99">
        <f>SUMIFS(Input!$D$115:$D$3257,Input!$A$115:$A$3257,"="&amp;'Output - County'!A1957,Input!$B$115:$B$3257,"="&amp;'Output - County'!B1957)*VLOOKUP(A1957,'Output - State'!$B$2:$G$52,6,FALSE)</f>
        <v>2.6794558547463221</v>
      </c>
    </row>
    <row r="1958" spans="1:7" x14ac:dyDescent="0.25">
      <c r="A1958" s="88">
        <v>37</v>
      </c>
      <c r="B1958" s="88">
        <v>133</v>
      </c>
      <c r="C1958" s="97">
        <f>SUMIFS(Input!$C$115:$C$3257,Input!$A$115:$A$3257,"="&amp;'Output - County'!A1958,Input!$B$115:$B$3257,"="&amp;'Output - County'!B1958)*VLOOKUP(A1958,'Output - State'!$B$2:$G$52,2,FALSE)</f>
        <v>61.047293138598732</v>
      </c>
      <c r="D1958" s="98">
        <f>SUMIFS(Input!$C$115:$C$3257,Input!$A$115:$A$3257,"="&amp;'Output - County'!A1958,Input!$B$115:$B$3257,"="&amp;'Output - County'!B1958)*VLOOKUP(A1958,'Output - State'!$B$2:$G$52,3,FALSE)</f>
        <v>0.78470781920465027</v>
      </c>
      <c r="E1958" s="98">
        <f>SUMIFS(Input!$C$115:$C$3257,Input!$A$115:$A$3257,"="&amp;'Output - County'!A1958,Input!$B$115:$B$3257,"="&amp;'Output - County'!B1958)*VLOOKUP(A1958,'Output - State'!$B$2:$G$52,4,FALSE)</f>
        <v>1.9452689615522261</v>
      </c>
      <c r="F1958" s="98">
        <f>SUMIFS(Input!$C$115:$C$3257,Input!$A$115:$A$3257,"="&amp;'Output - County'!A1958,Input!$B$115:$B$3257,"="&amp;'Output - County'!B1958)*VLOOKUP(A1958,'Output - State'!$B$2:$G$52,5,FALSE)</f>
        <v>90.751493372438745</v>
      </c>
      <c r="G1958" s="99">
        <f>SUMIFS(Input!$D$115:$D$3257,Input!$A$115:$A$3257,"="&amp;'Output - County'!A1958,Input!$B$115:$B$3257,"="&amp;'Output - County'!B1958)*VLOOKUP(A1958,'Output - State'!$B$2:$G$52,6,FALSE)</f>
        <v>26.794558547463222</v>
      </c>
    </row>
    <row r="1959" spans="1:7" x14ac:dyDescent="0.25">
      <c r="A1959" s="88">
        <v>37</v>
      </c>
      <c r="B1959" s="88">
        <v>135</v>
      </c>
      <c r="C1959" s="97">
        <f>SUMIFS(Input!$C$115:$C$3257,Input!$A$115:$A$3257,"="&amp;'Output - County'!A1959,Input!$B$115:$B$3257,"="&amp;'Output - County'!B1959)*VLOOKUP(A1959,'Output - State'!$B$2:$G$52,2,FALSE)</f>
        <v>59.344899165914974</v>
      </c>
      <c r="D1959" s="98">
        <f>SUMIFS(Input!$C$115:$C$3257,Input!$A$115:$A$3257,"="&amp;'Output - County'!A1959,Input!$B$115:$B$3257,"="&amp;'Output - County'!B1959)*VLOOKUP(A1959,'Output - State'!$B$2:$G$52,3,FALSE)</f>
        <v>0.76282508218142309</v>
      </c>
      <c r="E1959" s="98">
        <f>SUMIFS(Input!$C$115:$C$3257,Input!$A$115:$A$3257,"="&amp;'Output - County'!A1959,Input!$B$115:$B$3257,"="&amp;'Output - County'!B1959)*VLOOKUP(A1959,'Output - State'!$B$2:$G$52,4,FALSE)</f>
        <v>1.8910222622288542</v>
      </c>
      <c r="F1959" s="98">
        <f>SUMIFS(Input!$C$115:$C$3257,Input!$A$115:$A$3257,"="&amp;'Output - County'!A1959,Input!$B$115:$B$3257,"="&amp;'Output - County'!B1959)*VLOOKUP(A1959,'Output - State'!$B$2:$G$52,5,FALSE)</f>
        <v>88.220753885291742</v>
      </c>
      <c r="G1959" s="99">
        <f>SUMIFS(Input!$D$115:$D$3257,Input!$A$115:$A$3257,"="&amp;'Output - County'!A1959,Input!$B$115:$B$3257,"="&amp;'Output - County'!B1959)*VLOOKUP(A1959,'Output - State'!$B$2:$G$52,6,FALSE)</f>
        <v>20.129922157485062</v>
      </c>
    </row>
    <row r="1960" spans="1:7" x14ac:dyDescent="0.25">
      <c r="A1960" s="88">
        <v>37</v>
      </c>
      <c r="B1960" s="88">
        <v>137</v>
      </c>
      <c r="C1960" s="97">
        <f>SUMIFS(Input!$C$115:$C$3257,Input!$A$115:$A$3257,"="&amp;'Output - County'!A1960,Input!$B$115:$B$3257,"="&amp;'Output - County'!B1960)*VLOOKUP(A1960,'Output - State'!$B$2:$G$52,2,FALSE)</f>
        <v>3.9986242942585344</v>
      </c>
      <c r="D1960" s="98">
        <f>SUMIFS(Input!$C$115:$C$3257,Input!$A$115:$A$3257,"="&amp;'Output - County'!A1960,Input!$B$115:$B$3257,"="&amp;'Output - County'!B1960)*VLOOKUP(A1960,'Output - State'!$B$2:$G$52,3,FALSE)</f>
        <v>5.1398703995647325E-2</v>
      </c>
      <c r="E1960" s="98">
        <f>SUMIFS(Input!$C$115:$C$3257,Input!$A$115:$A$3257,"="&amp;'Output - County'!A1960,Input!$B$115:$B$3257,"="&amp;'Output - County'!B1960)*VLOOKUP(A1960,'Output - State'!$B$2:$G$52,4,FALSE)</f>
        <v>0.12741596438797231</v>
      </c>
      <c r="F1960" s="98">
        <f>SUMIFS(Input!$C$115:$C$3257,Input!$A$115:$A$3257,"="&amp;'Output - County'!A1960,Input!$B$115:$B$3257,"="&amp;'Output - County'!B1960)*VLOOKUP(A1960,'Output - State'!$B$2:$G$52,5,FALSE)</f>
        <v>5.9442623494445312</v>
      </c>
      <c r="G1960" s="99">
        <f>SUMIFS(Input!$D$115:$D$3257,Input!$A$115:$A$3257,"="&amp;'Output - County'!A1960,Input!$B$115:$B$3257,"="&amp;'Output - County'!B1960)*VLOOKUP(A1960,'Output - State'!$B$2:$G$52,6,FALSE)</f>
        <v>1.7137636431372416</v>
      </c>
    </row>
    <row r="1961" spans="1:7" x14ac:dyDescent="0.25">
      <c r="A1961" s="88">
        <v>37</v>
      </c>
      <c r="B1961" s="88">
        <v>139</v>
      </c>
      <c r="C1961" s="97">
        <f>SUMIFS(Input!$C$115:$C$3257,Input!$A$115:$A$3257,"="&amp;'Output - County'!A1961,Input!$B$115:$B$3257,"="&amp;'Output - County'!B1961)*VLOOKUP(A1961,'Output - State'!$B$2:$G$52,2,FALSE)</f>
        <v>12.33168104353387</v>
      </c>
      <c r="D1961" s="98">
        <f>SUMIFS(Input!$C$115:$C$3257,Input!$A$115:$A$3257,"="&amp;'Output - County'!A1961,Input!$B$115:$B$3257,"="&amp;'Output - County'!B1961)*VLOOKUP(A1961,'Output - State'!$B$2:$G$52,3,FALSE)</f>
        <v>0.15851262261258889</v>
      </c>
      <c r="E1961" s="98">
        <f>SUMIFS(Input!$C$115:$C$3257,Input!$A$115:$A$3257,"="&amp;'Output - County'!A1961,Input!$B$115:$B$3257,"="&amp;'Output - County'!B1961)*VLOOKUP(A1961,'Output - State'!$B$2:$G$52,4,FALSE)</f>
        <v>0.39294840351539012</v>
      </c>
      <c r="F1961" s="98">
        <f>SUMIFS(Input!$C$115:$C$3257,Input!$A$115:$A$3257,"="&amp;'Output - County'!A1961,Input!$B$115:$B$3257,"="&amp;'Output - County'!B1961)*VLOOKUP(A1961,'Output - State'!$B$2:$G$52,5,FALSE)</f>
        <v>18.331991689664299</v>
      </c>
      <c r="G1961" s="99">
        <f>SUMIFS(Input!$D$115:$D$3257,Input!$A$115:$A$3257,"="&amp;'Output - County'!A1961,Input!$B$115:$B$3257,"="&amp;'Output - County'!B1961)*VLOOKUP(A1961,'Output - State'!$B$2:$G$52,6,FALSE)</f>
        <v>5.3861143070027593</v>
      </c>
    </row>
    <row r="1962" spans="1:7" x14ac:dyDescent="0.25">
      <c r="A1962" s="88">
        <v>37</v>
      </c>
      <c r="B1962" s="88">
        <v>141</v>
      </c>
      <c r="C1962" s="97">
        <f>SUMIFS(Input!$C$115:$C$3257,Input!$A$115:$A$3257,"="&amp;'Output - County'!A1962,Input!$B$115:$B$3257,"="&amp;'Output - County'!B1962)*VLOOKUP(A1962,'Output - State'!$B$2:$G$52,2,FALSE)</f>
        <v>29.93201661973697</v>
      </c>
      <c r="D1962" s="98">
        <f>SUMIFS(Input!$C$115:$C$3257,Input!$A$115:$A$3257,"="&amp;'Output - County'!A1962,Input!$B$115:$B$3257,"="&amp;'Output - County'!B1962)*VLOOKUP(A1962,'Output - State'!$B$2:$G$52,3,FALSE)</f>
        <v>0.38474904092381973</v>
      </c>
      <c r="E1962" s="98">
        <f>SUMIFS(Input!$C$115:$C$3257,Input!$A$115:$A$3257,"="&amp;'Output - County'!A1962,Input!$B$115:$B$3257,"="&amp;'Output - County'!B1962)*VLOOKUP(A1962,'Output - State'!$B$2:$G$52,4,FALSE)</f>
        <v>0.95378222183982342</v>
      </c>
      <c r="F1962" s="98">
        <f>SUMIFS(Input!$C$115:$C$3257,Input!$A$115:$A$3257,"="&amp;'Output - County'!A1962,Input!$B$115:$B$3257,"="&amp;'Output - County'!B1962)*VLOOKUP(A1962,'Output - State'!$B$2:$G$52,5,FALSE)</f>
        <v>44.49624329325566</v>
      </c>
      <c r="G1962" s="99">
        <f>SUMIFS(Input!$D$115:$D$3257,Input!$A$115:$A$3257,"="&amp;'Output - County'!A1962,Input!$B$115:$B$3257,"="&amp;'Output - County'!B1962)*VLOOKUP(A1962,'Output - State'!$B$2:$G$52,6,FALSE)</f>
        <v>8.4328052281356332</v>
      </c>
    </row>
    <row r="1963" spans="1:7" x14ac:dyDescent="0.25">
      <c r="A1963" s="88">
        <v>37</v>
      </c>
      <c r="B1963" s="88">
        <v>143</v>
      </c>
      <c r="C1963" s="97">
        <f>SUMIFS(Input!$C$115:$C$3257,Input!$A$115:$A$3257,"="&amp;'Output - County'!A1963,Input!$B$115:$B$3257,"="&amp;'Output - County'!B1963)*VLOOKUP(A1963,'Output - State'!$B$2:$G$52,2,FALSE)</f>
        <v>4.6650550671973043</v>
      </c>
      <c r="D1963" s="98">
        <f>SUMIFS(Input!$C$115:$C$3257,Input!$A$115:$A$3257,"="&amp;'Output - County'!A1963,Input!$B$115:$B$3257,"="&amp;'Output - County'!B1963)*VLOOKUP(A1963,'Output - State'!$B$2:$G$52,3,FALSE)</f>
        <v>5.9965069703236749E-2</v>
      </c>
      <c r="E1963" s="98">
        <f>SUMIFS(Input!$C$115:$C$3257,Input!$A$115:$A$3257,"="&amp;'Output - County'!A1963,Input!$B$115:$B$3257,"="&amp;'Output - County'!B1963)*VLOOKUP(A1963,'Output - State'!$B$2:$G$52,4,FALSE)</f>
        <v>0.14865174784323207</v>
      </c>
      <c r="F1963" s="98">
        <f>SUMIFS(Input!$C$115:$C$3257,Input!$A$115:$A$3257,"="&amp;'Output - County'!A1963,Input!$B$115:$B$3257,"="&amp;'Output - County'!B1963)*VLOOKUP(A1963,'Output - State'!$B$2:$G$52,5,FALSE)</f>
        <v>6.9349629155815453</v>
      </c>
      <c r="G1963" s="99">
        <f>SUMIFS(Input!$D$115:$D$3257,Input!$A$115:$A$3257,"="&amp;'Output - County'!A1963,Input!$B$115:$B$3257,"="&amp;'Output - County'!B1963)*VLOOKUP(A1963,'Output - State'!$B$2:$G$52,6,FALSE)</f>
        <v>1.8225740331777014</v>
      </c>
    </row>
    <row r="1964" spans="1:7" x14ac:dyDescent="0.25">
      <c r="A1964" s="88">
        <v>37</v>
      </c>
      <c r="B1964" s="88">
        <v>145</v>
      </c>
      <c r="C1964" s="97">
        <f>SUMIFS(Input!$C$115:$C$3257,Input!$A$115:$A$3257,"="&amp;'Output - County'!A1964,Input!$B$115:$B$3257,"="&amp;'Output - County'!B1964)*VLOOKUP(A1964,'Output - State'!$B$2:$G$52,2,FALSE)</f>
        <v>10.237279570515467</v>
      </c>
      <c r="D1964" s="98">
        <f>SUMIFS(Input!$C$115:$C$3257,Input!$A$115:$A$3257,"="&amp;'Output - County'!A1964,Input!$B$115:$B$3257,"="&amp;'Output - County'!B1964)*VLOOKUP(A1964,'Output - State'!$B$2:$G$52,3,FALSE)</f>
        <v>0.1315909832091845</v>
      </c>
      <c r="E1964" s="98">
        <f>SUMIFS(Input!$C$115:$C$3257,Input!$A$115:$A$3257,"="&amp;'Output - County'!A1964,Input!$B$115:$B$3257,"="&amp;'Output - County'!B1964)*VLOOKUP(A1964,'Output - State'!$B$2:$G$52,4,FALSE)</f>
        <v>0.32621040467828921</v>
      </c>
      <c r="F1964" s="98">
        <f>SUMIFS(Input!$C$115:$C$3257,Input!$A$115:$A$3257,"="&amp;'Output - County'!A1964,Input!$B$115:$B$3257,"="&amp;'Output - County'!B1964)*VLOOKUP(A1964,'Output - State'!$B$2:$G$52,5,FALSE)</f>
        <v>15.218502923400251</v>
      </c>
      <c r="G1964" s="99">
        <f>SUMIFS(Input!$D$115:$D$3257,Input!$A$115:$A$3257,"="&amp;'Output - County'!A1964,Input!$B$115:$B$3257,"="&amp;'Output - County'!B1964)*VLOOKUP(A1964,'Output - State'!$B$2:$G$52,6,FALSE)</f>
        <v>5.3589117094926442</v>
      </c>
    </row>
    <row r="1965" spans="1:7" x14ac:dyDescent="0.25">
      <c r="A1965" s="88">
        <v>37</v>
      </c>
      <c r="B1965" s="88">
        <v>147</v>
      </c>
      <c r="C1965" s="97">
        <f>SUMIFS(Input!$C$115:$C$3257,Input!$A$115:$A$3257,"="&amp;'Output - County'!A1965,Input!$B$115:$B$3257,"="&amp;'Output - County'!B1965)*VLOOKUP(A1965,'Output - State'!$B$2:$G$52,2,FALSE)</f>
        <v>56.599183730696623</v>
      </c>
      <c r="D1965" s="98">
        <f>SUMIFS(Input!$C$115:$C$3257,Input!$A$115:$A$3257,"="&amp;'Output - County'!A1965,Input!$B$115:$B$3257,"="&amp;'Output - County'!B1965)*VLOOKUP(A1965,'Output - State'!$B$2:$G$52,3,FALSE)</f>
        <v>0.72753139001992007</v>
      </c>
      <c r="E1965" s="98">
        <f>SUMIFS(Input!$C$115:$C$3257,Input!$A$115:$A$3257,"="&amp;'Output - County'!A1965,Input!$B$115:$B$3257,"="&amp;'Output - County'!B1965)*VLOOKUP(A1965,'Output - State'!$B$2:$G$52,4,FALSE)</f>
        <v>1.8035301763593166</v>
      </c>
      <c r="F1965" s="98">
        <f>SUMIFS(Input!$C$115:$C$3257,Input!$A$115:$A$3257,"="&amp;'Output - County'!A1965,Input!$B$115:$B$3257,"="&amp;'Output - County'!B1965)*VLOOKUP(A1965,'Output - State'!$B$2:$G$52,5,FALSE)</f>
        <v>84.139036853938691</v>
      </c>
      <c r="G1965" s="99">
        <f>SUMIFS(Input!$D$115:$D$3257,Input!$A$115:$A$3257,"="&amp;'Output - County'!A1965,Input!$B$115:$B$3257,"="&amp;'Output - County'!B1965)*VLOOKUP(A1965,'Output - State'!$B$2:$G$52,6,FALSE)</f>
        <v>24.482337759103451</v>
      </c>
    </row>
    <row r="1966" spans="1:7" x14ac:dyDescent="0.25">
      <c r="A1966" s="88">
        <v>37</v>
      </c>
      <c r="B1966" s="88">
        <v>149</v>
      </c>
      <c r="C1966" s="97">
        <f>SUMIFS(Input!$C$115:$C$3257,Input!$A$115:$A$3257,"="&amp;'Output - County'!A1966,Input!$B$115:$B$3257,"="&amp;'Output - County'!B1966)*VLOOKUP(A1966,'Output - State'!$B$2:$G$52,2,FALSE)</f>
        <v>12.505418976298701</v>
      </c>
      <c r="D1966" s="98">
        <f>SUMIFS(Input!$C$115:$C$3257,Input!$A$115:$A$3257,"="&amp;'Output - County'!A1966,Input!$B$115:$B$3257,"="&amp;'Output - County'!B1966)*VLOOKUP(A1966,'Output - State'!$B$2:$G$52,3,FALSE)</f>
        <v>0.16074586682906036</v>
      </c>
      <c r="E1966" s="98">
        <f>SUMIFS(Input!$C$115:$C$3257,Input!$A$115:$A$3257,"="&amp;'Output - County'!A1966,Input!$B$115:$B$3257,"="&amp;'Output - County'!B1966)*VLOOKUP(A1966,'Output - State'!$B$2:$G$52,4,FALSE)</f>
        <v>0.39848455410742978</v>
      </c>
      <c r="F1966" s="98">
        <f>SUMIFS(Input!$C$115:$C$3257,Input!$A$115:$A$3257,"="&amp;'Output - County'!A1966,Input!$B$115:$B$3257,"="&amp;'Output - County'!B1966)*VLOOKUP(A1966,'Output - State'!$B$2:$G$52,5,FALSE)</f>
        <v>18.590266480293465</v>
      </c>
      <c r="G1966" s="99">
        <f>SUMIFS(Input!$D$115:$D$3257,Input!$A$115:$A$3257,"="&amp;'Output - County'!A1966,Input!$B$115:$B$3257,"="&amp;'Output - County'!B1966)*VLOOKUP(A1966,'Output - State'!$B$2:$G$52,6,FALSE)</f>
        <v>2.8154688422968972</v>
      </c>
    </row>
    <row r="1967" spans="1:7" x14ac:dyDescent="0.25">
      <c r="A1967" s="88">
        <v>37</v>
      </c>
      <c r="B1967" s="88">
        <v>151</v>
      </c>
      <c r="C1967" s="97">
        <f>SUMIFS(Input!$C$115:$C$3257,Input!$A$115:$A$3257,"="&amp;'Output - County'!A1967,Input!$B$115:$B$3257,"="&amp;'Output - County'!B1967)*VLOOKUP(A1967,'Output - State'!$B$2:$G$52,2,FALSE)</f>
        <v>54.142639777843314</v>
      </c>
      <c r="D1967" s="98">
        <f>SUMIFS(Input!$C$115:$C$3257,Input!$A$115:$A$3257,"="&amp;'Output - County'!A1967,Input!$B$115:$B$3257,"="&amp;'Output - County'!B1967)*VLOOKUP(A1967,'Output - State'!$B$2:$G$52,3,FALSE)</f>
        <v>0.69595473610264635</v>
      </c>
      <c r="E1967" s="98">
        <f>SUMIFS(Input!$C$115:$C$3257,Input!$A$115:$A$3257,"="&amp;'Output - County'!A1967,Input!$B$115:$B$3257,"="&amp;'Output - County'!B1967)*VLOOKUP(A1967,'Output - State'!$B$2:$G$52,4,FALSE)</f>
        <v>1.7252525254022926</v>
      </c>
      <c r="F1967" s="98">
        <f>SUMIFS(Input!$C$115:$C$3257,Input!$A$115:$A$3257,"="&amp;'Output - County'!A1967,Input!$B$115:$B$3257,"="&amp;'Output - County'!B1967)*VLOOKUP(A1967,'Output - State'!$B$2:$G$52,5,FALSE)</f>
        <v>80.487195456969118</v>
      </c>
      <c r="G1967" s="99">
        <f>SUMIFS(Input!$D$115:$D$3257,Input!$A$115:$A$3257,"="&amp;'Output - County'!A1967,Input!$B$115:$B$3257,"="&amp;'Output - County'!B1967)*VLOOKUP(A1967,'Output - State'!$B$2:$G$52,6,FALSE)</f>
        <v>19.449857219732184</v>
      </c>
    </row>
    <row r="1968" spans="1:7" x14ac:dyDescent="0.25">
      <c r="A1968" s="88">
        <v>37</v>
      </c>
      <c r="B1968" s="88">
        <v>153</v>
      </c>
      <c r="C1968" s="97">
        <f>SUMIFS(Input!$C$115:$C$3257,Input!$A$115:$A$3257,"="&amp;'Output - County'!A1968,Input!$B$115:$B$3257,"="&amp;'Output - County'!B1968)*VLOOKUP(A1968,'Output - State'!$B$2:$G$52,2,FALSE)</f>
        <v>19.403893973404227</v>
      </c>
      <c r="D1968" s="98">
        <f>SUMIFS(Input!$C$115:$C$3257,Input!$A$115:$A$3257,"="&amp;'Output - County'!A1968,Input!$B$115:$B$3257,"="&amp;'Output - County'!B1968)*VLOOKUP(A1968,'Output - State'!$B$2:$G$52,3,FALSE)</f>
        <v>0.24941953264625602</v>
      </c>
      <c r="E1968" s="98">
        <f>SUMIFS(Input!$C$115:$C$3257,Input!$A$115:$A$3257,"="&amp;'Output - County'!A1968,Input!$B$115:$B$3257,"="&amp;'Output - County'!B1968)*VLOOKUP(A1968,'Output - State'!$B$2:$G$52,4,FALSE)</f>
        <v>0.61830411700675036</v>
      </c>
      <c r="F1968" s="98">
        <f>SUMIFS(Input!$C$115:$C$3257,Input!$A$115:$A$3257,"="&amp;'Output - County'!A1968,Input!$B$115:$B$3257,"="&amp;'Output - County'!B1968)*VLOOKUP(A1968,'Output - State'!$B$2:$G$52,5,FALSE)</f>
        <v>28.845379783325772</v>
      </c>
      <c r="G1968" s="99">
        <f>SUMIFS(Input!$D$115:$D$3257,Input!$A$115:$A$3257,"="&amp;'Output - County'!A1968,Input!$B$115:$B$3257,"="&amp;'Output - County'!B1968)*VLOOKUP(A1968,'Output - State'!$B$2:$G$52,6,FALSE)</f>
        <v>6.1069831410208053</v>
      </c>
    </row>
    <row r="1969" spans="1:7" x14ac:dyDescent="0.25">
      <c r="A1969" s="88">
        <v>37</v>
      </c>
      <c r="B1969" s="88">
        <v>155</v>
      </c>
      <c r="C1969" s="97">
        <f>SUMIFS(Input!$C$115:$C$3257,Input!$A$115:$A$3257,"="&amp;'Output - County'!A1969,Input!$B$115:$B$3257,"="&amp;'Output - County'!B1969)*VLOOKUP(A1969,'Output - State'!$B$2:$G$52,2,FALSE)</f>
        <v>60.575442657676739</v>
      </c>
      <c r="D1969" s="98">
        <f>SUMIFS(Input!$C$115:$C$3257,Input!$A$115:$A$3257,"="&amp;'Output - County'!A1969,Input!$B$115:$B$3257,"="&amp;'Output - County'!B1969)*VLOOKUP(A1969,'Output - State'!$B$2:$G$52,3,FALSE)</f>
        <v>0.77864260741820246</v>
      </c>
      <c r="E1969" s="98">
        <f>SUMIFS(Input!$C$115:$C$3257,Input!$A$115:$A$3257,"="&amp;'Output - County'!A1969,Input!$B$115:$B$3257,"="&amp;'Output - County'!B1969)*VLOOKUP(A1969,'Output - State'!$B$2:$G$52,4,FALSE)</f>
        <v>1.9302334694306156</v>
      </c>
      <c r="F1969" s="98">
        <f>SUMIFS(Input!$C$115:$C$3257,Input!$A$115:$A$3257,"="&amp;'Output - County'!A1969,Input!$B$115:$B$3257,"="&amp;'Output - County'!B1969)*VLOOKUP(A1969,'Output - State'!$B$2:$G$52,5,FALSE)</f>
        <v>90.050051365911855</v>
      </c>
      <c r="G1969" s="99">
        <f>SUMIFS(Input!$D$115:$D$3257,Input!$A$115:$A$3257,"="&amp;'Output - County'!A1969,Input!$B$115:$B$3257,"="&amp;'Output - County'!B1969)*VLOOKUP(A1969,'Output - State'!$B$2:$G$52,6,FALSE)</f>
        <v>17.953714356675864</v>
      </c>
    </row>
    <row r="1970" spans="1:7" x14ac:dyDescent="0.25">
      <c r="A1970" s="88">
        <v>37</v>
      </c>
      <c r="B1970" s="88">
        <v>157</v>
      </c>
      <c r="C1970" s="97">
        <f>SUMIFS(Input!$C$115:$C$3257,Input!$A$115:$A$3257,"="&amp;'Output - County'!A1970,Input!$B$115:$B$3257,"="&amp;'Output - County'!B1970)*VLOOKUP(A1970,'Output - State'!$B$2:$G$52,2,FALSE)</f>
        <v>31.978109029516158</v>
      </c>
      <c r="D1970" s="98">
        <f>SUMIFS(Input!$C$115:$C$3257,Input!$A$115:$A$3257,"="&amp;'Output - County'!A1970,Input!$B$115:$B$3257,"="&amp;'Output - County'!B1970)*VLOOKUP(A1970,'Output - State'!$B$2:$G$52,3,FALSE)</f>
        <v>0.41104971094900455</v>
      </c>
      <c r="E1970" s="98">
        <f>SUMIFS(Input!$C$115:$C$3257,Input!$A$115:$A$3257,"="&amp;'Output - County'!A1970,Input!$B$115:$B$3257,"="&amp;'Output - County'!B1970)*VLOOKUP(A1970,'Output - State'!$B$2:$G$52,4,FALSE)</f>
        <v>1.018980854777972</v>
      </c>
      <c r="F1970" s="98">
        <f>SUMIFS(Input!$C$115:$C$3257,Input!$A$115:$A$3257,"="&amp;'Output - County'!A1970,Input!$B$115:$B$3257,"="&amp;'Output - County'!B1970)*VLOOKUP(A1970,'Output - State'!$B$2:$G$52,5,FALSE)</f>
        <v>47.537916923958676</v>
      </c>
      <c r="G1970" s="99">
        <f>SUMIFS(Input!$D$115:$D$3257,Input!$A$115:$A$3257,"="&amp;'Output - County'!A1970,Input!$B$115:$B$3257,"="&amp;'Output - County'!B1970)*VLOOKUP(A1970,'Output - State'!$B$2:$G$52,6,FALSE)</f>
        <v>12.322776672082069</v>
      </c>
    </row>
    <row r="1971" spans="1:7" x14ac:dyDescent="0.25">
      <c r="A1971" s="88">
        <v>37</v>
      </c>
      <c r="B1971" s="88">
        <v>159</v>
      </c>
      <c r="C1971" s="97">
        <f>SUMIFS(Input!$C$115:$C$3257,Input!$A$115:$A$3257,"="&amp;'Output - County'!A1971,Input!$B$115:$B$3257,"="&amp;'Output - County'!B1971)*VLOOKUP(A1971,'Output - State'!$B$2:$G$52,2,FALSE)</f>
        <v>56.36755134574932</v>
      </c>
      <c r="D1971" s="98">
        <f>SUMIFS(Input!$C$115:$C$3257,Input!$A$115:$A$3257,"="&amp;'Output - County'!A1971,Input!$B$115:$B$3257,"="&amp;'Output - County'!B1971)*VLOOKUP(A1971,'Output - State'!$B$2:$G$52,3,FALSE)</f>
        <v>0.72455396490728641</v>
      </c>
      <c r="E1971" s="98">
        <f>SUMIFS(Input!$C$115:$C$3257,Input!$A$115:$A$3257,"="&amp;'Output - County'!A1971,Input!$B$115:$B$3257,"="&amp;'Output - County'!B1971)*VLOOKUP(A1971,'Output - State'!$B$2:$G$52,4,FALSE)</f>
        <v>1.796149221926082</v>
      </c>
      <c r="F1971" s="98">
        <f>SUMIFS(Input!$C$115:$C$3257,Input!$A$115:$A$3257,"="&amp;'Output - County'!A1971,Input!$B$115:$B$3257,"="&amp;'Output - County'!B1971)*VLOOKUP(A1971,'Output - State'!$B$2:$G$52,5,FALSE)</f>
        <v>83.79469751034712</v>
      </c>
      <c r="G1971" s="99">
        <f>SUMIFS(Input!$D$115:$D$3257,Input!$A$115:$A$3257,"="&amp;'Output - County'!A1971,Input!$B$115:$B$3257,"="&amp;'Output - County'!B1971)*VLOOKUP(A1971,'Output - State'!$B$2:$G$52,6,FALSE)</f>
        <v>19.17783124463104</v>
      </c>
    </row>
    <row r="1972" spans="1:7" x14ac:dyDescent="0.25">
      <c r="A1972" s="88">
        <v>37</v>
      </c>
      <c r="B1972" s="88">
        <v>161</v>
      </c>
      <c r="C1972" s="97">
        <f>SUMIFS(Input!$C$115:$C$3257,Input!$A$115:$A$3257,"="&amp;'Output - County'!A1972,Input!$B$115:$B$3257,"="&amp;'Output - County'!B1972)*VLOOKUP(A1972,'Output - State'!$B$2:$G$52,2,FALSE)</f>
        <v>18.834642312103135</v>
      </c>
      <c r="D1972" s="98">
        <f>SUMIFS(Input!$C$115:$C$3257,Input!$A$115:$A$3257,"="&amp;'Output - County'!A1972,Input!$B$115:$B$3257,"="&amp;'Output - County'!B1972)*VLOOKUP(A1972,'Output - State'!$B$2:$G$52,3,FALSE)</f>
        <v>0.2421023166526812</v>
      </c>
      <c r="E1972" s="98">
        <f>SUMIFS(Input!$C$115:$C$3257,Input!$A$115:$A$3257,"="&amp;'Output - County'!A1972,Input!$B$115:$B$3257,"="&amp;'Output - County'!B1972)*VLOOKUP(A1972,'Output - State'!$B$2:$G$52,4,FALSE)</f>
        <v>0.60016494111361141</v>
      </c>
      <c r="F1972" s="98">
        <f>SUMIFS(Input!$C$115:$C$3257,Input!$A$115:$A$3257,"="&amp;'Output - County'!A1972,Input!$B$115:$B$3257,"="&amp;'Output - County'!B1972)*VLOOKUP(A1972,'Output - State'!$B$2:$G$52,5,FALSE)</f>
        <v>27.999143435867602</v>
      </c>
      <c r="G1972" s="99">
        <f>SUMIFS(Input!$D$115:$D$3257,Input!$A$115:$A$3257,"="&amp;'Output - County'!A1972,Input!$B$115:$B$3257,"="&amp;'Output - County'!B1972)*VLOOKUP(A1972,'Output - State'!$B$2:$G$52,6,FALSE)</f>
        <v>9.0856675683783923</v>
      </c>
    </row>
    <row r="1973" spans="1:7" x14ac:dyDescent="0.25">
      <c r="A1973" s="88">
        <v>37</v>
      </c>
      <c r="B1973" s="88">
        <v>163</v>
      </c>
      <c r="C1973" s="97">
        <f>SUMIFS(Input!$C$115:$C$3257,Input!$A$115:$A$3257,"="&amp;'Output - County'!A1973,Input!$B$115:$B$3257,"="&amp;'Output - County'!B1973)*VLOOKUP(A1973,'Output - State'!$B$2:$G$52,2,FALSE)</f>
        <v>24.40838592340431</v>
      </c>
      <c r="D1973" s="98">
        <f>SUMIFS(Input!$C$115:$C$3257,Input!$A$115:$A$3257,"="&amp;'Output - County'!A1973,Input!$B$115:$B$3257,"="&amp;'Output - County'!B1973)*VLOOKUP(A1973,'Output - State'!$B$2:$G$52,3,FALSE)</f>
        <v>0.3137477569197874</v>
      </c>
      <c r="E1973" s="98">
        <f>SUMIFS(Input!$C$115:$C$3257,Input!$A$115:$A$3257,"="&amp;'Output - County'!A1973,Input!$B$115:$B$3257,"="&amp;'Output - County'!B1973)*VLOOKUP(A1973,'Output - State'!$B$2:$G$52,4,FALSE)</f>
        <v>0.77777200424904114</v>
      </c>
      <c r="F1973" s="98">
        <f>SUMIFS(Input!$C$115:$C$3257,Input!$A$115:$A$3257,"="&amp;'Output - County'!A1973,Input!$B$115:$B$3257,"="&amp;'Output - County'!B1973)*VLOOKUP(A1973,'Output - State'!$B$2:$G$52,5,FALSE)</f>
        <v>36.28494171446237</v>
      </c>
      <c r="G1973" s="99">
        <f>SUMIFS(Input!$D$115:$D$3257,Input!$A$115:$A$3257,"="&amp;'Output - County'!A1973,Input!$B$115:$B$3257,"="&amp;'Output - County'!B1973)*VLOOKUP(A1973,'Output - State'!$B$2:$G$52,6,FALSE)</f>
        <v>8.6096221119513814</v>
      </c>
    </row>
    <row r="1974" spans="1:7" x14ac:dyDescent="0.25">
      <c r="A1974" s="88">
        <v>37</v>
      </c>
      <c r="B1974" s="88">
        <v>165</v>
      </c>
      <c r="C1974" s="97">
        <f>SUMIFS(Input!$C$115:$C$3257,Input!$A$115:$A$3257,"="&amp;'Output - County'!A1974,Input!$B$115:$B$3257,"="&amp;'Output - County'!B1974)*VLOOKUP(A1974,'Output - State'!$B$2:$G$52,2,FALSE)</f>
        <v>14.606077226732026</v>
      </c>
      <c r="D1974" s="98">
        <f>SUMIFS(Input!$C$115:$C$3257,Input!$A$115:$A$3257,"="&amp;'Output - County'!A1974,Input!$B$115:$B$3257,"="&amp;'Output - County'!B1974)*VLOOKUP(A1974,'Output - State'!$B$2:$G$52,3,FALSE)</f>
        <v>0.18774793145540405</v>
      </c>
      <c r="E1974" s="98">
        <f>SUMIFS(Input!$C$115:$C$3257,Input!$A$115:$A$3257,"="&amp;'Output - County'!A1974,Input!$B$115:$B$3257,"="&amp;'Output - County'!B1974)*VLOOKUP(A1974,'Output - State'!$B$2:$G$52,4,FALSE)</f>
        <v>0.46542192484586886</v>
      </c>
      <c r="F1974" s="98">
        <f>SUMIFS(Input!$C$115:$C$3257,Input!$A$115:$A$3257,"="&amp;'Output - County'!A1974,Input!$B$115:$B$3257,"="&amp;'Output - County'!B1974)*VLOOKUP(A1974,'Output - State'!$B$2:$G$52,5,FALSE)</f>
        <v>21.713056427083472</v>
      </c>
      <c r="G1974" s="99">
        <f>SUMIFS(Input!$D$115:$D$3257,Input!$A$115:$A$3257,"="&amp;'Output - County'!A1974,Input!$B$115:$B$3257,"="&amp;'Output - County'!B1974)*VLOOKUP(A1974,'Output - State'!$B$2:$G$52,6,FALSE)</f>
        <v>4.733251966760001</v>
      </c>
    </row>
    <row r="1975" spans="1:7" x14ac:dyDescent="0.25">
      <c r="A1975" s="88">
        <v>37</v>
      </c>
      <c r="B1975" s="88">
        <v>167</v>
      </c>
      <c r="C1975" s="97">
        <f>SUMIFS(Input!$C$115:$C$3257,Input!$A$115:$A$3257,"="&amp;'Output - County'!A1975,Input!$B$115:$B$3257,"="&amp;'Output - County'!B1975)*VLOOKUP(A1975,'Output - State'!$B$2:$G$52,2,FALSE)</f>
        <v>18.362631599378421</v>
      </c>
      <c r="D1975" s="98">
        <f>SUMIFS(Input!$C$115:$C$3257,Input!$A$115:$A$3257,"="&amp;'Output - County'!A1975,Input!$B$115:$B$3257,"="&amp;'Output - County'!B1975)*VLOOKUP(A1975,'Output - State'!$B$2:$G$52,3,FALSE)</f>
        <v>0.23603504523112076</v>
      </c>
      <c r="E1975" s="98">
        <f>SUMIFS(Input!$C$115:$C$3257,Input!$A$115:$A$3257,"="&amp;'Output - County'!A1975,Input!$B$115:$B$3257,"="&amp;'Output - County'!B1975)*VLOOKUP(A1975,'Output - State'!$B$2:$G$52,4,FALSE)</f>
        <v>0.58512434321357154</v>
      </c>
      <c r="F1975" s="98">
        <f>SUMIFS(Input!$C$115:$C$3257,Input!$A$115:$A$3257,"="&amp;'Output - County'!A1975,Input!$B$115:$B$3257,"="&amp;'Output - County'!B1975)*VLOOKUP(A1975,'Output - State'!$B$2:$G$52,5,FALSE)</f>
        <v>27.297463232450475</v>
      </c>
      <c r="G1975" s="99">
        <f>SUMIFS(Input!$D$115:$D$3257,Input!$A$115:$A$3257,"="&amp;'Output - County'!A1975,Input!$B$115:$B$3257,"="&amp;'Output - County'!B1975)*VLOOKUP(A1975,'Output - State'!$B$2:$G$52,6,FALSE)</f>
        <v>8.4600078256457483</v>
      </c>
    </row>
    <row r="1976" spans="1:7" x14ac:dyDescent="0.25">
      <c r="A1976" s="88">
        <v>37</v>
      </c>
      <c r="B1976" s="88">
        <v>169</v>
      </c>
      <c r="C1976" s="97">
        <f>SUMIFS(Input!$C$115:$C$3257,Input!$A$115:$A$3257,"="&amp;'Output - County'!A1976,Input!$B$115:$B$3257,"="&amp;'Output - County'!B1976)*VLOOKUP(A1976,'Output - State'!$B$2:$G$52,2,FALSE)</f>
        <v>11.897152645048665</v>
      </c>
      <c r="D1976" s="98">
        <f>SUMIFS(Input!$C$115:$C$3257,Input!$A$115:$A$3257,"="&amp;'Output - County'!A1976,Input!$B$115:$B$3257,"="&amp;'Output - County'!B1976)*VLOOKUP(A1976,'Output - State'!$B$2:$G$52,3,FALSE)</f>
        <v>0.15292715248889849</v>
      </c>
      <c r="E1976" s="98">
        <f>SUMIFS(Input!$C$115:$C$3257,Input!$A$115:$A$3257,"="&amp;'Output - County'!A1976,Input!$B$115:$B$3257,"="&amp;'Output - County'!B1976)*VLOOKUP(A1976,'Output - State'!$B$2:$G$52,4,FALSE)</f>
        <v>0.37910217769556226</v>
      </c>
      <c r="F1976" s="98">
        <f>SUMIFS(Input!$C$115:$C$3257,Input!$A$115:$A$3257,"="&amp;'Output - County'!A1976,Input!$B$115:$B$3257,"="&amp;'Output - County'!B1976)*VLOOKUP(A1976,'Output - State'!$B$2:$G$52,5,FALSE)</f>
        <v>17.686031827271432</v>
      </c>
      <c r="G1976" s="99">
        <f>SUMIFS(Input!$D$115:$D$3257,Input!$A$115:$A$3257,"="&amp;'Output - County'!A1976,Input!$B$115:$B$3257,"="&amp;'Output - County'!B1976)*VLOOKUP(A1976,'Output - State'!$B$2:$G$52,6,FALSE)</f>
        <v>6.1885909335511506</v>
      </c>
    </row>
    <row r="1977" spans="1:7" x14ac:dyDescent="0.25">
      <c r="A1977" s="88">
        <v>37</v>
      </c>
      <c r="B1977" s="88">
        <v>171</v>
      </c>
      <c r="C1977" s="97">
        <f>SUMIFS(Input!$C$115:$C$3257,Input!$A$115:$A$3257,"="&amp;'Output - County'!A1977,Input!$B$115:$B$3257,"="&amp;'Output - County'!B1977)*VLOOKUP(A1977,'Output - State'!$B$2:$G$52,2,FALSE)</f>
        <v>33.704619629826126</v>
      </c>
      <c r="D1977" s="98">
        <f>SUMIFS(Input!$C$115:$C$3257,Input!$A$115:$A$3257,"="&amp;'Output - County'!A1977,Input!$B$115:$B$3257,"="&amp;'Output - County'!B1977)*VLOOKUP(A1977,'Output - State'!$B$2:$G$52,3,FALSE)</f>
        <v>0.43324244543973883</v>
      </c>
      <c r="E1977" s="98">
        <f>SUMIFS(Input!$C$115:$C$3257,Input!$A$115:$A$3257,"="&amp;'Output - County'!A1977,Input!$B$115:$B$3257,"="&amp;'Output - County'!B1977)*VLOOKUP(A1977,'Output - State'!$B$2:$G$52,4,FALSE)</f>
        <v>1.0739960292419544</v>
      </c>
      <c r="F1977" s="98">
        <f>SUMIFS(Input!$C$115:$C$3257,Input!$A$115:$A$3257,"="&amp;'Output - County'!A1977,Input!$B$115:$B$3257,"="&amp;'Output - County'!B1977)*VLOOKUP(A1977,'Output - State'!$B$2:$G$52,5,FALSE)</f>
        <v>50.104507631686687</v>
      </c>
      <c r="G1977" s="99">
        <f>SUMIFS(Input!$D$115:$D$3257,Input!$A$115:$A$3257,"="&amp;'Output - County'!A1977,Input!$B$115:$B$3257,"="&amp;'Output - County'!B1977)*VLOOKUP(A1977,'Output - State'!$B$2:$G$52,6,FALSE)</f>
        <v>9.7929351036413816</v>
      </c>
    </row>
    <row r="1978" spans="1:7" x14ac:dyDescent="0.25">
      <c r="A1978" s="88">
        <v>37</v>
      </c>
      <c r="B1978" s="88">
        <v>173</v>
      </c>
      <c r="C1978" s="97">
        <f>SUMIFS(Input!$C$115:$C$3257,Input!$A$115:$A$3257,"="&amp;'Output - County'!A1978,Input!$B$115:$B$3257,"="&amp;'Output - County'!B1978)*VLOOKUP(A1978,'Output - State'!$B$2:$G$52,2,FALSE)</f>
        <v>6.3076679580624839</v>
      </c>
      <c r="D1978" s="98">
        <f>SUMIFS(Input!$C$115:$C$3257,Input!$A$115:$A$3257,"="&amp;'Output - County'!A1978,Input!$B$115:$B$3257,"="&amp;'Output - County'!B1978)*VLOOKUP(A1978,'Output - State'!$B$2:$G$52,3,FALSE)</f>
        <v>8.1079374910215302E-2</v>
      </c>
      <c r="E1978" s="98">
        <f>SUMIFS(Input!$C$115:$C$3257,Input!$A$115:$A$3257,"="&amp;'Output - County'!A1978,Input!$B$115:$B$3257,"="&amp;'Output - County'!B1978)*VLOOKUP(A1978,'Output - State'!$B$2:$G$52,4,FALSE)</f>
        <v>0.20099352596582801</v>
      </c>
      <c r="F1978" s="98">
        <f>SUMIFS(Input!$C$115:$C$3257,Input!$A$115:$A$3257,"="&amp;'Output - County'!A1978,Input!$B$115:$B$3257,"="&amp;'Output - County'!B1978)*VLOOKUP(A1978,'Output - State'!$B$2:$G$52,5,FALSE)</f>
        <v>9.3768332298048751</v>
      </c>
      <c r="G1978" s="99">
        <f>SUMIFS(Input!$D$115:$D$3257,Input!$A$115:$A$3257,"="&amp;'Output - County'!A1978,Input!$B$115:$B$3257,"="&amp;'Output - County'!B1978)*VLOOKUP(A1978,'Output - State'!$B$2:$G$52,6,FALSE)</f>
        <v>1.9313844232181612</v>
      </c>
    </row>
    <row r="1979" spans="1:7" x14ac:dyDescent="0.25">
      <c r="A1979" s="88">
        <v>37</v>
      </c>
      <c r="B1979" s="88">
        <v>175</v>
      </c>
      <c r="C1979" s="97">
        <f>SUMIFS(Input!$C$115:$C$3257,Input!$A$115:$A$3257,"="&amp;'Output - County'!A1979,Input!$B$115:$B$3257,"="&amp;'Output - County'!B1979)*VLOOKUP(A1979,'Output - State'!$B$2:$G$52,2,FALSE)</f>
        <v>10.153682220432742</v>
      </c>
      <c r="D1979" s="98">
        <f>SUMIFS(Input!$C$115:$C$3257,Input!$A$115:$A$3257,"="&amp;'Output - County'!A1979,Input!$B$115:$B$3257,"="&amp;'Output - County'!B1979)*VLOOKUP(A1979,'Output - State'!$B$2:$G$52,3,FALSE)</f>
        <v>0.13051641477376233</v>
      </c>
      <c r="E1979" s="98">
        <f>SUMIFS(Input!$C$115:$C$3257,Input!$A$115:$A$3257,"="&amp;'Output - County'!A1979,Input!$B$115:$B$3257,"="&amp;'Output - County'!B1979)*VLOOKUP(A1979,'Output - State'!$B$2:$G$52,4,FALSE)</f>
        <v>0.32354657927304581</v>
      </c>
      <c r="F1979" s="98">
        <f>SUMIFS(Input!$C$115:$C$3257,Input!$A$115:$A$3257,"="&amp;'Output - County'!A1979,Input!$B$115:$B$3257,"="&amp;'Output - County'!B1979)*VLOOKUP(A1979,'Output - State'!$B$2:$G$52,5,FALSE)</f>
        <v>15.094229037173035</v>
      </c>
      <c r="G1979" s="99">
        <f>SUMIFS(Input!$D$115:$D$3257,Input!$A$115:$A$3257,"="&amp;'Output - County'!A1979,Input!$B$115:$B$3257,"="&amp;'Output - County'!B1979)*VLOOKUP(A1979,'Output - State'!$B$2:$G$52,6,FALSE)</f>
        <v>4.6516441742296557</v>
      </c>
    </row>
    <row r="1980" spans="1:7" x14ac:dyDescent="0.25">
      <c r="A1980" s="88">
        <v>37</v>
      </c>
      <c r="B1980" s="88">
        <v>177</v>
      </c>
      <c r="C1980" s="97">
        <f>SUMIFS(Input!$C$115:$C$3257,Input!$A$115:$A$3257,"="&amp;'Output - County'!A1980,Input!$B$115:$B$3257,"="&amp;'Output - County'!B1980)*VLOOKUP(A1980,'Output - State'!$B$2:$G$52,2,FALSE)</f>
        <v>2.3059491050845202</v>
      </c>
      <c r="D1980" s="98">
        <f>SUMIFS(Input!$C$115:$C$3257,Input!$A$115:$A$3257,"="&amp;'Output - County'!A1980,Input!$B$115:$B$3257,"="&amp;'Output - County'!B1980)*VLOOKUP(A1980,'Output - State'!$B$2:$G$52,3,FALSE)</f>
        <v>2.9640893157041354E-2</v>
      </c>
      <c r="E1980" s="98">
        <f>SUMIFS(Input!$C$115:$C$3257,Input!$A$115:$A$3257,"="&amp;'Output - County'!A1980,Input!$B$115:$B$3257,"="&amp;'Output - County'!B1980)*VLOOKUP(A1980,'Output - State'!$B$2:$G$52,4,FALSE)</f>
        <v>7.3478953618073772E-2</v>
      </c>
      <c r="F1980" s="98">
        <f>SUMIFS(Input!$C$115:$C$3257,Input!$A$115:$A$3257,"="&amp;'Output - County'!A1980,Input!$B$115:$B$3257,"="&amp;'Output - County'!B1980)*VLOOKUP(A1980,'Output - State'!$B$2:$G$52,5,FALSE)</f>
        <v>3.4279705809747618</v>
      </c>
      <c r="G1980" s="99">
        <f>SUMIFS(Input!$D$115:$D$3257,Input!$A$115:$A$3257,"="&amp;'Output - County'!A1980,Input!$B$115:$B$3257,"="&amp;'Output - County'!B1980)*VLOOKUP(A1980,'Output - State'!$B$2:$G$52,6,FALSE)</f>
        <v>0.56037350870836788</v>
      </c>
    </row>
    <row r="1981" spans="1:7" x14ac:dyDescent="0.25">
      <c r="A1981" s="88">
        <v>37</v>
      </c>
      <c r="B1981" s="88">
        <v>179</v>
      </c>
      <c r="C1981" s="97">
        <f>SUMIFS(Input!$C$115:$C$3257,Input!$A$115:$A$3257,"="&amp;'Output - County'!A1981,Input!$B$115:$B$3257,"="&amp;'Output - County'!B1981)*VLOOKUP(A1981,'Output - State'!$B$2:$G$52,2,FALSE)</f>
        <v>69.139167757449158</v>
      </c>
      <c r="D1981" s="98">
        <f>SUMIFS(Input!$C$115:$C$3257,Input!$A$115:$A$3257,"="&amp;'Output - County'!A1981,Input!$B$115:$B$3257,"="&amp;'Output - County'!B1981)*VLOOKUP(A1981,'Output - State'!$B$2:$G$52,3,FALSE)</f>
        <v>0.88872155935557551</v>
      </c>
      <c r="E1981" s="98">
        <f>SUMIFS(Input!$C$115:$C$3257,Input!$A$115:$A$3257,"="&amp;'Output - County'!A1981,Input!$B$115:$B$3257,"="&amp;'Output - County'!B1981)*VLOOKUP(A1981,'Output - State'!$B$2:$G$52,4,FALSE)</f>
        <v>2.2031161440814282</v>
      </c>
      <c r="F1981" s="98">
        <f>SUMIFS(Input!$C$115:$C$3257,Input!$A$115:$A$3257,"="&amp;'Output - County'!A1981,Input!$B$115:$B$3257,"="&amp;'Output - County'!B1981)*VLOOKUP(A1981,'Output - State'!$B$2:$G$52,5,FALSE)</f>
        <v>102.78068693841682</v>
      </c>
      <c r="G1981" s="99">
        <f>SUMIFS(Input!$D$115:$D$3257,Input!$A$115:$A$3257,"="&amp;'Output - County'!A1981,Input!$B$115:$B$3257,"="&amp;'Output - County'!B1981)*VLOOKUP(A1981,'Output - State'!$B$2:$G$52,6,FALSE)</f>
        <v>32.099065061935633</v>
      </c>
    </row>
    <row r="1982" spans="1:7" x14ac:dyDescent="0.25">
      <c r="A1982" s="88">
        <v>37</v>
      </c>
      <c r="B1982" s="88">
        <v>181</v>
      </c>
      <c r="C1982" s="97">
        <f>SUMIFS(Input!$C$115:$C$3257,Input!$A$115:$A$3257,"="&amp;'Output - County'!A1982,Input!$B$115:$B$3257,"="&amp;'Output - County'!B1982)*VLOOKUP(A1982,'Output - State'!$B$2:$G$52,2,FALSE)</f>
        <v>17.826733377400181</v>
      </c>
      <c r="D1982" s="98">
        <f>SUMIFS(Input!$C$115:$C$3257,Input!$A$115:$A$3257,"="&amp;'Output - County'!A1982,Input!$B$115:$B$3257,"="&amp;'Output - County'!B1982)*VLOOKUP(A1982,'Output - State'!$B$2:$G$52,3,FALSE)</f>
        <v>0.22914655757730359</v>
      </c>
      <c r="E1982" s="98">
        <f>SUMIFS(Input!$C$115:$C$3257,Input!$A$115:$A$3257,"="&amp;'Output - County'!A1982,Input!$B$115:$B$3257,"="&amp;'Output - County'!B1982)*VLOOKUP(A1982,'Output - State'!$B$2:$G$52,4,FALSE)</f>
        <v>0.568047973006648</v>
      </c>
      <c r="F1982" s="98">
        <f>SUMIFS(Input!$C$115:$C$3257,Input!$A$115:$A$3257,"="&amp;'Output - County'!A1982,Input!$B$115:$B$3257,"="&amp;'Output - County'!B1982)*VLOOKUP(A1982,'Output - State'!$B$2:$G$52,5,FALSE)</f>
        <v>26.500809336105803</v>
      </c>
      <c r="G1982" s="99">
        <f>SUMIFS(Input!$D$115:$D$3257,Input!$A$115:$A$3257,"="&amp;'Output - County'!A1982,Input!$B$115:$B$3257,"="&amp;'Output - County'!B1982)*VLOOKUP(A1982,'Output - State'!$B$2:$G$52,6,FALSE)</f>
        <v>6.0661792447556335</v>
      </c>
    </row>
    <row r="1983" spans="1:7" x14ac:dyDescent="0.25">
      <c r="A1983" s="88">
        <v>37</v>
      </c>
      <c r="B1983" s="88">
        <v>183</v>
      </c>
      <c r="C1983" s="97">
        <f>SUMIFS(Input!$C$115:$C$3257,Input!$A$115:$A$3257,"="&amp;'Output - County'!A1983,Input!$B$115:$B$3257,"="&amp;'Output - County'!B1983)*VLOOKUP(A1983,'Output - State'!$B$2:$G$52,2,FALSE)</f>
        <v>390.55038390644944</v>
      </c>
      <c r="D1983" s="98">
        <f>SUMIFS(Input!$C$115:$C$3257,Input!$A$115:$A$3257,"="&amp;'Output - County'!A1983,Input!$B$115:$B$3257,"="&amp;'Output - County'!B1983)*VLOOKUP(A1983,'Output - State'!$B$2:$G$52,3,FALSE)</f>
        <v>5.0201724644691348</v>
      </c>
      <c r="E1983" s="98">
        <f>SUMIFS(Input!$C$115:$C$3257,Input!$A$115:$A$3257,"="&amp;'Output - County'!A1983,Input!$B$115:$B$3257,"="&amp;'Output - County'!B1983)*VLOOKUP(A1983,'Output - State'!$B$2:$G$52,4,FALSE)</f>
        <v>12.444868571169554</v>
      </c>
      <c r="F1983" s="98">
        <f>SUMIFS(Input!$C$115:$C$3257,Input!$A$115:$A$3257,"="&amp;'Output - County'!A1983,Input!$B$115:$B$3257,"="&amp;'Output - County'!B1983)*VLOOKUP(A1983,'Output - State'!$B$2:$G$52,5,FALSE)</f>
        <v>580.5831635519279</v>
      </c>
      <c r="G1983" s="99">
        <f>SUMIFS(Input!$D$115:$D$3257,Input!$A$115:$A$3257,"="&amp;'Output - County'!A1983,Input!$B$115:$B$3257,"="&amp;'Output - County'!B1983)*VLOOKUP(A1983,'Output - State'!$B$2:$G$52,6,FALSE)</f>
        <v>148.25415643012647</v>
      </c>
    </row>
    <row r="1984" spans="1:7" x14ac:dyDescent="0.25">
      <c r="A1984" s="88">
        <v>37</v>
      </c>
      <c r="B1984" s="88">
        <v>185</v>
      </c>
      <c r="C1984" s="97">
        <f>SUMIFS(Input!$C$115:$C$3257,Input!$A$115:$A$3257,"="&amp;'Output - County'!A1984,Input!$B$115:$B$3257,"="&amp;'Output - County'!B1984)*VLOOKUP(A1984,'Output - State'!$B$2:$G$52,2,FALSE)</f>
        <v>7.552867020422334</v>
      </c>
      <c r="D1984" s="98">
        <f>SUMIFS(Input!$C$115:$C$3257,Input!$A$115:$A$3257,"="&amp;'Output - County'!A1984,Input!$B$115:$B$3257,"="&amp;'Output - County'!B1984)*VLOOKUP(A1984,'Output - State'!$B$2:$G$52,3,FALSE)</f>
        <v>9.7085284271039449E-2</v>
      </c>
      <c r="E1984" s="98">
        <f>SUMIFS(Input!$C$115:$C$3257,Input!$A$115:$A$3257,"="&amp;'Output - County'!A1984,Input!$B$115:$B$3257,"="&amp;'Output - County'!B1984)*VLOOKUP(A1984,'Output - State'!$B$2:$G$52,4,FALSE)</f>
        <v>0.24067173219625335</v>
      </c>
      <c r="F1984" s="98">
        <f>SUMIFS(Input!$C$115:$C$3257,Input!$A$115:$A$3257,"="&amp;'Output - County'!A1984,Input!$B$115:$B$3257,"="&amp;'Output - County'!B1984)*VLOOKUP(A1984,'Output - State'!$B$2:$G$52,5,FALSE)</f>
        <v>11.227917342552658</v>
      </c>
      <c r="G1984" s="99">
        <f>SUMIFS(Input!$D$115:$D$3257,Input!$A$115:$A$3257,"="&amp;'Output - County'!A1984,Input!$B$115:$B$3257,"="&amp;'Output - County'!B1984)*VLOOKUP(A1984,'Output - State'!$B$2:$G$52,6,FALSE)</f>
        <v>2.6930571535013796</v>
      </c>
    </row>
    <row r="1985" spans="1:7" x14ac:dyDescent="0.25">
      <c r="A1985" s="88">
        <v>37</v>
      </c>
      <c r="B1985" s="88">
        <v>187</v>
      </c>
      <c r="C1985" s="97">
        <f>SUMIFS(Input!$C$115:$C$3257,Input!$A$115:$A$3257,"="&amp;'Output - County'!A1985,Input!$B$115:$B$3257,"="&amp;'Output - County'!B1985)*VLOOKUP(A1985,'Output - State'!$B$2:$G$52,2,FALSE)</f>
        <v>4.8628652504239529</v>
      </c>
      <c r="D1985" s="98">
        <f>SUMIFS(Input!$C$115:$C$3257,Input!$A$115:$A$3257,"="&amp;'Output - County'!A1985,Input!$B$115:$B$3257,"="&amp;'Output - County'!B1985)*VLOOKUP(A1985,'Output - State'!$B$2:$G$52,3,FALSE)</f>
        <v>6.2507740958845814E-2</v>
      </c>
      <c r="E1985" s="98">
        <f>SUMIFS(Input!$C$115:$C$3257,Input!$A$115:$A$3257,"="&amp;'Output - County'!A1985,Input!$B$115:$B$3257,"="&amp;'Output - County'!B1985)*VLOOKUP(A1985,'Output - State'!$B$2:$G$52,4,FALSE)</f>
        <v>0.15495495949974469</v>
      </c>
      <c r="F1985" s="98">
        <f>SUMIFS(Input!$C$115:$C$3257,Input!$A$115:$A$3257,"="&amp;'Output - County'!A1985,Input!$B$115:$B$3257,"="&amp;'Output - County'!B1985)*VLOOKUP(A1985,'Output - State'!$B$2:$G$52,5,FALSE)</f>
        <v>7.2290229567260029</v>
      </c>
      <c r="G1985" s="99">
        <f>SUMIFS(Input!$D$115:$D$3257,Input!$A$115:$A$3257,"="&amp;'Output - County'!A1985,Input!$B$115:$B$3257,"="&amp;'Output - County'!B1985)*VLOOKUP(A1985,'Output - State'!$B$2:$G$52,6,FALSE)</f>
        <v>1.6049532530967818</v>
      </c>
    </row>
    <row r="1986" spans="1:7" x14ac:dyDescent="0.25">
      <c r="A1986" s="88">
        <v>37</v>
      </c>
      <c r="B1986" s="88">
        <v>189</v>
      </c>
      <c r="C1986" s="97">
        <f>SUMIFS(Input!$C$115:$C$3257,Input!$A$115:$A$3257,"="&amp;'Output - County'!A1986,Input!$B$115:$B$3257,"="&amp;'Output - County'!B1986)*VLOOKUP(A1986,'Output - State'!$B$2:$G$52,2,FALSE)</f>
        <v>16.708220712345923</v>
      </c>
      <c r="D1986" s="98">
        <f>SUMIFS(Input!$C$115:$C$3257,Input!$A$115:$A$3257,"="&amp;'Output - County'!A1986,Input!$B$115:$B$3257,"="&amp;'Output - County'!B1986)*VLOOKUP(A1986,'Output - State'!$B$2:$G$52,3,FALSE)</f>
        <v>0.21476908743862264</v>
      </c>
      <c r="E1986" s="98">
        <f>SUMIFS(Input!$C$115:$C$3257,Input!$A$115:$A$3257,"="&amp;'Output - County'!A1986,Input!$B$115:$B$3257,"="&amp;'Output - County'!B1986)*VLOOKUP(A1986,'Output - State'!$B$2:$G$52,4,FALSE)</f>
        <v>0.53240662252951443</v>
      </c>
      <c r="F1986" s="98">
        <f>SUMIFS(Input!$C$115:$C$3257,Input!$A$115:$A$3257,"="&amp;'Output - County'!A1986,Input!$B$115:$B$3257,"="&amp;'Output - County'!B1986)*VLOOKUP(A1986,'Output - State'!$B$2:$G$52,5,FALSE)</f>
        <v>24.838054290125232</v>
      </c>
      <c r="G1986" s="99">
        <f>SUMIFS(Input!$D$115:$D$3257,Input!$A$115:$A$3257,"="&amp;'Output - County'!A1986,Input!$B$115:$B$3257,"="&amp;'Output - County'!B1986)*VLOOKUP(A1986,'Output - State'!$B$2:$G$52,6,FALSE)</f>
        <v>7.616727302832186</v>
      </c>
    </row>
    <row r="1987" spans="1:7" x14ac:dyDescent="0.25">
      <c r="A1987" s="88">
        <v>37</v>
      </c>
      <c r="B1987" s="88">
        <v>191</v>
      </c>
      <c r="C1987" s="97">
        <f>SUMIFS(Input!$C$115:$C$3257,Input!$A$115:$A$3257,"="&amp;'Output - County'!A1987,Input!$B$115:$B$3257,"="&amp;'Output - County'!B1987)*VLOOKUP(A1987,'Output - State'!$B$2:$G$52,2,FALSE)</f>
        <v>40.905145848871392</v>
      </c>
      <c r="D1987" s="98">
        <f>SUMIFS(Input!$C$115:$C$3257,Input!$A$115:$A$3257,"="&amp;'Output - County'!A1987,Input!$B$115:$B$3257,"="&amp;'Output - County'!B1987)*VLOOKUP(A1987,'Output - State'!$B$2:$G$52,3,FALSE)</f>
        <v>0.52579870692122233</v>
      </c>
      <c r="E1987" s="98">
        <f>SUMIFS(Input!$C$115:$C$3257,Input!$A$115:$A$3257,"="&amp;'Output - County'!A1987,Input!$B$115:$B$3257,"="&amp;'Output - County'!B1987)*VLOOKUP(A1987,'Output - State'!$B$2:$G$52,4,FALSE)</f>
        <v>1.3034404393151586</v>
      </c>
      <c r="F1987" s="98">
        <f>SUMIFS(Input!$C$115:$C$3257,Input!$A$115:$A$3257,"="&amp;'Output - County'!A1987,Input!$B$115:$B$3257,"="&amp;'Output - County'!B1987)*VLOOKUP(A1987,'Output - State'!$B$2:$G$52,5,FALSE)</f>
        <v>60.808643291922728</v>
      </c>
      <c r="G1987" s="99">
        <f>SUMIFS(Input!$D$115:$D$3257,Input!$A$115:$A$3257,"="&amp;'Output - County'!A1987,Input!$B$115:$B$3257,"="&amp;'Output - County'!B1987)*VLOOKUP(A1987,'Output - State'!$B$2:$G$52,6,FALSE)</f>
        <v>16.729597468720694</v>
      </c>
    </row>
    <row r="1988" spans="1:7" x14ac:dyDescent="0.25">
      <c r="A1988" s="88">
        <v>37</v>
      </c>
      <c r="B1988" s="88">
        <v>193</v>
      </c>
      <c r="C1988" s="97">
        <f>SUMIFS(Input!$C$115:$C$3257,Input!$A$115:$A$3257,"="&amp;'Output - County'!A1988,Input!$B$115:$B$3257,"="&amp;'Output - County'!B1988)*VLOOKUP(A1988,'Output - State'!$B$2:$G$52,2,FALSE)</f>
        <v>21.88623278520442</v>
      </c>
      <c r="D1988" s="98">
        <f>SUMIFS(Input!$C$115:$C$3257,Input!$A$115:$A$3257,"="&amp;'Output - County'!A1988,Input!$B$115:$B$3257,"="&amp;'Output - County'!B1988)*VLOOKUP(A1988,'Output - State'!$B$2:$G$52,3,FALSE)</f>
        <v>0.28132775617899075</v>
      </c>
      <c r="E1988" s="98">
        <f>SUMIFS(Input!$C$115:$C$3257,Input!$A$115:$A$3257,"="&amp;'Output - County'!A1988,Input!$B$115:$B$3257,"="&amp;'Output - County'!B1988)*VLOOKUP(A1988,'Output - State'!$B$2:$G$52,4,FALSE)</f>
        <v>0.697403719862003</v>
      </c>
      <c r="F1988" s="98">
        <f>SUMIFS(Input!$C$115:$C$3257,Input!$A$115:$A$3257,"="&amp;'Output - County'!A1988,Input!$B$115:$B$3257,"="&amp;'Output - County'!B1988)*VLOOKUP(A1988,'Output - State'!$B$2:$G$52,5,FALSE)</f>
        <v>32.53556722072414</v>
      </c>
      <c r="G1988" s="99">
        <f>SUMIFS(Input!$D$115:$D$3257,Input!$A$115:$A$3257,"="&amp;'Output - County'!A1988,Input!$B$115:$B$3257,"="&amp;'Output - County'!B1988)*VLOOKUP(A1988,'Output - State'!$B$2:$G$52,6,FALSE)</f>
        <v>9.3304909459694265</v>
      </c>
    </row>
    <row r="1989" spans="1:7" x14ac:dyDescent="0.25">
      <c r="A1989" s="88">
        <v>37</v>
      </c>
      <c r="B1989" s="88">
        <v>195</v>
      </c>
      <c r="C1989" s="97">
        <f>SUMIFS(Input!$C$115:$C$3257,Input!$A$115:$A$3257,"="&amp;'Output - County'!A1989,Input!$B$115:$B$3257,"="&amp;'Output - County'!B1989)*VLOOKUP(A1989,'Output - State'!$B$2:$G$52,2,FALSE)</f>
        <v>37.946401896812411</v>
      </c>
      <c r="D1989" s="98">
        <f>SUMIFS(Input!$C$115:$C$3257,Input!$A$115:$A$3257,"="&amp;'Output - County'!A1989,Input!$B$115:$B$3257,"="&amp;'Output - County'!B1989)*VLOOKUP(A1989,'Output - State'!$B$2:$G$52,3,FALSE)</f>
        <v>0.48776672556974837</v>
      </c>
      <c r="E1989" s="98">
        <f>SUMIFS(Input!$C$115:$C$3257,Input!$A$115:$A$3257,"="&amp;'Output - County'!A1989,Input!$B$115:$B$3257,"="&amp;'Output - County'!B1989)*VLOOKUP(A1989,'Output - State'!$B$2:$G$52,4,FALSE)</f>
        <v>1.2091602103449144</v>
      </c>
      <c r="F1989" s="98">
        <f>SUMIFS(Input!$C$115:$C$3257,Input!$A$115:$A$3257,"="&amp;'Output - County'!A1989,Input!$B$115:$B$3257,"="&amp;'Output - County'!B1989)*VLOOKUP(A1989,'Output - State'!$B$2:$G$52,5,FALSE)</f>
        <v>56.410242996820187</v>
      </c>
      <c r="G1989" s="99">
        <f>SUMIFS(Input!$D$115:$D$3257,Input!$A$115:$A$3257,"="&amp;'Output - County'!A1989,Input!$B$115:$B$3257,"="&amp;'Output - County'!B1989)*VLOOKUP(A1989,'Output - State'!$B$2:$G$52,6,FALSE)</f>
        <v>11.071457186616783</v>
      </c>
    </row>
    <row r="1990" spans="1:7" x14ac:dyDescent="0.25">
      <c r="A1990" s="88">
        <v>37</v>
      </c>
      <c r="B1990" s="88">
        <v>197</v>
      </c>
      <c r="C1990" s="97">
        <f>SUMIFS(Input!$C$115:$C$3257,Input!$A$115:$A$3257,"="&amp;'Output - County'!A1990,Input!$B$115:$B$3257,"="&amp;'Output - County'!B1990)*VLOOKUP(A1990,'Output - State'!$B$2:$G$52,2,FALSE)</f>
        <v>17.299173229518008</v>
      </c>
      <c r="D1990" s="98">
        <f>SUMIFS(Input!$C$115:$C$3257,Input!$A$115:$A$3257,"="&amp;'Output - County'!A1990,Input!$B$115:$B$3257,"="&amp;'Output - County'!B1990)*VLOOKUP(A1990,'Output - State'!$B$2:$G$52,3,FALSE)</f>
        <v>0.22236524833556504</v>
      </c>
      <c r="E1990" s="98">
        <f>SUMIFS(Input!$C$115:$C$3257,Input!$A$115:$A$3257,"="&amp;'Output - County'!A1990,Input!$B$115:$B$3257,"="&amp;'Output - County'!B1990)*VLOOKUP(A1990,'Output - State'!$B$2:$G$52,4,FALSE)</f>
        <v>0.55123729511635799</v>
      </c>
      <c r="F1990" s="98">
        <f>SUMIFS(Input!$C$115:$C$3257,Input!$A$115:$A$3257,"="&amp;'Output - County'!A1990,Input!$B$115:$B$3257,"="&amp;'Output - County'!B1990)*VLOOKUP(A1990,'Output - State'!$B$2:$G$52,5,FALSE)</f>
        <v>25.716550627772996</v>
      </c>
      <c r="G1990" s="99">
        <f>SUMIFS(Input!$D$115:$D$3257,Input!$A$115:$A$3257,"="&amp;'Output - County'!A1990,Input!$B$115:$B$3257,"="&amp;'Output - County'!B1990)*VLOOKUP(A1990,'Output - State'!$B$2:$G$52,6,FALSE)</f>
        <v>5.1004870331465524</v>
      </c>
    </row>
    <row r="1991" spans="1:7" x14ac:dyDescent="0.25">
      <c r="A1991" s="88">
        <v>37</v>
      </c>
      <c r="B1991" s="88">
        <v>199</v>
      </c>
      <c r="C1991" s="97">
        <f>SUMIFS(Input!$C$115:$C$3257,Input!$A$115:$A$3257,"="&amp;'Output - County'!A1991,Input!$B$115:$B$3257,"="&amp;'Output - County'!B1991)*VLOOKUP(A1991,'Output - State'!$B$2:$G$52,2,FALSE)</f>
        <v>5.247097807918486</v>
      </c>
      <c r="D1991" s="98">
        <f>SUMIFS(Input!$C$115:$C$3257,Input!$A$115:$A$3257,"="&amp;'Output - County'!A1991,Input!$B$115:$B$3257,"="&amp;'Output - County'!B1991)*VLOOKUP(A1991,'Output - State'!$B$2:$G$52,3,FALSE)</f>
        <v>6.7446703470654928E-2</v>
      </c>
      <c r="E1991" s="98">
        <f>SUMIFS(Input!$C$115:$C$3257,Input!$A$115:$A$3257,"="&amp;'Output - County'!A1991,Input!$B$115:$B$3257,"="&amp;'Output - County'!B1991)*VLOOKUP(A1991,'Output - State'!$B$2:$G$52,4,FALSE)</f>
        <v>0.16719851084632126</v>
      </c>
      <c r="F1991" s="98">
        <f>SUMIFS(Input!$C$115:$C$3257,Input!$A$115:$A$3257,"="&amp;'Output - County'!A1991,Input!$B$115:$B$3257,"="&amp;'Output - County'!B1991)*VLOOKUP(A1991,'Output - State'!$B$2:$G$52,5,FALSE)</f>
        <v>7.8002141857256886</v>
      </c>
      <c r="G1991" s="99">
        <f>SUMIFS(Input!$D$115:$D$3257,Input!$A$115:$A$3257,"="&amp;'Output - County'!A1991,Input!$B$115:$B$3257,"="&amp;'Output - County'!B1991)*VLOOKUP(A1991,'Output - State'!$B$2:$G$52,6,FALSE)</f>
        <v>2.4346324771552879</v>
      </c>
    </row>
    <row r="1992" spans="1:7" x14ac:dyDescent="0.25">
      <c r="A1992" s="88">
        <v>38</v>
      </c>
      <c r="B1992" s="88">
        <v>1</v>
      </c>
      <c r="C1992" s="97">
        <f>SUMIFS(Input!$C$115:$C$3257,Input!$A$115:$A$3257,"="&amp;'Output - County'!A1992,Input!$B$115:$B$3257,"="&amp;'Output - County'!B1992)*VLOOKUP(A1992,'Output - State'!$B$2:$G$52,2,FALSE)</f>
        <v>0.8899261501155239</v>
      </c>
      <c r="D1992" s="98">
        <f>SUMIFS(Input!$C$115:$C$3257,Input!$A$115:$A$3257,"="&amp;'Output - County'!A1992,Input!$B$115:$B$3257,"="&amp;'Output - County'!B1992)*VLOOKUP(A1992,'Output - State'!$B$2:$G$52,3,FALSE)</f>
        <v>0</v>
      </c>
      <c r="E1992" s="98">
        <f>SUMIFS(Input!$C$115:$C$3257,Input!$A$115:$A$3257,"="&amp;'Output - County'!A1992,Input!$B$115:$B$3257,"="&amp;'Output - County'!B1992)*VLOOKUP(A1992,'Output - State'!$B$2:$G$52,4,FALSE)</f>
        <v>1.0579990923934437</v>
      </c>
      <c r="F1992" s="98">
        <f>SUMIFS(Input!$C$115:$C$3257,Input!$A$115:$A$3257,"="&amp;'Output - County'!A1992,Input!$B$115:$B$3257,"="&amp;'Output - County'!B1992)*VLOOKUP(A1992,'Output - State'!$B$2:$G$52,5,FALSE)</f>
        <v>2.8127217000437268</v>
      </c>
      <c r="G1992" s="99">
        <f>SUMIFS(Input!$D$115:$D$3257,Input!$A$115:$A$3257,"="&amp;'Output - County'!A1992,Input!$B$115:$B$3257,"="&amp;'Output - County'!B1992)*VLOOKUP(A1992,'Output - State'!$B$2:$G$52,6,FALSE)</f>
        <v>0.7684811484263856</v>
      </c>
    </row>
    <row r="1993" spans="1:7" x14ac:dyDescent="0.25">
      <c r="A1993" s="88">
        <v>38</v>
      </c>
      <c r="B1993" s="88">
        <v>3</v>
      </c>
      <c r="C1993" s="97">
        <f>SUMIFS(Input!$C$115:$C$3257,Input!$A$115:$A$3257,"="&amp;'Output - County'!A1993,Input!$B$115:$B$3257,"="&amp;'Output - County'!B1993)*VLOOKUP(A1993,'Output - State'!$B$2:$G$52,2,FALSE)</f>
        <v>23.351849951178263</v>
      </c>
      <c r="D1993" s="98">
        <f>SUMIFS(Input!$C$115:$C$3257,Input!$A$115:$A$3257,"="&amp;'Output - County'!A1993,Input!$B$115:$B$3257,"="&amp;'Output - County'!B1993)*VLOOKUP(A1993,'Output - State'!$B$2:$G$52,3,FALSE)</f>
        <v>0</v>
      </c>
      <c r="E1993" s="98">
        <f>SUMIFS(Input!$C$115:$C$3257,Input!$A$115:$A$3257,"="&amp;'Output - County'!A1993,Input!$B$115:$B$3257,"="&amp;'Output - County'!B1993)*VLOOKUP(A1993,'Output - State'!$B$2:$G$52,4,FALSE)</f>
        <v>27.762119419512839</v>
      </c>
      <c r="F1993" s="98">
        <f>SUMIFS(Input!$C$115:$C$3257,Input!$A$115:$A$3257,"="&amp;'Output - County'!A1993,Input!$B$115:$B$3257,"="&amp;'Output - County'!B1993)*VLOOKUP(A1993,'Output - State'!$B$2:$G$52,5,FALSE)</f>
        <v>73.806410886249097</v>
      </c>
      <c r="G1993" s="99">
        <f>SUMIFS(Input!$D$115:$D$3257,Input!$A$115:$A$3257,"="&amp;'Output - County'!A1993,Input!$B$115:$B$3257,"="&amp;'Output - County'!B1993)*VLOOKUP(A1993,'Output - State'!$B$2:$G$52,6,FALSE)</f>
        <v>3.5390579203846704</v>
      </c>
    </row>
    <row r="1994" spans="1:7" x14ac:dyDescent="0.25">
      <c r="A1994" s="88">
        <v>38</v>
      </c>
      <c r="B1994" s="88">
        <v>5</v>
      </c>
      <c r="C1994" s="97">
        <f>SUMIFS(Input!$C$115:$C$3257,Input!$A$115:$A$3257,"="&amp;'Output - County'!A1994,Input!$B$115:$B$3257,"="&amp;'Output - County'!B1994)*VLOOKUP(A1994,'Output - State'!$B$2:$G$52,2,FALSE)</f>
        <v>2.3448636208195697</v>
      </c>
      <c r="D1994" s="98">
        <f>SUMIFS(Input!$C$115:$C$3257,Input!$A$115:$A$3257,"="&amp;'Output - County'!A1994,Input!$B$115:$B$3257,"="&amp;'Output - County'!B1994)*VLOOKUP(A1994,'Output - State'!$B$2:$G$52,3,FALSE)</f>
        <v>0</v>
      </c>
      <c r="E1994" s="98">
        <f>SUMIFS(Input!$C$115:$C$3257,Input!$A$115:$A$3257,"="&amp;'Output - County'!A1994,Input!$B$115:$B$3257,"="&amp;'Output - County'!B1994)*VLOOKUP(A1994,'Output - State'!$B$2:$G$52,4,FALSE)</f>
        <v>2.7877184891032374</v>
      </c>
      <c r="F1994" s="98">
        <f>SUMIFS(Input!$C$115:$C$3257,Input!$A$115:$A$3257,"="&amp;'Output - County'!A1994,Input!$B$115:$B$3257,"="&amp;'Output - County'!B1994)*VLOOKUP(A1994,'Output - State'!$B$2:$G$52,5,FALSE)</f>
        <v>7.4112315826050681</v>
      </c>
      <c r="G1994" s="99">
        <f>SUMIFS(Input!$D$115:$D$3257,Input!$A$115:$A$3257,"="&amp;'Output - County'!A1994,Input!$B$115:$B$3257,"="&amp;'Output - County'!B1994)*VLOOKUP(A1994,'Output - State'!$B$2:$G$52,6,FALSE)</f>
        <v>2.3458898215121242</v>
      </c>
    </row>
    <row r="1995" spans="1:7" x14ac:dyDescent="0.25">
      <c r="A1995" s="88">
        <v>38</v>
      </c>
      <c r="B1995" s="88">
        <v>7</v>
      </c>
      <c r="C1995" s="97">
        <f>SUMIFS(Input!$C$115:$C$3257,Input!$A$115:$A$3257,"="&amp;'Output - County'!A1995,Input!$B$115:$B$3257,"="&amp;'Output - County'!B1995)*VLOOKUP(A1995,'Output - State'!$B$2:$G$52,2,FALSE)</f>
        <v>4.3790631657781898</v>
      </c>
      <c r="D1995" s="98">
        <f>SUMIFS(Input!$C$115:$C$3257,Input!$A$115:$A$3257,"="&amp;'Output - County'!A1995,Input!$B$115:$B$3257,"="&amp;'Output - County'!B1995)*VLOOKUP(A1995,'Output - State'!$B$2:$G$52,3,FALSE)</f>
        <v>0</v>
      </c>
      <c r="E1995" s="98">
        <f>SUMIFS(Input!$C$115:$C$3257,Input!$A$115:$A$3257,"="&amp;'Output - County'!A1995,Input!$B$115:$B$3257,"="&amp;'Output - County'!B1995)*VLOOKUP(A1995,'Output - State'!$B$2:$G$52,4,FALSE)</f>
        <v>5.2061003649858542</v>
      </c>
      <c r="F1995" s="98">
        <f>SUMIFS(Input!$C$115:$C$3257,Input!$A$115:$A$3257,"="&amp;'Output - County'!A1995,Input!$B$115:$B$3257,"="&amp;'Output - County'!B1995)*VLOOKUP(A1995,'Output - State'!$B$2:$G$52,5,FALSE)</f>
        <v>13.840570917763882</v>
      </c>
      <c r="G1995" s="99">
        <f>SUMIFS(Input!$D$115:$D$3257,Input!$A$115:$A$3257,"="&amp;'Output - County'!A1995,Input!$B$115:$B$3257,"="&amp;'Output - County'!B1995)*VLOOKUP(A1995,'Output - State'!$B$2:$G$52,6,FALSE)</f>
        <v>0.30941477818220259</v>
      </c>
    </row>
    <row r="1996" spans="1:7" x14ac:dyDescent="0.25">
      <c r="A1996" s="88">
        <v>38</v>
      </c>
      <c r="B1996" s="88">
        <v>9</v>
      </c>
      <c r="C1996" s="97">
        <f>SUMIFS(Input!$C$115:$C$3257,Input!$A$115:$A$3257,"="&amp;'Output - County'!A1996,Input!$B$115:$B$3257,"="&amp;'Output - County'!B1996)*VLOOKUP(A1996,'Output - State'!$B$2:$G$52,2,FALSE)</f>
        <v>2.6220996952054723</v>
      </c>
      <c r="D1996" s="98">
        <f>SUMIFS(Input!$C$115:$C$3257,Input!$A$115:$A$3257,"="&amp;'Output - County'!A1996,Input!$B$115:$B$3257,"="&amp;'Output - County'!B1996)*VLOOKUP(A1996,'Output - State'!$B$2:$G$52,3,FALSE)</f>
        <v>0</v>
      </c>
      <c r="E1996" s="98">
        <f>SUMIFS(Input!$C$115:$C$3257,Input!$A$115:$A$3257,"="&amp;'Output - County'!A1996,Input!$B$115:$B$3257,"="&amp;'Output - County'!B1996)*VLOOKUP(A1996,'Output - State'!$B$2:$G$52,4,FALSE)</f>
        <v>3.1173138325381169</v>
      </c>
      <c r="F1996" s="98">
        <f>SUMIFS(Input!$C$115:$C$3257,Input!$A$115:$A$3257,"="&amp;'Output - County'!A1996,Input!$B$115:$B$3257,"="&amp;'Output - County'!B1996)*VLOOKUP(A1996,'Output - State'!$B$2:$G$52,5,FALSE)</f>
        <v>8.287470495641772</v>
      </c>
      <c r="G1996" s="99">
        <f>SUMIFS(Input!$D$115:$D$3257,Input!$A$115:$A$3257,"="&amp;'Output - County'!A1996,Input!$B$115:$B$3257,"="&amp;'Output - County'!B1996)*VLOOKUP(A1996,'Output - State'!$B$2:$G$52,6,FALSE)</f>
        <v>2.1571400657582749</v>
      </c>
    </row>
    <row r="1997" spans="1:7" x14ac:dyDescent="0.25">
      <c r="A1997" s="88">
        <v>38</v>
      </c>
      <c r="B1997" s="88">
        <v>11</v>
      </c>
      <c r="C1997" s="97">
        <f>SUMIFS(Input!$C$115:$C$3257,Input!$A$115:$A$3257,"="&amp;'Output - County'!A1997,Input!$B$115:$B$3257,"="&amp;'Output - County'!B1997)*VLOOKUP(A1997,'Output - State'!$B$2:$G$52,2,FALSE)</f>
        <v>1.2732333838465399</v>
      </c>
      <c r="D1997" s="98">
        <f>SUMIFS(Input!$C$115:$C$3257,Input!$A$115:$A$3257,"="&amp;'Output - County'!A1997,Input!$B$115:$B$3257,"="&amp;'Output - County'!B1997)*VLOOKUP(A1997,'Output - State'!$B$2:$G$52,3,FALSE)</f>
        <v>0</v>
      </c>
      <c r="E1997" s="98">
        <f>SUMIFS(Input!$C$115:$C$3257,Input!$A$115:$A$3257,"="&amp;'Output - County'!A1997,Input!$B$115:$B$3257,"="&amp;'Output - County'!B1997)*VLOOKUP(A1997,'Output - State'!$B$2:$G$52,4,FALSE)</f>
        <v>1.5136983718702999</v>
      </c>
      <c r="F1997" s="98">
        <f>SUMIFS(Input!$C$115:$C$3257,Input!$A$115:$A$3257,"="&amp;'Output - County'!A1997,Input!$B$115:$B$3257,"="&amp;'Output - County'!B1997)*VLOOKUP(A1997,'Output - State'!$B$2:$G$52,5,FALSE)</f>
        <v>4.0242116354265738</v>
      </c>
      <c r="G1997" s="99">
        <f>SUMIFS(Input!$D$115:$D$3257,Input!$A$115:$A$3257,"="&amp;'Output - County'!A1997,Input!$B$115:$B$3257,"="&amp;'Output - County'!B1997)*VLOOKUP(A1997,'Output - State'!$B$2:$G$52,6,FALSE)</f>
        <v>1.0347531252934228</v>
      </c>
    </row>
    <row r="1998" spans="1:7" x14ac:dyDescent="0.25">
      <c r="A1998" s="88">
        <v>38</v>
      </c>
      <c r="B1998" s="88">
        <v>13</v>
      </c>
      <c r="C1998" s="97">
        <f>SUMIFS(Input!$C$115:$C$3257,Input!$A$115:$A$3257,"="&amp;'Output - County'!A1998,Input!$B$115:$B$3257,"="&amp;'Output - County'!B1998)*VLOOKUP(A1998,'Output - State'!$B$2:$G$52,2,FALSE)</f>
        <v>1.1557506941414262</v>
      </c>
      <c r="D1998" s="98">
        <f>SUMIFS(Input!$C$115:$C$3257,Input!$A$115:$A$3257,"="&amp;'Output - County'!A1998,Input!$B$115:$B$3257,"="&amp;'Output - County'!B1998)*VLOOKUP(A1998,'Output - State'!$B$2:$G$52,3,FALSE)</f>
        <v>0</v>
      </c>
      <c r="E1998" s="98">
        <f>SUMIFS(Input!$C$115:$C$3257,Input!$A$115:$A$3257,"="&amp;'Output - County'!A1998,Input!$B$115:$B$3257,"="&amp;'Output - County'!B1998)*VLOOKUP(A1998,'Output - State'!$B$2:$G$52,4,FALSE)</f>
        <v>1.3740277047438021</v>
      </c>
      <c r="F1998" s="98">
        <f>SUMIFS(Input!$C$115:$C$3257,Input!$A$115:$A$3257,"="&amp;'Output - County'!A1998,Input!$B$115:$B$3257,"="&amp;'Output - County'!B1998)*VLOOKUP(A1998,'Output - State'!$B$2:$G$52,5,FALSE)</f>
        <v>3.6528930595310563</v>
      </c>
      <c r="G1998" s="99">
        <f>SUMIFS(Input!$D$115:$D$3257,Input!$A$115:$A$3257,"="&amp;'Output - County'!A1998,Input!$B$115:$B$3257,"="&amp;'Output - County'!B1998)*VLOOKUP(A1998,'Output - State'!$B$2:$G$52,6,FALSE)</f>
        <v>0.70444105272418678</v>
      </c>
    </row>
    <row r="1999" spans="1:7" x14ac:dyDescent="0.25">
      <c r="A1999" s="88">
        <v>38</v>
      </c>
      <c r="B1999" s="88">
        <v>15</v>
      </c>
      <c r="C1999" s="97">
        <f>SUMIFS(Input!$C$115:$C$3257,Input!$A$115:$A$3257,"="&amp;'Output - County'!A1999,Input!$B$115:$B$3257,"="&amp;'Output - County'!B1999)*VLOOKUP(A1999,'Output - State'!$B$2:$G$52,2,FALSE)</f>
        <v>77.638869732961538</v>
      </c>
      <c r="D1999" s="98">
        <f>SUMIFS(Input!$C$115:$C$3257,Input!$A$115:$A$3257,"="&amp;'Output - County'!A1999,Input!$B$115:$B$3257,"="&amp;'Output - County'!B1999)*VLOOKUP(A1999,'Output - State'!$B$2:$G$52,3,FALSE)</f>
        <v>0</v>
      </c>
      <c r="E1999" s="98">
        <f>SUMIFS(Input!$C$115:$C$3257,Input!$A$115:$A$3257,"="&amp;'Output - County'!A1999,Input!$B$115:$B$3257,"="&amp;'Output - County'!B1999)*VLOOKUP(A1999,'Output - State'!$B$2:$G$52,4,FALSE)</f>
        <v>92.301876623428853</v>
      </c>
      <c r="F1999" s="98">
        <f>SUMIFS(Input!$C$115:$C$3257,Input!$A$115:$A$3257,"="&amp;'Output - County'!A1999,Input!$B$115:$B$3257,"="&amp;'Output - County'!B1999)*VLOOKUP(A1999,'Output - State'!$B$2:$G$52,5,FALSE)</f>
        <v>245.38725335402376</v>
      </c>
      <c r="G1999" s="99">
        <f>SUMIFS(Input!$D$115:$D$3257,Input!$A$115:$A$3257,"="&amp;'Output - County'!A1999,Input!$B$115:$B$3257,"="&amp;'Output - County'!B1999)*VLOOKUP(A1999,'Output - State'!$B$2:$G$52,6,FALSE)</f>
        <v>32.121163791681816</v>
      </c>
    </row>
    <row r="2000" spans="1:7" x14ac:dyDescent="0.25">
      <c r="A2000" s="88">
        <v>38</v>
      </c>
      <c r="B2000" s="88">
        <v>17</v>
      </c>
      <c r="C2000" s="97">
        <f>SUMIFS(Input!$C$115:$C$3257,Input!$A$115:$A$3257,"="&amp;'Output - County'!A2000,Input!$B$115:$B$3257,"="&amp;'Output - County'!B2000)*VLOOKUP(A2000,'Output - State'!$B$2:$G$52,2,FALSE)</f>
        <v>184.43980694704905</v>
      </c>
      <c r="D2000" s="98">
        <f>SUMIFS(Input!$C$115:$C$3257,Input!$A$115:$A$3257,"="&amp;'Output - County'!A2000,Input!$B$115:$B$3257,"="&amp;'Output - County'!B2000)*VLOOKUP(A2000,'Output - State'!$B$2:$G$52,3,FALSE)</f>
        <v>0</v>
      </c>
      <c r="E2000" s="98">
        <f>SUMIFS(Input!$C$115:$C$3257,Input!$A$115:$A$3257,"="&amp;'Output - County'!A2000,Input!$B$115:$B$3257,"="&amp;'Output - County'!B2000)*VLOOKUP(A2000,'Output - State'!$B$2:$G$52,4,FALSE)</f>
        <v>219.27341760422317</v>
      </c>
      <c r="F2000" s="98">
        <f>SUMIFS(Input!$C$115:$C$3257,Input!$A$115:$A$3257,"="&amp;'Output - County'!A2000,Input!$B$115:$B$3257,"="&amp;'Output - County'!B2000)*VLOOKUP(A2000,'Output - State'!$B$2:$G$52,5,FALSE)</f>
        <v>582.94482894394844</v>
      </c>
      <c r="G2000" s="99">
        <f>SUMIFS(Input!$D$115:$D$3257,Input!$A$115:$A$3257,"="&amp;'Output - County'!A2000,Input!$B$115:$B$3257,"="&amp;'Output - County'!B2000)*VLOOKUP(A2000,'Output - State'!$B$2:$G$52,6,FALSE)</f>
        <v>60.669564349451491</v>
      </c>
    </row>
    <row r="2001" spans="1:7" x14ac:dyDescent="0.25">
      <c r="A2001" s="88">
        <v>38</v>
      </c>
      <c r="B2001" s="88">
        <v>19</v>
      </c>
      <c r="C2001" s="97">
        <f>SUMIFS(Input!$C$115:$C$3257,Input!$A$115:$A$3257,"="&amp;'Output - County'!A2001,Input!$B$115:$B$3257,"="&amp;'Output - County'!B2001)*VLOOKUP(A2001,'Output - State'!$B$2:$G$52,2,FALSE)</f>
        <v>1.3922180002535589</v>
      </c>
      <c r="D2001" s="98">
        <f>SUMIFS(Input!$C$115:$C$3257,Input!$A$115:$A$3257,"="&amp;'Output - County'!A2001,Input!$B$115:$B$3257,"="&amp;'Output - County'!B2001)*VLOOKUP(A2001,'Output - State'!$B$2:$G$52,3,FALSE)</f>
        <v>0</v>
      </c>
      <c r="E2001" s="98">
        <f>SUMIFS(Input!$C$115:$C$3257,Input!$A$115:$A$3257,"="&amp;'Output - County'!A2001,Input!$B$115:$B$3257,"="&amp;'Output - County'!B2001)*VLOOKUP(A2001,'Output - State'!$B$2:$G$52,4,FALSE)</f>
        <v>1.6551546220895641</v>
      </c>
      <c r="F2001" s="98">
        <f>SUMIFS(Input!$C$115:$C$3257,Input!$A$115:$A$3257,"="&amp;'Output - County'!A2001,Input!$B$115:$B$3257,"="&amp;'Output - County'!B2001)*VLOOKUP(A2001,'Output - State'!$B$2:$G$52,5,FALSE)</f>
        <v>4.4002772364834222</v>
      </c>
      <c r="G2001" s="99">
        <f>SUMIFS(Input!$D$115:$D$3257,Input!$A$115:$A$3257,"="&amp;'Output - County'!A2001,Input!$B$115:$B$3257,"="&amp;'Output - County'!B2001)*VLOOKUP(A2001,'Output - State'!$B$2:$G$52,6,FALSE)</f>
        <v>1.2841724453967232</v>
      </c>
    </row>
    <row r="2002" spans="1:7" x14ac:dyDescent="0.25">
      <c r="A2002" s="88">
        <v>38</v>
      </c>
      <c r="B2002" s="88">
        <v>21</v>
      </c>
      <c r="C2002" s="97">
        <f>SUMIFS(Input!$C$115:$C$3257,Input!$A$115:$A$3257,"="&amp;'Output - County'!A2002,Input!$B$115:$B$3257,"="&amp;'Output - County'!B2002)*VLOOKUP(A2002,'Output - State'!$B$2:$G$52,2,FALSE)</f>
        <v>1.7215791933821605</v>
      </c>
      <c r="D2002" s="98">
        <f>SUMIFS(Input!$C$115:$C$3257,Input!$A$115:$A$3257,"="&amp;'Output - County'!A2002,Input!$B$115:$B$3257,"="&amp;'Output - County'!B2002)*VLOOKUP(A2002,'Output - State'!$B$2:$G$52,3,FALSE)</f>
        <v>0</v>
      </c>
      <c r="E2002" s="98">
        <f>SUMIFS(Input!$C$115:$C$3257,Input!$A$115:$A$3257,"="&amp;'Output - County'!A2002,Input!$B$115:$B$3257,"="&amp;'Output - County'!B2002)*VLOOKUP(A2002,'Output - State'!$B$2:$G$52,4,FALSE)</f>
        <v>2.0467195214404228</v>
      </c>
      <c r="F2002" s="98">
        <f>SUMIFS(Input!$C$115:$C$3257,Input!$A$115:$A$3257,"="&amp;'Output - County'!A2002,Input!$B$115:$B$3257,"="&amp;'Output - County'!B2002)*VLOOKUP(A2002,'Output - State'!$B$2:$G$52,5,FALSE)</f>
        <v>5.4412640362811935</v>
      </c>
      <c r="G2002" s="99">
        <f>SUMIFS(Input!$D$115:$D$3257,Input!$A$115:$A$3257,"="&amp;'Output - County'!A2002,Input!$B$115:$B$3257,"="&amp;'Output - County'!B2002)*VLOOKUP(A2002,'Output - State'!$B$2:$G$52,6,FALSE)</f>
        <v>1.6616719569044214</v>
      </c>
    </row>
    <row r="2003" spans="1:7" x14ac:dyDescent="0.25">
      <c r="A2003" s="88">
        <v>38</v>
      </c>
      <c r="B2003" s="88">
        <v>23</v>
      </c>
      <c r="C2003" s="97">
        <f>SUMIFS(Input!$C$115:$C$3257,Input!$A$115:$A$3257,"="&amp;'Output - County'!A2003,Input!$B$115:$B$3257,"="&amp;'Output - County'!B2003)*VLOOKUP(A2003,'Output - State'!$B$2:$G$52,2,FALSE)</f>
        <v>0.91037548246214628</v>
      </c>
      <c r="D2003" s="98">
        <f>SUMIFS(Input!$C$115:$C$3257,Input!$A$115:$A$3257,"="&amp;'Output - County'!A2003,Input!$B$115:$B$3257,"="&amp;'Output - County'!B2003)*VLOOKUP(A2003,'Output - State'!$B$2:$G$52,3,FALSE)</f>
        <v>0</v>
      </c>
      <c r="E2003" s="98">
        <f>SUMIFS(Input!$C$115:$C$3257,Input!$A$115:$A$3257,"="&amp;'Output - County'!A2003,Input!$B$115:$B$3257,"="&amp;'Output - County'!B2003)*VLOOKUP(A2003,'Output - State'!$B$2:$G$52,4,FALSE)</f>
        <v>1.082310519875342</v>
      </c>
      <c r="F2003" s="98">
        <f>SUMIFS(Input!$C$115:$C$3257,Input!$A$115:$A$3257,"="&amp;'Output - County'!A2003,Input!$B$115:$B$3257,"="&amp;'Output - County'!B2003)*VLOOKUP(A2003,'Output - State'!$B$2:$G$52,5,FALSE)</f>
        <v>2.8773543449382326</v>
      </c>
      <c r="G2003" s="99">
        <f>SUMIFS(Input!$D$115:$D$3257,Input!$A$115:$A$3257,"="&amp;'Output - County'!A2003,Input!$B$115:$B$3257,"="&amp;'Output - County'!B2003)*VLOOKUP(A2003,'Output - State'!$B$2:$G$52,6,FALSE)</f>
        <v>0.76174008572089091</v>
      </c>
    </row>
    <row r="2004" spans="1:7" x14ac:dyDescent="0.25">
      <c r="A2004" s="88">
        <v>38</v>
      </c>
      <c r="B2004" s="88">
        <v>25</v>
      </c>
      <c r="C2004" s="97">
        <f>SUMIFS(Input!$C$115:$C$3257,Input!$A$115:$A$3257,"="&amp;'Output - County'!A2004,Input!$B$115:$B$3257,"="&amp;'Output - County'!B2004)*VLOOKUP(A2004,'Output - State'!$B$2:$G$52,2,FALSE)</f>
        <v>3.3093334114420121</v>
      </c>
      <c r="D2004" s="98">
        <f>SUMIFS(Input!$C$115:$C$3257,Input!$A$115:$A$3257,"="&amp;'Output - County'!A2004,Input!$B$115:$B$3257,"="&amp;'Output - County'!B2004)*VLOOKUP(A2004,'Output - State'!$B$2:$G$52,3,FALSE)</f>
        <v>0</v>
      </c>
      <c r="E2004" s="98">
        <f>SUMIFS(Input!$C$115:$C$3257,Input!$A$115:$A$3257,"="&amp;'Output - County'!A2004,Input!$B$115:$B$3257,"="&amp;'Output - County'!B2004)*VLOOKUP(A2004,'Output - State'!$B$2:$G$52,4,FALSE)</f>
        <v>3.9343396587216115</v>
      </c>
      <c r="F2004" s="98">
        <f>SUMIFS(Input!$C$115:$C$3257,Input!$A$115:$A$3257,"="&amp;'Output - County'!A2004,Input!$B$115:$B$3257,"="&amp;'Output - County'!B2004)*VLOOKUP(A2004,'Output - State'!$B$2:$G$52,5,FALSE)</f>
        <v>10.45955768108888</v>
      </c>
      <c r="G2004" s="99">
        <f>SUMIFS(Input!$D$115:$D$3257,Input!$A$115:$A$3257,"="&amp;'Output - County'!A2004,Input!$B$115:$B$3257,"="&amp;'Output - County'!B2004)*VLOOKUP(A2004,'Output - State'!$B$2:$G$52,6,FALSE)</f>
        <v>1.4594400757395831</v>
      </c>
    </row>
    <row r="2005" spans="1:7" x14ac:dyDescent="0.25">
      <c r="A2005" s="88">
        <v>38</v>
      </c>
      <c r="B2005" s="88">
        <v>27</v>
      </c>
      <c r="C2005" s="97">
        <f>SUMIFS(Input!$C$115:$C$3257,Input!$A$115:$A$3257,"="&amp;'Output - County'!A2005,Input!$B$115:$B$3257,"="&amp;'Output - County'!B2005)*VLOOKUP(A2005,'Output - State'!$B$2:$G$52,2,FALSE)</f>
        <v>0.77672641288309496</v>
      </c>
      <c r="D2005" s="98">
        <f>SUMIFS(Input!$C$115:$C$3257,Input!$A$115:$A$3257,"="&amp;'Output - County'!A2005,Input!$B$115:$B$3257,"="&amp;'Output - County'!B2005)*VLOOKUP(A2005,'Output - State'!$B$2:$G$52,3,FALSE)</f>
        <v>0</v>
      </c>
      <c r="E2005" s="98">
        <f>SUMIFS(Input!$C$115:$C$3257,Input!$A$115:$A$3257,"="&amp;'Output - County'!A2005,Input!$B$115:$B$3257,"="&amp;'Output - County'!B2005)*VLOOKUP(A2005,'Output - State'!$B$2:$G$52,4,FALSE)</f>
        <v>0.92342026331246996</v>
      </c>
      <c r="F2005" s="98">
        <f>SUMIFS(Input!$C$115:$C$3257,Input!$A$115:$A$3257,"="&amp;'Output - County'!A2005,Input!$B$115:$B$3257,"="&amp;'Output - County'!B2005)*VLOOKUP(A2005,'Output - State'!$B$2:$G$52,5,FALSE)</f>
        <v>2.4549399253295352</v>
      </c>
      <c r="G2005" s="99">
        <f>SUMIFS(Input!$D$115:$D$3257,Input!$A$115:$A$3257,"="&amp;'Output - County'!A2005,Input!$B$115:$B$3257,"="&amp;'Output - County'!B2005)*VLOOKUP(A2005,'Output - State'!$B$2:$G$52,6,FALSE)</f>
        <v>0.7785927424846274</v>
      </c>
    </row>
    <row r="2006" spans="1:7" x14ac:dyDescent="0.25">
      <c r="A2006" s="88">
        <v>38</v>
      </c>
      <c r="B2006" s="88">
        <v>29</v>
      </c>
      <c r="C2006" s="97">
        <f>SUMIFS(Input!$C$115:$C$3257,Input!$A$115:$A$3257,"="&amp;'Output - County'!A2006,Input!$B$115:$B$3257,"="&amp;'Output - County'!B2006)*VLOOKUP(A2006,'Output - State'!$B$2:$G$52,2,FALSE)</f>
        <v>1.3518022788974813</v>
      </c>
      <c r="D2006" s="98">
        <f>SUMIFS(Input!$C$115:$C$3257,Input!$A$115:$A$3257,"="&amp;'Output - County'!A2006,Input!$B$115:$B$3257,"="&amp;'Output - County'!B2006)*VLOOKUP(A2006,'Output - State'!$B$2:$G$52,3,FALSE)</f>
        <v>0</v>
      </c>
      <c r="E2006" s="98">
        <f>SUMIFS(Input!$C$115:$C$3257,Input!$A$115:$A$3257,"="&amp;'Output - County'!A2006,Input!$B$115:$B$3257,"="&amp;'Output - County'!B2006)*VLOOKUP(A2006,'Output - State'!$B$2:$G$52,4,FALSE)</f>
        <v>1.6071059199499476</v>
      </c>
      <c r="F2006" s="98">
        <f>SUMIFS(Input!$C$115:$C$3257,Input!$A$115:$A$3257,"="&amp;'Output - County'!A2006,Input!$B$115:$B$3257,"="&amp;'Output - County'!B2006)*VLOOKUP(A2006,'Output - State'!$B$2:$G$52,5,FALSE)</f>
        <v>4.2725383488617883</v>
      </c>
      <c r="G2006" s="99">
        <f>SUMIFS(Input!$D$115:$D$3257,Input!$A$115:$A$3257,"="&amp;'Output - County'!A2006,Input!$B$115:$B$3257,"="&amp;'Output - County'!B2006)*VLOOKUP(A2006,'Output - State'!$B$2:$G$52,6,FALSE)</f>
        <v>1.1055342837011159</v>
      </c>
    </row>
    <row r="2007" spans="1:7" x14ac:dyDescent="0.25">
      <c r="A2007" s="88">
        <v>38</v>
      </c>
      <c r="B2007" s="88">
        <v>31</v>
      </c>
      <c r="C2007" s="97">
        <f>SUMIFS(Input!$C$115:$C$3257,Input!$A$115:$A$3257,"="&amp;'Output - County'!A2007,Input!$B$115:$B$3257,"="&amp;'Output - County'!B2007)*VLOOKUP(A2007,'Output - State'!$B$2:$G$52,2,FALSE)</f>
        <v>1.3268108264718961</v>
      </c>
      <c r="D2007" s="98">
        <f>SUMIFS(Input!$C$115:$C$3257,Input!$A$115:$A$3257,"="&amp;'Output - County'!A2007,Input!$B$115:$B$3257,"="&amp;'Output - County'!B2007)*VLOOKUP(A2007,'Output - State'!$B$2:$G$52,3,FALSE)</f>
        <v>0</v>
      </c>
      <c r="E2007" s="98">
        <f>SUMIFS(Input!$C$115:$C$3257,Input!$A$115:$A$3257,"="&amp;'Output - County'!A2007,Input!$B$115:$B$3257,"="&amp;'Output - County'!B2007)*VLOOKUP(A2007,'Output - State'!$B$2:$G$52,4,FALSE)</f>
        <v>1.5773945399883285</v>
      </c>
      <c r="F2007" s="98">
        <f>SUMIFS(Input!$C$115:$C$3257,Input!$A$115:$A$3257,"="&amp;'Output - County'!A2007,Input!$B$115:$B$3257,"="&amp;'Output - County'!B2007)*VLOOKUP(A2007,'Output - State'!$B$2:$G$52,5,FALSE)</f>
        <v>4.1935497715018251</v>
      </c>
      <c r="G2007" s="99">
        <f>SUMIFS(Input!$D$115:$D$3257,Input!$A$115:$A$3257,"="&amp;'Output - County'!A2007,Input!$B$115:$B$3257,"="&amp;'Output - County'!B2007)*VLOOKUP(A2007,'Output - State'!$B$2:$G$52,6,FALSE)</f>
        <v>1.0819405642318851</v>
      </c>
    </row>
    <row r="2008" spans="1:7" x14ac:dyDescent="0.25">
      <c r="A2008" s="88">
        <v>38</v>
      </c>
      <c r="B2008" s="88">
        <v>33</v>
      </c>
      <c r="C2008" s="97">
        <f>SUMIFS(Input!$C$115:$C$3257,Input!$A$115:$A$3257,"="&amp;'Output - County'!A2008,Input!$B$115:$B$3257,"="&amp;'Output - County'!B2008)*VLOOKUP(A2008,'Output - State'!$B$2:$G$52,2,FALSE)</f>
        <v>3.9463456738107059</v>
      </c>
      <c r="D2008" s="98">
        <f>SUMIFS(Input!$C$115:$C$3257,Input!$A$115:$A$3257,"="&amp;'Output - County'!A2008,Input!$B$115:$B$3257,"="&amp;'Output - County'!B2008)*VLOOKUP(A2008,'Output - State'!$B$2:$G$52,3,FALSE)</f>
        <v>0</v>
      </c>
      <c r="E2008" s="98">
        <f>SUMIFS(Input!$C$115:$C$3257,Input!$A$115:$A$3257,"="&amp;'Output - County'!A2008,Input!$B$115:$B$3257,"="&amp;'Output - County'!B2008)*VLOOKUP(A2008,'Output - State'!$B$2:$G$52,4,FALSE)</f>
        <v>4.691659123198618</v>
      </c>
      <c r="F2008" s="98">
        <f>SUMIFS(Input!$C$115:$C$3257,Input!$A$115:$A$3257,"="&amp;'Output - County'!A2008,Input!$B$115:$B$3257,"="&amp;'Output - County'!B2008)*VLOOKUP(A2008,'Output - State'!$B$2:$G$52,5,FALSE)</f>
        <v>12.472913748135323</v>
      </c>
      <c r="G2008" s="99">
        <f>SUMIFS(Input!$D$115:$D$3257,Input!$A$115:$A$3257,"="&amp;'Output - County'!A2008,Input!$B$115:$B$3257,"="&amp;'Output - County'!B2008)*VLOOKUP(A2008,'Output - State'!$B$2:$G$52,6,FALSE)</f>
        <v>0.59321351808352563</v>
      </c>
    </row>
    <row r="2009" spans="1:7" x14ac:dyDescent="0.25">
      <c r="A2009" s="88">
        <v>38</v>
      </c>
      <c r="B2009" s="88">
        <v>35</v>
      </c>
      <c r="C2009" s="97">
        <f>SUMIFS(Input!$C$115:$C$3257,Input!$A$115:$A$3257,"="&amp;'Output - County'!A2009,Input!$B$115:$B$3257,"="&amp;'Output - County'!B2009)*VLOOKUP(A2009,'Output - State'!$B$2:$G$52,2,FALSE)</f>
        <v>55.857157376810761</v>
      </c>
      <c r="D2009" s="98">
        <f>SUMIFS(Input!$C$115:$C$3257,Input!$A$115:$A$3257,"="&amp;'Output - County'!A2009,Input!$B$115:$B$3257,"="&amp;'Output - County'!B2009)*VLOOKUP(A2009,'Output - State'!$B$2:$G$52,3,FALSE)</f>
        <v>0</v>
      </c>
      <c r="E2009" s="98">
        <f>SUMIFS(Input!$C$115:$C$3257,Input!$A$115:$A$3257,"="&amp;'Output - County'!A2009,Input!$B$115:$B$3257,"="&amp;'Output - County'!B2009)*VLOOKUP(A2009,'Output - State'!$B$2:$G$52,4,FALSE)</f>
        <v>66.406433613252076</v>
      </c>
      <c r="F2009" s="98">
        <f>SUMIFS(Input!$C$115:$C$3257,Input!$A$115:$A$3257,"="&amp;'Output - County'!A2009,Input!$B$115:$B$3257,"="&amp;'Output - County'!B2009)*VLOOKUP(A2009,'Output - State'!$B$2:$G$52,5,FALSE)</f>
        <v>176.54345659594134</v>
      </c>
      <c r="G2009" s="99">
        <f>SUMIFS(Input!$D$115:$D$3257,Input!$A$115:$A$3257,"="&amp;'Output - County'!A2009,Input!$B$115:$B$3257,"="&amp;'Output - County'!B2009)*VLOOKUP(A2009,'Output - State'!$B$2:$G$52,6,FALSE)</f>
        <v>23.72854072334103</v>
      </c>
    </row>
    <row r="2010" spans="1:7" x14ac:dyDescent="0.25">
      <c r="A2010" s="88">
        <v>38</v>
      </c>
      <c r="B2010" s="88">
        <v>37</v>
      </c>
      <c r="C2010" s="97">
        <f>SUMIFS(Input!$C$115:$C$3257,Input!$A$115:$A$3257,"="&amp;'Output - County'!A2010,Input!$B$115:$B$3257,"="&amp;'Output - County'!B2010)*VLOOKUP(A2010,'Output - State'!$B$2:$G$52,2,FALSE)</f>
        <v>0.88805455072702422</v>
      </c>
      <c r="D2010" s="98">
        <f>SUMIFS(Input!$C$115:$C$3257,Input!$A$115:$A$3257,"="&amp;'Output - County'!A2010,Input!$B$115:$B$3257,"="&amp;'Output - County'!B2010)*VLOOKUP(A2010,'Output - State'!$B$2:$G$52,3,FALSE)</f>
        <v>0</v>
      </c>
      <c r="E2010" s="98">
        <f>SUMIFS(Input!$C$115:$C$3257,Input!$A$115:$A$3257,"="&amp;'Output - County'!A2010,Input!$B$115:$B$3257,"="&amp;'Output - County'!B2010)*VLOOKUP(A2010,'Output - State'!$B$2:$G$52,4,FALSE)</f>
        <v>1.0557740196117307</v>
      </c>
      <c r="F2010" s="98">
        <f>SUMIFS(Input!$C$115:$C$3257,Input!$A$115:$A$3257,"="&amp;'Output - County'!A2010,Input!$B$115:$B$3257,"="&amp;'Output - County'!B2010)*VLOOKUP(A2010,'Output - State'!$B$2:$G$52,5,FALSE)</f>
        <v>2.8068062786201198</v>
      </c>
      <c r="G2010" s="99">
        <f>SUMIFS(Input!$D$115:$D$3257,Input!$A$115:$A$3257,"="&amp;'Output - County'!A2010,Input!$B$115:$B$3257,"="&amp;'Output - County'!B2010)*VLOOKUP(A2010,'Output - State'!$B$2:$G$52,6,FALSE)</f>
        <v>0.79207486789561665</v>
      </c>
    </row>
    <row r="2011" spans="1:7" x14ac:dyDescent="0.25">
      <c r="A2011" s="88">
        <v>38</v>
      </c>
      <c r="B2011" s="88">
        <v>39</v>
      </c>
      <c r="C2011" s="97">
        <f>SUMIFS(Input!$C$115:$C$3257,Input!$A$115:$A$3257,"="&amp;'Output - County'!A2011,Input!$B$115:$B$3257,"="&amp;'Output - County'!B2011)*VLOOKUP(A2011,'Output - State'!$B$2:$G$52,2,FALSE)</f>
        <v>0.77710728629949299</v>
      </c>
      <c r="D2011" s="98">
        <f>SUMIFS(Input!$C$115:$C$3257,Input!$A$115:$A$3257,"="&amp;'Output - County'!A2011,Input!$B$115:$B$3257,"="&amp;'Output - County'!B2011)*VLOOKUP(A2011,'Output - State'!$B$2:$G$52,3,FALSE)</f>
        <v>0</v>
      </c>
      <c r="E2011" s="98">
        <f>SUMIFS(Input!$C$115:$C$3257,Input!$A$115:$A$3257,"="&amp;'Output - County'!A2011,Input!$B$115:$B$3257,"="&amp;'Output - County'!B2011)*VLOOKUP(A2011,'Output - State'!$B$2:$G$52,4,FALSE)</f>
        <v>0.92387306911979861</v>
      </c>
      <c r="F2011" s="98">
        <f>SUMIFS(Input!$C$115:$C$3257,Input!$A$115:$A$3257,"="&amp;'Output - County'!A2011,Input!$B$115:$B$3257,"="&amp;'Output - County'!B2011)*VLOOKUP(A2011,'Output - State'!$B$2:$G$52,5,FALSE)</f>
        <v>2.4561437228841223</v>
      </c>
      <c r="G2011" s="99">
        <f>SUMIFS(Input!$D$115:$D$3257,Input!$A$115:$A$3257,"="&amp;'Output - County'!A2011,Input!$B$115:$B$3257,"="&amp;'Output - County'!B2011)*VLOOKUP(A2011,'Output - State'!$B$2:$G$52,6,FALSE)</f>
        <v>0.751628491662649</v>
      </c>
    </row>
    <row r="2012" spans="1:7" x14ac:dyDescent="0.25">
      <c r="A2012" s="88">
        <v>38</v>
      </c>
      <c r="B2012" s="88">
        <v>41</v>
      </c>
      <c r="C2012" s="97">
        <f>SUMIFS(Input!$C$115:$C$3257,Input!$A$115:$A$3257,"="&amp;'Output - County'!A2012,Input!$B$115:$B$3257,"="&amp;'Output - County'!B2012)*VLOOKUP(A2012,'Output - State'!$B$2:$G$52,2,FALSE)</f>
        <v>0.9853873044703273</v>
      </c>
      <c r="D2012" s="98">
        <f>SUMIFS(Input!$C$115:$C$3257,Input!$A$115:$A$3257,"="&amp;'Output - County'!A2012,Input!$B$115:$B$3257,"="&amp;'Output - County'!B2012)*VLOOKUP(A2012,'Output - State'!$B$2:$G$52,3,FALSE)</f>
        <v>0</v>
      </c>
      <c r="E2012" s="98">
        <f>SUMIFS(Input!$C$115:$C$3257,Input!$A$115:$A$3257,"="&amp;'Output - County'!A2012,Input!$B$115:$B$3257,"="&amp;'Output - County'!B2012)*VLOOKUP(A2012,'Output - State'!$B$2:$G$52,4,FALSE)</f>
        <v>1.17148920014351</v>
      </c>
      <c r="F2012" s="98">
        <f>SUMIFS(Input!$C$115:$C$3257,Input!$A$115:$A$3257,"="&amp;'Output - County'!A2012,Input!$B$115:$B$3257,"="&amp;'Output - County'!B2012)*VLOOKUP(A2012,'Output - State'!$B$2:$G$52,5,FALSE)</f>
        <v>3.1144384889369672</v>
      </c>
      <c r="G2012" s="99">
        <f>SUMIFS(Input!$D$115:$D$3257,Input!$A$115:$A$3257,"="&amp;'Output - County'!A2012,Input!$B$115:$B$3257,"="&amp;'Output - County'!B2012)*VLOOKUP(A2012,'Output - State'!$B$2:$G$52,6,FALSE)</f>
        <v>0.84263283818682622</v>
      </c>
    </row>
    <row r="2013" spans="1:7" x14ac:dyDescent="0.25">
      <c r="A2013" s="88">
        <v>38</v>
      </c>
      <c r="B2013" s="88">
        <v>43</v>
      </c>
      <c r="C2013" s="97">
        <f>SUMIFS(Input!$C$115:$C$3257,Input!$A$115:$A$3257,"="&amp;'Output - County'!A2013,Input!$B$115:$B$3257,"="&amp;'Output - County'!B2013)*VLOOKUP(A2013,'Output - State'!$B$2:$G$52,2,FALSE)</f>
        <v>11.15868505455629</v>
      </c>
      <c r="D2013" s="98">
        <f>SUMIFS(Input!$C$115:$C$3257,Input!$A$115:$A$3257,"="&amp;'Output - County'!A2013,Input!$B$115:$B$3257,"="&amp;'Output - County'!B2013)*VLOOKUP(A2013,'Output - State'!$B$2:$G$52,3,FALSE)</f>
        <v>0</v>
      </c>
      <c r="E2013" s="98">
        <f>SUMIFS(Input!$C$115:$C$3257,Input!$A$115:$A$3257,"="&amp;'Output - County'!A2013,Input!$B$115:$B$3257,"="&amp;'Output - County'!B2013)*VLOOKUP(A2013,'Output - State'!$B$2:$G$52,4,FALSE)</f>
        <v>13.266132991476073</v>
      </c>
      <c r="F2013" s="98">
        <f>SUMIFS(Input!$C$115:$C$3257,Input!$A$115:$A$3257,"="&amp;'Output - County'!A2013,Input!$B$115:$B$3257,"="&amp;'Output - County'!B2013)*VLOOKUP(A2013,'Output - State'!$B$2:$G$52,5,FALSE)</f>
        <v>35.268404679230692</v>
      </c>
      <c r="G2013" s="99">
        <f>SUMIFS(Input!$D$115:$D$3257,Input!$A$115:$A$3257,"="&amp;'Output - County'!A2013,Input!$B$115:$B$3257,"="&amp;'Output - County'!B2013)*VLOOKUP(A2013,'Output - State'!$B$2:$G$52,6,FALSE)</f>
        <v>0.82578018142308973</v>
      </c>
    </row>
    <row r="2014" spans="1:7" x14ac:dyDescent="0.25">
      <c r="A2014" s="88">
        <v>38</v>
      </c>
      <c r="B2014" s="88">
        <v>45</v>
      </c>
      <c r="C2014" s="97">
        <f>SUMIFS(Input!$C$115:$C$3257,Input!$A$115:$A$3257,"="&amp;'Output - County'!A2014,Input!$B$115:$B$3257,"="&amp;'Output - County'!B2014)*VLOOKUP(A2014,'Output - State'!$B$2:$G$52,2,FALSE)</f>
        <v>1.6407305998796982</v>
      </c>
      <c r="D2014" s="98">
        <f>SUMIFS(Input!$C$115:$C$3257,Input!$A$115:$A$3257,"="&amp;'Output - County'!A2014,Input!$B$115:$B$3257,"="&amp;'Output - County'!B2014)*VLOOKUP(A2014,'Output - State'!$B$2:$G$52,3,FALSE)</f>
        <v>0</v>
      </c>
      <c r="E2014" s="98">
        <f>SUMIFS(Input!$C$115:$C$3257,Input!$A$115:$A$3257,"="&amp;'Output - County'!A2014,Input!$B$115:$B$3257,"="&amp;'Output - County'!B2014)*VLOOKUP(A2014,'Output - State'!$B$2:$G$52,4,FALSE)</f>
        <v>1.950601727243918</v>
      </c>
      <c r="F2014" s="98">
        <f>SUMIFS(Input!$C$115:$C$3257,Input!$A$115:$A$3257,"="&amp;'Output - County'!A2014,Input!$B$115:$B$3257,"="&amp;'Output - County'!B2014)*VLOOKUP(A2014,'Output - State'!$B$2:$G$52,5,FALSE)</f>
        <v>5.1857320538432461</v>
      </c>
      <c r="G2014" s="99">
        <f>SUMIFS(Input!$D$115:$D$3257,Input!$A$115:$A$3257,"="&amp;'Output - County'!A2014,Input!$B$115:$B$3257,"="&amp;'Output - County'!B2014)*VLOOKUP(A2014,'Output - State'!$B$2:$G$52,6,FALSE)</f>
        <v>1.3751767919209006</v>
      </c>
    </row>
    <row r="2015" spans="1:7" x14ac:dyDescent="0.25">
      <c r="A2015" s="88">
        <v>38</v>
      </c>
      <c r="B2015" s="88">
        <v>47</v>
      </c>
      <c r="C2015" s="97">
        <f>SUMIFS(Input!$C$115:$C$3257,Input!$A$115:$A$3257,"="&amp;'Output - County'!A2015,Input!$B$115:$B$3257,"="&amp;'Output - County'!B2015)*VLOOKUP(A2015,'Output - State'!$B$2:$G$52,2,FALSE)</f>
        <v>0.63540146703661626</v>
      </c>
      <c r="D2015" s="98">
        <f>SUMIFS(Input!$C$115:$C$3257,Input!$A$115:$A$3257,"="&amp;'Output - County'!A2015,Input!$B$115:$B$3257,"="&amp;'Output - County'!B2015)*VLOOKUP(A2015,'Output - State'!$B$2:$G$52,3,FALSE)</f>
        <v>0</v>
      </c>
      <c r="E2015" s="98">
        <f>SUMIFS(Input!$C$115:$C$3257,Input!$A$115:$A$3257,"="&amp;'Output - County'!A2015,Input!$B$115:$B$3257,"="&amp;'Output - County'!B2015)*VLOOKUP(A2015,'Output - State'!$B$2:$G$52,4,FALSE)</f>
        <v>0.75540445164234749</v>
      </c>
      <c r="F2015" s="98">
        <f>SUMIFS(Input!$C$115:$C$3257,Input!$A$115:$A$3257,"="&amp;'Output - County'!A2015,Input!$B$115:$B$3257,"="&amp;'Output - County'!B2015)*VLOOKUP(A2015,'Output - State'!$B$2:$G$52,5,FALSE)</f>
        <v>2.008264949110111</v>
      </c>
      <c r="G2015" s="99">
        <f>SUMIFS(Input!$D$115:$D$3257,Input!$A$115:$A$3257,"="&amp;'Output - County'!A2015,Input!$B$115:$B$3257,"="&amp;'Output - County'!B2015)*VLOOKUP(A2015,'Output - State'!$B$2:$G$52,6,FALSE)</f>
        <v>0.63703042566924073</v>
      </c>
    </row>
    <row r="2016" spans="1:7" x14ac:dyDescent="0.25">
      <c r="A2016" s="88">
        <v>38</v>
      </c>
      <c r="B2016" s="88">
        <v>49</v>
      </c>
      <c r="C2016" s="97">
        <f>SUMIFS(Input!$C$115:$C$3257,Input!$A$115:$A$3257,"="&amp;'Output - County'!A2016,Input!$B$115:$B$3257,"="&amp;'Output - County'!B2016)*VLOOKUP(A2016,'Output - State'!$B$2:$G$52,2,FALSE)</f>
        <v>3.0267085288868119</v>
      </c>
      <c r="D2016" s="98">
        <f>SUMIFS(Input!$C$115:$C$3257,Input!$A$115:$A$3257,"="&amp;'Output - County'!A2016,Input!$B$115:$B$3257,"="&amp;'Output - County'!B2016)*VLOOKUP(A2016,'Output - State'!$B$2:$G$52,3,FALSE)</f>
        <v>0</v>
      </c>
      <c r="E2016" s="98">
        <f>SUMIFS(Input!$C$115:$C$3257,Input!$A$115:$A$3257,"="&amp;'Output - County'!A2016,Input!$B$115:$B$3257,"="&amp;'Output - County'!B2016)*VLOOKUP(A2016,'Output - State'!$B$2:$G$52,4,FALSE)</f>
        <v>3.5983377677867407</v>
      </c>
      <c r="F2016" s="98">
        <f>SUMIFS(Input!$C$115:$C$3257,Input!$A$115:$A$3257,"="&amp;'Output - County'!A2016,Input!$B$115:$B$3257,"="&amp;'Output - County'!B2016)*VLOOKUP(A2016,'Output - State'!$B$2:$G$52,5,FALSE)</f>
        <v>9.5662867731240695</v>
      </c>
      <c r="G2016" s="99">
        <f>SUMIFS(Input!$D$115:$D$3257,Input!$A$115:$A$3257,"="&amp;'Output - County'!A2016,Input!$B$115:$B$3257,"="&amp;'Output - County'!B2016)*VLOOKUP(A2016,'Output - State'!$B$2:$G$52,6,FALSE)</f>
        <v>1.9582787159461841</v>
      </c>
    </row>
    <row r="2017" spans="1:7" x14ac:dyDescent="0.25">
      <c r="A2017" s="88">
        <v>38</v>
      </c>
      <c r="B2017" s="88">
        <v>51</v>
      </c>
      <c r="C2017" s="97">
        <f>SUMIFS(Input!$C$115:$C$3257,Input!$A$115:$A$3257,"="&amp;'Output - County'!A2017,Input!$B$115:$B$3257,"="&amp;'Output - County'!B2017)*VLOOKUP(A2017,'Output - State'!$B$2:$G$52,2,FALSE)</f>
        <v>0.78391374041715678</v>
      </c>
      <c r="D2017" s="98">
        <f>SUMIFS(Input!$C$115:$C$3257,Input!$A$115:$A$3257,"="&amp;'Output - County'!A2017,Input!$B$115:$B$3257,"="&amp;'Output - County'!B2017)*VLOOKUP(A2017,'Output - State'!$B$2:$G$52,3,FALSE)</f>
        <v>0</v>
      </c>
      <c r="E2017" s="98">
        <f>SUMIFS(Input!$C$115:$C$3257,Input!$A$115:$A$3257,"="&amp;'Output - County'!A2017,Input!$B$115:$B$3257,"="&amp;'Output - County'!B2017)*VLOOKUP(A2017,'Output - State'!$B$2:$G$52,4,FALSE)</f>
        <v>0.93196500155483386</v>
      </c>
      <c r="F2017" s="98">
        <f>SUMIFS(Input!$C$115:$C$3257,Input!$A$115:$A$3257,"="&amp;'Output - County'!A2017,Input!$B$115:$B$3257,"="&amp;'Output - County'!B2017)*VLOOKUP(A2017,'Output - State'!$B$2:$G$52,5,FALSE)</f>
        <v>2.477656363224694</v>
      </c>
      <c r="G2017" s="99">
        <f>SUMIFS(Input!$D$115:$D$3257,Input!$A$115:$A$3257,"="&amp;'Output - County'!A2017,Input!$B$115:$B$3257,"="&amp;'Output - County'!B2017)*VLOOKUP(A2017,'Output - State'!$B$2:$G$52,6,FALSE)</f>
        <v>0.86622655765605738</v>
      </c>
    </row>
    <row r="2018" spans="1:7" x14ac:dyDescent="0.25">
      <c r="A2018" s="88">
        <v>38</v>
      </c>
      <c r="B2018" s="88">
        <v>53</v>
      </c>
      <c r="C2018" s="97">
        <f>SUMIFS(Input!$C$115:$C$3257,Input!$A$115:$A$3257,"="&amp;'Output - County'!A2018,Input!$B$115:$B$3257,"="&amp;'Output - County'!B2018)*VLOOKUP(A2018,'Output - State'!$B$2:$G$52,2,FALSE)</f>
        <v>9.7841762943217976</v>
      </c>
      <c r="D2018" s="98">
        <f>SUMIFS(Input!$C$115:$C$3257,Input!$A$115:$A$3257,"="&amp;'Output - County'!A2018,Input!$B$115:$B$3257,"="&amp;'Output - County'!B2018)*VLOOKUP(A2018,'Output - State'!$B$2:$G$52,3,FALSE)</f>
        <v>0</v>
      </c>
      <c r="E2018" s="98">
        <f>SUMIFS(Input!$C$115:$C$3257,Input!$A$115:$A$3257,"="&amp;'Output - County'!A2018,Input!$B$115:$B$3257,"="&amp;'Output - County'!B2018)*VLOOKUP(A2018,'Output - State'!$B$2:$G$52,4,FALSE)</f>
        <v>11.632032206117476</v>
      </c>
      <c r="F2018" s="98">
        <f>SUMIFS(Input!$C$115:$C$3257,Input!$A$115:$A$3257,"="&amp;'Output - County'!A2018,Input!$B$115:$B$3257,"="&amp;'Output - County'!B2018)*VLOOKUP(A2018,'Output - State'!$B$2:$G$52,5,FALSE)</f>
        <v>30.924099686833415</v>
      </c>
      <c r="G2018" s="99">
        <f>SUMIFS(Input!$D$115:$D$3257,Input!$A$115:$A$3257,"="&amp;'Output - County'!A2018,Input!$B$115:$B$3257,"="&amp;'Output - County'!B2018)*VLOOKUP(A2018,'Output - State'!$B$2:$G$52,6,FALSE)</f>
        <v>4.5839226397363353</v>
      </c>
    </row>
    <row r="2019" spans="1:7" x14ac:dyDescent="0.25">
      <c r="A2019" s="88">
        <v>38</v>
      </c>
      <c r="B2019" s="88">
        <v>55</v>
      </c>
      <c r="C2019" s="97">
        <f>SUMIFS(Input!$C$115:$C$3257,Input!$A$115:$A$3257,"="&amp;'Output - County'!A2019,Input!$B$115:$B$3257,"="&amp;'Output - County'!B2019)*VLOOKUP(A2019,'Output - State'!$B$2:$G$52,2,FALSE)</f>
        <v>5.5348722995371311</v>
      </c>
      <c r="D2019" s="98">
        <f>SUMIFS(Input!$C$115:$C$3257,Input!$A$115:$A$3257,"="&amp;'Output - County'!A2019,Input!$B$115:$B$3257,"="&amp;'Output - County'!B2019)*VLOOKUP(A2019,'Output - State'!$B$2:$G$52,3,FALSE)</f>
        <v>0</v>
      </c>
      <c r="E2019" s="98">
        <f>SUMIFS(Input!$C$115:$C$3257,Input!$A$115:$A$3257,"="&amp;'Output - County'!A2019,Input!$B$115:$B$3257,"="&amp;'Output - County'!B2019)*VLOOKUP(A2019,'Output - State'!$B$2:$G$52,4,FALSE)</f>
        <v>6.5801975463511528</v>
      </c>
      <c r="F2019" s="98">
        <f>SUMIFS(Input!$C$115:$C$3257,Input!$A$115:$A$3257,"="&amp;'Output - County'!A2019,Input!$B$115:$B$3257,"="&amp;'Output - County'!B2019)*VLOOKUP(A2019,'Output - State'!$B$2:$G$52,5,FALSE)</f>
        <v>17.493648682936307</v>
      </c>
      <c r="G2019" s="99">
        <f>SUMIFS(Input!$D$115:$D$3257,Input!$A$115:$A$3257,"="&amp;'Output - County'!A2019,Input!$B$115:$B$3257,"="&amp;'Output - County'!B2019)*VLOOKUP(A2019,'Output - State'!$B$2:$G$52,6,FALSE)</f>
        <v>3.2121163791681817</v>
      </c>
    </row>
    <row r="2020" spans="1:7" x14ac:dyDescent="0.25">
      <c r="A2020" s="88">
        <v>38</v>
      </c>
      <c r="B2020" s="88">
        <v>57</v>
      </c>
      <c r="C2020" s="97">
        <f>SUMIFS(Input!$C$115:$C$3257,Input!$A$115:$A$3257,"="&amp;'Output - County'!A2020,Input!$B$115:$B$3257,"="&amp;'Output - County'!B2020)*VLOOKUP(A2020,'Output - State'!$B$2:$G$52,2,FALSE)</f>
        <v>2.7856846469620491</v>
      </c>
      <c r="D2020" s="98">
        <f>SUMIFS(Input!$C$115:$C$3257,Input!$A$115:$A$3257,"="&amp;'Output - County'!A2020,Input!$B$115:$B$3257,"="&amp;'Output - County'!B2020)*VLOOKUP(A2020,'Output - State'!$B$2:$G$52,3,FALSE)</f>
        <v>0</v>
      </c>
      <c r="E2020" s="98">
        <f>SUMIFS(Input!$C$115:$C$3257,Input!$A$115:$A$3257,"="&amp;'Output - County'!A2020,Input!$B$115:$B$3257,"="&amp;'Output - County'!B2020)*VLOOKUP(A2020,'Output - State'!$B$2:$G$52,4,FALSE)</f>
        <v>3.3117937120935341</v>
      </c>
      <c r="F2020" s="98">
        <f>SUMIFS(Input!$C$115:$C$3257,Input!$A$115:$A$3257,"="&amp;'Output - County'!A2020,Input!$B$115:$B$3257,"="&amp;'Output - County'!B2020)*VLOOKUP(A2020,'Output - State'!$B$2:$G$52,5,FALSE)</f>
        <v>8.8045009745715124</v>
      </c>
      <c r="G2020" s="99">
        <f>SUMIFS(Input!$D$115:$D$3257,Input!$A$115:$A$3257,"="&amp;'Output - County'!A2020,Input!$B$115:$B$3257,"="&amp;'Output - County'!B2020)*VLOOKUP(A2020,'Output - State'!$B$2:$G$52,6,FALSE)</f>
        <v>2.7874294287220214</v>
      </c>
    </row>
    <row r="2021" spans="1:7" x14ac:dyDescent="0.25">
      <c r="A2021" s="88">
        <v>38</v>
      </c>
      <c r="B2021" s="88">
        <v>59</v>
      </c>
      <c r="C2021" s="97">
        <f>SUMIFS(Input!$C$115:$C$3257,Input!$A$115:$A$3257,"="&amp;'Output - County'!A2021,Input!$B$115:$B$3257,"="&amp;'Output - County'!B2021)*VLOOKUP(A2021,'Output - State'!$B$2:$G$52,2,FALSE)</f>
        <v>45.154340126956122</v>
      </c>
      <c r="D2021" s="98">
        <f>SUMIFS(Input!$C$115:$C$3257,Input!$A$115:$A$3257,"="&amp;'Output - County'!A2021,Input!$B$115:$B$3257,"="&amp;'Output - County'!B2021)*VLOOKUP(A2021,'Output - State'!$B$2:$G$52,3,FALSE)</f>
        <v>0</v>
      </c>
      <c r="E2021" s="98">
        <f>SUMIFS(Input!$C$115:$C$3257,Input!$A$115:$A$3257,"="&amp;'Output - County'!A2021,Input!$B$115:$B$3257,"="&amp;'Output - County'!B2021)*VLOOKUP(A2021,'Output - State'!$B$2:$G$52,4,FALSE)</f>
        <v>53.682264383109597</v>
      </c>
      <c r="F2021" s="98">
        <f>SUMIFS(Input!$C$115:$C$3257,Input!$A$115:$A$3257,"="&amp;'Output - County'!A2021,Input!$B$115:$B$3257,"="&amp;'Output - County'!B2021)*VLOOKUP(A2021,'Output - State'!$B$2:$G$52,5,FALSE)</f>
        <v>142.71587851391669</v>
      </c>
      <c r="G2021" s="99">
        <f>SUMIFS(Input!$D$115:$D$3257,Input!$A$115:$A$3257,"="&amp;'Output - County'!A2021,Input!$B$115:$B$3257,"="&amp;'Output - County'!B2021)*VLOOKUP(A2021,'Output - State'!$B$2:$G$52,6,FALSE)</f>
        <v>10.482352507044119</v>
      </c>
    </row>
    <row r="2022" spans="1:7" x14ac:dyDescent="0.25">
      <c r="A2022" s="88">
        <v>38</v>
      </c>
      <c r="B2022" s="88">
        <v>61</v>
      </c>
      <c r="C2022" s="97">
        <f>SUMIFS(Input!$C$115:$C$3257,Input!$A$115:$A$3257,"="&amp;'Output - County'!A2022,Input!$B$115:$B$3257,"="&amp;'Output - County'!B2022)*VLOOKUP(A2022,'Output - State'!$B$2:$G$52,2,FALSE)</f>
        <v>5.9322552780441953</v>
      </c>
      <c r="D2022" s="98">
        <f>SUMIFS(Input!$C$115:$C$3257,Input!$A$115:$A$3257,"="&amp;'Output - County'!A2022,Input!$B$115:$B$3257,"="&amp;'Output - County'!B2022)*VLOOKUP(A2022,'Output - State'!$B$2:$G$52,3,FALSE)</f>
        <v>0</v>
      </c>
      <c r="E2022" s="98">
        <f>SUMIFS(Input!$C$115:$C$3257,Input!$A$115:$A$3257,"="&amp;'Output - County'!A2022,Input!$B$115:$B$3257,"="&amp;'Output - County'!B2022)*VLOOKUP(A2022,'Output - State'!$B$2:$G$52,4,FALSE)</f>
        <v>7.0526309393225803</v>
      </c>
      <c r="F2022" s="98">
        <f>SUMIFS(Input!$C$115:$C$3257,Input!$A$115:$A$3257,"="&amp;'Output - County'!A2022,Input!$B$115:$B$3257,"="&amp;'Output - County'!B2022)*VLOOKUP(A2022,'Output - State'!$B$2:$G$52,5,FALSE)</f>
        <v>18.749626751149869</v>
      </c>
      <c r="G2022" s="99">
        <f>SUMIFS(Input!$D$115:$D$3257,Input!$A$115:$A$3257,"="&amp;'Output - County'!A2022,Input!$B$115:$B$3257,"="&amp;'Output - County'!B2022)*VLOOKUP(A2022,'Output - State'!$B$2:$G$52,6,FALSE)</f>
        <v>3.4379419798022508</v>
      </c>
    </row>
    <row r="2023" spans="1:7" x14ac:dyDescent="0.25">
      <c r="A2023" s="88">
        <v>38</v>
      </c>
      <c r="B2023" s="88">
        <v>63</v>
      </c>
      <c r="C2023" s="97">
        <f>SUMIFS(Input!$C$115:$C$3257,Input!$A$115:$A$3257,"="&amp;'Output - County'!A2023,Input!$B$115:$B$3257,"="&amp;'Output - County'!B2023)*VLOOKUP(A2023,'Output - State'!$B$2:$G$52,2,FALSE)</f>
        <v>1.6404403123465159</v>
      </c>
      <c r="D2023" s="98">
        <f>SUMIFS(Input!$C$115:$C$3257,Input!$A$115:$A$3257,"="&amp;'Output - County'!A2023,Input!$B$115:$B$3257,"="&amp;'Output - County'!B2023)*VLOOKUP(A2023,'Output - State'!$B$2:$G$52,3,FALSE)</f>
        <v>0</v>
      </c>
      <c r="E2023" s="98">
        <f>SUMIFS(Input!$C$115:$C$3257,Input!$A$115:$A$3257,"="&amp;'Output - County'!A2023,Input!$B$115:$B$3257,"="&amp;'Output - County'!B2023)*VLOOKUP(A2023,'Output - State'!$B$2:$G$52,4,FALSE)</f>
        <v>1.9502566155213328</v>
      </c>
      <c r="F2023" s="98">
        <f>SUMIFS(Input!$C$115:$C$3257,Input!$A$115:$A$3257,"="&amp;'Output - County'!A2023,Input!$B$115:$B$3257,"="&amp;'Output - County'!B2023)*VLOOKUP(A2023,'Output - State'!$B$2:$G$52,5,FALSE)</f>
        <v>5.184814564179943</v>
      </c>
      <c r="G2023" s="99">
        <f>SUMIFS(Input!$D$115:$D$3257,Input!$A$115:$A$3257,"="&amp;'Output - County'!A2023,Input!$B$115:$B$3257,"="&amp;'Output - County'!B2023)*VLOOKUP(A2023,'Output - State'!$B$2:$G$52,6,FALSE)</f>
        <v>0.97408356094397119</v>
      </c>
    </row>
    <row r="2024" spans="1:7" x14ac:dyDescent="0.25">
      <c r="A2024" s="88">
        <v>38</v>
      </c>
      <c r="B2024" s="88">
        <v>65</v>
      </c>
      <c r="C2024" s="97">
        <f>SUMIFS(Input!$C$115:$C$3257,Input!$A$115:$A$3257,"="&amp;'Output - County'!A2024,Input!$B$115:$B$3257,"="&amp;'Output - County'!B2024)*VLOOKUP(A2024,'Output - State'!$B$2:$G$52,2,FALSE)</f>
        <v>0.95491948330505771</v>
      </c>
      <c r="D2024" s="98">
        <f>SUMIFS(Input!$C$115:$C$3257,Input!$A$115:$A$3257,"="&amp;'Output - County'!A2024,Input!$B$115:$B$3257,"="&amp;'Output - County'!B2024)*VLOOKUP(A2024,'Output - State'!$B$2:$G$52,3,FALSE)</f>
        <v>0</v>
      </c>
      <c r="E2024" s="98">
        <f>SUMIFS(Input!$C$115:$C$3257,Input!$A$115:$A$3257,"="&amp;'Output - County'!A2024,Input!$B$115:$B$3257,"="&amp;'Output - County'!B2024)*VLOOKUP(A2024,'Output - State'!$B$2:$G$52,4,FALSE)</f>
        <v>1.1352671752756303</v>
      </c>
      <c r="F2024" s="98">
        <f>SUMIFS(Input!$C$115:$C$3257,Input!$A$115:$A$3257,"="&amp;'Output - County'!A2024,Input!$B$115:$B$3257,"="&amp;'Output - County'!B2024)*VLOOKUP(A2024,'Output - State'!$B$2:$G$52,5,FALSE)</f>
        <v>3.0181411706331045</v>
      </c>
      <c r="G2024" s="99">
        <f>SUMIFS(Input!$D$115:$D$3257,Input!$A$115:$A$3257,"="&amp;'Output - County'!A2024,Input!$B$115:$B$3257,"="&amp;'Output - County'!B2024)*VLOOKUP(A2024,'Output - State'!$B$2:$G$52,6,FALSE)</f>
        <v>0.65725361378572444</v>
      </c>
    </row>
    <row r="2025" spans="1:7" x14ac:dyDescent="0.25">
      <c r="A2025" s="88">
        <v>38</v>
      </c>
      <c r="B2025" s="88">
        <v>67</v>
      </c>
      <c r="C2025" s="97">
        <f>SUMIFS(Input!$C$115:$C$3257,Input!$A$115:$A$3257,"="&amp;'Output - County'!A2025,Input!$B$115:$B$3257,"="&amp;'Output - County'!B2025)*VLOOKUP(A2025,'Output - State'!$B$2:$G$52,2,FALSE)</f>
        <v>6.0707356823837735</v>
      </c>
      <c r="D2025" s="98">
        <f>SUMIFS(Input!$C$115:$C$3257,Input!$A$115:$A$3257,"="&amp;'Output - County'!A2025,Input!$B$115:$B$3257,"="&amp;'Output - County'!B2025)*VLOOKUP(A2025,'Output - State'!$B$2:$G$52,3,FALSE)</f>
        <v>0</v>
      </c>
      <c r="E2025" s="98">
        <f>SUMIFS(Input!$C$115:$C$3257,Input!$A$115:$A$3257,"="&amp;'Output - County'!A2025,Input!$B$115:$B$3257,"="&amp;'Output - County'!B2025)*VLOOKUP(A2025,'Output - State'!$B$2:$G$52,4,FALSE)</f>
        <v>7.2172649846155883</v>
      </c>
      <c r="F2025" s="98">
        <f>SUMIFS(Input!$C$115:$C$3257,Input!$A$115:$A$3257,"="&amp;'Output - County'!A2025,Input!$B$115:$B$3257,"="&amp;'Output - County'!B2025)*VLOOKUP(A2025,'Output - State'!$B$2:$G$52,5,FALSE)</f>
        <v>19.187311202007056</v>
      </c>
      <c r="G2025" s="99">
        <f>SUMIFS(Input!$D$115:$D$3257,Input!$A$115:$A$3257,"="&amp;'Output - County'!A2025,Input!$B$115:$B$3257,"="&amp;'Output - County'!B2025)*VLOOKUP(A2025,'Output - State'!$B$2:$G$52,6,FALSE)</f>
        <v>2.3256666333956408</v>
      </c>
    </row>
    <row r="2026" spans="1:7" x14ac:dyDescent="0.25">
      <c r="A2026" s="88">
        <v>38</v>
      </c>
      <c r="B2026" s="88">
        <v>69</v>
      </c>
      <c r="C2026" s="97">
        <f>SUMIFS(Input!$C$115:$C$3257,Input!$A$115:$A$3257,"="&amp;'Output - County'!A2026,Input!$B$115:$B$3257,"="&amp;'Output - County'!B2026)*VLOOKUP(A2026,'Output - State'!$B$2:$G$52,2,FALSE)</f>
        <v>1.5281221229390416</v>
      </c>
      <c r="D2026" s="98">
        <f>SUMIFS(Input!$C$115:$C$3257,Input!$A$115:$A$3257,"="&amp;'Output - County'!A2026,Input!$B$115:$B$3257,"="&amp;'Output - County'!B2026)*VLOOKUP(A2026,'Output - State'!$B$2:$G$52,3,FALSE)</f>
        <v>0</v>
      </c>
      <c r="E2026" s="98">
        <f>SUMIFS(Input!$C$115:$C$3257,Input!$A$115:$A$3257,"="&amp;'Output - County'!A2026,Input!$B$115:$B$3257,"="&amp;'Output - County'!B2026)*VLOOKUP(A2026,'Output - State'!$B$2:$G$52,4,FALSE)</f>
        <v>1.816725824863078</v>
      </c>
      <c r="F2026" s="98">
        <f>SUMIFS(Input!$C$115:$C$3257,Input!$A$115:$A$3257,"="&amp;'Output - County'!A2026,Input!$B$115:$B$3257,"="&amp;'Output - County'!B2026)*VLOOKUP(A2026,'Output - State'!$B$2:$G$52,5,FALSE)</f>
        <v>4.8298190304325486</v>
      </c>
      <c r="G2026" s="99">
        <f>SUMIFS(Input!$D$115:$D$3257,Input!$A$115:$A$3257,"="&amp;'Output - County'!A2026,Input!$B$115:$B$3257,"="&amp;'Output - County'!B2026)*VLOOKUP(A2026,'Output - State'!$B$2:$G$52,6,FALSE)</f>
        <v>1.3718062605681531</v>
      </c>
    </row>
    <row r="2027" spans="1:7" x14ac:dyDescent="0.25">
      <c r="A2027" s="88">
        <v>38</v>
      </c>
      <c r="B2027" s="88">
        <v>71</v>
      </c>
      <c r="C2027" s="97">
        <f>SUMIFS(Input!$C$115:$C$3257,Input!$A$115:$A$3257,"="&amp;'Output - County'!A2027,Input!$B$115:$B$3257,"="&amp;'Output - County'!B2027)*VLOOKUP(A2027,'Output - State'!$B$2:$G$52,2,FALSE)</f>
        <v>7.0281005668055334</v>
      </c>
      <c r="D2027" s="98">
        <f>SUMIFS(Input!$C$115:$C$3257,Input!$A$115:$A$3257,"="&amp;'Output - County'!A2027,Input!$B$115:$B$3257,"="&amp;'Output - County'!B2027)*VLOOKUP(A2027,'Output - State'!$B$2:$G$52,3,FALSE)</f>
        <v>0</v>
      </c>
      <c r="E2027" s="98">
        <f>SUMIFS(Input!$C$115:$C$3257,Input!$A$115:$A$3257,"="&amp;'Output - County'!A2027,Input!$B$115:$B$3257,"="&amp;'Output - County'!B2027)*VLOOKUP(A2027,'Output - State'!$B$2:$G$52,4,FALSE)</f>
        <v>8.3554394035559572</v>
      </c>
      <c r="F2027" s="98">
        <f>SUMIFS(Input!$C$115:$C$3257,Input!$A$115:$A$3257,"="&amp;'Output - County'!A2027,Input!$B$115:$B$3257,"="&amp;'Output - County'!B2027)*VLOOKUP(A2027,'Output - State'!$B$2:$G$52,5,FALSE)</f>
        <v>22.213181365417107</v>
      </c>
      <c r="G2027" s="99">
        <f>SUMIFS(Input!$D$115:$D$3257,Input!$A$115:$A$3257,"="&amp;'Output - County'!A2027,Input!$B$115:$B$3257,"="&amp;'Output - County'!B2027)*VLOOKUP(A2027,'Output - State'!$B$2:$G$52,6,FALSE)</f>
        <v>3.9098163691868737</v>
      </c>
    </row>
    <row r="2028" spans="1:7" x14ac:dyDescent="0.25">
      <c r="A2028" s="88">
        <v>38</v>
      </c>
      <c r="B2028" s="88">
        <v>73</v>
      </c>
      <c r="C2028" s="97">
        <f>SUMIFS(Input!$C$115:$C$3257,Input!$A$115:$A$3257,"="&amp;'Output - County'!A2028,Input!$B$115:$B$3257,"="&amp;'Output - County'!B2028)*VLOOKUP(A2028,'Output - State'!$B$2:$G$52,2,FALSE)</f>
        <v>1.6301570009010102</v>
      </c>
      <c r="D2028" s="98">
        <f>SUMIFS(Input!$C$115:$C$3257,Input!$A$115:$A$3257,"="&amp;'Output - County'!A2028,Input!$B$115:$B$3257,"="&amp;'Output - County'!B2028)*VLOOKUP(A2028,'Output - State'!$B$2:$G$52,3,FALSE)</f>
        <v>0</v>
      </c>
      <c r="E2028" s="98">
        <f>SUMIFS(Input!$C$115:$C$3257,Input!$A$115:$A$3257,"="&amp;'Output - County'!A2028,Input!$B$115:$B$3257,"="&amp;'Output - County'!B2028)*VLOOKUP(A2028,'Output - State'!$B$2:$G$52,4,FALSE)</f>
        <v>1.9380311806639217</v>
      </c>
      <c r="F2028" s="98">
        <f>SUMIFS(Input!$C$115:$C$3257,Input!$A$115:$A$3257,"="&amp;'Output - County'!A2028,Input!$B$115:$B$3257,"="&amp;'Output - County'!B2028)*VLOOKUP(A2028,'Output - State'!$B$2:$G$52,5,FALSE)</f>
        <v>5.1523128860942649</v>
      </c>
      <c r="G2028" s="99">
        <f>SUMIFS(Input!$D$115:$D$3257,Input!$A$115:$A$3257,"="&amp;'Output - County'!A2028,Input!$B$115:$B$3257,"="&amp;'Output - County'!B2028)*VLOOKUP(A2028,'Output - State'!$B$2:$G$52,6,FALSE)</f>
        <v>1.7594173661340933</v>
      </c>
    </row>
    <row r="2029" spans="1:7" x14ac:dyDescent="0.25">
      <c r="A2029" s="88">
        <v>38</v>
      </c>
      <c r="B2029" s="88">
        <v>75</v>
      </c>
      <c r="C2029" s="97">
        <f>SUMIFS(Input!$C$115:$C$3257,Input!$A$115:$A$3257,"="&amp;'Output - County'!A2029,Input!$B$115:$B$3257,"="&amp;'Output - County'!B2029)*VLOOKUP(A2029,'Output - State'!$B$2:$G$52,2,FALSE)</f>
        <v>1.0015391963276461</v>
      </c>
      <c r="D2029" s="98">
        <f>SUMIFS(Input!$C$115:$C$3257,Input!$A$115:$A$3257,"="&amp;'Output - County'!A2029,Input!$B$115:$B$3257,"="&amp;'Output - County'!B2029)*VLOOKUP(A2029,'Output - State'!$B$2:$G$52,3,FALSE)</f>
        <v>0</v>
      </c>
      <c r="E2029" s="98">
        <f>SUMIFS(Input!$C$115:$C$3257,Input!$A$115:$A$3257,"="&amp;'Output - County'!A2029,Input!$B$115:$B$3257,"="&amp;'Output - County'!B2029)*VLOOKUP(A2029,'Output - State'!$B$2:$G$52,4,FALSE)</f>
        <v>1.1906915653321968</v>
      </c>
      <c r="F2029" s="98">
        <f>SUMIFS(Input!$C$115:$C$3257,Input!$A$115:$A$3257,"="&amp;'Output - County'!A2029,Input!$B$115:$B$3257,"="&amp;'Output - County'!B2029)*VLOOKUP(A2029,'Output - State'!$B$2:$G$52,5,FALSE)</f>
        <v>3.16548854148115</v>
      </c>
      <c r="G2029" s="99">
        <f>SUMIFS(Input!$D$115:$D$3257,Input!$A$115:$A$3257,"="&amp;'Output - County'!A2029,Input!$B$115:$B$3257,"="&amp;'Output - County'!B2029)*VLOOKUP(A2029,'Output - State'!$B$2:$G$52,6,FALSE)</f>
        <v>0.79544539924836399</v>
      </c>
    </row>
    <row r="2030" spans="1:7" x14ac:dyDescent="0.25">
      <c r="A2030" s="88">
        <v>38</v>
      </c>
      <c r="B2030" s="88">
        <v>77</v>
      </c>
      <c r="C2030" s="97">
        <f>SUMIFS(Input!$C$115:$C$3257,Input!$A$115:$A$3257,"="&amp;'Output - County'!A2030,Input!$B$115:$B$3257,"="&amp;'Output - County'!B2030)*VLOOKUP(A2030,'Output - State'!$B$2:$G$52,2,FALSE)</f>
        <v>21.9979875603476</v>
      </c>
      <c r="D2030" s="98">
        <f>SUMIFS(Input!$C$115:$C$3257,Input!$A$115:$A$3257,"="&amp;'Output - County'!A2030,Input!$B$115:$B$3257,"="&amp;'Output - County'!B2030)*VLOOKUP(A2030,'Output - State'!$B$2:$G$52,3,FALSE)</f>
        <v>0</v>
      </c>
      <c r="E2030" s="98">
        <f>SUMIFS(Input!$C$115:$C$3257,Input!$A$115:$A$3257,"="&amp;'Output - County'!A2030,Input!$B$115:$B$3257,"="&amp;'Output - County'!B2030)*VLOOKUP(A2030,'Output - State'!$B$2:$G$52,4,FALSE)</f>
        <v>26.152564311441775</v>
      </c>
      <c r="F2030" s="98">
        <f>SUMIFS(Input!$C$115:$C$3257,Input!$A$115:$A$3257,"="&amp;'Output - County'!A2030,Input!$B$115:$B$3257,"="&amp;'Output - County'!B2030)*VLOOKUP(A2030,'Output - State'!$B$2:$G$52,5,FALSE)</f>
        <v>69.527361298743259</v>
      </c>
      <c r="G2030" s="99">
        <f>SUMIFS(Input!$D$115:$D$3257,Input!$A$115:$A$3257,"="&amp;'Output - County'!A2030,Input!$B$115:$B$3257,"="&amp;'Output - County'!B2030)*VLOOKUP(A2030,'Output - State'!$B$2:$G$52,6,FALSE)</f>
        <v>5.4602607914506338</v>
      </c>
    </row>
    <row r="2031" spans="1:7" x14ac:dyDescent="0.25">
      <c r="A2031" s="88">
        <v>38</v>
      </c>
      <c r="B2031" s="88">
        <v>79</v>
      </c>
      <c r="C2031" s="97">
        <f>SUMIFS(Input!$C$115:$C$3257,Input!$A$115:$A$3257,"="&amp;'Output - County'!A2031,Input!$B$115:$B$3257,"="&amp;'Output - County'!B2031)*VLOOKUP(A2031,'Output - State'!$B$2:$G$52,2,FALSE)</f>
        <v>3.2211923948963141</v>
      </c>
      <c r="D2031" s="98">
        <f>SUMIFS(Input!$C$115:$C$3257,Input!$A$115:$A$3257,"="&amp;'Output - County'!A2031,Input!$B$115:$B$3257,"="&amp;'Output - County'!B2031)*VLOOKUP(A2031,'Output - State'!$B$2:$G$52,3,FALSE)</f>
        <v>0</v>
      </c>
      <c r="E2031" s="98">
        <f>SUMIFS(Input!$C$115:$C$3257,Input!$A$115:$A$3257,"="&amp;'Output - County'!A2031,Input!$B$115:$B$3257,"="&amp;'Output - County'!B2031)*VLOOKUP(A2031,'Output - State'!$B$2:$G$52,4,FALSE)</f>
        <v>3.8295521822597967</v>
      </c>
      <c r="F2031" s="98">
        <f>SUMIFS(Input!$C$115:$C$3257,Input!$A$115:$A$3257,"="&amp;'Output - County'!A2031,Input!$B$115:$B$3257,"="&amp;'Output - County'!B2031)*VLOOKUP(A2031,'Output - State'!$B$2:$G$52,5,FALSE)</f>
        <v>10.180977093396502</v>
      </c>
      <c r="G2031" s="99">
        <f>SUMIFS(Input!$D$115:$D$3257,Input!$A$115:$A$3257,"="&amp;'Output - County'!A2031,Input!$B$115:$B$3257,"="&amp;'Output - County'!B2031)*VLOOKUP(A2031,'Output - State'!$B$2:$G$52,6,FALSE)</f>
        <v>4.8198598344286463</v>
      </c>
    </row>
    <row r="2032" spans="1:7" x14ac:dyDescent="0.25">
      <c r="A2032" s="88">
        <v>38</v>
      </c>
      <c r="B2032" s="88">
        <v>81</v>
      </c>
      <c r="C2032" s="97">
        <f>SUMIFS(Input!$C$115:$C$3257,Input!$A$115:$A$3257,"="&amp;'Output - County'!A2032,Input!$B$115:$B$3257,"="&amp;'Output - County'!B2032)*VLOOKUP(A2032,'Output - State'!$B$2:$G$52,2,FALSE)</f>
        <v>1.5561104047596743</v>
      </c>
      <c r="D2032" s="98">
        <f>SUMIFS(Input!$C$115:$C$3257,Input!$A$115:$A$3257,"="&amp;'Output - County'!A2032,Input!$B$115:$B$3257,"="&amp;'Output - County'!B2032)*VLOOKUP(A2032,'Output - State'!$B$2:$G$52,3,FALSE)</f>
        <v>0</v>
      </c>
      <c r="E2032" s="98">
        <f>SUMIFS(Input!$C$115:$C$3257,Input!$A$115:$A$3257,"="&amp;'Output - County'!A2032,Input!$B$115:$B$3257,"="&amp;'Output - County'!B2032)*VLOOKUP(A2032,'Output - State'!$B$2:$G$52,4,FALSE)</f>
        <v>1.8500000204354154</v>
      </c>
      <c r="F2032" s="98">
        <f>SUMIFS(Input!$C$115:$C$3257,Input!$A$115:$A$3257,"="&amp;'Output - County'!A2032,Input!$B$115:$B$3257,"="&amp;'Output - County'!B2032)*VLOOKUP(A2032,'Output - State'!$B$2:$G$52,5,FALSE)</f>
        <v>4.9182794578664586</v>
      </c>
      <c r="G2032" s="99">
        <f>SUMIFS(Input!$D$115:$D$3257,Input!$A$115:$A$3257,"="&amp;'Output - County'!A2032,Input!$B$115:$B$3257,"="&amp;'Output - County'!B2032)*VLOOKUP(A2032,'Output - State'!$B$2:$G$52,6,FALSE)</f>
        <v>1.2976545708077125</v>
      </c>
    </row>
    <row r="2033" spans="1:7" x14ac:dyDescent="0.25">
      <c r="A2033" s="88">
        <v>38</v>
      </c>
      <c r="B2033" s="88">
        <v>83</v>
      </c>
      <c r="C2033" s="97">
        <f>SUMIFS(Input!$C$115:$C$3257,Input!$A$115:$A$3257,"="&amp;'Output - County'!A2033,Input!$B$115:$B$3257,"="&amp;'Output - County'!B2033)*VLOOKUP(A2033,'Output - State'!$B$2:$G$52,2,FALSE)</f>
        <v>0.54175314940262642</v>
      </c>
      <c r="D2033" s="98">
        <f>SUMIFS(Input!$C$115:$C$3257,Input!$A$115:$A$3257,"="&amp;'Output - County'!A2033,Input!$B$115:$B$3257,"="&amp;'Output - County'!B2033)*VLOOKUP(A2033,'Output - State'!$B$2:$G$52,3,FALSE)</f>
        <v>0</v>
      </c>
      <c r="E2033" s="98">
        <f>SUMIFS(Input!$C$115:$C$3257,Input!$A$115:$A$3257,"="&amp;'Output - County'!A2033,Input!$B$115:$B$3257,"="&amp;'Output - County'!B2033)*VLOOKUP(A2033,'Output - State'!$B$2:$G$52,4,FALSE)</f>
        <v>0.64406955599053139</v>
      </c>
      <c r="F2033" s="98">
        <f>SUMIFS(Input!$C$115:$C$3257,Input!$A$115:$A$3257,"="&amp;'Output - County'!A2033,Input!$B$115:$B$3257,"="&amp;'Output - County'!B2033)*VLOOKUP(A2033,'Output - State'!$B$2:$G$52,5,FALSE)</f>
        <v>1.7122778549590769</v>
      </c>
      <c r="G2033" s="99">
        <f>SUMIFS(Input!$D$115:$D$3257,Input!$A$115:$A$3257,"="&amp;'Output - County'!A2033,Input!$B$115:$B$3257,"="&amp;'Output - County'!B2033)*VLOOKUP(A2033,'Output - State'!$B$2:$G$52,6,FALSE)</f>
        <v>0.4516512012681389</v>
      </c>
    </row>
    <row r="2034" spans="1:7" x14ac:dyDescent="0.25">
      <c r="A2034" s="88">
        <v>38</v>
      </c>
      <c r="B2034" s="88">
        <v>85</v>
      </c>
      <c r="C2034" s="97">
        <f>SUMIFS(Input!$C$115:$C$3257,Input!$A$115:$A$3257,"="&amp;'Output - County'!A2034,Input!$B$115:$B$3257,"="&amp;'Output - County'!B2034)*VLOOKUP(A2034,'Output - State'!$B$2:$G$52,2,FALSE)</f>
        <v>1.2332943328329866</v>
      </c>
      <c r="D2034" s="98">
        <f>SUMIFS(Input!$C$115:$C$3257,Input!$A$115:$A$3257,"="&amp;'Output - County'!A2034,Input!$B$115:$B$3257,"="&amp;'Output - County'!B2034)*VLOOKUP(A2034,'Output - State'!$B$2:$G$52,3,FALSE)</f>
        <v>0</v>
      </c>
      <c r="E2034" s="98">
        <f>SUMIFS(Input!$C$115:$C$3257,Input!$A$115:$A$3257,"="&amp;'Output - County'!A2034,Input!$B$115:$B$3257,"="&amp;'Output - County'!B2034)*VLOOKUP(A2034,'Output - State'!$B$2:$G$52,4,FALSE)</f>
        <v>1.4662163648319522</v>
      </c>
      <c r="F2034" s="98">
        <f>SUMIFS(Input!$C$115:$C$3257,Input!$A$115:$A$3257,"="&amp;'Output - County'!A2034,Input!$B$115:$B$3257,"="&amp;'Output - County'!B2034)*VLOOKUP(A2034,'Output - State'!$B$2:$G$52,5,FALSE)</f>
        <v>3.8979793233966467</v>
      </c>
      <c r="G2034" s="99">
        <f>SUMIFS(Input!$D$115:$D$3257,Input!$A$115:$A$3257,"="&amp;'Output - County'!A2034,Input!$B$115:$B$3257,"="&amp;'Output - County'!B2034)*VLOOKUP(A2034,'Output - State'!$B$2:$G$52,6,FALSE)</f>
        <v>1.4762927325033195</v>
      </c>
    </row>
    <row r="2035" spans="1:7" x14ac:dyDescent="0.25">
      <c r="A2035" s="88">
        <v>38</v>
      </c>
      <c r="B2035" s="88">
        <v>87</v>
      </c>
      <c r="C2035" s="97">
        <f>SUMIFS(Input!$C$115:$C$3257,Input!$A$115:$A$3257,"="&amp;'Output - County'!A2035,Input!$B$115:$B$3257,"="&amp;'Output - County'!B2035)*VLOOKUP(A2035,'Output - State'!$B$2:$G$52,2,FALSE)</f>
        <v>0.69888896402670475</v>
      </c>
      <c r="D2035" s="98">
        <f>SUMIFS(Input!$C$115:$C$3257,Input!$A$115:$A$3257,"="&amp;'Output - County'!A2035,Input!$B$115:$B$3257,"="&amp;'Output - County'!B2035)*VLOOKUP(A2035,'Output - State'!$B$2:$G$52,3,FALSE)</f>
        <v>0</v>
      </c>
      <c r="E2035" s="98">
        <f>SUMIFS(Input!$C$115:$C$3257,Input!$A$115:$A$3257,"="&amp;'Output - County'!A2035,Input!$B$115:$B$3257,"="&amp;'Output - County'!B2035)*VLOOKUP(A2035,'Output - State'!$B$2:$G$52,4,FALSE)</f>
        <v>0.83088230357997794</v>
      </c>
      <c r="F2035" s="98">
        <f>SUMIFS(Input!$C$115:$C$3257,Input!$A$115:$A$3257,"="&amp;'Output - County'!A2035,Input!$B$115:$B$3257,"="&amp;'Output - County'!B2035)*VLOOKUP(A2035,'Output - State'!$B$2:$G$52,5,FALSE)</f>
        <v>2.2089250380874961</v>
      </c>
      <c r="G2035" s="99">
        <f>SUMIFS(Input!$D$115:$D$3257,Input!$A$115:$A$3257,"="&amp;'Output - County'!A2035,Input!$B$115:$B$3257,"="&amp;'Output - County'!B2035)*VLOOKUP(A2035,'Output - State'!$B$2:$G$52,6,FALSE)</f>
        <v>0.25649743594406987</v>
      </c>
    </row>
    <row r="2036" spans="1:7" x14ac:dyDescent="0.25">
      <c r="A2036" s="88">
        <v>38</v>
      </c>
      <c r="B2036" s="88">
        <v>89</v>
      </c>
      <c r="C2036" s="97">
        <f>SUMIFS(Input!$C$115:$C$3257,Input!$A$115:$A$3257,"="&amp;'Output - County'!A2036,Input!$B$115:$B$3257,"="&amp;'Output - County'!B2036)*VLOOKUP(A2036,'Output - State'!$B$2:$G$52,2,FALSE)</f>
        <v>37.98071870352296</v>
      </c>
      <c r="D2036" s="98">
        <f>SUMIFS(Input!$C$115:$C$3257,Input!$A$115:$A$3257,"="&amp;'Output - County'!A2036,Input!$B$115:$B$3257,"="&amp;'Output - County'!B2036)*VLOOKUP(A2036,'Output - State'!$B$2:$G$52,3,FALSE)</f>
        <v>0</v>
      </c>
      <c r="E2036" s="98">
        <f>SUMIFS(Input!$C$115:$C$3257,Input!$A$115:$A$3257,"="&amp;'Output - County'!A2036,Input!$B$115:$B$3257,"="&amp;'Output - County'!B2036)*VLOOKUP(A2036,'Output - State'!$B$2:$G$52,4,FALSE)</f>
        <v>45.153820810369083</v>
      </c>
      <c r="F2036" s="98">
        <f>SUMIFS(Input!$C$115:$C$3257,Input!$A$115:$A$3257,"="&amp;'Output - County'!A2036,Input!$B$115:$B$3257,"="&amp;'Output - County'!B2036)*VLOOKUP(A2036,'Output - State'!$B$2:$G$52,5,FALSE)</f>
        <v>120.04276047713383</v>
      </c>
      <c r="G2036" s="99">
        <f>SUMIFS(Input!$D$115:$D$3257,Input!$A$115:$A$3257,"="&amp;'Output - County'!A2036,Input!$B$115:$B$3257,"="&amp;'Output - County'!B2036)*VLOOKUP(A2036,'Output - State'!$B$2:$G$52,6,FALSE)</f>
        <v>10.414941879989174</v>
      </c>
    </row>
    <row r="2037" spans="1:7" x14ac:dyDescent="0.25">
      <c r="A2037" s="88">
        <v>38</v>
      </c>
      <c r="B2037" s="88">
        <v>91</v>
      </c>
      <c r="C2037" s="97">
        <f>SUMIFS(Input!$C$115:$C$3257,Input!$A$115:$A$3257,"="&amp;'Output - County'!A2037,Input!$B$115:$B$3257,"="&amp;'Output - County'!B2037)*VLOOKUP(A2037,'Output - State'!$B$2:$G$52,2,FALSE)</f>
        <v>0.86711919716672958</v>
      </c>
      <c r="D2037" s="98">
        <f>SUMIFS(Input!$C$115:$C$3257,Input!$A$115:$A$3257,"="&amp;'Output - County'!A2037,Input!$B$115:$B$3257,"="&amp;'Output - County'!B2037)*VLOOKUP(A2037,'Output - State'!$B$2:$G$52,3,FALSE)</f>
        <v>0</v>
      </c>
      <c r="E2037" s="98">
        <f>SUMIFS(Input!$C$115:$C$3257,Input!$A$115:$A$3257,"="&amp;'Output - County'!A2037,Input!$B$115:$B$3257,"="&amp;'Output - County'!B2037)*VLOOKUP(A2037,'Output - State'!$B$2:$G$52,4,FALSE)</f>
        <v>1.0308847801362391</v>
      </c>
      <c r="F2037" s="98">
        <f>SUMIFS(Input!$C$115:$C$3257,Input!$A$115:$A$3257,"="&amp;'Output - County'!A2037,Input!$B$115:$B$3257,"="&amp;'Output - County'!B2037)*VLOOKUP(A2037,'Output - State'!$B$2:$G$52,5,FALSE)</f>
        <v>2.7406375035487454</v>
      </c>
      <c r="G2037" s="99">
        <f>SUMIFS(Input!$D$115:$D$3257,Input!$A$115:$A$3257,"="&amp;'Output - County'!A2037,Input!$B$115:$B$3257,"="&amp;'Output - County'!B2037)*VLOOKUP(A2037,'Output - State'!$B$2:$G$52,6,FALSE)</f>
        <v>0.63703042566924073</v>
      </c>
    </row>
    <row r="2038" spans="1:7" x14ac:dyDescent="0.25">
      <c r="A2038" s="88">
        <v>38</v>
      </c>
      <c r="B2038" s="88">
        <v>93</v>
      </c>
      <c r="C2038" s="97">
        <f>SUMIFS(Input!$C$115:$C$3257,Input!$A$115:$A$3257,"="&amp;'Output - County'!A2038,Input!$B$115:$B$3257,"="&amp;'Output - County'!B2038)*VLOOKUP(A2038,'Output - State'!$B$2:$G$52,2,FALSE)</f>
        <v>29.302882999017484</v>
      </c>
      <c r="D2038" s="98">
        <f>SUMIFS(Input!$C$115:$C$3257,Input!$A$115:$A$3257,"="&amp;'Output - County'!A2038,Input!$B$115:$B$3257,"="&amp;'Output - County'!B2038)*VLOOKUP(A2038,'Output - State'!$B$2:$G$52,3,FALSE)</f>
        <v>0</v>
      </c>
      <c r="E2038" s="98">
        <f>SUMIFS(Input!$C$115:$C$3257,Input!$A$115:$A$3257,"="&amp;'Output - County'!A2038,Input!$B$115:$B$3257,"="&amp;'Output - County'!B2038)*VLOOKUP(A2038,'Output - State'!$B$2:$G$52,4,FALSE)</f>
        <v>34.837074529664349</v>
      </c>
      <c r="F2038" s="98">
        <f>SUMIFS(Input!$C$115:$C$3257,Input!$A$115:$A$3257,"="&amp;'Output - County'!A2038,Input!$B$115:$B$3257,"="&amp;'Output - County'!B2038)*VLOOKUP(A2038,'Output - State'!$B$2:$G$52,5,FALSE)</f>
        <v>92.615387102041666</v>
      </c>
      <c r="G2038" s="99">
        <f>SUMIFS(Input!$D$115:$D$3257,Input!$A$115:$A$3257,"="&amp;'Output - County'!A2038,Input!$B$115:$B$3257,"="&amp;'Output - County'!B2038)*VLOOKUP(A2038,'Output - State'!$B$2:$G$52,6,FALSE)</f>
        <v>7.044410527241868</v>
      </c>
    </row>
    <row r="2039" spans="1:7" x14ac:dyDescent="0.25">
      <c r="A2039" s="88">
        <v>38</v>
      </c>
      <c r="B2039" s="88">
        <v>95</v>
      </c>
      <c r="C2039" s="97">
        <f>SUMIFS(Input!$C$115:$C$3257,Input!$A$115:$A$3257,"="&amp;'Output - County'!A2039,Input!$B$115:$B$3257,"="&amp;'Output - County'!B2039)*VLOOKUP(A2039,'Output - State'!$B$2:$G$52,2,FALSE)</f>
        <v>0.81301075714861715</v>
      </c>
      <c r="D2039" s="98">
        <f>SUMIFS(Input!$C$115:$C$3257,Input!$A$115:$A$3257,"="&amp;'Output - County'!A2039,Input!$B$115:$B$3257,"="&amp;'Output - County'!B2039)*VLOOKUP(A2039,'Output - State'!$B$2:$G$52,3,FALSE)</f>
        <v>0</v>
      </c>
      <c r="E2039" s="98">
        <f>SUMIFS(Input!$C$115:$C$3257,Input!$A$115:$A$3257,"="&amp;'Output - County'!A2039,Input!$B$115:$B$3257,"="&amp;'Output - County'!B2039)*VLOOKUP(A2039,'Output - State'!$B$2:$G$52,4,FALSE)</f>
        <v>0.96655732956906926</v>
      </c>
      <c r="F2039" s="98">
        <f>SUMIFS(Input!$C$115:$C$3257,Input!$A$115:$A$3257,"="&amp;'Output - County'!A2039,Input!$B$115:$B$3257,"="&amp;'Output - County'!B2039)*VLOOKUP(A2039,'Output - State'!$B$2:$G$52,5,FALSE)</f>
        <v>2.5696210845181295</v>
      </c>
      <c r="G2039" s="99">
        <f>SUMIFS(Input!$D$115:$D$3257,Input!$A$115:$A$3257,"="&amp;'Output - County'!A2039,Input!$B$115:$B$3257,"="&amp;'Output - County'!B2039)*VLOOKUP(A2039,'Output - State'!$B$2:$G$52,6,FALSE)</f>
        <v>0.73814636625165975</v>
      </c>
    </row>
    <row r="2040" spans="1:7" x14ac:dyDescent="0.25">
      <c r="A2040" s="88">
        <v>38</v>
      </c>
      <c r="B2040" s="88">
        <v>97</v>
      </c>
      <c r="C2040" s="97">
        <f>SUMIFS(Input!$C$115:$C$3257,Input!$A$115:$A$3257,"="&amp;'Output - County'!A2040,Input!$B$115:$B$3257,"="&amp;'Output - County'!B2040)*VLOOKUP(A2040,'Output - State'!$B$2:$G$52,2,FALSE)</f>
        <v>18.310871164128493</v>
      </c>
      <c r="D2040" s="98">
        <f>SUMIFS(Input!$C$115:$C$3257,Input!$A$115:$A$3257,"="&amp;'Output - County'!A2040,Input!$B$115:$B$3257,"="&amp;'Output - County'!B2040)*VLOOKUP(A2040,'Output - State'!$B$2:$G$52,3,FALSE)</f>
        <v>0</v>
      </c>
      <c r="E2040" s="98">
        <f>SUMIFS(Input!$C$115:$C$3257,Input!$A$115:$A$3257,"="&amp;'Output - County'!A2040,Input!$B$115:$B$3257,"="&amp;'Output - County'!B2040)*VLOOKUP(A2040,'Output - State'!$B$2:$G$52,4,FALSE)</f>
        <v>21.769092941101206</v>
      </c>
      <c r="F2040" s="98">
        <f>SUMIFS(Input!$C$115:$C$3257,Input!$A$115:$A$3257,"="&amp;'Output - County'!A2040,Input!$B$115:$B$3257,"="&amp;'Output - County'!B2040)*VLOOKUP(A2040,'Output - State'!$B$2:$G$52,5,FALSE)</f>
        <v>57.873773754556318</v>
      </c>
      <c r="G2040" s="99">
        <f>SUMIFS(Input!$D$115:$D$3257,Input!$A$115:$A$3257,"="&amp;'Output - County'!A2040,Input!$B$115:$B$3257,"="&amp;'Output - County'!B2040)*VLOOKUP(A2040,'Output - State'!$B$2:$G$52,6,FALSE)</f>
        <v>2.7031661449033386</v>
      </c>
    </row>
    <row r="2041" spans="1:7" x14ac:dyDescent="0.25">
      <c r="A2041" s="88">
        <v>38</v>
      </c>
      <c r="B2041" s="88">
        <v>99</v>
      </c>
      <c r="C2041" s="97">
        <f>SUMIFS(Input!$C$115:$C$3257,Input!$A$115:$A$3257,"="&amp;'Output - County'!A2041,Input!$B$115:$B$3257,"="&amp;'Output - County'!B2041)*VLOOKUP(A2041,'Output - State'!$B$2:$G$52,2,FALSE)</f>
        <v>8.8164718420364565</v>
      </c>
      <c r="D2041" s="98">
        <f>SUMIFS(Input!$C$115:$C$3257,Input!$A$115:$A$3257,"="&amp;'Output - County'!A2041,Input!$B$115:$B$3257,"="&amp;'Output - County'!B2041)*VLOOKUP(A2041,'Output - State'!$B$2:$G$52,3,FALSE)</f>
        <v>0</v>
      </c>
      <c r="E2041" s="98">
        <f>SUMIFS(Input!$C$115:$C$3257,Input!$A$115:$A$3257,"="&amp;'Output - County'!A2041,Input!$B$115:$B$3257,"="&amp;'Output - County'!B2041)*VLOOKUP(A2041,'Output - State'!$B$2:$G$52,4,FALSE)</f>
        <v>10.481565471220341</v>
      </c>
      <c r="F2041" s="98">
        <f>SUMIFS(Input!$C$115:$C$3257,Input!$A$115:$A$3257,"="&amp;'Output - County'!A2041,Input!$B$115:$B$3257,"="&amp;'Output - County'!B2041)*VLOOKUP(A2041,'Output - State'!$B$2:$G$52,5,FALSE)</f>
        <v>27.865550039968255</v>
      </c>
      <c r="G2041" s="99">
        <f>SUMIFS(Input!$D$115:$D$3257,Input!$A$115:$A$3257,"="&amp;'Output - County'!A2041,Input!$B$115:$B$3257,"="&amp;'Output - County'!B2041)*VLOOKUP(A2041,'Output - State'!$B$2:$G$52,6,FALSE)</f>
        <v>3.5727632339121436</v>
      </c>
    </row>
    <row r="2042" spans="1:7" x14ac:dyDescent="0.25">
      <c r="A2042" s="88">
        <v>38</v>
      </c>
      <c r="B2042" s="88">
        <v>101</v>
      </c>
      <c r="C2042" s="97">
        <f>SUMIFS(Input!$C$115:$C$3257,Input!$A$115:$A$3257,"="&amp;'Output - County'!A2042,Input!$B$115:$B$3257,"="&amp;'Output - County'!B2042)*VLOOKUP(A2042,'Output - State'!$B$2:$G$52,2,FALSE)</f>
        <v>42.923619812061872</v>
      </c>
      <c r="D2042" s="98">
        <f>SUMIFS(Input!$C$115:$C$3257,Input!$A$115:$A$3257,"="&amp;'Output - County'!A2042,Input!$B$115:$B$3257,"="&amp;'Output - County'!B2042)*VLOOKUP(A2042,'Output - State'!$B$2:$G$52,3,FALSE)</f>
        <v>0</v>
      </c>
      <c r="E2042" s="98">
        <f>SUMIFS(Input!$C$115:$C$3257,Input!$A$115:$A$3257,"="&amp;'Output - County'!A2042,Input!$B$115:$B$3257,"="&amp;'Output - County'!B2042)*VLOOKUP(A2042,'Output - State'!$B$2:$G$52,4,FALSE)</f>
        <v>51.030246495742922</v>
      </c>
      <c r="F2042" s="98">
        <f>SUMIFS(Input!$C$115:$C$3257,Input!$A$115:$A$3257,"="&amp;'Output - County'!A2042,Input!$B$115:$B$3257,"="&amp;'Output - County'!B2042)*VLOOKUP(A2042,'Output - State'!$B$2:$G$52,5,FALSE)</f>
        <v>135.66541097161902</v>
      </c>
      <c r="G2042" s="99">
        <f>SUMIFS(Input!$D$115:$D$3257,Input!$A$115:$A$3257,"="&amp;'Output - County'!A2042,Input!$B$115:$B$3257,"="&amp;'Output - County'!B2042)*VLOOKUP(A2042,'Output - State'!$B$2:$G$52,6,FALSE)</f>
        <v>22.818497258099256</v>
      </c>
    </row>
    <row r="2043" spans="1:7" x14ac:dyDescent="0.25">
      <c r="A2043" s="88">
        <v>38</v>
      </c>
      <c r="B2043" s="88">
        <v>103</v>
      </c>
      <c r="C2043" s="97">
        <f>SUMIFS(Input!$C$115:$C$3257,Input!$A$115:$A$3257,"="&amp;'Output - County'!A2043,Input!$B$115:$B$3257,"="&amp;'Output - County'!B2043)*VLOOKUP(A2043,'Output - State'!$B$2:$G$52,2,FALSE)</f>
        <v>1.8605124989979462</v>
      </c>
      <c r="D2043" s="98">
        <f>SUMIFS(Input!$C$115:$C$3257,Input!$A$115:$A$3257,"="&amp;'Output - County'!A2043,Input!$B$115:$B$3257,"="&amp;'Output - County'!B2043)*VLOOKUP(A2043,'Output - State'!$B$2:$G$52,3,FALSE)</f>
        <v>0</v>
      </c>
      <c r="E2043" s="98">
        <f>SUMIFS(Input!$C$115:$C$3257,Input!$A$115:$A$3257,"="&amp;'Output - County'!A2043,Input!$B$115:$B$3257,"="&amp;'Output - County'!B2043)*VLOOKUP(A2043,'Output - State'!$B$2:$G$52,4,FALSE)</f>
        <v>2.211892003702733</v>
      </c>
      <c r="F2043" s="98">
        <f>SUMIFS(Input!$C$115:$C$3257,Input!$A$115:$A$3257,"="&amp;'Output - County'!A2043,Input!$B$115:$B$3257,"="&amp;'Output - County'!B2043)*VLOOKUP(A2043,'Output - State'!$B$2:$G$52,5,FALSE)</f>
        <v>5.8803799376552561</v>
      </c>
      <c r="G2043" s="99">
        <f>SUMIFS(Input!$D$115:$D$3257,Input!$A$115:$A$3257,"="&amp;'Output - County'!A2043,Input!$B$115:$B$3257,"="&amp;'Output - County'!B2043)*VLOOKUP(A2043,'Output - State'!$B$2:$G$52,6,FALSE)</f>
        <v>1.3178777589241961</v>
      </c>
    </row>
    <row r="2044" spans="1:7" x14ac:dyDescent="0.25">
      <c r="A2044" s="88">
        <v>38</v>
      </c>
      <c r="B2044" s="88">
        <v>105</v>
      </c>
      <c r="C2044" s="97">
        <f>SUMIFS(Input!$C$115:$C$3257,Input!$A$115:$A$3257,"="&amp;'Output - County'!A2044,Input!$B$115:$B$3257,"="&amp;'Output - County'!B2044)*VLOOKUP(A2044,'Output - State'!$B$2:$G$52,2,FALSE)</f>
        <v>26.402542315404279</v>
      </c>
      <c r="D2044" s="98">
        <f>SUMIFS(Input!$C$115:$C$3257,Input!$A$115:$A$3257,"="&amp;'Output - County'!A2044,Input!$B$115:$B$3257,"="&amp;'Output - County'!B2044)*VLOOKUP(A2044,'Output - State'!$B$2:$G$52,3,FALSE)</f>
        <v>0</v>
      </c>
      <c r="E2044" s="98">
        <f>SUMIFS(Input!$C$115:$C$3257,Input!$A$115:$A$3257,"="&amp;'Output - County'!A2044,Input!$B$115:$B$3257,"="&amp;'Output - County'!B2044)*VLOOKUP(A2044,'Output - State'!$B$2:$G$52,4,FALSE)</f>
        <v>31.388970649925326</v>
      </c>
      <c r="F2044" s="98">
        <f>SUMIFS(Input!$C$115:$C$3257,Input!$A$115:$A$3257,"="&amp;'Output - County'!A2044,Input!$B$115:$B$3257,"="&amp;'Output - County'!B2044)*VLOOKUP(A2044,'Output - State'!$B$2:$G$52,5,FALSE)</f>
        <v>83.448501538268175</v>
      </c>
      <c r="G2044" s="99">
        <f>SUMIFS(Input!$D$115:$D$3257,Input!$A$115:$A$3257,"="&amp;'Output - County'!A2044,Input!$B$115:$B$3257,"="&amp;'Output - County'!B2044)*VLOOKUP(A2044,'Output - State'!$B$2:$G$52,6,FALSE)</f>
        <v>11.965386302252933</v>
      </c>
    </row>
    <row r="2045" spans="1:7" x14ac:dyDescent="0.25">
      <c r="A2045" s="88">
        <v>39</v>
      </c>
      <c r="B2045" s="88">
        <v>1</v>
      </c>
      <c r="C2045" s="97">
        <f>SUMIFS(Input!$C$115:$C$3257,Input!$A$115:$A$3257,"="&amp;'Output - County'!A2045,Input!$B$115:$B$3257,"="&amp;'Output - County'!B2045)*VLOOKUP(A2045,'Output - State'!$B$2:$G$52,2,FALSE)</f>
        <v>4.8664081851492584</v>
      </c>
      <c r="D2045" s="98">
        <f>SUMIFS(Input!$C$115:$C$3257,Input!$A$115:$A$3257,"="&amp;'Output - County'!A2045,Input!$B$115:$B$3257,"="&amp;'Output - County'!B2045)*VLOOKUP(A2045,'Output - State'!$B$2:$G$52,3,FALSE)</f>
        <v>2.1672500797423355</v>
      </c>
      <c r="E2045" s="98">
        <f>SUMIFS(Input!$C$115:$C$3257,Input!$A$115:$A$3257,"="&amp;'Output - County'!A2045,Input!$B$115:$B$3257,"="&amp;'Output - County'!B2045)*VLOOKUP(A2045,'Output - State'!$B$2:$G$52,4,FALSE)</f>
        <v>7.0487005166133345</v>
      </c>
      <c r="F2045" s="98">
        <f>SUMIFS(Input!$C$115:$C$3257,Input!$A$115:$A$3257,"="&amp;'Output - County'!A2045,Input!$B$115:$B$3257,"="&amp;'Output - County'!B2045)*VLOOKUP(A2045,'Output - State'!$B$2:$G$52,5,FALSE)</f>
        <v>23.11068458733839</v>
      </c>
      <c r="G2045" s="99">
        <f>SUMIFS(Input!$D$115:$D$3257,Input!$A$115:$A$3257,"="&amp;'Output - County'!A2045,Input!$B$115:$B$3257,"="&amp;'Output - County'!B2045)*VLOOKUP(A2045,'Output - State'!$B$2:$G$52,6,FALSE)</f>
        <v>6.2386604708985312</v>
      </c>
    </row>
    <row r="2046" spans="1:7" x14ac:dyDescent="0.25">
      <c r="A2046" s="88">
        <v>39</v>
      </c>
      <c r="B2046" s="88">
        <v>3</v>
      </c>
      <c r="C2046" s="97">
        <f>SUMIFS(Input!$C$115:$C$3257,Input!$A$115:$A$3257,"="&amp;'Output - County'!A2046,Input!$B$115:$B$3257,"="&amp;'Output - County'!B2046)*VLOOKUP(A2046,'Output - State'!$B$2:$G$52,2,FALSE)</f>
        <v>25.251230328063414</v>
      </c>
      <c r="D2046" s="98">
        <f>SUMIFS(Input!$C$115:$C$3257,Input!$A$115:$A$3257,"="&amp;'Output - County'!A2046,Input!$B$115:$B$3257,"="&amp;'Output - County'!B2046)*VLOOKUP(A2046,'Output - State'!$B$2:$G$52,3,FALSE)</f>
        <v>11.2456104913462</v>
      </c>
      <c r="E2046" s="98">
        <f>SUMIFS(Input!$C$115:$C$3257,Input!$A$115:$A$3257,"="&amp;'Output - County'!A2046,Input!$B$115:$B$3257,"="&amp;'Output - County'!B2046)*VLOOKUP(A2046,'Output - State'!$B$2:$G$52,4,FALSE)</f>
        <v>36.574893327219691</v>
      </c>
      <c r="F2046" s="98">
        <f>SUMIFS(Input!$C$115:$C$3257,Input!$A$115:$A$3257,"="&amp;'Output - County'!A2046,Input!$B$115:$B$3257,"="&amp;'Output - County'!B2046)*VLOOKUP(A2046,'Output - State'!$B$2:$G$52,5,FALSE)</f>
        <v>119.91867458529026</v>
      </c>
      <c r="G2046" s="99">
        <f>SUMIFS(Input!$D$115:$D$3257,Input!$A$115:$A$3257,"="&amp;'Output - County'!A2046,Input!$B$115:$B$3257,"="&amp;'Output - County'!B2046)*VLOOKUP(A2046,'Output - State'!$B$2:$G$52,6,FALSE)</f>
        <v>23.197907166156995</v>
      </c>
    </row>
    <row r="2047" spans="1:7" x14ac:dyDescent="0.25">
      <c r="A2047" s="88">
        <v>39</v>
      </c>
      <c r="B2047" s="88">
        <v>5</v>
      </c>
      <c r="C2047" s="97">
        <f>SUMIFS(Input!$C$115:$C$3257,Input!$A$115:$A$3257,"="&amp;'Output - County'!A2047,Input!$B$115:$B$3257,"="&amp;'Output - County'!B2047)*VLOOKUP(A2047,'Output - State'!$B$2:$G$52,2,FALSE)</f>
        <v>16.427777545384505</v>
      </c>
      <c r="D2047" s="98">
        <f>SUMIFS(Input!$C$115:$C$3257,Input!$A$115:$A$3257,"="&amp;'Output - County'!A2047,Input!$B$115:$B$3257,"="&amp;'Output - County'!B2047)*VLOOKUP(A2047,'Output - State'!$B$2:$G$52,3,FALSE)</f>
        <v>7.3160945076233732</v>
      </c>
      <c r="E2047" s="98">
        <f>SUMIFS(Input!$C$115:$C$3257,Input!$A$115:$A$3257,"="&amp;'Output - County'!A2047,Input!$B$115:$B$3257,"="&amp;'Output - County'!B2047)*VLOOKUP(A2047,'Output - State'!$B$2:$G$52,4,FALSE)</f>
        <v>23.794650934611052</v>
      </c>
      <c r="F2047" s="98">
        <f>SUMIFS(Input!$C$115:$C$3257,Input!$A$115:$A$3257,"="&amp;'Output - County'!A2047,Input!$B$115:$B$3257,"="&amp;'Output - County'!B2047)*VLOOKUP(A2047,'Output - State'!$B$2:$G$52,5,FALSE)</f>
        <v>78.015894038838582</v>
      </c>
      <c r="G2047" s="99">
        <f>SUMIFS(Input!$D$115:$D$3257,Input!$A$115:$A$3257,"="&amp;'Output - County'!A2047,Input!$B$115:$B$3257,"="&amp;'Output - County'!B2047)*VLOOKUP(A2047,'Output - State'!$B$2:$G$52,6,FALSE)</f>
        <v>12.094442862355637</v>
      </c>
    </row>
    <row r="2048" spans="1:7" x14ac:dyDescent="0.25">
      <c r="A2048" s="88">
        <v>39</v>
      </c>
      <c r="B2048" s="88">
        <v>7</v>
      </c>
      <c r="C2048" s="97">
        <f>SUMIFS(Input!$C$115:$C$3257,Input!$A$115:$A$3257,"="&amp;'Output - County'!A2048,Input!$B$115:$B$3257,"="&amp;'Output - County'!B2048)*VLOOKUP(A2048,'Output - State'!$B$2:$G$52,2,FALSE)</f>
        <v>22.631491862136187</v>
      </c>
      <c r="D2048" s="98">
        <f>SUMIFS(Input!$C$115:$C$3257,Input!$A$115:$A$3257,"="&amp;'Output - County'!A2048,Input!$B$115:$B$3257,"="&amp;'Output - County'!B2048)*VLOOKUP(A2048,'Output - State'!$B$2:$G$52,3,FALSE)</f>
        <v>10.078912552502686</v>
      </c>
      <c r="E2048" s="98">
        <f>SUMIFS(Input!$C$115:$C$3257,Input!$A$115:$A$3257,"="&amp;'Output - County'!A2048,Input!$B$115:$B$3257,"="&amp;'Output - County'!B2048)*VLOOKUP(A2048,'Output - State'!$B$2:$G$52,4,FALSE)</f>
        <v>32.780359211786312</v>
      </c>
      <c r="F2048" s="98">
        <f>SUMIFS(Input!$C$115:$C$3257,Input!$A$115:$A$3257,"="&amp;'Output - County'!A2048,Input!$B$115:$B$3257,"="&amp;'Output - County'!B2048)*VLOOKUP(A2048,'Output - State'!$B$2:$G$52,5,FALSE)</f>
        <v>107.47747625504684</v>
      </c>
      <c r="G2048" s="99">
        <f>SUMIFS(Input!$D$115:$D$3257,Input!$A$115:$A$3257,"="&amp;'Output - County'!A2048,Input!$B$115:$B$3257,"="&amp;'Output - County'!B2048)*VLOOKUP(A2048,'Output - State'!$B$2:$G$52,6,FALSE)</f>
        <v>21.981706207931289</v>
      </c>
    </row>
    <row r="2049" spans="1:7" x14ac:dyDescent="0.25">
      <c r="A2049" s="88">
        <v>39</v>
      </c>
      <c r="B2049" s="88">
        <v>9</v>
      </c>
      <c r="C2049" s="97">
        <f>SUMIFS(Input!$C$115:$C$3257,Input!$A$115:$A$3257,"="&amp;'Output - County'!A2049,Input!$B$115:$B$3257,"="&amp;'Output - County'!B2049)*VLOOKUP(A2049,'Output - State'!$B$2:$G$52,2,FALSE)</f>
        <v>12.612377242725842</v>
      </c>
      <c r="D2049" s="98">
        <f>SUMIFS(Input!$C$115:$C$3257,Input!$A$115:$A$3257,"="&amp;'Output - County'!A2049,Input!$B$115:$B$3257,"="&amp;'Output - County'!B2049)*VLOOKUP(A2049,'Output - State'!$B$2:$G$52,3,FALSE)</f>
        <v>5.6169097504918044</v>
      </c>
      <c r="E2049" s="98">
        <f>SUMIFS(Input!$C$115:$C$3257,Input!$A$115:$A$3257,"="&amp;'Output - County'!A2049,Input!$B$115:$B$3257,"="&amp;'Output - County'!B2049)*VLOOKUP(A2049,'Output - State'!$B$2:$G$52,4,FALSE)</f>
        <v>18.268272328207338</v>
      </c>
      <c r="F2049" s="98">
        <f>SUMIFS(Input!$C$115:$C$3257,Input!$A$115:$A$3257,"="&amp;'Output - County'!A2049,Input!$B$115:$B$3257,"="&amp;'Output - County'!B2049)*VLOOKUP(A2049,'Output - State'!$B$2:$G$52,5,FALSE)</f>
        <v>59.896470099378128</v>
      </c>
      <c r="G2049" s="99">
        <f>SUMIFS(Input!$D$115:$D$3257,Input!$A$115:$A$3257,"="&amp;'Output - County'!A2049,Input!$B$115:$B$3257,"="&amp;'Output - County'!B2049)*VLOOKUP(A2049,'Output - State'!$B$2:$G$52,6,FALSE)</f>
        <v>14.752067178478478</v>
      </c>
    </row>
    <row r="2050" spans="1:7" x14ac:dyDescent="0.25">
      <c r="A2050" s="88">
        <v>39</v>
      </c>
      <c r="B2050" s="88">
        <v>11</v>
      </c>
      <c r="C2050" s="97">
        <f>SUMIFS(Input!$C$115:$C$3257,Input!$A$115:$A$3257,"="&amp;'Output - County'!A2050,Input!$B$115:$B$3257,"="&amp;'Output - County'!B2050)*VLOOKUP(A2050,'Output - State'!$B$2:$G$52,2,FALSE)</f>
        <v>12.927963876537385</v>
      </c>
      <c r="D2050" s="98">
        <f>SUMIFS(Input!$C$115:$C$3257,Input!$A$115:$A$3257,"="&amp;'Output - County'!A2050,Input!$B$115:$B$3257,"="&amp;'Output - County'!B2050)*VLOOKUP(A2050,'Output - State'!$B$2:$G$52,3,FALSE)</f>
        <v>5.7574559462221382</v>
      </c>
      <c r="E2050" s="98">
        <f>SUMIFS(Input!$C$115:$C$3257,Input!$A$115:$A$3257,"="&amp;'Output - County'!A2050,Input!$B$115:$B$3257,"="&amp;'Output - County'!B2050)*VLOOKUP(A2050,'Output - State'!$B$2:$G$52,4,FALSE)</f>
        <v>18.72538064796812</v>
      </c>
      <c r="F2050" s="98">
        <f>SUMIFS(Input!$C$115:$C$3257,Input!$A$115:$A$3257,"="&amp;'Output - County'!A2050,Input!$B$115:$B$3257,"="&amp;'Output - County'!B2050)*VLOOKUP(A2050,'Output - State'!$B$2:$G$52,5,FALSE)</f>
        <v>61.395198294077389</v>
      </c>
      <c r="G2050" s="99">
        <f>SUMIFS(Input!$D$115:$D$3257,Input!$A$115:$A$3257,"="&amp;'Output - County'!A2050,Input!$B$115:$B$3257,"="&amp;'Output - County'!B2050)*VLOOKUP(A2050,'Output - State'!$B$2:$G$52,6,FALSE)</f>
        <v>10.29266366498422</v>
      </c>
    </row>
    <row r="2051" spans="1:7" x14ac:dyDescent="0.25">
      <c r="A2051" s="88">
        <v>39</v>
      </c>
      <c r="B2051" s="88">
        <v>13</v>
      </c>
      <c r="C2051" s="97">
        <f>SUMIFS(Input!$C$115:$C$3257,Input!$A$115:$A$3257,"="&amp;'Output - County'!A2051,Input!$B$115:$B$3257,"="&amp;'Output - County'!B2051)*VLOOKUP(A2051,'Output - State'!$B$2:$G$52,2,FALSE)</f>
        <v>21.380488992471122</v>
      </c>
      <c r="D2051" s="98">
        <f>SUMIFS(Input!$C$115:$C$3257,Input!$A$115:$A$3257,"="&amp;'Output - County'!A2051,Input!$B$115:$B$3257,"="&amp;'Output - County'!B2051)*VLOOKUP(A2051,'Output - State'!$B$2:$G$52,3,FALSE)</f>
        <v>9.5217796598461781</v>
      </c>
      <c r="E2051" s="98">
        <f>SUMIFS(Input!$C$115:$C$3257,Input!$A$115:$A$3257,"="&amp;'Output - County'!A2051,Input!$B$115:$B$3257,"="&amp;'Output - County'!B2051)*VLOOKUP(A2051,'Output - State'!$B$2:$G$52,4,FALSE)</f>
        <v>30.968356552288391</v>
      </c>
      <c r="F2051" s="98">
        <f>SUMIFS(Input!$C$115:$C$3257,Input!$A$115:$A$3257,"="&amp;'Output - County'!A2051,Input!$B$115:$B$3257,"="&amp;'Output - County'!B2051)*VLOOKUP(A2051,'Output - State'!$B$2:$G$52,5,FALSE)</f>
        <v>101.5364348054386</v>
      </c>
      <c r="G2051" s="99">
        <f>SUMIFS(Input!$D$115:$D$3257,Input!$A$115:$A$3257,"="&amp;'Output - County'!A2051,Input!$B$115:$B$3257,"="&amp;'Output - County'!B2051)*VLOOKUP(A2051,'Output - State'!$B$2:$G$52,6,FALSE)</f>
        <v>15.202511977821333</v>
      </c>
    </row>
    <row r="2052" spans="1:7" x14ac:dyDescent="0.25">
      <c r="A2052" s="88">
        <v>39</v>
      </c>
      <c r="B2052" s="88">
        <v>15</v>
      </c>
      <c r="C2052" s="97">
        <f>SUMIFS(Input!$C$115:$C$3257,Input!$A$115:$A$3257,"="&amp;'Output - County'!A2052,Input!$B$115:$B$3257,"="&amp;'Output - County'!B2052)*VLOOKUP(A2052,'Output - State'!$B$2:$G$52,2,FALSE)</f>
        <v>8.0708935450634485</v>
      </c>
      <c r="D2052" s="98">
        <f>SUMIFS(Input!$C$115:$C$3257,Input!$A$115:$A$3257,"="&amp;'Output - County'!A2052,Input!$B$115:$B$3257,"="&amp;'Output - County'!B2052)*VLOOKUP(A2052,'Output - State'!$B$2:$G$52,3,FALSE)</f>
        <v>3.5943644703931001</v>
      </c>
      <c r="E2052" s="98">
        <f>SUMIFS(Input!$C$115:$C$3257,Input!$A$115:$A$3257,"="&amp;'Output - County'!A2052,Input!$B$115:$B$3257,"="&amp;'Output - County'!B2052)*VLOOKUP(A2052,'Output - State'!$B$2:$G$52,4,FALSE)</f>
        <v>11.690205452602225</v>
      </c>
      <c r="F2052" s="98">
        <f>SUMIFS(Input!$C$115:$C$3257,Input!$A$115:$A$3257,"="&amp;'Output - County'!A2052,Input!$B$115:$B$3257,"="&amp;'Output - County'!B2052)*VLOOKUP(A2052,'Output - State'!$B$2:$G$52,5,FALSE)</f>
        <v>38.328859388975779</v>
      </c>
      <c r="G2052" s="99">
        <f>SUMIFS(Input!$D$115:$D$3257,Input!$A$115:$A$3257,"="&amp;'Output - County'!A2052,Input!$B$115:$B$3257,"="&amp;'Output - County'!B2052)*VLOOKUP(A2052,'Output - State'!$B$2:$G$52,6,FALSE)</f>
        <v>9.8196966256742222</v>
      </c>
    </row>
    <row r="2053" spans="1:7" x14ac:dyDescent="0.25">
      <c r="A2053" s="88">
        <v>39</v>
      </c>
      <c r="B2053" s="88">
        <v>17</v>
      </c>
      <c r="C2053" s="97">
        <f>SUMIFS(Input!$C$115:$C$3257,Input!$A$115:$A$3257,"="&amp;'Output - County'!A2053,Input!$B$115:$B$3257,"="&amp;'Output - County'!B2053)*VLOOKUP(A2053,'Output - State'!$B$2:$G$52,2,FALSE)</f>
        <v>68.262746257775774</v>
      </c>
      <c r="D2053" s="98">
        <f>SUMIFS(Input!$C$115:$C$3257,Input!$A$115:$A$3257,"="&amp;'Output - County'!A2053,Input!$B$115:$B$3257,"="&amp;'Output - County'!B2053)*VLOOKUP(A2053,'Output - State'!$B$2:$G$52,3,FALSE)</f>
        <v>30.400746637339015</v>
      </c>
      <c r="E2053" s="98">
        <f>SUMIFS(Input!$C$115:$C$3257,Input!$A$115:$A$3257,"="&amp;'Output - County'!A2053,Input!$B$115:$B$3257,"="&amp;'Output - County'!B2053)*VLOOKUP(A2053,'Output - State'!$B$2:$G$52,4,FALSE)</f>
        <v>98.874495625128333</v>
      </c>
      <c r="F2053" s="98">
        <f>SUMIFS(Input!$C$115:$C$3257,Input!$A$115:$A$3257,"="&amp;'Output - County'!A2053,Input!$B$115:$B$3257,"="&amp;'Output - County'!B2053)*VLOOKUP(A2053,'Output - State'!$B$2:$G$52,5,FALSE)</f>
        <v>324.18135466796713</v>
      </c>
      <c r="G2053" s="99">
        <f>SUMIFS(Input!$D$115:$D$3257,Input!$A$115:$A$3257,"="&amp;'Output - County'!A2053,Input!$B$115:$B$3257,"="&amp;'Output - County'!B2053)*VLOOKUP(A2053,'Output - State'!$B$2:$G$52,6,FALSE)</f>
        <v>86.034956674485173</v>
      </c>
    </row>
    <row r="2054" spans="1:7" x14ac:dyDescent="0.25">
      <c r="A2054" s="88">
        <v>39</v>
      </c>
      <c r="B2054" s="88">
        <v>19</v>
      </c>
      <c r="C2054" s="97">
        <f>SUMIFS(Input!$C$115:$C$3257,Input!$A$115:$A$3257,"="&amp;'Output - County'!A2054,Input!$B$115:$B$3257,"="&amp;'Output - County'!B2054)*VLOOKUP(A2054,'Output - State'!$B$2:$G$52,2,FALSE)</f>
        <v>4.2279872480569818</v>
      </c>
      <c r="D2054" s="98">
        <f>SUMIFS(Input!$C$115:$C$3257,Input!$A$115:$A$3257,"="&amp;'Output - County'!A2054,Input!$B$115:$B$3257,"="&amp;'Output - County'!B2054)*VLOOKUP(A2054,'Output - State'!$B$2:$G$52,3,FALSE)</f>
        <v>1.8829299458405437</v>
      </c>
      <c r="E2054" s="98">
        <f>SUMIFS(Input!$C$115:$C$3257,Input!$A$115:$A$3257,"="&amp;'Output - County'!A2054,Input!$B$115:$B$3257,"="&amp;'Output - County'!B2054)*VLOOKUP(A2054,'Output - State'!$B$2:$G$52,4,FALSE)</f>
        <v>6.1239860623610598</v>
      </c>
      <c r="F2054" s="98">
        <f>SUMIFS(Input!$C$115:$C$3257,Input!$A$115:$A$3257,"="&amp;'Output - County'!A2054,Input!$B$115:$B$3257,"="&amp;'Output - County'!B2054)*VLOOKUP(A2054,'Output - State'!$B$2:$G$52,5,FALSE)</f>
        <v>20.078808848653296</v>
      </c>
      <c r="G2054" s="99">
        <f>SUMIFS(Input!$D$115:$D$3257,Input!$A$115:$A$3257,"="&amp;'Output - County'!A2054,Input!$B$115:$B$3257,"="&amp;'Output - County'!B2054)*VLOOKUP(A2054,'Output - State'!$B$2:$G$52,6,FALSE)</f>
        <v>6.1035270310956751</v>
      </c>
    </row>
    <row r="2055" spans="1:7" x14ac:dyDescent="0.25">
      <c r="A2055" s="88">
        <v>39</v>
      </c>
      <c r="B2055" s="88">
        <v>21</v>
      </c>
      <c r="C2055" s="97">
        <f>SUMIFS(Input!$C$115:$C$3257,Input!$A$115:$A$3257,"="&amp;'Output - County'!A2055,Input!$B$115:$B$3257,"="&amp;'Output - County'!B2055)*VLOOKUP(A2055,'Output - State'!$B$2:$G$52,2,FALSE)</f>
        <v>6.9526811520156215</v>
      </c>
      <c r="D2055" s="98">
        <f>SUMIFS(Input!$C$115:$C$3257,Input!$A$115:$A$3257,"="&amp;'Output - County'!A2055,Input!$B$115:$B$3257,"="&amp;'Output - County'!B2055)*VLOOKUP(A2055,'Output - State'!$B$2:$G$52,3,FALSE)</f>
        <v>3.0963696853692371</v>
      </c>
      <c r="E2055" s="98">
        <f>SUMIFS(Input!$C$115:$C$3257,Input!$A$115:$A$3257,"="&amp;'Output - County'!A2055,Input!$B$115:$B$3257,"="&amp;'Output - County'!B2055)*VLOOKUP(A2055,'Output - State'!$B$2:$G$52,4,FALSE)</f>
        <v>10.070541837738832</v>
      </c>
      <c r="F2055" s="98">
        <f>SUMIFS(Input!$C$115:$C$3257,Input!$A$115:$A$3257,"="&amp;'Output - County'!A2055,Input!$B$115:$B$3257,"="&amp;'Output - County'!B2055)*VLOOKUP(A2055,'Output - State'!$B$2:$G$52,5,FALSE)</f>
        <v>33.018442972152215</v>
      </c>
      <c r="G2055" s="99">
        <f>SUMIFS(Input!$D$115:$D$3257,Input!$A$115:$A$3257,"="&amp;'Output - County'!A2055,Input!$B$115:$B$3257,"="&amp;'Output - County'!B2055)*VLOOKUP(A2055,'Output - State'!$B$2:$G$52,6,FALSE)</f>
        <v>8.7386291072513735</v>
      </c>
    </row>
    <row r="2056" spans="1:7" x14ac:dyDescent="0.25">
      <c r="A2056" s="88">
        <v>39</v>
      </c>
      <c r="B2056" s="88">
        <v>23</v>
      </c>
      <c r="C2056" s="97">
        <f>SUMIFS(Input!$C$115:$C$3257,Input!$A$115:$A$3257,"="&amp;'Output - County'!A2056,Input!$B$115:$B$3257,"="&amp;'Output - County'!B2056)*VLOOKUP(A2056,'Output - State'!$B$2:$G$52,2,FALSE)</f>
        <v>36.429114298609477</v>
      </c>
      <c r="D2056" s="98">
        <f>SUMIFS(Input!$C$115:$C$3257,Input!$A$115:$A$3257,"="&amp;'Output - County'!A2056,Input!$B$115:$B$3257,"="&amp;'Output - County'!B2056)*VLOOKUP(A2056,'Output - State'!$B$2:$G$52,3,FALSE)</f>
        <v>16.223670079615921</v>
      </c>
      <c r="E2056" s="98">
        <f>SUMIFS(Input!$C$115:$C$3257,Input!$A$115:$A$3257,"="&amp;'Output - County'!A2056,Input!$B$115:$B$3257,"="&amp;'Output - County'!B2056)*VLOOKUP(A2056,'Output - State'!$B$2:$G$52,4,FALSE)</f>
        <v>52.765388148076021</v>
      </c>
      <c r="F2056" s="98">
        <f>SUMIFS(Input!$C$115:$C$3257,Input!$A$115:$A$3257,"="&amp;'Output - County'!A2056,Input!$B$115:$B$3257,"="&amp;'Output - County'!B2056)*VLOOKUP(A2056,'Output - State'!$B$2:$G$52,5,FALSE)</f>
        <v>173.0027030861244</v>
      </c>
      <c r="G2056" s="99">
        <f>SUMIFS(Input!$D$115:$D$3257,Input!$A$115:$A$3257,"="&amp;'Output - County'!A2056,Input!$B$115:$B$3257,"="&amp;'Output - County'!B2056)*VLOOKUP(A2056,'Output - State'!$B$2:$G$52,6,FALSE)</f>
        <v>30.405023955642665</v>
      </c>
    </row>
    <row r="2057" spans="1:7" x14ac:dyDescent="0.25">
      <c r="A2057" s="88">
        <v>39</v>
      </c>
      <c r="B2057" s="88">
        <v>25</v>
      </c>
      <c r="C2057" s="97">
        <f>SUMIFS(Input!$C$115:$C$3257,Input!$A$115:$A$3257,"="&amp;'Output - County'!A2057,Input!$B$115:$B$3257,"="&amp;'Output - County'!B2057)*VLOOKUP(A2057,'Output - State'!$B$2:$G$52,2,FALSE)</f>
        <v>42.324428008979574</v>
      </c>
      <c r="D2057" s="98">
        <f>SUMIFS(Input!$C$115:$C$3257,Input!$A$115:$A$3257,"="&amp;'Output - County'!A2057,Input!$B$115:$B$3257,"="&amp;'Output - County'!B2057)*VLOOKUP(A2057,'Output - State'!$B$2:$G$52,3,FALSE)</f>
        <v>18.849142218984728</v>
      </c>
      <c r="E2057" s="98">
        <f>SUMIFS(Input!$C$115:$C$3257,Input!$A$115:$A$3257,"="&amp;'Output - County'!A2057,Input!$B$115:$B$3257,"="&amp;'Output - County'!B2057)*VLOOKUP(A2057,'Output - State'!$B$2:$G$52,4,FALSE)</f>
        <v>61.304396635422805</v>
      </c>
      <c r="F2057" s="98">
        <f>SUMIFS(Input!$C$115:$C$3257,Input!$A$115:$A$3257,"="&amp;'Output - County'!A2057,Input!$B$115:$B$3257,"="&amp;'Output - County'!B2057)*VLOOKUP(A2057,'Output - State'!$B$2:$G$52,5,FALSE)</f>
        <v>200.9996837174555</v>
      </c>
      <c r="G2057" s="99">
        <f>SUMIFS(Input!$D$115:$D$3257,Input!$A$115:$A$3257,"="&amp;'Output - County'!A2057,Input!$B$115:$B$3257,"="&amp;'Output - County'!B2057)*VLOOKUP(A2057,'Output - State'!$B$2:$G$52,6,FALSE)</f>
        <v>46.395814332313989</v>
      </c>
    </row>
    <row r="2058" spans="1:7" x14ac:dyDescent="0.25">
      <c r="A2058" s="88">
        <v>39</v>
      </c>
      <c r="B2058" s="88">
        <v>27</v>
      </c>
      <c r="C2058" s="97">
        <f>SUMIFS(Input!$C$115:$C$3257,Input!$A$115:$A$3257,"="&amp;'Output - County'!A2058,Input!$B$115:$B$3257,"="&amp;'Output - County'!B2058)*VLOOKUP(A2058,'Output - State'!$B$2:$G$52,2,FALSE)</f>
        <v>13.579446469433936</v>
      </c>
      <c r="D2058" s="98">
        <f>SUMIFS(Input!$C$115:$C$3257,Input!$A$115:$A$3257,"="&amp;'Output - County'!A2058,Input!$B$115:$B$3257,"="&amp;'Output - County'!B2058)*VLOOKUP(A2058,'Output - State'!$B$2:$G$52,3,FALSE)</f>
        <v>6.0475930756381509</v>
      </c>
      <c r="E2058" s="98">
        <f>SUMIFS(Input!$C$115:$C$3257,Input!$A$115:$A$3257,"="&amp;'Output - County'!A2058,Input!$B$115:$B$3257,"="&amp;'Output - County'!B2058)*VLOOKUP(A2058,'Output - State'!$B$2:$G$52,4,FALSE)</f>
        <v>19.669014127610904</v>
      </c>
      <c r="F2058" s="98">
        <f>SUMIFS(Input!$C$115:$C$3257,Input!$A$115:$A$3257,"="&amp;'Output - County'!A2058,Input!$B$115:$B$3257,"="&amp;'Output - County'!B2058)*VLOOKUP(A2058,'Output - State'!$B$2:$G$52,5,FALSE)</f>
        <v>64.489104137101492</v>
      </c>
      <c r="G2058" s="99">
        <f>SUMIFS(Input!$D$115:$D$3257,Input!$A$115:$A$3257,"="&amp;'Output - County'!A2058,Input!$B$115:$B$3257,"="&amp;'Output - County'!B2058)*VLOOKUP(A2058,'Output - State'!$B$2:$G$52,6,FALSE)</f>
        <v>9.4818630261670815</v>
      </c>
    </row>
    <row r="2059" spans="1:7" x14ac:dyDescent="0.25">
      <c r="A2059" s="88">
        <v>39</v>
      </c>
      <c r="B2059" s="88">
        <v>29</v>
      </c>
      <c r="C2059" s="97">
        <f>SUMIFS(Input!$C$115:$C$3257,Input!$A$115:$A$3257,"="&amp;'Output - County'!A2059,Input!$B$115:$B$3257,"="&amp;'Output - County'!B2059)*VLOOKUP(A2059,'Output - State'!$B$2:$G$52,2,FALSE)</f>
        <v>17.466586911333469</v>
      </c>
      <c r="D2059" s="98">
        <f>SUMIFS(Input!$C$115:$C$3257,Input!$A$115:$A$3257,"="&amp;'Output - County'!A2059,Input!$B$115:$B$3257,"="&amp;'Output - County'!B2059)*VLOOKUP(A2059,'Output - State'!$B$2:$G$52,3,FALSE)</f>
        <v>7.7787272329382002</v>
      </c>
      <c r="E2059" s="98">
        <f>SUMIFS(Input!$C$115:$C$3257,Input!$A$115:$A$3257,"="&amp;'Output - County'!A2059,Input!$B$115:$B$3257,"="&amp;'Output - County'!B2059)*VLOOKUP(A2059,'Output - State'!$B$2:$G$52,4,FALSE)</f>
        <v>25.29930402490719</v>
      </c>
      <c r="F2059" s="98">
        <f>SUMIFS(Input!$C$115:$C$3257,Input!$A$115:$A$3257,"="&amp;'Output - County'!A2059,Input!$B$115:$B$3257,"="&amp;'Output - County'!B2059)*VLOOKUP(A2059,'Output - State'!$B$2:$G$52,5,FALSE)</f>
        <v>82.949223650621491</v>
      </c>
      <c r="G2059" s="99">
        <f>SUMIFS(Input!$D$115:$D$3257,Input!$A$115:$A$3257,"="&amp;'Output - County'!A2059,Input!$B$115:$B$3257,"="&amp;'Output - County'!B2059)*VLOOKUP(A2059,'Output - State'!$B$2:$G$52,6,FALSE)</f>
        <v>22.972684766485568</v>
      </c>
    </row>
    <row r="2060" spans="1:7" x14ac:dyDescent="0.25">
      <c r="A2060" s="88">
        <v>39</v>
      </c>
      <c r="B2060" s="88">
        <v>31</v>
      </c>
      <c r="C2060" s="97">
        <f>SUMIFS(Input!$C$115:$C$3257,Input!$A$115:$A$3257,"="&amp;'Output - County'!A2060,Input!$B$115:$B$3257,"="&amp;'Output - County'!B2060)*VLOOKUP(A2060,'Output - State'!$B$2:$G$52,2,FALSE)</f>
        <v>5.8392989146010601</v>
      </c>
      <c r="D2060" s="98">
        <f>SUMIFS(Input!$C$115:$C$3257,Input!$A$115:$A$3257,"="&amp;'Output - County'!A2060,Input!$B$115:$B$3257,"="&amp;'Output - County'!B2060)*VLOOKUP(A2060,'Output - State'!$B$2:$G$52,3,FALSE)</f>
        <v>2.6005260053869343</v>
      </c>
      <c r="E2060" s="98">
        <f>SUMIFS(Input!$C$115:$C$3257,Input!$A$115:$A$3257,"="&amp;'Output - County'!A2060,Input!$B$115:$B$3257,"="&amp;'Output - County'!B2060)*VLOOKUP(A2060,'Output - State'!$B$2:$G$52,4,FALSE)</f>
        <v>8.4578744137439763</v>
      </c>
      <c r="F2060" s="98">
        <f>SUMIFS(Input!$C$115:$C$3257,Input!$A$115:$A$3257,"="&amp;'Output - County'!A2060,Input!$B$115:$B$3257,"="&amp;'Output - County'!B2060)*VLOOKUP(A2060,'Output - State'!$B$2:$G$52,5,FALSE)</f>
        <v>27.730965075711879</v>
      </c>
      <c r="G2060" s="99">
        <f>SUMIFS(Input!$D$115:$D$3257,Input!$A$115:$A$3257,"="&amp;'Output - County'!A2060,Input!$B$115:$B$3257,"="&amp;'Output - County'!B2060)*VLOOKUP(A2060,'Output - State'!$B$2:$G$52,6,FALSE)</f>
        <v>8.2431398279742325</v>
      </c>
    </row>
    <row r="2061" spans="1:7" x14ac:dyDescent="0.25">
      <c r="A2061" s="88">
        <v>39</v>
      </c>
      <c r="B2061" s="88">
        <v>33</v>
      </c>
      <c r="C2061" s="97">
        <f>SUMIFS(Input!$C$115:$C$3257,Input!$A$115:$A$3257,"="&amp;'Output - County'!A2061,Input!$B$115:$B$3257,"="&amp;'Output - County'!B2061)*VLOOKUP(A2061,'Output - State'!$B$2:$G$52,2,FALSE)</f>
        <v>8.372236401600853</v>
      </c>
      <c r="D2061" s="98">
        <f>SUMIFS(Input!$C$115:$C$3257,Input!$A$115:$A$3257,"="&amp;'Output - County'!A2061,Input!$B$115:$B$3257,"="&amp;'Output - County'!B2061)*VLOOKUP(A2061,'Output - State'!$B$2:$G$52,3,FALSE)</f>
        <v>3.7285672139799377</v>
      </c>
      <c r="E2061" s="98">
        <f>SUMIFS(Input!$C$115:$C$3257,Input!$A$115:$A$3257,"="&amp;'Output - County'!A2061,Input!$B$115:$B$3257,"="&amp;'Output - County'!B2061)*VLOOKUP(A2061,'Output - State'!$B$2:$G$52,4,FALSE)</f>
        <v>12.126682514891193</v>
      </c>
      <c r="F2061" s="98">
        <f>SUMIFS(Input!$C$115:$C$3257,Input!$A$115:$A$3257,"="&amp;'Output - County'!A2061,Input!$B$115:$B$3257,"="&amp;'Output - County'!B2061)*VLOOKUP(A2061,'Output - State'!$B$2:$G$52,5,FALSE)</f>
        <v>39.75994355724103</v>
      </c>
      <c r="G2061" s="99">
        <f>SUMIFS(Input!$D$115:$D$3257,Input!$A$115:$A$3257,"="&amp;'Output - County'!A2061,Input!$B$115:$B$3257,"="&amp;'Output - County'!B2061)*VLOOKUP(A2061,'Output - State'!$B$2:$G$52,6,FALSE)</f>
        <v>9.3467295863642263</v>
      </c>
    </row>
    <row r="2062" spans="1:7" x14ac:dyDescent="0.25">
      <c r="A2062" s="88">
        <v>39</v>
      </c>
      <c r="B2062" s="88">
        <v>35</v>
      </c>
      <c r="C2062" s="97">
        <f>SUMIFS(Input!$C$115:$C$3257,Input!$A$115:$A$3257,"="&amp;'Output - County'!A2062,Input!$B$115:$B$3257,"="&amp;'Output - County'!B2062)*VLOOKUP(A2062,'Output - State'!$B$2:$G$52,2,FALSE)</f>
        <v>267.78590062500973</v>
      </c>
      <c r="D2062" s="98">
        <f>SUMIFS(Input!$C$115:$C$3257,Input!$A$115:$A$3257,"="&amp;'Output - County'!A2062,Input!$B$115:$B$3257,"="&amp;'Output - County'!B2062)*VLOOKUP(A2062,'Output - State'!$B$2:$G$52,3,FALSE)</f>
        <v>119.25818640830376</v>
      </c>
      <c r="E2062" s="98">
        <f>SUMIFS(Input!$C$115:$C$3257,Input!$A$115:$A$3257,"="&amp;'Output - County'!A2062,Input!$B$115:$B$3257,"="&amp;'Output - County'!B2062)*VLOOKUP(A2062,'Output - State'!$B$2:$G$52,4,FALSE)</f>
        <v>387.87182337837118</v>
      </c>
      <c r="F2062" s="98">
        <f>SUMIFS(Input!$C$115:$C$3257,Input!$A$115:$A$3257,"="&amp;'Output - County'!A2062,Input!$B$115:$B$3257,"="&amp;'Output - County'!B2062)*VLOOKUP(A2062,'Output - State'!$B$2:$G$52,5,FALSE)</f>
        <v>1271.7214115262561</v>
      </c>
      <c r="G2062" s="99">
        <f>SUMIFS(Input!$D$115:$D$3257,Input!$A$115:$A$3257,"="&amp;'Output - County'!A2062,Input!$B$115:$B$3257,"="&amp;'Output - County'!B2062)*VLOOKUP(A2062,'Output - State'!$B$2:$G$52,6,FALSE)</f>
        <v>279.27577559256963</v>
      </c>
    </row>
    <row r="2063" spans="1:7" x14ac:dyDescent="0.25">
      <c r="A2063" s="88">
        <v>39</v>
      </c>
      <c r="B2063" s="88">
        <v>37</v>
      </c>
      <c r="C2063" s="97">
        <f>SUMIFS(Input!$C$115:$C$3257,Input!$A$115:$A$3257,"="&amp;'Output - County'!A2063,Input!$B$115:$B$3257,"="&amp;'Output - County'!B2063)*VLOOKUP(A2063,'Output - State'!$B$2:$G$52,2,FALSE)</f>
        <v>8.7343504479859941</v>
      </c>
      <c r="D2063" s="98">
        <f>SUMIFS(Input!$C$115:$C$3257,Input!$A$115:$A$3257,"="&amp;'Output - County'!A2063,Input!$B$115:$B$3257,"="&amp;'Output - County'!B2063)*VLOOKUP(A2063,'Output - State'!$B$2:$G$52,3,FALSE)</f>
        <v>3.8898343469547161</v>
      </c>
      <c r="E2063" s="98">
        <f>SUMIFS(Input!$C$115:$C$3257,Input!$A$115:$A$3257,"="&amp;'Output - County'!A2063,Input!$B$115:$B$3257,"="&amp;'Output - County'!B2063)*VLOOKUP(A2063,'Output - State'!$B$2:$G$52,4,FALSE)</f>
        <v>12.6511830024617</v>
      </c>
      <c r="F2063" s="98">
        <f>SUMIFS(Input!$C$115:$C$3257,Input!$A$115:$A$3257,"="&amp;'Output - County'!A2063,Input!$B$115:$B$3257,"="&amp;'Output - County'!B2063)*VLOOKUP(A2063,'Output - State'!$B$2:$G$52,5,FALSE)</f>
        <v>41.479631506186713</v>
      </c>
      <c r="G2063" s="99">
        <f>SUMIFS(Input!$D$115:$D$3257,Input!$A$115:$A$3257,"="&amp;'Output - County'!A2063,Input!$B$115:$B$3257,"="&amp;'Output - County'!B2063)*VLOOKUP(A2063,'Output - State'!$B$2:$G$52,6,FALSE)</f>
        <v>11.55390910314421</v>
      </c>
    </row>
    <row r="2064" spans="1:7" x14ac:dyDescent="0.25">
      <c r="A2064" s="88">
        <v>39</v>
      </c>
      <c r="B2064" s="88">
        <v>39</v>
      </c>
      <c r="C2064" s="97">
        <f>SUMIFS(Input!$C$115:$C$3257,Input!$A$115:$A$3257,"="&amp;'Output - County'!A2064,Input!$B$115:$B$3257,"="&amp;'Output - County'!B2064)*VLOOKUP(A2064,'Output - State'!$B$2:$G$52,2,FALSE)</f>
        <v>8.7712464218356665</v>
      </c>
      <c r="D2064" s="98">
        <f>SUMIFS(Input!$C$115:$C$3257,Input!$A$115:$A$3257,"="&amp;'Output - County'!A2064,Input!$B$115:$B$3257,"="&amp;'Output - County'!B2064)*VLOOKUP(A2064,'Output - State'!$B$2:$G$52,3,FALSE)</f>
        <v>3.9062659324743803</v>
      </c>
      <c r="E2064" s="98">
        <f>SUMIFS(Input!$C$115:$C$3257,Input!$A$115:$A$3257,"="&amp;'Output - County'!A2064,Input!$B$115:$B$3257,"="&amp;'Output - County'!B2064)*VLOOKUP(A2064,'Output - State'!$B$2:$G$52,4,FALSE)</f>
        <v>12.704624608681412</v>
      </c>
      <c r="F2064" s="98">
        <f>SUMIFS(Input!$C$115:$C$3257,Input!$A$115:$A$3257,"="&amp;'Output - County'!A2064,Input!$B$115:$B$3257,"="&amp;'Output - County'!B2064)*VLOOKUP(A2064,'Output - State'!$B$2:$G$52,5,FALSE)</f>
        <v>41.654851336036707</v>
      </c>
      <c r="G2064" s="99">
        <f>SUMIFS(Input!$D$115:$D$3257,Input!$A$115:$A$3257,"="&amp;'Output - County'!A2064,Input!$B$115:$B$3257,"="&amp;'Output - County'!B2064)*VLOOKUP(A2064,'Output - State'!$B$2:$G$52,6,FALSE)</f>
        <v>8.5809734274813732</v>
      </c>
    </row>
    <row r="2065" spans="1:7" x14ac:dyDescent="0.25">
      <c r="A2065" s="88">
        <v>39</v>
      </c>
      <c r="B2065" s="88">
        <v>41</v>
      </c>
      <c r="C2065" s="97">
        <f>SUMIFS(Input!$C$115:$C$3257,Input!$A$115:$A$3257,"="&amp;'Output - County'!A2065,Input!$B$115:$B$3257,"="&amp;'Output - County'!B2065)*VLOOKUP(A2065,'Output - State'!$B$2:$G$52,2,FALSE)</f>
        <v>50.548786442748074</v>
      </c>
      <c r="D2065" s="98">
        <f>SUMIFS(Input!$C$115:$C$3257,Input!$A$115:$A$3257,"="&amp;'Output - County'!A2065,Input!$B$115:$B$3257,"="&amp;'Output - County'!B2065)*VLOOKUP(A2065,'Output - State'!$B$2:$G$52,3,FALSE)</f>
        <v>22.511852126018066</v>
      </c>
      <c r="E2065" s="98">
        <f>SUMIFS(Input!$C$115:$C$3257,Input!$A$115:$A$3257,"="&amp;'Output - County'!A2065,Input!$B$115:$B$3257,"="&amp;'Output - County'!B2065)*VLOOKUP(A2065,'Output - State'!$B$2:$G$52,4,FALSE)</f>
        <v>73.216886779144531</v>
      </c>
      <c r="F2065" s="98">
        <f>SUMIFS(Input!$C$115:$C$3257,Input!$A$115:$A$3257,"="&amp;'Output - County'!A2065,Input!$B$115:$B$3257,"="&amp;'Output - County'!B2065)*VLOOKUP(A2065,'Output - State'!$B$2:$G$52,5,FALSE)</f>
        <v>240.05735139853402</v>
      </c>
      <c r="G2065" s="99">
        <f>SUMIFS(Input!$D$115:$D$3257,Input!$A$115:$A$3257,"="&amp;'Output - County'!A2065,Input!$B$115:$B$3257,"="&amp;'Output - County'!B2065)*VLOOKUP(A2065,'Output - State'!$B$2:$G$52,6,FALSE)</f>
        <v>46.170591932642559</v>
      </c>
    </row>
    <row r="2066" spans="1:7" x14ac:dyDescent="0.25">
      <c r="A2066" s="88">
        <v>39</v>
      </c>
      <c r="B2066" s="88">
        <v>43</v>
      </c>
      <c r="C2066" s="97">
        <f>SUMIFS(Input!$C$115:$C$3257,Input!$A$115:$A$3257,"="&amp;'Output - County'!A2066,Input!$B$115:$B$3257,"="&amp;'Output - County'!B2066)*VLOOKUP(A2066,'Output - State'!$B$2:$G$52,2,FALSE)</f>
        <v>28.782018682957172</v>
      </c>
      <c r="D2066" s="98">
        <f>SUMIFS(Input!$C$115:$C$3257,Input!$A$115:$A$3257,"="&amp;'Output - County'!A2066,Input!$B$115:$B$3257,"="&amp;'Output - County'!B2066)*VLOOKUP(A2066,'Output - State'!$B$2:$G$52,3,FALSE)</f>
        <v>12.81804359859121</v>
      </c>
      <c r="E2066" s="98">
        <f>SUMIFS(Input!$C$115:$C$3257,Input!$A$115:$A$3257,"="&amp;'Output - County'!A2066,Input!$B$115:$B$3257,"="&amp;'Output - County'!B2066)*VLOOKUP(A2066,'Output - State'!$B$2:$G$52,4,FALSE)</f>
        <v>41.689028589678898</v>
      </c>
      <c r="F2066" s="98">
        <f>SUMIFS(Input!$C$115:$C$3257,Input!$A$115:$A$3257,"="&amp;'Output - County'!A2066,Input!$B$115:$B$3257,"="&amp;'Output - County'!B2066)*VLOOKUP(A2066,'Output - State'!$B$2:$G$52,5,FALSE)</f>
        <v>136.68646982770565</v>
      </c>
      <c r="G2066" s="99">
        <f>SUMIFS(Input!$D$115:$D$3257,Input!$A$115:$A$3257,"="&amp;'Output - County'!A2066,Input!$B$115:$B$3257,"="&amp;'Output - County'!B2066)*VLOOKUP(A2066,'Output - State'!$B$2:$G$52,6,FALSE)</f>
        <v>16.779068775521321</v>
      </c>
    </row>
    <row r="2067" spans="1:7" x14ac:dyDescent="0.25">
      <c r="A2067" s="88">
        <v>39</v>
      </c>
      <c r="B2067" s="88">
        <v>45</v>
      </c>
      <c r="C2067" s="97">
        <f>SUMIFS(Input!$C$115:$C$3257,Input!$A$115:$A$3257,"="&amp;'Output - County'!A2067,Input!$B$115:$B$3257,"="&amp;'Output - County'!B2067)*VLOOKUP(A2067,'Output - State'!$B$2:$G$52,2,FALSE)</f>
        <v>27.616968521576439</v>
      </c>
      <c r="D2067" s="98">
        <f>SUMIFS(Input!$C$115:$C$3257,Input!$A$115:$A$3257,"="&amp;'Output - County'!A2067,Input!$B$115:$B$3257,"="&amp;'Output - County'!B2067)*VLOOKUP(A2067,'Output - State'!$B$2:$G$52,3,FALSE)</f>
        <v>12.299189659691967</v>
      </c>
      <c r="E2067" s="98">
        <f>SUMIFS(Input!$C$115:$C$3257,Input!$A$115:$A$3257,"="&amp;'Output - County'!A2067,Input!$B$115:$B$3257,"="&amp;'Output - County'!B2067)*VLOOKUP(A2067,'Output - State'!$B$2:$G$52,4,FALSE)</f>
        <v>40.001523275294154</v>
      </c>
      <c r="F2067" s="98">
        <f>SUMIFS(Input!$C$115:$C$3257,Input!$A$115:$A$3257,"="&amp;'Output - County'!A2067,Input!$B$115:$B$3257,"="&amp;'Output - County'!B2067)*VLOOKUP(A2067,'Output - State'!$B$2:$G$52,5,FALSE)</f>
        <v>131.15361976998449</v>
      </c>
      <c r="G2067" s="99">
        <f>SUMIFS(Input!$D$115:$D$3257,Input!$A$115:$A$3257,"="&amp;'Output - County'!A2067,Input!$B$115:$B$3257,"="&amp;'Output - County'!B2067)*VLOOKUP(A2067,'Output - State'!$B$2:$G$52,6,FALSE)</f>
        <v>35.134694348742634</v>
      </c>
    </row>
    <row r="2068" spans="1:7" x14ac:dyDescent="0.25">
      <c r="A2068" s="88">
        <v>39</v>
      </c>
      <c r="B2068" s="88">
        <v>47</v>
      </c>
      <c r="C2068" s="97">
        <f>SUMIFS(Input!$C$115:$C$3257,Input!$A$115:$A$3257,"="&amp;'Output - County'!A2068,Input!$B$115:$B$3257,"="&amp;'Output - County'!B2068)*VLOOKUP(A2068,'Output - State'!$B$2:$G$52,2,FALSE)</f>
        <v>13.082696431962498</v>
      </c>
      <c r="D2068" s="98">
        <f>SUMIFS(Input!$C$115:$C$3257,Input!$A$115:$A$3257,"="&amp;'Output - County'!A2068,Input!$B$115:$B$3257,"="&amp;'Output - County'!B2068)*VLOOKUP(A2068,'Output - State'!$B$2:$G$52,3,FALSE)</f>
        <v>5.826365936984355</v>
      </c>
      <c r="E2068" s="98">
        <f>SUMIFS(Input!$C$115:$C$3257,Input!$A$115:$A$3257,"="&amp;'Output - County'!A2068,Input!$B$115:$B$3257,"="&amp;'Output - County'!B2068)*VLOOKUP(A2068,'Output - State'!$B$2:$G$52,4,FALSE)</f>
        <v>18.949501478335424</v>
      </c>
      <c r="F2068" s="98">
        <f>SUMIFS(Input!$C$115:$C$3257,Input!$A$115:$A$3257,"="&amp;'Output - County'!A2068,Input!$B$115:$B$3257,"="&amp;'Output - County'!B2068)*VLOOKUP(A2068,'Output - State'!$B$2:$G$52,5,FALSE)</f>
        <v>62.13002676463919</v>
      </c>
      <c r="G2068" s="99">
        <f>SUMIFS(Input!$D$115:$D$3257,Input!$A$115:$A$3257,"="&amp;'Output - County'!A2068,Input!$B$115:$B$3257,"="&amp;'Output - County'!B2068)*VLOOKUP(A2068,'Output - State'!$B$2:$G$52,6,FALSE)</f>
        <v>6.4638828705699582</v>
      </c>
    </row>
    <row r="2069" spans="1:7" x14ac:dyDescent="0.25">
      <c r="A2069" s="88">
        <v>39</v>
      </c>
      <c r="B2069" s="88">
        <v>49</v>
      </c>
      <c r="C2069" s="97">
        <f>SUMIFS(Input!$C$115:$C$3257,Input!$A$115:$A$3257,"="&amp;'Output - County'!A2069,Input!$B$115:$B$3257,"="&amp;'Output - County'!B2069)*VLOOKUP(A2069,'Output - State'!$B$2:$G$52,2,FALSE)</f>
        <v>297.5239574200134</v>
      </c>
      <c r="D2069" s="98">
        <f>SUMIFS(Input!$C$115:$C$3257,Input!$A$115:$A$3257,"="&amp;'Output - County'!A2069,Input!$B$115:$B$3257,"="&amp;'Output - County'!B2069)*VLOOKUP(A2069,'Output - State'!$B$2:$G$52,3,FALSE)</f>
        <v>132.50200063601986</v>
      </c>
      <c r="E2069" s="98">
        <f>SUMIFS(Input!$C$115:$C$3257,Input!$A$115:$A$3257,"="&amp;'Output - County'!A2069,Input!$B$115:$B$3257,"="&amp;'Output - County'!B2069)*VLOOKUP(A2069,'Output - State'!$B$2:$G$52,4,FALSE)</f>
        <v>430.94561585917802</v>
      </c>
      <c r="F2069" s="98">
        <f>SUMIFS(Input!$C$115:$C$3257,Input!$A$115:$A$3257,"="&amp;'Output - County'!A2069,Input!$B$115:$B$3257,"="&amp;'Output - County'!B2069)*VLOOKUP(A2069,'Output - State'!$B$2:$G$52,5,FALSE)</f>
        <v>1412.948128374014</v>
      </c>
      <c r="G2069" s="99">
        <f>SUMIFS(Input!$D$115:$D$3257,Input!$A$115:$A$3257,"="&amp;'Output - County'!A2069,Input!$B$115:$B$3257,"="&amp;'Output - County'!B2069)*VLOOKUP(A2069,'Output - State'!$B$2:$G$52,6,FALSE)</f>
        <v>295.04134356956956</v>
      </c>
    </row>
    <row r="2070" spans="1:7" x14ac:dyDescent="0.25">
      <c r="A2070" s="88">
        <v>39</v>
      </c>
      <c r="B2070" s="88">
        <v>51</v>
      </c>
      <c r="C2070" s="97">
        <f>SUMIFS(Input!$C$115:$C$3257,Input!$A$115:$A$3257,"="&amp;'Output - County'!A2070,Input!$B$115:$B$3257,"="&amp;'Output - County'!B2070)*VLOOKUP(A2070,'Output - State'!$B$2:$G$52,2,FALSE)</f>
        <v>12.685824365954447</v>
      </c>
      <c r="D2070" s="98">
        <f>SUMIFS(Input!$C$115:$C$3257,Input!$A$115:$A$3257,"="&amp;'Output - County'!A2070,Input!$B$115:$B$3257,"="&amp;'Output - County'!B2070)*VLOOKUP(A2070,'Output - State'!$B$2:$G$52,3,FALSE)</f>
        <v>5.6496193542935993</v>
      </c>
      <c r="E2070" s="98">
        <f>SUMIFS(Input!$C$115:$C$3257,Input!$A$115:$A$3257,"="&amp;'Output - County'!A2070,Input!$B$115:$B$3257,"="&amp;'Output - County'!B2070)*VLOOKUP(A2070,'Output - State'!$B$2:$G$52,4,FALSE)</f>
        <v>18.374656083073017</v>
      </c>
      <c r="F2070" s="98">
        <f>SUMIFS(Input!$C$115:$C$3257,Input!$A$115:$A$3257,"="&amp;'Output - County'!A2070,Input!$B$115:$B$3257,"="&amp;'Output - County'!B2070)*VLOOKUP(A2070,'Output - State'!$B$2:$G$52,5,FALSE)</f>
        <v>60.245272179722249</v>
      </c>
      <c r="G2070" s="99">
        <f>SUMIFS(Input!$D$115:$D$3257,Input!$A$115:$A$3257,"="&amp;'Output - County'!A2070,Input!$B$115:$B$3257,"="&amp;'Output - County'!B2070)*VLOOKUP(A2070,'Output - State'!$B$2:$G$52,6,FALSE)</f>
        <v>9.5269075061013684</v>
      </c>
    </row>
    <row r="2071" spans="1:7" x14ac:dyDescent="0.25">
      <c r="A2071" s="88">
        <v>39</v>
      </c>
      <c r="B2071" s="88">
        <v>53</v>
      </c>
      <c r="C2071" s="97">
        <f>SUMIFS(Input!$C$115:$C$3257,Input!$A$115:$A$3257,"="&amp;'Output - County'!A2071,Input!$B$115:$B$3257,"="&amp;'Output - County'!B2071)*VLOOKUP(A2071,'Output - State'!$B$2:$G$52,2,FALSE)</f>
        <v>7.2416927204924937</v>
      </c>
      <c r="D2071" s="98">
        <f>SUMIFS(Input!$C$115:$C$3257,Input!$A$115:$A$3257,"="&amp;'Output - County'!A2071,Input!$B$115:$B$3257,"="&amp;'Output - County'!B2071)*VLOOKUP(A2071,'Output - State'!$B$2:$G$52,3,FALSE)</f>
        <v>3.2250807019953007</v>
      </c>
      <c r="E2071" s="98">
        <f>SUMIFS(Input!$C$115:$C$3257,Input!$A$115:$A$3257,"="&amp;'Output - County'!A2071,Input!$B$115:$B$3257,"="&amp;'Output - County'!B2071)*VLOOKUP(A2071,'Output - State'!$B$2:$G$52,4,FALSE)</f>
        <v>10.489157768528797</v>
      </c>
      <c r="F2071" s="98">
        <f>SUMIFS(Input!$C$115:$C$3257,Input!$A$115:$A$3257,"="&amp;'Output - County'!A2071,Input!$B$115:$B$3257,"="&amp;'Output - County'!B2071)*VLOOKUP(A2071,'Output - State'!$B$2:$G$52,5,FALSE)</f>
        <v>34.390965569320272</v>
      </c>
      <c r="G2071" s="99">
        <f>SUMIFS(Input!$D$115:$D$3257,Input!$A$115:$A$3257,"="&amp;'Output - County'!A2071,Input!$B$115:$B$3257,"="&amp;'Output - County'!B2071)*VLOOKUP(A2071,'Output - State'!$B$2:$G$52,6,FALSE)</f>
        <v>6.7341497501756713</v>
      </c>
    </row>
    <row r="2072" spans="1:7" x14ac:dyDescent="0.25">
      <c r="A2072" s="88">
        <v>39</v>
      </c>
      <c r="B2072" s="88">
        <v>55</v>
      </c>
      <c r="C2072" s="97">
        <f>SUMIFS(Input!$C$115:$C$3257,Input!$A$115:$A$3257,"="&amp;'Output - County'!A2072,Input!$B$115:$B$3257,"="&amp;'Output - County'!B2072)*VLOOKUP(A2072,'Output - State'!$B$2:$G$52,2,FALSE)</f>
        <v>19.364126317036035</v>
      </c>
      <c r="D2072" s="98">
        <f>SUMIFS(Input!$C$115:$C$3257,Input!$A$115:$A$3257,"="&amp;'Output - County'!A2072,Input!$B$115:$B$3257,"="&amp;'Output - County'!B2072)*VLOOKUP(A2072,'Output - State'!$B$2:$G$52,3,FALSE)</f>
        <v>8.6237945334727062</v>
      </c>
      <c r="E2072" s="98">
        <f>SUMIFS(Input!$C$115:$C$3257,Input!$A$115:$A$3257,"="&amp;'Output - County'!A2072,Input!$B$115:$B$3257,"="&amp;'Output - County'!B2072)*VLOOKUP(A2072,'Output - State'!$B$2:$G$52,4,FALSE)</f>
        <v>28.04777609720205</v>
      </c>
      <c r="F2072" s="98">
        <f>SUMIFS(Input!$C$115:$C$3257,Input!$A$115:$A$3257,"="&amp;'Output - County'!A2072,Input!$B$115:$B$3257,"="&amp;'Output - County'!B2072)*VLOOKUP(A2072,'Output - State'!$B$2:$G$52,5,FALSE)</f>
        <v>91.960682005279125</v>
      </c>
      <c r="G2072" s="99">
        <f>SUMIFS(Input!$D$115:$D$3257,Input!$A$115:$A$3257,"="&amp;'Output - County'!A2072,Input!$B$115:$B$3257,"="&amp;'Output - County'!B2072)*VLOOKUP(A2072,'Output - State'!$B$2:$G$52,6,FALSE)</f>
        <v>21.148383329147006</v>
      </c>
    </row>
    <row r="2073" spans="1:7" x14ac:dyDescent="0.25">
      <c r="A2073" s="88">
        <v>39</v>
      </c>
      <c r="B2073" s="88">
        <v>57</v>
      </c>
      <c r="C2073" s="97">
        <f>SUMIFS(Input!$C$115:$C$3257,Input!$A$115:$A$3257,"="&amp;'Output - County'!A2073,Input!$B$115:$B$3257,"="&amp;'Output - County'!B2073)*VLOOKUP(A2073,'Output - State'!$B$2:$G$52,2,FALSE)</f>
        <v>40.863134396158557</v>
      </c>
      <c r="D2073" s="98">
        <f>SUMIFS(Input!$C$115:$C$3257,Input!$A$115:$A$3257,"="&amp;'Output - County'!A2073,Input!$B$115:$B$3257,"="&amp;'Output - County'!B2073)*VLOOKUP(A2073,'Output - State'!$B$2:$G$52,3,FALSE)</f>
        <v>18.198356551523052</v>
      </c>
      <c r="E2073" s="98">
        <f>SUMIFS(Input!$C$115:$C$3257,Input!$A$115:$A$3257,"="&amp;'Output - County'!A2073,Input!$B$115:$B$3257,"="&amp;'Output - County'!B2073)*VLOOKUP(A2073,'Output - State'!$B$2:$G$52,4,FALSE)</f>
        <v>59.187800441324605</v>
      </c>
      <c r="F2073" s="98">
        <f>SUMIFS(Input!$C$115:$C$3257,Input!$A$115:$A$3257,"="&amp;'Output - County'!A2073,Input!$B$115:$B$3257,"="&amp;'Output - County'!B2073)*VLOOKUP(A2073,'Output - State'!$B$2:$G$52,5,FALSE)</f>
        <v>194.05996668375934</v>
      </c>
      <c r="G2073" s="99">
        <f>SUMIFS(Input!$D$115:$D$3257,Input!$A$115:$A$3257,"="&amp;'Output - County'!A2073,Input!$B$115:$B$3257,"="&amp;'Output - County'!B2073)*VLOOKUP(A2073,'Output - State'!$B$2:$G$52,6,FALSE)</f>
        <v>37.612140745128329</v>
      </c>
    </row>
    <row r="2074" spans="1:7" x14ac:dyDescent="0.25">
      <c r="A2074" s="88">
        <v>39</v>
      </c>
      <c r="B2074" s="88">
        <v>59</v>
      </c>
      <c r="C2074" s="97">
        <f>SUMIFS(Input!$C$115:$C$3257,Input!$A$115:$A$3257,"="&amp;'Output - County'!A2074,Input!$B$115:$B$3257,"="&amp;'Output - County'!B2074)*VLOOKUP(A2074,'Output - State'!$B$2:$G$52,2,FALSE)</f>
        <v>17.309681413724118</v>
      </c>
      <c r="D2074" s="98">
        <f>SUMIFS(Input!$C$115:$C$3257,Input!$A$115:$A$3257,"="&amp;'Output - County'!A2074,Input!$B$115:$B$3257,"="&amp;'Output - County'!B2074)*VLOOKUP(A2074,'Output - State'!$B$2:$G$52,3,FALSE)</f>
        <v>7.7088495245199837</v>
      </c>
      <c r="E2074" s="98">
        <f>SUMIFS(Input!$C$115:$C$3257,Input!$A$115:$A$3257,"="&amp;'Output - County'!A2074,Input!$B$115:$B$3257,"="&amp;'Output - County'!B2074)*VLOOKUP(A2074,'Output - State'!$B$2:$G$52,4,FALSE)</f>
        <v>25.072035818053187</v>
      </c>
      <c r="F2074" s="98">
        <f>SUMIFS(Input!$C$115:$C$3257,Input!$A$115:$A$3257,"="&amp;'Output - County'!A2074,Input!$B$115:$B$3257,"="&amp;'Output - County'!B2074)*VLOOKUP(A2074,'Output - State'!$B$2:$G$52,5,FALSE)</f>
        <v>82.204075827564822</v>
      </c>
      <c r="G2074" s="99">
        <f>SUMIFS(Input!$D$115:$D$3257,Input!$A$115:$A$3257,"="&amp;'Output - County'!A2074,Input!$B$115:$B$3257,"="&amp;'Output - County'!B2074)*VLOOKUP(A2074,'Output - State'!$B$2:$G$52,6,FALSE)</f>
        <v>8.7836735871856586</v>
      </c>
    </row>
    <row r="2075" spans="1:7" x14ac:dyDescent="0.25">
      <c r="A2075" s="88">
        <v>39</v>
      </c>
      <c r="B2075" s="88">
        <v>61</v>
      </c>
      <c r="C2075" s="97">
        <f>SUMIFS(Input!$C$115:$C$3257,Input!$A$115:$A$3257,"="&amp;'Output - County'!A2075,Input!$B$115:$B$3257,"="&amp;'Output - County'!B2075)*VLOOKUP(A2075,'Output - State'!$B$2:$G$52,2,FALSE)</f>
        <v>195.89594468943642</v>
      </c>
      <c r="D2075" s="98">
        <f>SUMIFS(Input!$C$115:$C$3257,Input!$A$115:$A$3257,"="&amp;'Output - County'!A2075,Input!$B$115:$B$3257,"="&amp;'Output - County'!B2075)*VLOOKUP(A2075,'Output - State'!$B$2:$G$52,3,FALSE)</f>
        <v>87.242065522779328</v>
      </c>
      <c r="E2075" s="98">
        <f>SUMIFS(Input!$C$115:$C$3257,Input!$A$115:$A$3257,"="&amp;'Output - County'!A2075,Input!$B$115:$B$3257,"="&amp;'Output - County'!B2075)*VLOOKUP(A2075,'Output - State'!$B$2:$G$52,4,FALSE)</f>
        <v>283.7435319849842</v>
      </c>
      <c r="F2075" s="98">
        <f>SUMIFS(Input!$C$115:$C$3257,Input!$A$115:$A$3257,"="&amp;'Output - County'!A2075,Input!$B$115:$B$3257,"="&amp;'Output - County'!B2075)*VLOOKUP(A2075,'Output - State'!$B$2:$G$52,5,FALSE)</f>
        <v>930.31435453197491</v>
      </c>
      <c r="G2075" s="99">
        <f>SUMIFS(Input!$D$115:$D$3257,Input!$A$115:$A$3257,"="&amp;'Output - County'!A2075,Input!$B$115:$B$3257,"="&amp;'Output - County'!B2075)*VLOOKUP(A2075,'Output - State'!$B$2:$G$52,6,FALSE)</f>
        <v>183.55625573221312</v>
      </c>
    </row>
    <row r="2076" spans="1:7" x14ac:dyDescent="0.25">
      <c r="A2076" s="88">
        <v>39</v>
      </c>
      <c r="B2076" s="88">
        <v>63</v>
      </c>
      <c r="C2076" s="97">
        <f>SUMIFS(Input!$C$115:$C$3257,Input!$A$115:$A$3257,"="&amp;'Output - County'!A2076,Input!$B$115:$B$3257,"="&amp;'Output - County'!B2076)*VLOOKUP(A2076,'Output - State'!$B$2:$G$52,2,FALSE)</f>
        <v>23.568198793402829</v>
      </c>
      <c r="D2076" s="98">
        <f>SUMIFS(Input!$C$115:$C$3257,Input!$A$115:$A$3257,"="&amp;'Output - County'!A2076,Input!$B$115:$B$3257,"="&amp;'Output - County'!B2076)*VLOOKUP(A2076,'Output - State'!$B$2:$G$52,3,FALSE)</f>
        <v>10.496074059356545</v>
      </c>
      <c r="E2076" s="98">
        <f>SUMIFS(Input!$C$115:$C$3257,Input!$A$115:$A$3257,"="&amp;'Output - County'!A2076,Input!$B$115:$B$3257,"="&amp;'Output - County'!B2076)*VLOOKUP(A2076,'Output - State'!$B$2:$G$52,4,FALSE)</f>
        <v>34.137123046452587</v>
      </c>
      <c r="F2076" s="98">
        <f>SUMIFS(Input!$C$115:$C$3257,Input!$A$115:$A$3257,"="&amp;'Output - County'!A2076,Input!$B$115:$B$3257,"="&amp;'Output - County'!B2076)*VLOOKUP(A2076,'Output - State'!$B$2:$G$52,5,FALSE)</f>
        <v>111.92591905220874</v>
      </c>
      <c r="G2076" s="99">
        <f>SUMIFS(Input!$D$115:$D$3257,Input!$A$115:$A$3257,"="&amp;'Output - County'!A2076,Input!$B$115:$B$3257,"="&amp;'Output - County'!B2076)*VLOOKUP(A2076,'Output - State'!$B$2:$G$52,6,FALSE)</f>
        <v>17.094380135061318</v>
      </c>
    </row>
    <row r="2077" spans="1:7" x14ac:dyDescent="0.25">
      <c r="A2077" s="88">
        <v>39</v>
      </c>
      <c r="B2077" s="88">
        <v>65</v>
      </c>
      <c r="C2077" s="97">
        <f>SUMIFS(Input!$C$115:$C$3257,Input!$A$115:$A$3257,"="&amp;'Output - County'!A2077,Input!$B$115:$B$3257,"="&amp;'Output - County'!B2077)*VLOOKUP(A2077,'Output - State'!$B$2:$G$52,2,FALSE)</f>
        <v>4.9575198449559359</v>
      </c>
      <c r="D2077" s="98">
        <f>SUMIFS(Input!$C$115:$C$3257,Input!$A$115:$A$3257,"="&amp;'Output - County'!A2077,Input!$B$115:$B$3257,"="&amp;'Output - County'!B2077)*VLOOKUP(A2077,'Output - State'!$B$2:$G$52,3,FALSE)</f>
        <v>2.207826567465677</v>
      </c>
      <c r="E2077" s="98">
        <f>SUMIFS(Input!$C$115:$C$3257,Input!$A$115:$A$3257,"="&amp;'Output - County'!A2077,Input!$B$115:$B$3257,"="&amp;'Output - County'!B2077)*VLOOKUP(A2077,'Output - State'!$B$2:$G$52,4,FALSE)</f>
        <v>7.1806702937291691</v>
      </c>
      <c r="F2077" s="98">
        <f>SUMIFS(Input!$C$115:$C$3257,Input!$A$115:$A$3257,"="&amp;'Output - County'!A2077,Input!$B$115:$B$3257,"="&amp;'Output - County'!B2077)*VLOOKUP(A2077,'Output - State'!$B$2:$G$52,5,FALSE)</f>
        <v>23.543375958860981</v>
      </c>
      <c r="G2077" s="99">
        <f>SUMIFS(Input!$D$115:$D$3257,Input!$A$115:$A$3257,"="&amp;'Output - County'!A2077,Input!$B$115:$B$3257,"="&amp;'Output - County'!B2077)*VLOOKUP(A2077,'Output - State'!$B$2:$G$52,6,FALSE)</f>
        <v>7.0719833496828119</v>
      </c>
    </row>
    <row r="2078" spans="1:7" x14ac:dyDescent="0.25">
      <c r="A2078" s="88">
        <v>39</v>
      </c>
      <c r="B2078" s="88">
        <v>67</v>
      </c>
      <c r="C2078" s="97">
        <f>SUMIFS(Input!$C$115:$C$3257,Input!$A$115:$A$3257,"="&amp;'Output - County'!A2078,Input!$B$115:$B$3257,"="&amp;'Output - County'!B2078)*VLOOKUP(A2078,'Output - State'!$B$2:$G$52,2,FALSE)</f>
        <v>3.3555862415745725</v>
      </c>
      <c r="D2078" s="98">
        <f>SUMIFS(Input!$C$115:$C$3257,Input!$A$115:$A$3257,"="&amp;'Output - County'!A2078,Input!$B$115:$B$3257,"="&amp;'Output - County'!B2078)*VLOOKUP(A2078,'Output - State'!$B$2:$G$52,3,FALSE)</f>
        <v>1.4944070190880883</v>
      </c>
      <c r="E2078" s="98">
        <f>SUMIFS(Input!$C$115:$C$3257,Input!$A$115:$A$3257,"="&amp;'Output - County'!A2078,Input!$B$115:$B$3257,"="&amp;'Output - County'!B2078)*VLOOKUP(A2078,'Output - State'!$B$2:$G$52,4,FALSE)</f>
        <v>4.8603655046256327</v>
      </c>
      <c r="F2078" s="98">
        <f>SUMIFS(Input!$C$115:$C$3257,Input!$A$115:$A$3257,"="&amp;'Output - County'!A2078,Input!$B$115:$B$3257,"="&amp;'Output - County'!B2078)*VLOOKUP(A2078,'Output - State'!$B$2:$G$52,5,FALSE)</f>
        <v>15.935756369821181</v>
      </c>
      <c r="G2078" s="99">
        <f>SUMIFS(Input!$D$115:$D$3257,Input!$A$115:$A$3257,"="&amp;'Output - County'!A2078,Input!$B$115:$B$3257,"="&amp;'Output - County'!B2078)*VLOOKUP(A2078,'Output - State'!$B$2:$G$52,6,FALSE)</f>
        <v>3.4233804750056924</v>
      </c>
    </row>
    <row r="2079" spans="1:7" x14ac:dyDescent="0.25">
      <c r="A2079" s="88">
        <v>39</v>
      </c>
      <c r="B2079" s="88">
        <v>69</v>
      </c>
      <c r="C2079" s="97">
        <f>SUMIFS(Input!$C$115:$C$3257,Input!$A$115:$A$3257,"="&amp;'Output - County'!A2079,Input!$B$115:$B$3257,"="&amp;'Output - County'!B2079)*VLOOKUP(A2079,'Output - State'!$B$2:$G$52,2,FALSE)</f>
        <v>8.6516324499763897</v>
      </c>
      <c r="D2079" s="98">
        <f>SUMIFS(Input!$C$115:$C$3257,Input!$A$115:$A$3257,"="&amp;'Output - County'!A2079,Input!$B$115:$B$3257,"="&amp;'Output - County'!B2079)*VLOOKUP(A2079,'Output - State'!$B$2:$G$52,3,FALSE)</f>
        <v>3.8529959682240706</v>
      </c>
      <c r="E2079" s="98">
        <f>SUMIFS(Input!$C$115:$C$3257,Input!$A$115:$A$3257,"="&amp;'Output - County'!A2079,Input!$B$115:$B$3257,"="&amp;'Output - County'!B2079)*VLOOKUP(A2079,'Output - State'!$B$2:$G$52,4,FALSE)</f>
        <v>12.531370941261651</v>
      </c>
      <c r="F2079" s="98">
        <f>SUMIFS(Input!$C$115:$C$3257,Input!$A$115:$A$3257,"="&amp;'Output - County'!A2079,Input!$B$115:$B$3257,"="&amp;'Output - County'!B2079)*VLOOKUP(A2079,'Output - State'!$B$2:$G$52,5,FALSE)</f>
        <v>41.086801827918073</v>
      </c>
      <c r="G2079" s="99">
        <f>SUMIFS(Input!$D$115:$D$3257,Input!$A$115:$A$3257,"="&amp;'Output - County'!A2079,Input!$B$115:$B$3257,"="&amp;'Output - County'!B2079)*VLOOKUP(A2079,'Output - State'!$B$2:$G$52,6,FALSE)</f>
        <v>6.1035270310956751</v>
      </c>
    </row>
    <row r="2080" spans="1:7" x14ac:dyDescent="0.25">
      <c r="A2080" s="88">
        <v>39</v>
      </c>
      <c r="B2080" s="88">
        <v>71</v>
      </c>
      <c r="C2080" s="97">
        <f>SUMIFS(Input!$C$115:$C$3257,Input!$A$115:$A$3257,"="&amp;'Output - County'!A2080,Input!$B$115:$B$3257,"="&amp;'Output - County'!B2080)*VLOOKUP(A2080,'Output - State'!$B$2:$G$52,2,FALSE)</f>
        <v>6.9447986701046416</v>
      </c>
      <c r="D2080" s="98">
        <f>SUMIFS(Input!$C$115:$C$3257,Input!$A$115:$A$3257,"="&amp;'Output - County'!A2080,Input!$B$115:$B$3257,"="&amp;'Output - County'!B2080)*VLOOKUP(A2080,'Output - State'!$B$2:$G$52,3,FALSE)</f>
        <v>3.0928592298340294</v>
      </c>
      <c r="E2080" s="98">
        <f>SUMIFS(Input!$C$115:$C$3257,Input!$A$115:$A$3257,"="&amp;'Output - County'!A2080,Input!$B$115:$B$3257,"="&amp;'Output - County'!B2080)*VLOOKUP(A2080,'Output - State'!$B$2:$G$52,4,FALSE)</f>
        <v>10.059124535242983</v>
      </c>
      <c r="F2080" s="98">
        <f>SUMIFS(Input!$C$115:$C$3257,Input!$A$115:$A$3257,"="&amp;'Output - County'!A2080,Input!$B$115:$B$3257,"="&amp;'Output - County'!B2080)*VLOOKUP(A2080,'Output - State'!$B$2:$G$52,5,FALSE)</f>
        <v>32.981008883954274</v>
      </c>
      <c r="G2080" s="99">
        <f>SUMIFS(Input!$D$115:$D$3257,Input!$A$115:$A$3257,"="&amp;'Output - County'!A2080,Input!$B$115:$B$3257,"="&amp;'Output - County'!B2080)*VLOOKUP(A2080,'Output - State'!$B$2:$G$52,6,FALSE)</f>
        <v>9.7070854258385086</v>
      </c>
    </row>
    <row r="2081" spans="1:7" x14ac:dyDescent="0.25">
      <c r="A2081" s="88">
        <v>39</v>
      </c>
      <c r="B2081" s="88">
        <v>73</v>
      </c>
      <c r="C2081" s="97">
        <f>SUMIFS(Input!$C$115:$C$3257,Input!$A$115:$A$3257,"="&amp;'Output - County'!A2081,Input!$B$115:$B$3257,"="&amp;'Output - County'!B2081)*VLOOKUP(A2081,'Output - State'!$B$2:$G$52,2,FALSE)</f>
        <v>6.8763750313398262</v>
      </c>
      <c r="D2081" s="98">
        <f>SUMIFS(Input!$C$115:$C$3257,Input!$A$115:$A$3257,"="&amp;'Output - County'!A2081,Input!$B$115:$B$3257,"="&amp;'Output - County'!B2081)*VLOOKUP(A2081,'Output - State'!$B$2:$G$52,3,FALSE)</f>
        <v>3.0623868298775592</v>
      </c>
      <c r="E2081" s="98">
        <f>SUMIFS(Input!$C$115:$C$3257,Input!$A$115:$A$3257,"="&amp;'Output - County'!A2081,Input!$B$115:$B$3257,"="&amp;'Output - County'!B2081)*VLOOKUP(A2081,'Output - State'!$B$2:$G$52,4,FALSE)</f>
        <v>9.9600169964668606</v>
      </c>
      <c r="F2081" s="98">
        <f>SUMIFS(Input!$C$115:$C$3257,Input!$A$115:$A$3257,"="&amp;'Output - County'!A2081,Input!$B$115:$B$3257,"="&amp;'Output - County'!B2081)*VLOOKUP(A2081,'Output - State'!$B$2:$G$52,5,FALSE)</f>
        <v>32.656063447063609</v>
      </c>
      <c r="G2081" s="99">
        <f>SUMIFS(Input!$D$115:$D$3257,Input!$A$115:$A$3257,"="&amp;'Output - County'!A2081,Input!$B$115:$B$3257,"="&amp;'Output - County'!B2081)*VLOOKUP(A2081,'Output - State'!$B$2:$G$52,6,FALSE)</f>
        <v>6.3963161506685307</v>
      </c>
    </row>
    <row r="2082" spans="1:7" x14ac:dyDescent="0.25">
      <c r="A2082" s="88">
        <v>39</v>
      </c>
      <c r="B2082" s="88">
        <v>75</v>
      </c>
      <c r="C2082" s="97">
        <f>SUMIFS(Input!$C$115:$C$3257,Input!$A$115:$A$3257,"="&amp;'Output - County'!A2082,Input!$B$115:$B$3257,"="&amp;'Output - County'!B2082)*VLOOKUP(A2082,'Output - State'!$B$2:$G$52,2,FALSE)</f>
        <v>6.0001754431280396</v>
      </c>
      <c r="D2082" s="98">
        <f>SUMIFS(Input!$C$115:$C$3257,Input!$A$115:$A$3257,"="&amp;'Output - County'!A2082,Input!$B$115:$B$3257,"="&amp;'Output - County'!B2082)*VLOOKUP(A2082,'Output - State'!$B$2:$G$52,3,FALSE)</f>
        <v>2.6721722085029751</v>
      </c>
      <c r="E2082" s="98">
        <f>SUMIFS(Input!$C$115:$C$3257,Input!$A$115:$A$3257,"="&amp;'Output - County'!A2082,Input!$B$115:$B$3257,"="&amp;'Output - County'!B2082)*VLOOKUP(A2082,'Output - State'!$B$2:$G$52,4,FALSE)</f>
        <v>8.6908944208201611</v>
      </c>
      <c r="F2082" s="98">
        <f>SUMIFS(Input!$C$115:$C$3257,Input!$A$115:$A$3257,"="&amp;'Output - County'!A2082,Input!$B$115:$B$3257,"="&amp;'Output - County'!B2082)*VLOOKUP(A2082,'Output - State'!$B$2:$G$52,5,FALSE)</f>
        <v>28.494971416084031</v>
      </c>
      <c r="G2082" s="99">
        <f>SUMIFS(Input!$D$115:$D$3257,Input!$A$115:$A$3257,"="&amp;'Output - County'!A2082,Input!$B$115:$B$3257,"="&amp;'Output - County'!B2082)*VLOOKUP(A2082,'Output - State'!$B$2:$G$52,6,FALSE)</f>
        <v>9.8872633455756507</v>
      </c>
    </row>
    <row r="2083" spans="1:7" x14ac:dyDescent="0.25">
      <c r="A2083" s="88">
        <v>39</v>
      </c>
      <c r="B2083" s="88">
        <v>77</v>
      </c>
      <c r="C2083" s="97">
        <f>SUMIFS(Input!$C$115:$C$3257,Input!$A$115:$A$3257,"="&amp;'Output - County'!A2083,Input!$B$115:$B$3257,"="&amp;'Output - County'!B2083)*VLOOKUP(A2083,'Output - State'!$B$2:$G$52,2,FALSE)</f>
        <v>9.7817766800911983</v>
      </c>
      <c r="D2083" s="98">
        <f>SUMIFS(Input!$C$115:$C$3257,Input!$A$115:$A$3257,"="&amp;'Output - County'!A2083,Input!$B$115:$B$3257,"="&amp;'Output - County'!B2083)*VLOOKUP(A2083,'Output - State'!$B$2:$G$52,3,FALSE)</f>
        <v>4.3563045851031825</v>
      </c>
      <c r="E2083" s="98">
        <f>SUMIFS(Input!$C$115:$C$3257,Input!$A$115:$A$3257,"="&amp;'Output - County'!A2083,Input!$B$115:$B$3257,"="&amp;'Output - County'!B2083)*VLOOKUP(A2083,'Output - State'!$B$2:$G$52,4,FALSE)</f>
        <v>14.168317106806846</v>
      </c>
      <c r="F2083" s="98">
        <f>SUMIFS(Input!$C$115:$C$3257,Input!$A$115:$A$3257,"="&amp;'Output - County'!A2083,Input!$B$115:$B$3257,"="&amp;'Output - County'!B2083)*VLOOKUP(A2083,'Output - State'!$B$2:$G$52,5,FALSE)</f>
        <v>46.453882813867601</v>
      </c>
      <c r="G2083" s="99">
        <f>SUMIFS(Input!$D$115:$D$3257,Input!$A$115:$A$3257,"="&amp;'Output - County'!A2083,Input!$B$115:$B$3257,"="&amp;'Output - County'!B2083)*VLOOKUP(A2083,'Output - State'!$B$2:$G$52,6,FALSE)</f>
        <v>13.152988140811344</v>
      </c>
    </row>
    <row r="2084" spans="1:7" x14ac:dyDescent="0.25">
      <c r="A2084" s="88">
        <v>39</v>
      </c>
      <c r="B2084" s="88">
        <v>79</v>
      </c>
      <c r="C2084" s="97">
        <f>SUMIFS(Input!$C$115:$C$3257,Input!$A$115:$A$3257,"="&amp;'Output - County'!A2084,Input!$B$115:$B$3257,"="&amp;'Output - County'!B2084)*VLOOKUP(A2084,'Output - State'!$B$2:$G$52,2,FALSE)</f>
        <v>8.308587630206917</v>
      </c>
      <c r="D2084" s="98">
        <f>SUMIFS(Input!$C$115:$C$3257,Input!$A$115:$A$3257,"="&amp;'Output - County'!A2084,Input!$B$115:$B$3257,"="&amp;'Output - County'!B2084)*VLOOKUP(A2084,'Output - State'!$B$2:$G$52,3,FALSE)</f>
        <v>3.7002212964919701</v>
      </c>
      <c r="E2084" s="98">
        <f>SUMIFS(Input!$C$115:$C$3257,Input!$A$115:$A$3257,"="&amp;'Output - County'!A2084,Input!$B$115:$B$3257,"="&amp;'Output - County'!B2084)*VLOOKUP(A2084,'Output - State'!$B$2:$G$52,4,FALSE)</f>
        <v>12.034491085250055</v>
      </c>
      <c r="F2084" s="98">
        <f>SUMIFS(Input!$C$115:$C$3257,Input!$A$115:$A$3257,"="&amp;'Output - County'!A2084,Input!$B$115:$B$3257,"="&amp;'Output - County'!B2084)*VLOOKUP(A2084,'Output - State'!$B$2:$G$52,5,FALSE)</f>
        <v>39.457674075501743</v>
      </c>
      <c r="G2084" s="99">
        <f>SUMIFS(Input!$D$115:$D$3257,Input!$A$115:$A$3257,"="&amp;'Output - County'!A2084,Input!$B$115:$B$3257,"="&amp;'Output - County'!B2084)*VLOOKUP(A2084,'Output - State'!$B$2:$G$52,6,FALSE)</f>
        <v>7.297205749354239</v>
      </c>
    </row>
    <row r="2085" spans="1:7" x14ac:dyDescent="0.25">
      <c r="A2085" s="88">
        <v>39</v>
      </c>
      <c r="B2085" s="88">
        <v>81</v>
      </c>
      <c r="C2085" s="97">
        <f>SUMIFS(Input!$C$115:$C$3257,Input!$A$115:$A$3257,"="&amp;'Output - County'!A2085,Input!$B$115:$B$3257,"="&amp;'Output - County'!B2085)*VLOOKUP(A2085,'Output - State'!$B$2:$G$52,2,FALSE)</f>
        <v>12.435022355183952</v>
      </c>
      <c r="D2085" s="98">
        <f>SUMIFS(Input!$C$115:$C$3257,Input!$A$115:$A$3257,"="&amp;'Output - County'!A2085,Input!$B$115:$B$3257,"="&amp;'Output - County'!B2085)*VLOOKUP(A2085,'Output - State'!$B$2:$G$52,3,FALSE)</f>
        <v>5.5379249264606365</v>
      </c>
      <c r="E2085" s="98">
        <f>SUMIFS(Input!$C$115:$C$3257,Input!$A$115:$A$3257,"="&amp;'Output - County'!A2085,Input!$B$115:$B$3257,"="&amp;'Output - County'!B2085)*VLOOKUP(A2085,'Output - State'!$B$2:$G$52,4,FALSE)</f>
        <v>18.011384405970279</v>
      </c>
      <c r="F2085" s="98">
        <f>SUMIFS(Input!$C$115:$C$3257,Input!$A$115:$A$3257,"="&amp;'Output - County'!A2085,Input!$B$115:$B$3257,"="&amp;'Output - County'!B2085)*VLOOKUP(A2085,'Output - State'!$B$2:$G$52,5,FALSE)</f>
        <v>59.054207652403029</v>
      </c>
      <c r="G2085" s="99">
        <f>SUMIFS(Input!$D$115:$D$3257,Input!$A$115:$A$3257,"="&amp;'Output - County'!A2085,Input!$B$115:$B$3257,"="&amp;'Output - County'!B2085)*VLOOKUP(A2085,'Output - State'!$B$2:$G$52,6,FALSE)</f>
        <v>14.819633898379905</v>
      </c>
    </row>
    <row r="2086" spans="1:7" x14ac:dyDescent="0.25">
      <c r="A2086" s="88">
        <v>39</v>
      </c>
      <c r="B2086" s="88">
        <v>83</v>
      </c>
      <c r="C2086" s="97">
        <f>SUMIFS(Input!$C$115:$C$3257,Input!$A$115:$A$3257,"="&amp;'Output - County'!A2086,Input!$B$115:$B$3257,"="&amp;'Output - County'!B2086)*VLOOKUP(A2086,'Output - State'!$B$2:$G$52,2,FALSE)</f>
        <v>8.7960214742398186</v>
      </c>
      <c r="D2086" s="98">
        <f>SUMIFS(Input!$C$115:$C$3257,Input!$A$115:$A$3257,"="&amp;'Output - County'!A2086,Input!$B$115:$B$3257,"="&amp;'Output - County'!B2086)*VLOOKUP(A2086,'Output - State'!$B$2:$G$52,3,FALSE)</f>
        <v>3.9172994775975321</v>
      </c>
      <c r="E2086" s="98">
        <f>SUMIFS(Input!$C$115:$C$3257,Input!$A$115:$A$3257,"="&amp;'Output - County'!A2086,Input!$B$115:$B$3257,"="&amp;'Output - County'!B2086)*VLOOKUP(A2086,'Output - State'!$B$2:$G$52,4,FALSE)</f>
        <v>12.740509786832558</v>
      </c>
      <c r="F2086" s="98">
        <f>SUMIFS(Input!$C$115:$C$3257,Input!$A$115:$A$3257,"="&amp;'Output - County'!A2086,Input!$B$115:$B$3257,"="&amp;'Output - County'!B2086)*VLOOKUP(A2086,'Output - State'!$B$2:$G$52,5,FALSE)</f>
        <v>41.772508630690787</v>
      </c>
      <c r="G2086" s="99">
        <f>SUMIFS(Input!$D$115:$D$3257,Input!$A$115:$A$3257,"="&amp;'Output - County'!A2086,Input!$B$115:$B$3257,"="&amp;'Output - County'!B2086)*VLOOKUP(A2086,'Output - State'!$B$2:$G$52,6,FALSE)</f>
        <v>13.941266539661338</v>
      </c>
    </row>
    <row r="2087" spans="1:7" x14ac:dyDescent="0.25">
      <c r="A2087" s="88">
        <v>39</v>
      </c>
      <c r="B2087" s="88">
        <v>85</v>
      </c>
      <c r="C2087" s="97">
        <f>SUMIFS(Input!$C$115:$C$3257,Input!$A$115:$A$3257,"="&amp;'Output - County'!A2087,Input!$B$115:$B$3257,"="&amp;'Output - County'!B2087)*VLOOKUP(A2087,'Output - State'!$B$2:$G$52,2,FALSE)</f>
        <v>54.357634146526919</v>
      </c>
      <c r="D2087" s="98">
        <f>SUMIFS(Input!$C$115:$C$3257,Input!$A$115:$A$3257,"="&amp;'Output - County'!A2087,Input!$B$115:$B$3257,"="&amp;'Output - County'!B2087)*VLOOKUP(A2087,'Output - State'!$B$2:$G$52,3,FALSE)</f>
        <v>24.208118689709114</v>
      </c>
      <c r="E2087" s="98">
        <f>SUMIFS(Input!$C$115:$C$3257,Input!$A$115:$A$3257,"="&amp;'Output - County'!A2087,Input!$B$115:$B$3257,"="&amp;'Output - County'!B2087)*VLOOKUP(A2087,'Output - State'!$B$2:$G$52,4,FALSE)</f>
        <v>78.733774338896978</v>
      </c>
      <c r="F2087" s="98">
        <f>SUMIFS(Input!$C$115:$C$3257,Input!$A$115:$A$3257,"="&amp;'Output - County'!A2087,Input!$B$115:$B$3257,"="&amp;'Output - County'!B2087)*VLOOKUP(A2087,'Output - State'!$B$2:$G$52,5,FALSE)</f>
        <v>258.14565689495038</v>
      </c>
      <c r="G2087" s="99">
        <f>SUMIFS(Input!$D$115:$D$3257,Input!$A$115:$A$3257,"="&amp;'Output - County'!A2087,Input!$B$115:$B$3257,"="&amp;'Output - County'!B2087)*VLOOKUP(A2087,'Output - State'!$B$2:$G$52,6,FALSE)</f>
        <v>51.801151924428247</v>
      </c>
    </row>
    <row r="2088" spans="1:7" x14ac:dyDescent="0.25">
      <c r="A2088" s="88">
        <v>39</v>
      </c>
      <c r="B2088" s="88">
        <v>87</v>
      </c>
      <c r="C2088" s="97">
        <f>SUMIFS(Input!$C$115:$C$3257,Input!$A$115:$A$3257,"="&amp;'Output - County'!A2088,Input!$B$115:$B$3257,"="&amp;'Output - County'!B2088)*VLOOKUP(A2088,'Output - State'!$B$2:$G$52,2,FALSE)</f>
        <v>11.020438909452398</v>
      </c>
      <c r="D2088" s="98">
        <f>SUMIFS(Input!$C$115:$C$3257,Input!$A$115:$A$3257,"="&amp;'Output - County'!A2088,Input!$B$115:$B$3257,"="&amp;'Output - County'!B2088)*VLOOKUP(A2088,'Output - State'!$B$2:$G$52,3,FALSE)</f>
        <v>4.9079415857865802</v>
      </c>
      <c r="E2088" s="98">
        <f>SUMIFS(Input!$C$115:$C$3257,Input!$A$115:$A$3257,"="&amp;'Output - County'!A2088,Input!$B$115:$B$3257,"="&amp;'Output - County'!B2088)*VLOOKUP(A2088,'Output - State'!$B$2:$G$52,4,FALSE)</f>
        <v>15.962445088641958</v>
      </c>
      <c r="F2088" s="98">
        <f>SUMIFS(Input!$C$115:$C$3257,Input!$A$115:$A$3257,"="&amp;'Output - County'!A2088,Input!$B$115:$B$3257,"="&amp;'Output - County'!B2088)*VLOOKUP(A2088,'Output - State'!$B$2:$G$52,5,FALSE)</f>
        <v>52.336318278359585</v>
      </c>
      <c r="G2088" s="99">
        <f>SUMIFS(Input!$D$115:$D$3257,Input!$A$115:$A$3257,"="&amp;'Output - County'!A2088,Input!$B$115:$B$3257,"="&amp;'Output - County'!B2088)*VLOOKUP(A2088,'Output - State'!$B$2:$G$52,6,FALSE)</f>
        <v>13.468299500351343</v>
      </c>
    </row>
    <row r="2089" spans="1:7" x14ac:dyDescent="0.25">
      <c r="A2089" s="88">
        <v>39</v>
      </c>
      <c r="B2089" s="88">
        <v>89</v>
      </c>
      <c r="C2089" s="97">
        <f>SUMIFS(Input!$C$115:$C$3257,Input!$A$115:$A$3257,"="&amp;'Output - County'!A2089,Input!$B$115:$B$3257,"="&amp;'Output - County'!B2089)*VLOOKUP(A2089,'Output - State'!$B$2:$G$52,2,FALSE)</f>
        <v>45.315567079065168</v>
      </c>
      <c r="D2089" s="98">
        <f>SUMIFS(Input!$C$115:$C$3257,Input!$A$115:$A$3257,"="&amp;'Output - County'!A2089,Input!$B$115:$B$3257,"="&amp;'Output - County'!B2089)*VLOOKUP(A2089,'Output - State'!$B$2:$G$52,3,FALSE)</f>
        <v>20.181243050136974</v>
      </c>
      <c r="E2089" s="98">
        <f>SUMIFS(Input!$C$115:$C$3257,Input!$A$115:$A$3257,"="&amp;'Output - County'!A2089,Input!$B$115:$B$3257,"="&amp;'Output - County'!B2089)*VLOOKUP(A2089,'Output - State'!$B$2:$G$52,4,FALSE)</f>
        <v>65.636882260635119</v>
      </c>
      <c r="F2089" s="98">
        <f>SUMIFS(Input!$C$115:$C$3257,Input!$A$115:$A$3257,"="&amp;'Output - County'!A2089,Input!$B$115:$B$3257,"="&amp;'Output - County'!B2089)*VLOOKUP(A2089,'Output - State'!$B$2:$G$52,5,FALSE)</f>
        <v>215.20467207346053</v>
      </c>
      <c r="G2089" s="99">
        <f>SUMIFS(Input!$D$115:$D$3257,Input!$A$115:$A$3257,"="&amp;'Output - County'!A2089,Input!$B$115:$B$3257,"="&amp;'Output - County'!B2089)*VLOOKUP(A2089,'Output - State'!$B$2:$G$52,6,FALSE)</f>
        <v>39.639142342171176</v>
      </c>
    </row>
    <row r="2090" spans="1:7" x14ac:dyDescent="0.25">
      <c r="A2090" s="88">
        <v>39</v>
      </c>
      <c r="B2090" s="88">
        <v>91</v>
      </c>
      <c r="C2090" s="97">
        <f>SUMIFS(Input!$C$115:$C$3257,Input!$A$115:$A$3257,"="&amp;'Output - County'!A2090,Input!$B$115:$B$3257,"="&amp;'Output - County'!B2090)*VLOOKUP(A2090,'Output - State'!$B$2:$G$52,2,FALSE)</f>
        <v>11.133609494164922</v>
      </c>
      <c r="D2090" s="98">
        <f>SUMIFS(Input!$C$115:$C$3257,Input!$A$115:$A$3257,"="&amp;'Output - County'!A2090,Input!$B$115:$B$3257,"="&amp;'Output - County'!B2090)*VLOOKUP(A2090,'Output - State'!$B$2:$G$52,3,FALSE)</f>
        <v>4.9583419939338436</v>
      </c>
      <c r="E2090" s="98">
        <f>SUMIFS(Input!$C$115:$C$3257,Input!$A$115:$A$3257,"="&amp;'Output - County'!A2090,Input!$B$115:$B$3257,"="&amp;'Output - County'!B2090)*VLOOKUP(A2090,'Output - State'!$B$2:$G$52,4,FALSE)</f>
        <v>16.126365896058598</v>
      </c>
      <c r="F2090" s="98">
        <f>SUMIFS(Input!$C$115:$C$3257,Input!$A$115:$A$3257,"="&amp;'Output - County'!A2090,Input!$B$115:$B$3257,"="&amp;'Output - County'!B2090)*VLOOKUP(A2090,'Output - State'!$B$2:$G$52,5,FALSE)</f>
        <v>52.873767992470562</v>
      </c>
      <c r="G2090" s="99">
        <f>SUMIFS(Input!$D$115:$D$3257,Input!$A$115:$A$3257,"="&amp;'Output - County'!A2090,Input!$B$115:$B$3257,"="&amp;'Output - County'!B2090)*VLOOKUP(A2090,'Output - State'!$B$2:$G$52,6,FALSE)</f>
        <v>10.20257470511565</v>
      </c>
    </row>
    <row r="2091" spans="1:7" x14ac:dyDescent="0.25">
      <c r="A2091" s="88">
        <v>39</v>
      </c>
      <c r="B2091" s="88">
        <v>93</v>
      </c>
      <c r="C2091" s="97">
        <f>SUMIFS(Input!$C$115:$C$3257,Input!$A$115:$A$3257,"="&amp;'Output - County'!A2091,Input!$B$115:$B$3257,"="&amp;'Output - County'!B2091)*VLOOKUP(A2091,'Output - State'!$B$2:$G$52,2,FALSE)</f>
        <v>63.854831524522474</v>
      </c>
      <c r="D2091" s="98">
        <f>SUMIFS(Input!$C$115:$C$3257,Input!$A$115:$A$3257,"="&amp;'Output - County'!A2091,Input!$B$115:$B$3257,"="&amp;'Output - County'!B2091)*VLOOKUP(A2091,'Output - State'!$B$2:$G$52,3,FALSE)</f>
        <v>28.437686163642308</v>
      </c>
      <c r="E2091" s="98">
        <f>SUMIFS(Input!$C$115:$C$3257,Input!$A$115:$A$3257,"="&amp;'Output - County'!A2091,Input!$B$115:$B$3257,"="&amp;'Output - County'!B2091)*VLOOKUP(A2091,'Output - State'!$B$2:$G$52,4,FALSE)</f>
        <v>92.489895387054148</v>
      </c>
      <c r="F2091" s="98">
        <f>SUMIFS(Input!$C$115:$C$3257,Input!$A$115:$A$3257,"="&amp;'Output - County'!A2091,Input!$B$115:$B$3257,"="&amp;'Output - County'!B2091)*VLOOKUP(A2091,'Output - State'!$B$2:$G$52,5,FALSE)</f>
        <v>303.24806604680833</v>
      </c>
      <c r="G2091" s="99">
        <f>SUMIFS(Input!$D$115:$D$3257,Input!$A$115:$A$3257,"="&amp;'Output - County'!A2091,Input!$B$115:$B$3257,"="&amp;'Output - County'!B2091)*VLOOKUP(A2091,'Output - State'!$B$2:$G$52,6,FALSE)</f>
        <v>69.593721498470984</v>
      </c>
    </row>
    <row r="2092" spans="1:7" x14ac:dyDescent="0.25">
      <c r="A2092" s="88">
        <v>39</v>
      </c>
      <c r="B2092" s="88">
        <v>95</v>
      </c>
      <c r="C2092" s="97">
        <f>SUMIFS(Input!$C$115:$C$3257,Input!$A$115:$A$3257,"="&amp;'Output - County'!A2092,Input!$B$115:$B$3257,"="&amp;'Output - County'!B2092)*VLOOKUP(A2092,'Output - State'!$B$2:$G$52,2,FALSE)</f>
        <v>90.381104821933107</v>
      </c>
      <c r="D2092" s="98">
        <f>SUMIFS(Input!$C$115:$C$3257,Input!$A$115:$A$3257,"="&amp;'Output - County'!A2092,Input!$B$115:$B$3257,"="&amp;'Output - County'!B2092)*VLOOKUP(A2092,'Output - State'!$B$2:$G$52,3,FALSE)</f>
        <v>40.25113578229918</v>
      </c>
      <c r="E2092" s="98">
        <f>SUMIFS(Input!$C$115:$C$3257,Input!$A$115:$A$3257,"="&amp;'Output - County'!A2092,Input!$B$115:$B$3257,"="&amp;'Output - County'!B2092)*VLOOKUP(A2092,'Output - State'!$B$2:$G$52,4,FALSE)</f>
        <v>130.91161201696528</v>
      </c>
      <c r="F2092" s="98">
        <f>SUMIFS(Input!$C$115:$C$3257,Input!$A$115:$A$3257,"="&amp;'Output - County'!A2092,Input!$B$115:$B$3257,"="&amp;'Output - County'!B2092)*VLOOKUP(A2092,'Output - State'!$B$2:$G$52,5,FALSE)</f>
        <v>429.22194906895174</v>
      </c>
      <c r="G2092" s="99">
        <f>SUMIFS(Input!$D$115:$D$3257,Input!$A$115:$A$3257,"="&amp;'Output - County'!A2092,Input!$B$115:$B$3257,"="&amp;'Output - County'!B2092)*VLOOKUP(A2092,'Output - State'!$B$2:$G$52,6,FALSE)</f>
        <v>96.845631858713674</v>
      </c>
    </row>
    <row r="2093" spans="1:7" x14ac:dyDescent="0.25">
      <c r="A2093" s="88">
        <v>39</v>
      </c>
      <c r="B2093" s="88">
        <v>97</v>
      </c>
      <c r="C2093" s="97">
        <f>SUMIFS(Input!$C$115:$C$3257,Input!$A$115:$A$3257,"="&amp;'Output - County'!A2093,Input!$B$115:$B$3257,"="&amp;'Output - County'!B2093)*VLOOKUP(A2093,'Output - State'!$B$2:$G$52,2,FALSE)</f>
        <v>18.669184852187048</v>
      </c>
      <c r="D2093" s="98">
        <f>SUMIFS(Input!$C$115:$C$3257,Input!$A$115:$A$3257,"="&amp;'Output - County'!A2093,Input!$B$115:$B$3257,"="&amp;'Output - County'!B2093)*VLOOKUP(A2093,'Output - State'!$B$2:$G$52,3,FALSE)</f>
        <v>8.3143030383477399</v>
      </c>
      <c r="E2093" s="98">
        <f>SUMIFS(Input!$C$115:$C$3257,Input!$A$115:$A$3257,"="&amp;'Output - County'!A2093,Input!$B$115:$B$3257,"="&amp;'Output - County'!B2093)*VLOOKUP(A2093,'Output - State'!$B$2:$G$52,4,FALSE)</f>
        <v>27.041195046881288</v>
      </c>
      <c r="F2093" s="98">
        <f>SUMIFS(Input!$C$115:$C$3257,Input!$A$115:$A$3257,"="&amp;'Output - County'!A2093,Input!$B$115:$B$3257,"="&amp;'Output - County'!B2093)*VLOOKUP(A2093,'Output - State'!$B$2:$G$52,5,FALSE)</f>
        <v>88.6603889781139</v>
      </c>
      <c r="G2093" s="99">
        <f>SUMIFS(Input!$D$115:$D$3257,Input!$A$115:$A$3257,"="&amp;'Output - County'!A2093,Input!$B$115:$B$3257,"="&amp;'Output - County'!B2093)*VLOOKUP(A2093,'Output - State'!$B$2:$G$52,6,FALSE)</f>
        <v>9.9998745454113642</v>
      </c>
    </row>
    <row r="2094" spans="1:7" x14ac:dyDescent="0.25">
      <c r="A2094" s="88">
        <v>39</v>
      </c>
      <c r="B2094" s="88">
        <v>99</v>
      </c>
      <c r="C2094" s="97">
        <f>SUMIFS(Input!$C$115:$C$3257,Input!$A$115:$A$3257,"="&amp;'Output - County'!A2094,Input!$B$115:$B$3257,"="&amp;'Output - County'!B2094)*VLOOKUP(A2094,'Output - State'!$B$2:$G$52,2,FALSE)</f>
        <v>51.531101102216873</v>
      </c>
      <c r="D2094" s="98">
        <f>SUMIFS(Input!$C$115:$C$3257,Input!$A$115:$A$3257,"="&amp;'Output - County'!A2094,Input!$B$115:$B$3257,"="&amp;'Output - County'!B2094)*VLOOKUP(A2094,'Output - State'!$B$2:$G$52,3,FALSE)</f>
        <v>22.94932498958973</v>
      </c>
      <c r="E2094" s="98">
        <f>SUMIFS(Input!$C$115:$C$3257,Input!$A$115:$A$3257,"="&amp;'Output - County'!A2094,Input!$B$115:$B$3257,"="&amp;'Output - County'!B2094)*VLOOKUP(A2094,'Output - State'!$B$2:$G$52,4,FALSE)</f>
        <v>74.63971067394327</v>
      </c>
      <c r="F2094" s="98">
        <f>SUMIFS(Input!$C$115:$C$3257,Input!$A$115:$A$3257,"="&amp;'Output - County'!A2094,Input!$B$115:$B$3257,"="&amp;'Output - County'!B2094)*VLOOKUP(A2094,'Output - State'!$B$2:$G$52,5,FALSE)</f>
        <v>244.72238634767396</v>
      </c>
      <c r="G2094" s="99">
        <f>SUMIFS(Input!$D$115:$D$3257,Input!$A$115:$A$3257,"="&amp;'Output - County'!A2094,Input!$B$115:$B$3257,"="&amp;'Output - County'!B2094)*VLOOKUP(A2094,'Output - State'!$B$2:$G$52,6,FALSE)</f>
        <v>51.575929524756809</v>
      </c>
    </row>
    <row r="2095" spans="1:7" x14ac:dyDescent="0.25">
      <c r="A2095" s="88">
        <v>39</v>
      </c>
      <c r="B2095" s="88">
        <v>101</v>
      </c>
      <c r="C2095" s="97">
        <f>SUMIFS(Input!$C$115:$C$3257,Input!$A$115:$A$3257,"="&amp;'Output - County'!A2095,Input!$B$115:$B$3257,"="&amp;'Output - County'!B2095)*VLOOKUP(A2095,'Output - State'!$B$2:$G$52,2,FALSE)</f>
        <v>13.006175901464353</v>
      </c>
      <c r="D2095" s="98">
        <f>SUMIFS(Input!$C$115:$C$3257,Input!$A$115:$A$3257,"="&amp;'Output - County'!A2095,Input!$B$115:$B$3257,"="&amp;'Output - County'!B2095)*VLOOKUP(A2095,'Output - State'!$B$2:$G$52,3,FALSE)</f>
        <v>5.7922875942900207</v>
      </c>
      <c r="E2095" s="98">
        <f>SUMIFS(Input!$C$115:$C$3257,Input!$A$115:$A$3257,"="&amp;'Output - County'!A2095,Input!$B$115:$B$3257,"="&amp;'Output - County'!B2095)*VLOOKUP(A2095,'Output - State'!$B$2:$G$52,4,FALSE)</f>
        <v>18.838666077289581</v>
      </c>
      <c r="F2095" s="98">
        <f>SUMIFS(Input!$C$115:$C$3257,Input!$A$115:$A$3257,"="&amp;'Output - County'!A2095,Input!$B$115:$B$3257,"="&amp;'Output - County'!B2095)*VLOOKUP(A2095,'Output - State'!$B$2:$G$52,5,FALSE)</f>
        <v>61.766629002364503</v>
      </c>
      <c r="G2095" s="99">
        <f>SUMIFS(Input!$D$115:$D$3257,Input!$A$115:$A$3257,"="&amp;'Output - County'!A2095,Input!$B$115:$B$3257,"="&amp;'Output - County'!B2095)*VLOOKUP(A2095,'Output - State'!$B$2:$G$52,6,FALSE)</f>
        <v>14.729544938511333</v>
      </c>
    </row>
    <row r="2096" spans="1:7" x14ac:dyDescent="0.25">
      <c r="A2096" s="88">
        <v>39</v>
      </c>
      <c r="B2096" s="88">
        <v>103</v>
      </c>
      <c r="C2096" s="97">
        <f>SUMIFS(Input!$C$115:$C$3257,Input!$A$115:$A$3257,"="&amp;'Output - County'!A2096,Input!$B$115:$B$3257,"="&amp;'Output - County'!B2096)*VLOOKUP(A2096,'Output - State'!$B$2:$G$52,2,FALSE)</f>
        <v>41.663684267237123</v>
      </c>
      <c r="D2096" s="98">
        <f>SUMIFS(Input!$C$115:$C$3257,Input!$A$115:$A$3257,"="&amp;'Output - County'!A2096,Input!$B$115:$B$3257,"="&amp;'Output - County'!B2096)*VLOOKUP(A2096,'Output - State'!$B$2:$G$52,3,FALSE)</f>
        <v>18.554880646075453</v>
      </c>
      <c r="E2096" s="98">
        <f>SUMIFS(Input!$C$115:$C$3257,Input!$A$115:$A$3257,"="&amp;'Output - County'!A2096,Input!$B$115:$B$3257,"="&amp;'Output - County'!B2096)*VLOOKUP(A2096,'Output - State'!$B$2:$G$52,4,FALSE)</f>
        <v>60.34734893687957</v>
      </c>
      <c r="F2096" s="98">
        <f>SUMIFS(Input!$C$115:$C$3257,Input!$A$115:$A$3257,"="&amp;'Output - County'!A2096,Input!$B$115:$B$3257,"="&amp;'Output - County'!B2096)*VLOOKUP(A2096,'Output - State'!$B$2:$G$52,5,FALSE)</f>
        <v>197.8617964651967</v>
      </c>
      <c r="G2096" s="99">
        <f>SUMIFS(Input!$D$115:$D$3257,Input!$A$115:$A$3257,"="&amp;'Output - County'!A2096,Input!$B$115:$B$3257,"="&amp;'Output - County'!B2096)*VLOOKUP(A2096,'Output - State'!$B$2:$G$52,6,FALSE)</f>
        <v>40.314809541185461</v>
      </c>
    </row>
    <row r="2097" spans="1:7" x14ac:dyDescent="0.25">
      <c r="A2097" s="88">
        <v>39</v>
      </c>
      <c r="B2097" s="88">
        <v>105</v>
      </c>
      <c r="C2097" s="97">
        <f>SUMIFS(Input!$C$115:$C$3257,Input!$A$115:$A$3257,"="&amp;'Output - County'!A2097,Input!$B$115:$B$3257,"="&amp;'Output - County'!B2097)*VLOOKUP(A2097,'Output - State'!$B$2:$G$52,2,FALSE)</f>
        <v>4.693155233375145</v>
      </c>
      <c r="D2097" s="98">
        <f>SUMIFS(Input!$C$115:$C$3257,Input!$A$115:$A$3257,"="&amp;'Output - County'!A2097,Input!$B$115:$B$3257,"="&amp;'Output - County'!B2097)*VLOOKUP(A2097,'Output - State'!$B$2:$G$52,3,FALSE)</f>
        <v>2.0900920487547388</v>
      </c>
      <c r="E2097" s="98">
        <f>SUMIFS(Input!$C$115:$C$3257,Input!$A$115:$A$3257,"="&amp;'Output - County'!A2097,Input!$B$115:$B$3257,"="&amp;'Output - County'!B2097)*VLOOKUP(A2097,'Output - State'!$B$2:$G$52,4,FALSE)</f>
        <v>6.7977540024261929</v>
      </c>
      <c r="F2097" s="98">
        <f>SUMIFS(Input!$C$115:$C$3257,Input!$A$115:$A$3257,"="&amp;'Output - County'!A2097,Input!$B$115:$B$3257,"="&amp;'Output - County'!B2097)*VLOOKUP(A2097,'Output - State'!$B$2:$G$52,5,FALSE)</f>
        <v>22.287902327828018</v>
      </c>
      <c r="G2097" s="99">
        <f>SUMIFS(Input!$D$115:$D$3257,Input!$A$115:$A$3257,"="&amp;'Output - County'!A2097,Input!$B$115:$B$3257,"="&amp;'Output - County'!B2097)*VLOOKUP(A2097,'Output - State'!$B$2:$G$52,6,FALSE)</f>
        <v>5.2026374324099667</v>
      </c>
    </row>
    <row r="2098" spans="1:7" x14ac:dyDescent="0.25">
      <c r="A2098" s="88">
        <v>39</v>
      </c>
      <c r="B2098" s="88">
        <v>107</v>
      </c>
      <c r="C2098" s="97">
        <f>SUMIFS(Input!$C$115:$C$3257,Input!$A$115:$A$3257,"="&amp;'Output - County'!A2098,Input!$B$115:$B$3257,"="&amp;'Output - County'!B2098)*VLOOKUP(A2098,'Output - State'!$B$2:$G$52,2,FALSE)</f>
        <v>7.7256019763408288</v>
      </c>
      <c r="D2098" s="98">
        <f>SUMIFS(Input!$C$115:$C$3257,Input!$A$115:$A$3257,"="&amp;'Output - County'!A2098,Input!$B$115:$B$3257,"="&amp;'Output - County'!B2098)*VLOOKUP(A2098,'Output - State'!$B$2:$G$52,3,FALSE)</f>
        <v>3.4405892112333505</v>
      </c>
      <c r="E2098" s="98">
        <f>SUMIFS(Input!$C$115:$C$3257,Input!$A$115:$A$3257,"="&amp;'Output - County'!A2098,Input!$B$115:$B$3257,"="&amp;'Output - County'!B2098)*VLOOKUP(A2098,'Output - State'!$B$2:$G$52,4,FALSE)</f>
        <v>11.190071315423859</v>
      </c>
      <c r="F2098" s="98">
        <f>SUMIFS(Input!$C$115:$C$3257,Input!$A$115:$A$3257,"="&amp;'Output - County'!A2098,Input!$B$115:$B$3257,"="&amp;'Output - County'!B2098)*VLOOKUP(A2098,'Output - State'!$B$2:$G$52,5,FALSE)</f>
        <v>36.689061774018626</v>
      </c>
      <c r="G2098" s="99">
        <f>SUMIFS(Input!$D$115:$D$3257,Input!$A$115:$A$3257,"="&amp;'Output - County'!A2098,Input!$B$115:$B$3257,"="&amp;'Output - County'!B2098)*VLOOKUP(A2098,'Output - State'!$B$2:$G$52,6,FALSE)</f>
        <v>9.2341183865285128</v>
      </c>
    </row>
    <row r="2099" spans="1:7" x14ac:dyDescent="0.25">
      <c r="A2099" s="88">
        <v>39</v>
      </c>
      <c r="B2099" s="88">
        <v>109</v>
      </c>
      <c r="C2099" s="97">
        <f>SUMIFS(Input!$C$115:$C$3257,Input!$A$115:$A$3257,"="&amp;'Output - County'!A2099,Input!$B$115:$B$3257,"="&amp;'Output - County'!B2099)*VLOOKUP(A2099,'Output - State'!$B$2:$G$52,2,FALSE)</f>
        <v>25.963090982788735</v>
      </c>
      <c r="D2099" s="98">
        <f>SUMIFS(Input!$C$115:$C$3257,Input!$A$115:$A$3257,"="&amp;'Output - County'!A2099,Input!$B$115:$B$3257,"="&amp;'Output - County'!B2099)*VLOOKUP(A2099,'Output - State'!$B$2:$G$52,3,FALSE)</f>
        <v>11.562636930975115</v>
      </c>
      <c r="E2099" s="98">
        <f>SUMIFS(Input!$C$115:$C$3257,Input!$A$115:$A$3257,"="&amp;'Output - County'!A2099,Input!$B$115:$B$3257,"="&amp;'Output - County'!B2099)*VLOOKUP(A2099,'Output - State'!$B$2:$G$52,4,FALSE)</f>
        <v>37.605980809776433</v>
      </c>
      <c r="F2099" s="98">
        <f>SUMIFS(Input!$C$115:$C$3257,Input!$A$115:$A$3257,"="&amp;'Output - County'!A2099,Input!$B$115:$B$3257,"="&amp;'Output - County'!B2099)*VLOOKUP(A2099,'Output - State'!$B$2:$G$52,5,FALSE)</f>
        <v>123.29931723497553</v>
      </c>
      <c r="G2099" s="99">
        <f>SUMIFS(Input!$D$115:$D$3257,Input!$A$115:$A$3257,"="&amp;'Output - County'!A2099,Input!$B$115:$B$3257,"="&amp;'Output - County'!B2099)*VLOOKUP(A2099,'Output - State'!$B$2:$G$52,6,FALSE)</f>
        <v>23.873574365171276</v>
      </c>
    </row>
    <row r="2100" spans="1:7" x14ac:dyDescent="0.25">
      <c r="A2100" s="88">
        <v>39</v>
      </c>
      <c r="B2100" s="88">
        <v>111</v>
      </c>
      <c r="C2100" s="97">
        <f>SUMIFS(Input!$C$115:$C$3257,Input!$A$115:$A$3257,"="&amp;'Output - County'!A2100,Input!$B$115:$B$3257,"="&amp;'Output - County'!B2100)*VLOOKUP(A2100,'Output - State'!$B$2:$G$52,2,FALSE)</f>
        <v>2.9184902547332729</v>
      </c>
      <c r="D2100" s="98">
        <f>SUMIFS(Input!$C$115:$C$3257,Input!$A$115:$A$3257,"="&amp;'Output - County'!A2100,Input!$B$115:$B$3257,"="&amp;'Output - County'!B2100)*VLOOKUP(A2100,'Output - State'!$B$2:$G$52,3,FALSE)</f>
        <v>1.2997467529748363</v>
      </c>
      <c r="E2100" s="98">
        <f>SUMIFS(Input!$C$115:$C$3257,Input!$A$115:$A$3257,"="&amp;'Output - County'!A2100,Input!$B$115:$B$3257,"="&amp;'Output - County'!B2100)*VLOOKUP(A2100,'Output - State'!$B$2:$G$52,4,FALSE)</f>
        <v>4.2272581714471302</v>
      </c>
      <c r="F2100" s="98">
        <f>SUMIFS(Input!$C$115:$C$3257,Input!$A$115:$A$3257,"="&amp;'Output - County'!A2100,Input!$B$115:$B$3257,"="&amp;'Output - County'!B2100)*VLOOKUP(A2100,'Output - State'!$B$2:$G$52,5,FALSE)</f>
        <v>13.859977458157433</v>
      </c>
      <c r="G2100" s="99">
        <f>SUMIFS(Input!$D$115:$D$3257,Input!$A$115:$A$3257,"="&amp;'Output - County'!A2100,Input!$B$115:$B$3257,"="&amp;'Output - County'!B2100)*VLOOKUP(A2100,'Output - State'!$B$2:$G$52,6,FALSE)</f>
        <v>3.1080691154656943</v>
      </c>
    </row>
    <row r="2101" spans="1:7" x14ac:dyDescent="0.25">
      <c r="A2101" s="88">
        <v>39</v>
      </c>
      <c r="B2101" s="88">
        <v>113</v>
      </c>
      <c r="C2101" s="97">
        <f>SUMIFS(Input!$C$115:$C$3257,Input!$A$115:$A$3257,"="&amp;'Output - County'!A2101,Input!$B$115:$B$3257,"="&amp;'Output - County'!B2101)*VLOOKUP(A2101,'Output - State'!$B$2:$G$52,2,FALSE)</f>
        <v>122.90140613210694</v>
      </c>
      <c r="D2101" s="98">
        <f>SUMIFS(Input!$C$115:$C$3257,Input!$A$115:$A$3257,"="&amp;'Output - County'!A2101,Input!$B$115:$B$3257,"="&amp;'Output - County'!B2101)*VLOOKUP(A2101,'Output - State'!$B$2:$G$52,3,FALSE)</f>
        <v>54.734019857416556</v>
      </c>
      <c r="E2101" s="98">
        <f>SUMIFS(Input!$C$115:$C$3257,Input!$A$115:$A$3257,"="&amp;'Output - County'!A2101,Input!$B$115:$B$3257,"="&amp;'Output - County'!B2101)*VLOOKUP(A2101,'Output - State'!$B$2:$G$52,4,FALSE)</f>
        <v>178.01531888334952</v>
      </c>
      <c r="F2101" s="98">
        <f>SUMIFS(Input!$C$115:$C$3257,Input!$A$115:$A$3257,"="&amp;'Output - County'!A2101,Input!$B$115:$B$3257,"="&amp;'Output - County'!B2101)*VLOOKUP(A2101,'Output - State'!$B$2:$G$52,5,FALSE)</f>
        <v>583.66160921874734</v>
      </c>
      <c r="G2101" s="99">
        <f>SUMIFS(Input!$D$115:$D$3257,Input!$A$115:$A$3257,"="&amp;'Output - County'!A2101,Input!$B$115:$B$3257,"="&amp;'Output - County'!B2101)*VLOOKUP(A2101,'Output - State'!$B$2:$G$52,6,FALSE)</f>
        <v>119.81831662519924</v>
      </c>
    </row>
    <row r="2102" spans="1:7" x14ac:dyDescent="0.25">
      <c r="A2102" s="88">
        <v>39</v>
      </c>
      <c r="B2102" s="88">
        <v>115</v>
      </c>
      <c r="C2102" s="97">
        <f>SUMIFS(Input!$C$115:$C$3257,Input!$A$115:$A$3257,"="&amp;'Output - County'!A2102,Input!$B$115:$B$3257,"="&amp;'Output - County'!B2102)*VLOOKUP(A2102,'Output - State'!$B$2:$G$52,2,FALSE)</f>
        <v>2.1985430910406349</v>
      </c>
      <c r="D2102" s="98">
        <f>SUMIFS(Input!$C$115:$C$3257,Input!$A$115:$A$3257,"="&amp;'Output - County'!A2102,Input!$B$115:$B$3257,"="&amp;'Output - County'!B2102)*VLOOKUP(A2102,'Output - State'!$B$2:$G$52,3,FALSE)</f>
        <v>0.97911899456264684</v>
      </c>
      <c r="E2102" s="98">
        <f>SUMIFS(Input!$C$115:$C$3257,Input!$A$115:$A$3257,"="&amp;'Output - County'!A2102,Input!$B$115:$B$3257,"="&amp;'Output - County'!B2102)*VLOOKUP(A2102,'Output - State'!$B$2:$G$52,4,FALSE)</f>
        <v>3.1844578654347901</v>
      </c>
      <c r="F2102" s="98">
        <f>SUMIFS(Input!$C$115:$C$3257,Input!$A$115:$A$3257,"="&amp;'Output - County'!A2102,Input!$B$115:$B$3257,"="&amp;'Output - County'!B2102)*VLOOKUP(A2102,'Output - State'!$B$2:$G$52,5,FALSE)</f>
        <v>10.440931791083139</v>
      </c>
      <c r="G2102" s="99">
        <f>SUMIFS(Input!$D$115:$D$3257,Input!$A$115:$A$3257,"="&amp;'Output - County'!A2102,Input!$B$115:$B$3257,"="&amp;'Output - County'!B2102)*VLOOKUP(A2102,'Output - State'!$B$2:$G$52,6,FALSE)</f>
        <v>3.2882470352028359</v>
      </c>
    </row>
    <row r="2103" spans="1:7" x14ac:dyDescent="0.25">
      <c r="A2103" s="88">
        <v>39</v>
      </c>
      <c r="B2103" s="88">
        <v>117</v>
      </c>
      <c r="C2103" s="97">
        <f>SUMIFS(Input!$C$115:$C$3257,Input!$A$115:$A$3257,"="&amp;'Output - County'!A2103,Input!$B$115:$B$3257,"="&amp;'Output - County'!B2103)*VLOOKUP(A2103,'Output - State'!$B$2:$G$52,2,FALSE)</f>
        <v>14.803994214817692</v>
      </c>
      <c r="D2103" s="98">
        <f>SUMIFS(Input!$C$115:$C$3257,Input!$A$115:$A$3257,"="&amp;'Output - County'!A2103,Input!$B$115:$B$3257,"="&amp;'Output - County'!B2103)*VLOOKUP(A2103,'Output - State'!$B$2:$G$52,3,FALSE)</f>
        <v>6.5929442048200624</v>
      </c>
      <c r="E2103" s="98">
        <f>SUMIFS(Input!$C$115:$C$3257,Input!$A$115:$A$3257,"="&amp;'Output - County'!A2103,Input!$B$115:$B$3257,"="&amp;'Output - County'!B2103)*VLOOKUP(A2103,'Output - State'!$B$2:$G$52,4,FALSE)</f>
        <v>21.442698125563378</v>
      </c>
      <c r="F2103" s="98">
        <f>SUMIFS(Input!$C$115:$C$3257,Input!$A$115:$A$3257,"="&amp;'Output - County'!A2103,Input!$B$115:$B$3257,"="&amp;'Output - County'!B2103)*VLOOKUP(A2103,'Output - State'!$B$2:$G$52,5,FALSE)</f>
        <v>70.304509592004223</v>
      </c>
      <c r="G2103" s="99">
        <f>SUMIFS(Input!$D$115:$D$3257,Input!$A$115:$A$3257,"="&amp;'Output - County'!A2103,Input!$B$115:$B$3257,"="&amp;'Output - County'!B2103)*VLOOKUP(A2103,'Output - State'!$B$2:$G$52,6,FALSE)</f>
        <v>7.9053062284670919</v>
      </c>
    </row>
    <row r="2104" spans="1:7" x14ac:dyDescent="0.25">
      <c r="A2104" s="88">
        <v>39</v>
      </c>
      <c r="B2104" s="88">
        <v>119</v>
      </c>
      <c r="C2104" s="97">
        <f>SUMIFS(Input!$C$115:$C$3257,Input!$A$115:$A$3257,"="&amp;'Output - County'!A2104,Input!$B$115:$B$3257,"="&amp;'Output - County'!B2104)*VLOOKUP(A2104,'Output - State'!$B$2:$G$52,2,FALSE)</f>
        <v>22.75335669793207</v>
      </c>
      <c r="D2104" s="98">
        <f>SUMIFS(Input!$C$115:$C$3257,Input!$A$115:$A$3257,"="&amp;'Output - County'!A2104,Input!$B$115:$B$3257,"="&amp;'Output - County'!B2104)*VLOOKUP(A2104,'Output - State'!$B$2:$G$52,3,FALSE)</f>
        <v>10.133184936784463</v>
      </c>
      <c r="E2104" s="98">
        <f>SUMIFS(Input!$C$115:$C$3257,Input!$A$115:$A$3257,"="&amp;'Output - County'!A2104,Input!$B$115:$B$3257,"="&amp;'Output - County'!B2104)*VLOOKUP(A2104,'Output - State'!$B$2:$G$52,4,FALSE)</f>
        <v>32.956873120679695</v>
      </c>
      <c r="F2104" s="98">
        <f>SUMIFS(Input!$C$115:$C$3257,Input!$A$115:$A$3257,"="&amp;'Output - County'!A2104,Input!$B$115:$B$3257,"="&amp;'Output - County'!B2104)*VLOOKUP(A2104,'Output - State'!$B$2:$G$52,5,FALSE)</f>
        <v>108.05621516785754</v>
      </c>
      <c r="G2104" s="99">
        <f>SUMIFS(Input!$D$115:$D$3257,Input!$A$115:$A$3257,"="&amp;'Output - County'!A2104,Input!$B$115:$B$3257,"="&amp;'Output - County'!B2104)*VLOOKUP(A2104,'Output - State'!$B$2:$G$52,6,FALSE)</f>
        <v>19.391648611709876</v>
      </c>
    </row>
    <row r="2105" spans="1:7" x14ac:dyDescent="0.25">
      <c r="A2105" s="88">
        <v>39</v>
      </c>
      <c r="B2105" s="88">
        <v>121</v>
      </c>
      <c r="C2105" s="97">
        <f>SUMIFS(Input!$C$115:$C$3257,Input!$A$115:$A$3257,"="&amp;'Output - County'!A2105,Input!$B$115:$B$3257,"="&amp;'Output - County'!B2105)*VLOOKUP(A2105,'Output - State'!$B$2:$G$52,2,FALSE)</f>
        <v>4.5710507382210297</v>
      </c>
      <c r="D2105" s="98">
        <f>SUMIFS(Input!$C$115:$C$3257,Input!$A$115:$A$3257,"="&amp;'Output - County'!A2105,Input!$B$115:$B$3257,"="&amp;'Output - County'!B2105)*VLOOKUP(A2105,'Output - State'!$B$2:$G$52,3,FALSE)</f>
        <v>2.0357129324144316</v>
      </c>
      <c r="E2105" s="98">
        <f>SUMIFS(Input!$C$115:$C$3257,Input!$A$115:$A$3257,"="&amp;'Output - County'!A2105,Input!$B$115:$B$3257,"="&amp;'Output - County'!B2105)*VLOOKUP(A2105,'Output - State'!$B$2:$G$52,4,FALSE)</f>
        <v>6.6208929613199121</v>
      </c>
      <c r="F2105" s="98">
        <f>SUMIFS(Input!$C$115:$C$3257,Input!$A$115:$A$3257,"="&amp;'Output - County'!A2105,Input!$B$115:$B$3257,"="&amp;'Output - County'!B2105)*VLOOKUP(A2105,'Output - State'!$B$2:$G$52,5,FALSE)</f>
        <v>21.708025267203599</v>
      </c>
      <c r="G2105" s="99">
        <f>SUMIFS(Input!$D$115:$D$3257,Input!$A$115:$A$3257,"="&amp;'Output - County'!A2105,Input!$B$115:$B$3257,"="&amp;'Output - County'!B2105)*VLOOKUP(A2105,'Output - State'!$B$2:$G$52,6,FALSE)</f>
        <v>3.2206803153014079</v>
      </c>
    </row>
    <row r="2106" spans="1:7" x14ac:dyDescent="0.25">
      <c r="A2106" s="88">
        <v>39</v>
      </c>
      <c r="B2106" s="88">
        <v>123</v>
      </c>
      <c r="C2106" s="97">
        <f>SUMIFS(Input!$C$115:$C$3257,Input!$A$115:$A$3257,"="&amp;'Output - County'!A2106,Input!$B$115:$B$3257,"="&amp;'Output - County'!B2106)*VLOOKUP(A2106,'Output - State'!$B$2:$G$52,2,FALSE)</f>
        <v>10.835783450578122</v>
      </c>
      <c r="D2106" s="98">
        <f>SUMIFS(Input!$C$115:$C$3257,Input!$A$115:$A$3257,"="&amp;'Output - County'!A2106,Input!$B$115:$B$3257,"="&amp;'Output - County'!B2106)*VLOOKUP(A2106,'Output - State'!$B$2:$G$52,3,FALSE)</f>
        <v>4.8257054595217523</v>
      </c>
      <c r="E2106" s="98">
        <f>SUMIFS(Input!$C$115:$C$3257,Input!$A$115:$A$3257,"="&amp;'Output - County'!A2106,Input!$B$115:$B$3257,"="&amp;'Output - County'!B2106)*VLOOKUP(A2106,'Output - State'!$B$2:$G$52,4,FALSE)</f>
        <v>15.694982726496795</v>
      </c>
      <c r="F2106" s="98">
        <f>SUMIFS(Input!$C$115:$C$3257,Input!$A$115:$A$3257,"="&amp;'Output - County'!A2106,Input!$B$115:$B$3257,"="&amp;'Output - County'!B2106)*VLOOKUP(A2106,'Output - State'!$B$2:$G$52,5,FALSE)</f>
        <v>51.45938524993079</v>
      </c>
      <c r="G2106" s="99">
        <f>SUMIFS(Input!$D$115:$D$3257,Input!$A$115:$A$3257,"="&amp;'Output - County'!A2106,Input!$B$115:$B$3257,"="&amp;'Output - County'!B2106)*VLOOKUP(A2106,'Output - State'!$B$2:$G$52,6,FALSE)</f>
        <v>9.1890739065942277</v>
      </c>
    </row>
    <row r="2107" spans="1:7" x14ac:dyDescent="0.25">
      <c r="A2107" s="88">
        <v>39</v>
      </c>
      <c r="B2107" s="88">
        <v>125</v>
      </c>
      <c r="C2107" s="97">
        <f>SUMIFS(Input!$C$115:$C$3257,Input!$A$115:$A$3257,"="&amp;'Output - County'!A2107,Input!$B$115:$B$3257,"="&amp;'Output - County'!B2107)*VLOOKUP(A2107,'Output - State'!$B$2:$G$52,2,FALSE)</f>
        <v>5.2726644969273506</v>
      </c>
      <c r="D2107" s="98">
        <f>SUMIFS(Input!$C$115:$C$3257,Input!$A$115:$A$3257,"="&amp;'Output - County'!A2107,Input!$B$115:$B$3257,"="&amp;'Output - County'!B2107)*VLOOKUP(A2107,'Output - State'!$B$2:$G$52,3,FALSE)</f>
        <v>2.3481759270199603</v>
      </c>
      <c r="E2107" s="98">
        <f>SUMIFS(Input!$C$115:$C$3257,Input!$A$115:$A$3257,"="&amp;'Output - County'!A2107,Input!$B$115:$B$3257,"="&amp;'Output - County'!B2107)*VLOOKUP(A2107,'Output - State'!$B$2:$G$52,4,FALSE)</f>
        <v>7.6371384292911912</v>
      </c>
      <c r="F2107" s="98">
        <f>SUMIFS(Input!$C$115:$C$3257,Input!$A$115:$A$3257,"="&amp;'Output - County'!A2107,Input!$B$115:$B$3257,"="&amp;'Output - County'!B2107)*VLOOKUP(A2107,'Output - State'!$B$2:$G$52,5,FALSE)</f>
        <v>25.040005171618752</v>
      </c>
      <c r="G2107" s="99">
        <f>SUMIFS(Input!$D$115:$D$3257,Input!$A$115:$A$3257,"="&amp;'Output - County'!A2107,Input!$B$115:$B$3257,"="&amp;'Output - County'!B2107)*VLOOKUP(A2107,'Output - State'!$B$2:$G$52,6,FALSE)</f>
        <v>4.2116588738556873</v>
      </c>
    </row>
    <row r="2108" spans="1:7" x14ac:dyDescent="0.25">
      <c r="A2108" s="88">
        <v>39</v>
      </c>
      <c r="B2108" s="88">
        <v>127</v>
      </c>
      <c r="C2108" s="97">
        <f>SUMIFS(Input!$C$115:$C$3257,Input!$A$115:$A$3257,"="&amp;'Output - County'!A2108,Input!$B$115:$B$3257,"="&amp;'Output - County'!B2108)*VLOOKUP(A2108,'Output - State'!$B$2:$G$52,2,FALSE)</f>
        <v>4.5991463469747931</v>
      </c>
      <c r="D2108" s="98">
        <f>SUMIFS(Input!$C$115:$C$3257,Input!$A$115:$A$3257,"="&amp;'Output - County'!A2108,Input!$B$115:$B$3257,"="&amp;'Output - County'!B2108)*VLOOKUP(A2108,'Output - State'!$B$2:$G$52,3,FALSE)</f>
        <v>2.0482252840288768</v>
      </c>
      <c r="E2108" s="98">
        <f>SUMIFS(Input!$C$115:$C$3257,Input!$A$115:$A$3257,"="&amp;'Output - County'!A2108,Input!$B$115:$B$3257,"="&amp;'Output - County'!B2108)*VLOOKUP(A2108,'Output - State'!$B$2:$G$52,4,FALSE)</f>
        <v>6.6615877662772043</v>
      </c>
      <c r="F2108" s="98">
        <f>SUMIFS(Input!$C$115:$C$3257,Input!$A$115:$A$3257,"="&amp;'Output - County'!A2108,Input!$B$115:$B$3257,"="&amp;'Output - County'!B2108)*VLOOKUP(A2108,'Output - State'!$B$2:$G$52,5,FALSE)</f>
        <v>21.841451960463523</v>
      </c>
      <c r="G2108" s="99">
        <f>SUMIFS(Input!$D$115:$D$3257,Input!$A$115:$A$3257,"="&amp;'Output - County'!A2108,Input!$B$115:$B$3257,"="&amp;'Output - County'!B2108)*VLOOKUP(A2108,'Output - State'!$B$2:$G$52,6,FALSE)</f>
        <v>8.1080063881713773</v>
      </c>
    </row>
    <row r="2109" spans="1:7" x14ac:dyDescent="0.25">
      <c r="A2109" s="88">
        <v>39</v>
      </c>
      <c r="B2109" s="88">
        <v>129</v>
      </c>
      <c r="C2109" s="97">
        <f>SUMIFS(Input!$C$115:$C$3257,Input!$A$115:$A$3257,"="&amp;'Output - County'!A2109,Input!$B$115:$B$3257,"="&amp;'Output - County'!B2109)*VLOOKUP(A2109,'Output - State'!$B$2:$G$52,2,FALSE)</f>
        <v>14.207994287108193</v>
      </c>
      <c r="D2109" s="98">
        <f>SUMIFS(Input!$C$115:$C$3257,Input!$A$115:$A$3257,"="&amp;'Output - County'!A2109,Input!$B$115:$B$3257,"="&amp;'Output - County'!B2109)*VLOOKUP(A2109,'Output - State'!$B$2:$G$52,3,FALSE)</f>
        <v>6.3275162255567023</v>
      </c>
      <c r="E2109" s="98">
        <f>SUMIFS(Input!$C$115:$C$3257,Input!$A$115:$A$3257,"="&amp;'Output - County'!A2109,Input!$B$115:$B$3257,"="&amp;'Output - County'!B2109)*VLOOKUP(A2109,'Output - State'!$B$2:$G$52,4,FALSE)</f>
        <v>20.579427960276448</v>
      </c>
      <c r="F2109" s="98">
        <f>SUMIFS(Input!$C$115:$C$3257,Input!$A$115:$A$3257,"="&amp;'Output - County'!A2109,Input!$B$115:$B$3257,"="&amp;'Output - County'!B2109)*VLOOKUP(A2109,'Output - State'!$B$2:$G$52,5,FALSE)</f>
        <v>67.47409220420586</v>
      </c>
      <c r="G2109" s="99">
        <f>SUMIFS(Input!$D$115:$D$3257,Input!$A$115:$A$3257,"="&amp;'Output - County'!A2109,Input!$B$115:$B$3257,"="&amp;'Output - County'!B2109)*VLOOKUP(A2109,'Output - State'!$B$2:$G$52,6,FALSE)</f>
        <v>13.085421420909915</v>
      </c>
    </row>
    <row r="2110" spans="1:7" x14ac:dyDescent="0.25">
      <c r="A2110" s="88">
        <v>39</v>
      </c>
      <c r="B2110" s="88">
        <v>131</v>
      </c>
      <c r="C2110" s="97">
        <f>SUMIFS(Input!$C$115:$C$3257,Input!$A$115:$A$3257,"="&amp;'Output - County'!A2110,Input!$B$115:$B$3257,"="&amp;'Output - County'!B2110)*VLOOKUP(A2110,'Output - State'!$B$2:$G$52,2,FALSE)</f>
        <v>6.8931226984293552</v>
      </c>
      <c r="D2110" s="98">
        <f>SUMIFS(Input!$C$115:$C$3257,Input!$A$115:$A$3257,"="&amp;'Output - County'!A2110,Input!$B$115:$B$3257,"="&amp;'Output - County'!B2110)*VLOOKUP(A2110,'Output - State'!$B$2:$G$52,3,FALSE)</f>
        <v>3.0698453868777804</v>
      </c>
      <c r="E2110" s="98">
        <f>SUMIFS(Input!$C$115:$C$3257,Input!$A$115:$A$3257,"="&amp;'Output - County'!A2110,Input!$B$115:$B$3257,"="&amp;'Output - County'!B2110)*VLOOKUP(A2110,'Output - State'!$B$2:$G$52,4,FALSE)</f>
        <v>9.9842749882288917</v>
      </c>
      <c r="F2110" s="98">
        <f>SUMIFS(Input!$C$115:$C$3257,Input!$A$115:$A$3257,"="&amp;'Output - County'!A2110,Input!$B$115:$B$3257,"="&amp;'Output - County'!B2110)*VLOOKUP(A2110,'Output - State'!$B$2:$G$52,5,FALSE)</f>
        <v>32.735598503917451</v>
      </c>
      <c r="G2110" s="99">
        <f>SUMIFS(Input!$D$115:$D$3257,Input!$A$115:$A$3257,"="&amp;'Output - County'!A2110,Input!$B$115:$B$3257,"="&amp;'Output - County'!B2110)*VLOOKUP(A2110,'Output - State'!$B$2:$G$52,6,FALSE)</f>
        <v>6.2837049508328171</v>
      </c>
    </row>
    <row r="2111" spans="1:7" x14ac:dyDescent="0.25">
      <c r="A2111" s="88">
        <v>39</v>
      </c>
      <c r="B2111" s="88">
        <v>133</v>
      </c>
      <c r="C2111" s="97">
        <f>SUMIFS(Input!$C$115:$C$3257,Input!$A$115:$A$3257,"="&amp;'Output - County'!A2111,Input!$B$115:$B$3257,"="&amp;'Output - County'!B2111)*VLOOKUP(A2111,'Output - State'!$B$2:$G$52,2,FALSE)</f>
        <v>40.256751422653323</v>
      </c>
      <c r="D2111" s="98">
        <f>SUMIFS(Input!$C$115:$C$3257,Input!$A$115:$A$3257,"="&amp;'Output - County'!A2111,Input!$B$115:$B$3257,"="&amp;'Output - County'!B2111)*VLOOKUP(A2111,'Output - State'!$B$2:$G$52,3,FALSE)</f>
        <v>17.928304493067682</v>
      </c>
      <c r="E2111" s="98">
        <f>SUMIFS(Input!$C$115:$C$3257,Input!$A$115:$A$3257,"="&amp;'Output - County'!A2111,Input!$B$115:$B$3257,"="&amp;'Output - County'!B2111)*VLOOKUP(A2111,'Output - State'!$B$2:$G$52,4,FALSE)</f>
        <v>58.309491056662743</v>
      </c>
      <c r="F2111" s="98">
        <f>SUMIFS(Input!$C$115:$C$3257,Input!$A$115:$A$3257,"="&amp;'Output - County'!A2111,Input!$B$115:$B$3257,"="&amp;'Output - County'!B2111)*VLOOKUP(A2111,'Output - State'!$B$2:$G$52,5,FALSE)</f>
        <v>191.18023997226442</v>
      </c>
      <c r="G2111" s="99">
        <f>SUMIFS(Input!$D$115:$D$3257,Input!$A$115:$A$3257,"="&amp;'Output - County'!A2111,Input!$B$115:$B$3257,"="&amp;'Output - County'!B2111)*VLOOKUP(A2111,'Output - State'!$B$2:$G$52,6,FALSE)</f>
        <v>36.711251146442621</v>
      </c>
    </row>
    <row r="2112" spans="1:7" x14ac:dyDescent="0.25">
      <c r="A2112" s="88">
        <v>39</v>
      </c>
      <c r="B2112" s="88">
        <v>135</v>
      </c>
      <c r="C2112" s="97">
        <f>SUMIFS(Input!$C$115:$C$3257,Input!$A$115:$A$3257,"="&amp;'Output - County'!A2112,Input!$B$115:$B$3257,"="&amp;'Output - County'!B2112)*VLOOKUP(A2112,'Output - State'!$B$2:$G$52,2,FALSE)</f>
        <v>11.709859655024127</v>
      </c>
      <c r="D2112" s="98">
        <f>SUMIFS(Input!$C$115:$C$3257,Input!$A$115:$A$3257,"="&amp;'Output - County'!A2112,Input!$B$115:$B$3257,"="&amp;'Output - County'!B2112)*VLOOKUP(A2112,'Output - State'!$B$2:$G$52,3,FALSE)</f>
        <v>5.214974434033059</v>
      </c>
      <c r="E2112" s="98">
        <f>SUMIFS(Input!$C$115:$C$3257,Input!$A$115:$A$3257,"="&amp;'Output - County'!A2112,Input!$B$115:$B$3257,"="&amp;'Output - County'!B2112)*VLOOKUP(A2112,'Output - State'!$B$2:$G$52,4,FALSE)</f>
        <v>16.961029708054923</v>
      </c>
      <c r="F2112" s="98">
        <f>SUMIFS(Input!$C$115:$C$3257,Input!$A$115:$A$3257,"="&amp;'Output - County'!A2112,Input!$B$115:$B$3257,"="&amp;'Output - County'!B2112)*VLOOKUP(A2112,'Output - State'!$B$2:$G$52,5,FALSE)</f>
        <v>55.61039328248652</v>
      </c>
      <c r="G2112" s="99">
        <f>SUMIFS(Input!$D$115:$D$3257,Input!$A$115:$A$3257,"="&amp;'Output - County'!A2112,Input!$B$115:$B$3257,"="&amp;'Output - County'!B2112)*VLOOKUP(A2112,'Output - State'!$B$2:$G$52,6,FALSE)</f>
        <v>9.2341183865285128</v>
      </c>
    </row>
    <row r="2113" spans="1:7" x14ac:dyDescent="0.25">
      <c r="A2113" s="88">
        <v>39</v>
      </c>
      <c r="B2113" s="88">
        <v>137</v>
      </c>
      <c r="C2113" s="97">
        <f>SUMIFS(Input!$C$115:$C$3257,Input!$A$115:$A$3257,"="&amp;'Output - County'!A2113,Input!$B$115:$B$3257,"="&amp;'Output - County'!B2113)*VLOOKUP(A2113,'Output - State'!$B$2:$G$52,2,FALSE)</f>
        <v>5.3025037370752388</v>
      </c>
      <c r="D2113" s="98">
        <f>SUMIFS(Input!$C$115:$C$3257,Input!$A$115:$A$3257,"="&amp;'Output - County'!A2113,Input!$B$115:$B$3257,"="&amp;'Output - County'!B2113)*VLOOKUP(A2113,'Output - State'!$B$2:$G$52,3,FALSE)</f>
        <v>2.3614648031539662</v>
      </c>
      <c r="E2113" s="98">
        <f>SUMIFS(Input!$C$115:$C$3257,Input!$A$115:$A$3257,"="&amp;'Output - County'!A2113,Input!$B$115:$B$3257,"="&amp;'Output - County'!B2113)*VLOOKUP(A2113,'Output - State'!$B$2:$G$52,4,FALSE)</f>
        <v>7.6803587797927415</v>
      </c>
      <c r="F2113" s="98">
        <f>SUMIFS(Input!$C$115:$C$3257,Input!$A$115:$A$3257,"="&amp;'Output - County'!A2113,Input!$B$115:$B$3257,"="&amp;'Output - County'!B2113)*VLOOKUP(A2113,'Output - State'!$B$2:$G$52,5,FALSE)</f>
        <v>25.181712410540495</v>
      </c>
      <c r="G2113" s="99">
        <f>SUMIFS(Input!$D$115:$D$3257,Input!$A$115:$A$3257,"="&amp;'Output - County'!A2113,Input!$B$115:$B$3257,"="&amp;'Output - County'!B2113)*VLOOKUP(A2113,'Output - State'!$B$2:$G$52,6,FALSE)</f>
        <v>7.6125171088942372</v>
      </c>
    </row>
    <row r="2114" spans="1:7" x14ac:dyDescent="0.25">
      <c r="A2114" s="88">
        <v>39</v>
      </c>
      <c r="B2114" s="88">
        <v>139</v>
      </c>
      <c r="C2114" s="97">
        <f>SUMIFS(Input!$C$115:$C$3257,Input!$A$115:$A$3257,"="&amp;'Output - County'!A2114,Input!$B$115:$B$3257,"="&amp;'Output - County'!B2114)*VLOOKUP(A2114,'Output - State'!$B$2:$G$52,2,FALSE)</f>
        <v>31.944089544758356</v>
      </c>
      <c r="D2114" s="98">
        <f>SUMIFS(Input!$C$115:$C$3257,Input!$A$115:$A$3257,"="&amp;'Output - County'!A2114,Input!$B$115:$B$3257,"="&amp;'Output - County'!B2114)*VLOOKUP(A2114,'Output - State'!$B$2:$G$52,3,FALSE)</f>
        <v>14.226268734391105</v>
      </c>
      <c r="E2114" s="98">
        <f>SUMIFS(Input!$C$115:$C$3257,Input!$A$115:$A$3257,"="&amp;'Output - County'!A2114,Input!$B$115:$B$3257,"="&amp;'Output - County'!B2114)*VLOOKUP(A2114,'Output - State'!$B$2:$G$52,4,FALSE)</f>
        <v>46.269098667886361</v>
      </c>
      <c r="F2114" s="98">
        <f>SUMIFS(Input!$C$115:$C$3257,Input!$A$115:$A$3257,"="&amp;'Output - County'!A2114,Input!$B$115:$B$3257,"="&amp;'Output - County'!B2114)*VLOOKUP(A2114,'Output - State'!$B$2:$G$52,5,FALSE)</f>
        <v>151.70321720062645</v>
      </c>
      <c r="G2114" s="99">
        <f>SUMIFS(Input!$D$115:$D$3257,Input!$A$115:$A$3257,"="&amp;'Output - County'!A2114,Input!$B$115:$B$3257,"="&amp;'Output - County'!B2114)*VLOOKUP(A2114,'Output - State'!$B$2:$G$52,6,FALSE)</f>
        <v>27.251910360242686</v>
      </c>
    </row>
    <row r="2115" spans="1:7" x14ac:dyDescent="0.25">
      <c r="A2115" s="88">
        <v>39</v>
      </c>
      <c r="B2115" s="88">
        <v>141</v>
      </c>
      <c r="C2115" s="97">
        <f>SUMIFS(Input!$C$115:$C$3257,Input!$A$115:$A$3257,"="&amp;'Output - County'!A2115,Input!$B$115:$B$3257,"="&amp;'Output - County'!B2115)*VLOOKUP(A2115,'Output - State'!$B$2:$G$52,2,FALSE)</f>
        <v>19.613228505352961</v>
      </c>
      <c r="D2115" s="98">
        <f>SUMIFS(Input!$C$115:$C$3257,Input!$A$115:$A$3257,"="&amp;'Output - County'!A2115,Input!$B$115:$B$3257,"="&amp;'Output - County'!B2115)*VLOOKUP(A2115,'Output - State'!$B$2:$G$52,3,FALSE)</f>
        <v>8.7347319470545237</v>
      </c>
      <c r="E2115" s="98">
        <f>SUMIFS(Input!$C$115:$C$3257,Input!$A$115:$A$3257,"="&amp;'Output - County'!A2115,Input!$B$115:$B$3257,"="&amp;'Output - County'!B2115)*VLOOKUP(A2115,'Output - State'!$B$2:$G$52,4,FALSE)</f>
        <v>28.408585683384587</v>
      </c>
      <c r="F2115" s="98">
        <f>SUMIFS(Input!$C$115:$C$3257,Input!$A$115:$A$3257,"="&amp;'Output - County'!A2115,Input!$B$115:$B$3257,"="&amp;'Output - County'!B2115)*VLOOKUP(A2115,'Output - State'!$B$2:$G$52,5,FALSE)</f>
        <v>93.143674036604509</v>
      </c>
      <c r="G2115" s="99">
        <f>SUMIFS(Input!$D$115:$D$3257,Input!$A$115:$A$3257,"="&amp;'Output - County'!A2115,Input!$B$115:$B$3257,"="&amp;'Output - County'!B2115)*VLOOKUP(A2115,'Output - State'!$B$2:$G$52,6,FALSE)</f>
        <v>17.319602534732745</v>
      </c>
    </row>
    <row r="2116" spans="1:7" x14ac:dyDescent="0.25">
      <c r="A2116" s="88">
        <v>39</v>
      </c>
      <c r="B2116" s="88">
        <v>143</v>
      </c>
      <c r="C2116" s="97">
        <f>SUMIFS(Input!$C$115:$C$3257,Input!$A$115:$A$3257,"="&amp;'Output - County'!A2116,Input!$B$115:$B$3257,"="&amp;'Output - County'!B2116)*VLOOKUP(A2116,'Output - State'!$B$2:$G$52,2,FALSE)</f>
        <v>21.331579826882329</v>
      </c>
      <c r="D2116" s="98">
        <f>SUMIFS(Input!$C$115:$C$3257,Input!$A$115:$A$3257,"="&amp;'Output - County'!A2116,Input!$B$115:$B$3257,"="&amp;'Output - County'!B2116)*VLOOKUP(A2116,'Output - State'!$B$2:$G$52,3,FALSE)</f>
        <v>9.4999980112483655</v>
      </c>
      <c r="E2116" s="98">
        <f>SUMIFS(Input!$C$115:$C$3257,Input!$A$115:$A$3257,"="&amp;'Output - County'!A2116,Input!$B$115:$B$3257,"="&amp;'Output - County'!B2116)*VLOOKUP(A2116,'Output - State'!$B$2:$G$52,4,FALSE)</f>
        <v>30.89751455802147</v>
      </c>
      <c r="F2116" s="98">
        <f>SUMIFS(Input!$C$115:$C$3257,Input!$A$115:$A$3257,"="&amp;'Output - County'!A2116,Input!$B$115:$B$3257,"="&amp;'Output - County'!B2116)*VLOOKUP(A2116,'Output - State'!$B$2:$G$52,5,FALSE)</f>
        <v>101.30416405125035</v>
      </c>
      <c r="G2116" s="99">
        <f>SUMIFS(Input!$D$115:$D$3257,Input!$A$115:$A$3257,"="&amp;'Output - County'!A2116,Input!$B$115:$B$3257,"="&amp;'Output - County'!B2116)*VLOOKUP(A2116,'Output - State'!$B$2:$G$52,6,FALSE)</f>
        <v>13.220554860712772</v>
      </c>
    </row>
    <row r="2117" spans="1:7" x14ac:dyDescent="0.25">
      <c r="A2117" s="88">
        <v>39</v>
      </c>
      <c r="B2117" s="88">
        <v>145</v>
      </c>
      <c r="C2117" s="97">
        <f>SUMIFS(Input!$C$115:$C$3257,Input!$A$115:$A$3257,"="&amp;'Output - County'!A2117,Input!$B$115:$B$3257,"="&amp;'Output - County'!B2117)*VLOOKUP(A2117,'Output - State'!$B$2:$G$52,2,FALSE)</f>
        <v>13.889798567233029</v>
      </c>
      <c r="D2117" s="98">
        <f>SUMIFS(Input!$C$115:$C$3257,Input!$A$115:$A$3257,"="&amp;'Output - County'!A2117,Input!$B$115:$B$3257,"="&amp;'Output - County'!B2117)*VLOOKUP(A2117,'Output - State'!$B$2:$G$52,3,FALSE)</f>
        <v>6.1858080759243741</v>
      </c>
      <c r="E2117" s="98">
        <f>SUMIFS(Input!$C$115:$C$3257,Input!$A$115:$A$3257,"="&amp;'Output - County'!A2117,Input!$B$115:$B$3257,"="&amp;'Output - County'!B2117)*VLOOKUP(A2117,'Output - State'!$B$2:$G$52,4,FALSE)</f>
        <v>20.118540535766368</v>
      </c>
      <c r="F2117" s="98">
        <f>SUMIFS(Input!$C$115:$C$3257,Input!$A$115:$A$3257,"="&amp;'Output - County'!A2117,Input!$B$115:$B$3257,"="&amp;'Output - County'!B2117)*VLOOKUP(A2117,'Output - State'!$B$2:$G$52,5,FALSE)</f>
        <v>65.962973399680337</v>
      </c>
      <c r="G2117" s="99">
        <f>SUMIFS(Input!$D$115:$D$3257,Input!$A$115:$A$3257,"="&amp;'Output - County'!A2117,Input!$B$115:$B$3257,"="&amp;'Output - County'!B2117)*VLOOKUP(A2117,'Output - State'!$B$2:$G$52,6,FALSE)</f>
        <v>17.004291175192748</v>
      </c>
    </row>
    <row r="2118" spans="1:7" x14ac:dyDescent="0.25">
      <c r="A2118" s="88">
        <v>39</v>
      </c>
      <c r="B2118" s="88">
        <v>147</v>
      </c>
      <c r="C2118" s="97">
        <f>SUMIFS(Input!$C$115:$C$3257,Input!$A$115:$A$3257,"="&amp;'Output - County'!A2118,Input!$B$115:$B$3257,"="&amp;'Output - County'!B2118)*VLOOKUP(A2118,'Output - State'!$B$2:$G$52,2,FALSE)</f>
        <v>9.052963661351205</v>
      </c>
      <c r="D2118" s="98">
        <f>SUMIFS(Input!$C$115:$C$3257,Input!$A$115:$A$3257,"="&amp;'Output - County'!A2118,Input!$B$115:$B$3257,"="&amp;'Output - County'!B2118)*VLOOKUP(A2118,'Output - State'!$B$2:$G$52,3,FALSE)</f>
        <v>4.0317284269005675</v>
      </c>
      <c r="E2118" s="98">
        <f>SUMIFS(Input!$C$115:$C$3257,Input!$A$115:$A$3257,"="&amp;'Output - County'!A2118,Input!$B$115:$B$3257,"="&amp;'Output - County'!B2118)*VLOOKUP(A2118,'Output - State'!$B$2:$G$52,4,FALSE)</f>
        <v>13.112675141263516</v>
      </c>
      <c r="F2118" s="98">
        <f>SUMIFS(Input!$C$115:$C$3257,Input!$A$115:$A$3257,"="&amp;'Output - County'!A2118,Input!$B$115:$B$3257,"="&amp;'Output - County'!B2118)*VLOOKUP(A2118,'Output - State'!$B$2:$G$52,5,FALSE)</f>
        <v>42.992732996915016</v>
      </c>
      <c r="G2118" s="99">
        <f>SUMIFS(Input!$D$115:$D$3257,Input!$A$115:$A$3257,"="&amp;'Output - County'!A2118,Input!$B$115:$B$3257,"="&amp;'Output - County'!B2118)*VLOOKUP(A2118,'Output - State'!$B$2:$G$52,6,FALSE)</f>
        <v>12.432276461862777</v>
      </c>
    </row>
    <row r="2119" spans="1:7" x14ac:dyDescent="0.25">
      <c r="A2119" s="88">
        <v>39</v>
      </c>
      <c r="B2119" s="88">
        <v>149</v>
      </c>
      <c r="C2119" s="97">
        <f>SUMIFS(Input!$C$115:$C$3257,Input!$A$115:$A$3257,"="&amp;'Output - County'!A2119,Input!$B$115:$B$3257,"="&amp;'Output - County'!B2119)*VLOOKUP(A2119,'Output - State'!$B$2:$G$52,2,FALSE)</f>
        <v>14.979951107387009</v>
      </c>
      <c r="D2119" s="98">
        <f>SUMIFS(Input!$C$115:$C$3257,Input!$A$115:$A$3257,"="&amp;'Output - County'!A2119,Input!$B$115:$B$3257,"="&amp;'Output - County'!B2119)*VLOOKUP(A2119,'Output - State'!$B$2:$G$52,3,FALSE)</f>
        <v>6.6713064331706979</v>
      </c>
      <c r="E2119" s="98">
        <f>SUMIFS(Input!$C$115:$C$3257,Input!$A$115:$A$3257,"="&amp;'Output - County'!A2119,Input!$B$115:$B$3257,"="&amp;'Output - County'!B2119)*VLOOKUP(A2119,'Output - State'!$B$2:$G$52,4,FALSE)</f>
        <v>21.697561135892009</v>
      </c>
      <c r="F2119" s="98">
        <f>SUMIFS(Input!$C$115:$C$3257,Input!$A$115:$A$3257,"="&amp;'Output - County'!A2119,Input!$B$115:$B$3257,"="&amp;'Output - County'!B2119)*VLOOKUP(A2119,'Output - State'!$B$2:$G$52,5,FALSE)</f>
        <v>71.140132928646509</v>
      </c>
      <c r="G2119" s="99">
        <f>SUMIFS(Input!$D$115:$D$3257,Input!$A$115:$A$3257,"="&amp;'Output - County'!A2119,Input!$B$115:$B$3257,"="&amp;'Output - County'!B2119)*VLOOKUP(A2119,'Output - State'!$B$2:$G$52,6,FALSE)</f>
        <v>10.945808624031359</v>
      </c>
    </row>
    <row r="2120" spans="1:7" x14ac:dyDescent="0.25">
      <c r="A2120" s="88">
        <v>39</v>
      </c>
      <c r="B2120" s="88">
        <v>151</v>
      </c>
      <c r="C2120" s="97">
        <f>SUMIFS(Input!$C$115:$C$3257,Input!$A$115:$A$3257,"="&amp;'Output - County'!A2120,Input!$B$115:$B$3257,"="&amp;'Output - County'!B2120)*VLOOKUP(A2120,'Output - State'!$B$2:$G$52,2,FALSE)</f>
        <v>70.297448126652085</v>
      </c>
      <c r="D2120" s="98">
        <f>SUMIFS(Input!$C$115:$C$3257,Input!$A$115:$A$3257,"="&amp;'Output - County'!A2120,Input!$B$115:$B$3257,"="&amp;'Output - County'!B2120)*VLOOKUP(A2120,'Output - State'!$B$2:$G$52,3,FALSE)</f>
        <v>31.306899105401826</v>
      </c>
      <c r="E2120" s="98">
        <f>SUMIFS(Input!$C$115:$C$3257,Input!$A$115:$A$3257,"="&amp;'Output - County'!A2120,Input!$B$115:$B$3257,"="&amp;'Output - County'!B2120)*VLOOKUP(A2120,'Output - State'!$B$2:$G$52,4,FALSE)</f>
        <v>101.82163930248566</v>
      </c>
      <c r="F2120" s="98">
        <f>SUMIFS(Input!$C$115:$C$3257,Input!$A$115:$A$3257,"="&amp;'Output - County'!A2120,Input!$B$115:$B$3257,"="&amp;'Output - County'!B2120)*VLOOKUP(A2120,'Output - State'!$B$2:$G$52,5,FALSE)</f>
        <v>333.8442007202915</v>
      </c>
      <c r="G2120" s="99">
        <f>SUMIFS(Input!$D$115:$D$3257,Input!$A$115:$A$3257,"="&amp;'Output - County'!A2120,Input!$B$115:$B$3257,"="&amp;'Output - County'!B2120)*VLOOKUP(A2120,'Output - State'!$B$2:$G$52,6,FALSE)</f>
        <v>83.557510278099457</v>
      </c>
    </row>
    <row r="2121" spans="1:7" x14ac:dyDescent="0.25">
      <c r="A2121" s="88">
        <v>39</v>
      </c>
      <c r="B2121" s="88">
        <v>153</v>
      </c>
      <c r="C2121" s="97">
        <f>SUMIFS(Input!$C$115:$C$3257,Input!$A$115:$A$3257,"="&amp;'Output - County'!A2121,Input!$B$115:$B$3257,"="&amp;'Output - County'!B2121)*VLOOKUP(A2121,'Output - State'!$B$2:$G$52,2,FALSE)</f>
        <v>132.53964792941741</v>
      </c>
      <c r="D2121" s="98">
        <f>SUMIFS(Input!$C$115:$C$3257,Input!$A$115:$A$3257,"="&amp;'Output - County'!A2121,Input!$B$115:$B$3257,"="&amp;'Output - County'!B2121)*VLOOKUP(A2121,'Output - State'!$B$2:$G$52,3,FALSE)</f>
        <v>59.026401324212138</v>
      </c>
      <c r="E2121" s="98">
        <f>SUMIFS(Input!$C$115:$C$3257,Input!$A$115:$A$3257,"="&amp;'Output - County'!A2121,Input!$B$115:$B$3257,"="&amp;'Output - County'!B2121)*VLOOKUP(A2121,'Output - State'!$B$2:$G$52,4,FALSE)</f>
        <v>191.97573431731766</v>
      </c>
      <c r="F2121" s="98">
        <f>SUMIFS(Input!$C$115:$C$3257,Input!$A$115:$A$3257,"="&amp;'Output - County'!A2121,Input!$B$115:$B$3257,"="&amp;'Output - County'!B2121)*VLOOKUP(A2121,'Output - State'!$B$2:$G$52,5,FALSE)</f>
        <v>629.43384156742195</v>
      </c>
      <c r="G2121" s="99">
        <f>SUMIFS(Input!$D$115:$D$3257,Input!$A$115:$A$3257,"="&amp;'Output - County'!A2121,Input!$B$115:$B$3257,"="&amp;'Output - County'!B2121)*VLOOKUP(A2121,'Output - State'!$B$2:$G$52,6,FALSE)</f>
        <v>121.84531822224208</v>
      </c>
    </row>
    <row r="2122" spans="1:7" x14ac:dyDescent="0.25">
      <c r="A2122" s="88">
        <v>39</v>
      </c>
      <c r="B2122" s="88">
        <v>155</v>
      </c>
      <c r="C2122" s="97">
        <f>SUMIFS(Input!$C$115:$C$3257,Input!$A$115:$A$3257,"="&amp;'Output - County'!A2122,Input!$B$115:$B$3257,"="&amp;'Output - County'!B2122)*VLOOKUP(A2122,'Output - State'!$B$2:$G$52,2,FALSE)</f>
        <v>43.771473021223521</v>
      </c>
      <c r="D2122" s="98">
        <f>SUMIFS(Input!$C$115:$C$3257,Input!$A$115:$A$3257,"="&amp;'Output - County'!A2122,Input!$B$115:$B$3257,"="&amp;'Output - County'!B2122)*VLOOKUP(A2122,'Output - State'!$B$2:$G$52,3,FALSE)</f>
        <v>19.493582286249708</v>
      </c>
      <c r="E2122" s="98">
        <f>SUMIFS(Input!$C$115:$C$3257,Input!$A$115:$A$3257,"="&amp;'Output - County'!A2122,Input!$B$115:$B$3257,"="&amp;'Output - County'!B2122)*VLOOKUP(A2122,'Output - State'!$B$2:$G$52,4,FALSE)</f>
        <v>63.400354585784058</v>
      </c>
      <c r="F2122" s="98">
        <f>SUMIFS(Input!$C$115:$C$3257,Input!$A$115:$A$3257,"="&amp;'Output - County'!A2122,Input!$B$115:$B$3257,"="&amp;'Output - County'!B2122)*VLOOKUP(A2122,'Output - State'!$B$2:$G$52,5,FALSE)</f>
        <v>207.87173381874089</v>
      </c>
      <c r="G2122" s="99">
        <f>SUMIFS(Input!$D$115:$D$3257,Input!$A$115:$A$3257,"="&amp;'Output - County'!A2122,Input!$B$115:$B$3257,"="&amp;'Output - County'!B2122)*VLOOKUP(A2122,'Output - State'!$B$2:$G$52,6,FALSE)</f>
        <v>44.819257534614003</v>
      </c>
    </row>
    <row r="2123" spans="1:7" x14ac:dyDescent="0.25">
      <c r="A2123" s="88">
        <v>39</v>
      </c>
      <c r="B2123" s="88">
        <v>157</v>
      </c>
      <c r="C2123" s="97">
        <f>SUMIFS(Input!$C$115:$C$3257,Input!$A$115:$A$3257,"="&amp;'Output - County'!A2123,Input!$B$115:$B$3257,"="&amp;'Output - County'!B2123)*VLOOKUP(A2123,'Output - State'!$B$2:$G$52,2,FALSE)</f>
        <v>22.120773262946933</v>
      </c>
      <c r="D2123" s="98">
        <f>SUMIFS(Input!$C$115:$C$3257,Input!$A$115:$A$3257,"="&amp;'Output - County'!A2123,Input!$B$115:$B$3257,"="&amp;'Output - County'!B2123)*VLOOKUP(A2123,'Output - State'!$B$2:$G$52,3,FALSE)</f>
        <v>9.85146452868163</v>
      </c>
      <c r="E2123" s="98">
        <f>SUMIFS(Input!$C$115:$C$3257,Input!$A$115:$A$3257,"="&amp;'Output - County'!A2123,Input!$B$115:$B$3257,"="&amp;'Output - County'!B2123)*VLOOKUP(A2123,'Output - State'!$B$2:$G$52,4,FALSE)</f>
        <v>32.040613938273275</v>
      </c>
      <c r="F2123" s="98">
        <f>SUMIFS(Input!$C$115:$C$3257,Input!$A$115:$A$3257,"="&amp;'Output - County'!A2123,Input!$B$115:$B$3257,"="&amp;'Output - County'!B2123)*VLOOKUP(A2123,'Output - State'!$B$2:$G$52,5,FALSE)</f>
        <v>105.05206186116813</v>
      </c>
      <c r="G2123" s="99">
        <f>SUMIFS(Input!$D$115:$D$3257,Input!$A$115:$A$3257,"="&amp;'Output - County'!A2123,Input!$B$115:$B$3257,"="&amp;'Output - County'!B2123)*VLOOKUP(A2123,'Output - State'!$B$2:$G$52,6,FALSE)</f>
        <v>20.742983009738438</v>
      </c>
    </row>
    <row r="2124" spans="1:7" x14ac:dyDescent="0.25">
      <c r="A2124" s="88">
        <v>39</v>
      </c>
      <c r="B2124" s="88">
        <v>159</v>
      </c>
      <c r="C2124" s="97">
        <f>SUMIFS(Input!$C$115:$C$3257,Input!$A$115:$A$3257,"="&amp;'Output - County'!A2124,Input!$B$115:$B$3257,"="&amp;'Output - County'!B2124)*VLOOKUP(A2124,'Output - State'!$B$2:$G$52,2,FALSE)</f>
        <v>19.419854814517475</v>
      </c>
      <c r="D2124" s="98">
        <f>SUMIFS(Input!$C$115:$C$3257,Input!$A$115:$A$3257,"="&amp;'Output - County'!A2124,Input!$B$115:$B$3257,"="&amp;'Output - County'!B2124)*VLOOKUP(A2124,'Output - State'!$B$2:$G$52,3,FALSE)</f>
        <v>8.6486131647949094</v>
      </c>
      <c r="E2124" s="98">
        <f>SUMIFS(Input!$C$115:$C$3257,Input!$A$115:$A$3257,"="&amp;'Output - County'!A2124,Input!$B$115:$B$3257,"="&amp;'Output - County'!B2124)*VLOOKUP(A2124,'Output - State'!$B$2:$G$52,4,FALSE)</f>
        <v>28.128495484898757</v>
      </c>
      <c r="F2124" s="98">
        <f>SUMIFS(Input!$C$115:$C$3257,Input!$A$115:$A$3257,"="&amp;'Output - County'!A2124,Input!$B$115:$B$3257,"="&amp;'Output - County'!B2124)*VLOOKUP(A2124,'Output - State'!$B$2:$G$52,5,FALSE)</f>
        <v>92.225337923734571</v>
      </c>
      <c r="G2124" s="99">
        <f>SUMIFS(Input!$D$115:$D$3257,Input!$A$115:$A$3257,"="&amp;'Output - County'!A2124,Input!$B$115:$B$3257,"="&amp;'Output - County'!B2124)*VLOOKUP(A2124,'Output - State'!$B$2:$G$52,6,FALSE)</f>
        <v>13.017854701008488</v>
      </c>
    </row>
    <row r="2125" spans="1:7" x14ac:dyDescent="0.25">
      <c r="A2125" s="88">
        <v>39</v>
      </c>
      <c r="B2125" s="88">
        <v>161</v>
      </c>
      <c r="C2125" s="97">
        <f>SUMIFS(Input!$C$115:$C$3257,Input!$A$115:$A$3257,"="&amp;'Output - County'!A2125,Input!$B$115:$B$3257,"="&amp;'Output - County'!B2125)*VLOOKUP(A2125,'Output - State'!$B$2:$G$52,2,FALSE)</f>
        <v>7.1602729248983081</v>
      </c>
      <c r="D2125" s="98">
        <f>SUMIFS(Input!$C$115:$C$3257,Input!$A$115:$A$3257,"="&amp;'Output - County'!A2125,Input!$B$115:$B$3257,"="&amp;'Output - County'!B2125)*VLOOKUP(A2125,'Output - State'!$B$2:$G$52,3,FALSE)</f>
        <v>3.1888204764284045</v>
      </c>
      <c r="E2125" s="98">
        <f>SUMIFS(Input!$C$115:$C$3257,Input!$A$115:$A$3257,"="&amp;'Output - County'!A2125,Input!$B$115:$B$3257,"="&amp;'Output - County'!B2125)*VLOOKUP(A2125,'Output - State'!$B$2:$G$52,4,FALSE)</f>
        <v>10.371226075700672</v>
      </c>
      <c r="F2125" s="98">
        <f>SUMIFS(Input!$C$115:$C$3257,Input!$A$115:$A$3257,"="&amp;'Output - County'!A2125,Input!$B$115:$B$3257,"="&amp;'Output - County'!B2125)*VLOOKUP(A2125,'Output - State'!$B$2:$G$52,5,FALSE)</f>
        <v>34.004301084231443</v>
      </c>
      <c r="G2125" s="99">
        <f>SUMIFS(Input!$D$115:$D$3257,Input!$A$115:$A$3257,"="&amp;'Output - County'!A2125,Input!$B$115:$B$3257,"="&amp;'Output - County'!B2125)*VLOOKUP(A2125,'Output - State'!$B$2:$G$52,6,FALSE)</f>
        <v>6.3737939107013881</v>
      </c>
    </row>
    <row r="2126" spans="1:7" x14ac:dyDescent="0.25">
      <c r="A2126" s="88">
        <v>39</v>
      </c>
      <c r="B2126" s="88">
        <v>163</v>
      </c>
      <c r="C2126" s="97">
        <f>SUMIFS(Input!$C$115:$C$3257,Input!$A$115:$A$3257,"="&amp;'Output - County'!A2126,Input!$B$115:$B$3257,"="&amp;'Output - County'!B2126)*VLOOKUP(A2126,'Output - State'!$B$2:$G$52,2,FALSE)</f>
        <v>2.332390576713308</v>
      </c>
      <c r="D2126" s="98">
        <f>SUMIFS(Input!$C$115:$C$3257,Input!$A$115:$A$3257,"="&amp;'Output - County'!A2126,Input!$B$115:$B$3257,"="&amp;'Output - County'!B2126)*VLOOKUP(A2126,'Output - State'!$B$2:$G$52,3,FALSE)</f>
        <v>1.0387278401343454</v>
      </c>
      <c r="E2126" s="98">
        <f>SUMIFS(Input!$C$115:$C$3257,Input!$A$115:$A$3257,"="&amp;'Output - County'!A2126,Input!$B$115:$B$3257,"="&amp;'Output - County'!B2126)*VLOOKUP(A2126,'Output - State'!$B$2:$G$52,4,FALSE)</f>
        <v>3.37832792431877</v>
      </c>
      <c r="F2126" s="98">
        <f>SUMIFS(Input!$C$115:$C$3257,Input!$A$115:$A$3257,"="&amp;'Output - County'!A2126,Input!$B$115:$B$3257,"="&amp;'Output - County'!B2126)*VLOOKUP(A2126,'Output - State'!$B$2:$G$52,5,FALSE)</f>
        <v>11.076576584224258</v>
      </c>
      <c r="G2126" s="99">
        <f>SUMIFS(Input!$D$115:$D$3257,Input!$A$115:$A$3257,"="&amp;'Output - County'!A2126,Input!$B$115:$B$3257,"="&amp;'Output - County'!B2126)*VLOOKUP(A2126,'Output - State'!$B$2:$G$52,6,FALSE)</f>
        <v>2.9504134356956953</v>
      </c>
    </row>
    <row r="2127" spans="1:7" x14ac:dyDescent="0.25">
      <c r="A2127" s="88">
        <v>39</v>
      </c>
      <c r="B2127" s="88">
        <v>165</v>
      </c>
      <c r="C2127" s="97">
        <f>SUMIFS(Input!$C$115:$C$3257,Input!$A$115:$A$3257,"="&amp;'Output - County'!A2127,Input!$B$115:$B$3257,"="&amp;'Output - County'!B2127)*VLOOKUP(A2127,'Output - State'!$B$2:$G$52,2,FALSE)</f>
        <v>54.374190034603885</v>
      </c>
      <c r="D2127" s="98">
        <f>SUMIFS(Input!$C$115:$C$3257,Input!$A$115:$A$3257,"="&amp;'Output - County'!A2127,Input!$B$115:$B$3257,"="&amp;'Output - County'!B2127)*VLOOKUP(A2127,'Output - State'!$B$2:$G$52,3,FALSE)</f>
        <v>24.215491838115469</v>
      </c>
      <c r="E2127" s="98">
        <f>SUMIFS(Input!$C$115:$C$3257,Input!$A$115:$A$3257,"="&amp;'Output - County'!A2127,Input!$B$115:$B$3257,"="&amp;'Output - County'!B2127)*VLOOKUP(A2127,'Output - State'!$B$2:$G$52,4,FALSE)</f>
        <v>78.757754550256408</v>
      </c>
      <c r="F2127" s="98">
        <f>SUMIFS(Input!$C$115:$C$3257,Input!$A$115:$A$3257,"="&amp;'Output - County'!A2127,Input!$B$115:$B$3257,"="&amp;'Output - County'!B2127)*VLOOKUP(A2127,'Output - State'!$B$2:$G$52,5,FALSE)</f>
        <v>258.22428118885523</v>
      </c>
      <c r="G2127" s="99">
        <f>SUMIFS(Input!$D$115:$D$3257,Input!$A$115:$A$3257,"="&amp;'Output - County'!A2127,Input!$B$115:$B$3257,"="&amp;'Output - County'!B2127)*VLOOKUP(A2127,'Output - State'!$B$2:$G$52,6,FALSE)</f>
        <v>52.251596723771094</v>
      </c>
    </row>
    <row r="2128" spans="1:7" x14ac:dyDescent="0.25">
      <c r="A2128" s="88">
        <v>39</v>
      </c>
      <c r="B2128" s="88">
        <v>167</v>
      </c>
      <c r="C2128" s="97">
        <f>SUMIFS(Input!$C$115:$C$3257,Input!$A$115:$A$3257,"="&amp;'Output - County'!A2128,Input!$B$115:$B$3257,"="&amp;'Output - County'!B2128)*VLOOKUP(A2128,'Output - State'!$B$2:$G$52,2,FALSE)</f>
        <v>13.88399272313373</v>
      </c>
      <c r="D2128" s="98">
        <f>SUMIFS(Input!$C$115:$C$3257,Input!$A$115:$A$3257,"="&amp;'Output - County'!A2128,Input!$B$115:$B$3257,"="&amp;'Output - County'!B2128)*VLOOKUP(A2128,'Output - State'!$B$2:$G$52,3,FALSE)</f>
        <v>6.1832224489879462</v>
      </c>
      <c r="E2128" s="98">
        <f>SUMIFS(Input!$C$115:$C$3257,Input!$A$115:$A$3257,"="&amp;'Output - County'!A2128,Input!$B$115:$B$3257,"="&amp;'Output - County'!B2128)*VLOOKUP(A2128,'Output - State'!$B$2:$G$52,4,FALSE)</f>
        <v>20.110131118646986</v>
      </c>
      <c r="F2128" s="98">
        <f>SUMIFS(Input!$C$115:$C$3257,Input!$A$115:$A$3257,"="&amp;'Output - County'!A2128,Input!$B$115:$B$3257,"="&amp;'Output - County'!B2128)*VLOOKUP(A2128,'Output - State'!$B$2:$G$52,5,FALSE)</f>
        <v>65.935401312293266</v>
      </c>
      <c r="G2128" s="99">
        <f>SUMIFS(Input!$D$115:$D$3257,Input!$A$115:$A$3257,"="&amp;'Output - County'!A2128,Input!$B$115:$B$3257,"="&amp;'Output - County'!B2128)*VLOOKUP(A2128,'Output - State'!$B$2:$G$52,6,FALSE)</f>
        <v>13.535866220252769</v>
      </c>
    </row>
    <row r="2129" spans="1:7" x14ac:dyDescent="0.25">
      <c r="A2129" s="88">
        <v>39</v>
      </c>
      <c r="B2129" s="88">
        <v>169</v>
      </c>
      <c r="C2129" s="97">
        <f>SUMIFS(Input!$C$115:$C$3257,Input!$A$115:$A$3257,"="&amp;'Output - County'!A2129,Input!$B$115:$B$3257,"="&amp;'Output - County'!B2129)*VLOOKUP(A2129,'Output - State'!$B$2:$G$52,2,FALSE)</f>
        <v>24.031358178254909</v>
      </c>
      <c r="D2129" s="98">
        <f>SUMIFS(Input!$C$115:$C$3257,Input!$A$115:$A$3257,"="&amp;'Output - County'!A2129,Input!$B$115:$B$3257,"="&amp;'Output - County'!B2129)*VLOOKUP(A2129,'Output - State'!$B$2:$G$52,3,FALSE)</f>
        <v>10.702341634036637</v>
      </c>
      <c r="E2129" s="98">
        <f>SUMIFS(Input!$C$115:$C$3257,Input!$A$115:$A$3257,"="&amp;'Output - County'!A2129,Input!$B$115:$B$3257,"="&amp;'Output - County'!B2129)*VLOOKUP(A2129,'Output - State'!$B$2:$G$52,4,FALSE)</f>
        <v>34.80798164915754</v>
      </c>
      <c r="F2129" s="98">
        <f>SUMIFS(Input!$C$115:$C$3257,Input!$A$115:$A$3257,"="&amp;'Output - County'!A2129,Input!$B$115:$B$3257,"="&amp;'Output - County'!B2129)*VLOOKUP(A2129,'Output - State'!$B$2:$G$52,5,FALSE)</f>
        <v>114.12547364149435</v>
      </c>
      <c r="G2129" s="99">
        <f>SUMIFS(Input!$D$115:$D$3257,Input!$A$115:$A$3257,"="&amp;'Output - County'!A2129,Input!$B$115:$B$3257,"="&amp;'Output - County'!B2129)*VLOOKUP(A2129,'Output - State'!$B$2:$G$52,6,FALSE)</f>
        <v>26.125798361885547</v>
      </c>
    </row>
    <row r="2130" spans="1:7" x14ac:dyDescent="0.25">
      <c r="A2130" s="88">
        <v>39</v>
      </c>
      <c r="B2130" s="88">
        <v>171</v>
      </c>
      <c r="C2130" s="97">
        <f>SUMIFS(Input!$C$115:$C$3257,Input!$A$115:$A$3257,"="&amp;'Output - County'!A2130,Input!$B$115:$B$3257,"="&amp;'Output - County'!B2130)*VLOOKUP(A2130,'Output - State'!$B$2:$G$52,2,FALSE)</f>
        <v>10.660875413338108</v>
      </c>
      <c r="D2130" s="98">
        <f>SUMIFS(Input!$C$115:$C$3257,Input!$A$115:$A$3257,"="&amp;'Output - County'!A2130,Input!$B$115:$B$3257,"="&amp;'Output - County'!B2130)*VLOOKUP(A2130,'Output - State'!$B$2:$G$52,3,FALSE)</f>
        <v>4.7478103378562908</v>
      </c>
      <c r="E2130" s="98">
        <f>SUMIFS(Input!$C$115:$C$3257,Input!$A$115:$A$3257,"="&amp;'Output - County'!A2130,Input!$B$115:$B$3257,"="&amp;'Output - County'!B2130)*VLOOKUP(A2130,'Output - State'!$B$2:$G$52,4,FALSE)</f>
        <v>15.441638920234126</v>
      </c>
      <c r="F2130" s="98">
        <f>SUMIFS(Input!$C$115:$C$3257,Input!$A$115:$A$3257,"="&amp;'Output - County'!A2130,Input!$B$115:$B$3257,"="&amp;'Output - County'!B2130)*VLOOKUP(A2130,'Output - State'!$B$2:$G$52,5,FALSE)</f>
        <v>50.628742951411709</v>
      </c>
      <c r="G2130" s="99">
        <f>SUMIFS(Input!$D$115:$D$3257,Input!$A$115:$A$3257,"="&amp;'Output - County'!A2130,Input!$B$115:$B$3257,"="&amp;'Output - County'!B2130)*VLOOKUP(A2130,'Output - State'!$B$2:$G$52,6,FALSE)</f>
        <v>8.2656620679413759</v>
      </c>
    </row>
    <row r="2131" spans="1:7" x14ac:dyDescent="0.25">
      <c r="A2131" s="88">
        <v>39</v>
      </c>
      <c r="B2131" s="88">
        <v>173</v>
      </c>
      <c r="C2131" s="97">
        <f>SUMIFS(Input!$C$115:$C$3257,Input!$A$115:$A$3257,"="&amp;'Output - County'!A2131,Input!$B$115:$B$3257,"="&amp;'Output - County'!B2131)*VLOOKUP(A2131,'Output - State'!$B$2:$G$52,2,FALSE)</f>
        <v>43.955522429632218</v>
      </c>
      <c r="D2131" s="98">
        <f>SUMIFS(Input!$C$115:$C$3257,Input!$A$115:$A$3257,"="&amp;'Output - County'!A2131,Input!$B$115:$B$3257,"="&amp;'Output - County'!B2131)*VLOOKUP(A2131,'Output - State'!$B$2:$G$52,3,FALSE)</f>
        <v>19.575548508538159</v>
      </c>
      <c r="E2131" s="98">
        <f>SUMIFS(Input!$C$115:$C$3257,Input!$A$115:$A$3257,"="&amp;'Output - County'!A2131,Input!$B$115:$B$3257,"="&amp;'Output - County'!B2131)*VLOOKUP(A2131,'Output - State'!$B$2:$G$52,4,FALSE)</f>
        <v>63.666939120162361</v>
      </c>
      <c r="F2131" s="98">
        <f>SUMIFS(Input!$C$115:$C$3257,Input!$A$115:$A$3257,"="&amp;'Output - County'!A2131,Input!$B$115:$B$3257,"="&amp;'Output - County'!B2131)*VLOOKUP(A2131,'Output - State'!$B$2:$G$52,5,FALSE)</f>
        <v>208.74578869954601</v>
      </c>
      <c r="G2131" s="99">
        <f>SUMIFS(Input!$D$115:$D$3257,Input!$A$115:$A$3257,"="&amp;'Output - County'!A2131,Input!$B$115:$B$3257,"="&amp;'Output - County'!B2131)*VLOOKUP(A2131,'Output - State'!$B$2:$G$52,6,FALSE)</f>
        <v>29.278911957285526</v>
      </c>
    </row>
    <row r="2132" spans="1:7" x14ac:dyDescent="0.25">
      <c r="A2132" s="88">
        <v>39</v>
      </c>
      <c r="B2132" s="88">
        <v>175</v>
      </c>
      <c r="C2132" s="97">
        <f>SUMIFS(Input!$C$115:$C$3257,Input!$A$115:$A$3257,"="&amp;'Output - County'!A2132,Input!$B$115:$B$3257,"="&amp;'Output - County'!B2132)*VLOOKUP(A2132,'Output - State'!$B$2:$G$52,2,FALSE)</f>
        <v>8.2168237091860572</v>
      </c>
      <c r="D2132" s="98">
        <f>SUMIFS(Input!$C$115:$C$3257,Input!$A$115:$A$3257,"="&amp;'Output - County'!A2132,Input!$B$115:$B$3257,"="&amp;'Output - County'!B2132)*VLOOKUP(A2132,'Output - State'!$B$2:$G$52,3,FALSE)</f>
        <v>3.6593543248809914</v>
      </c>
      <c r="E2132" s="98">
        <f>SUMIFS(Input!$C$115:$C$3257,Input!$A$115:$A$3257,"="&amp;'Output - County'!A2132,Input!$B$115:$B$3257,"="&amp;'Output - County'!B2132)*VLOOKUP(A2132,'Output - State'!$B$2:$G$52,4,FALSE)</f>
        <v>11.901576546868323</v>
      </c>
      <c r="F2132" s="98">
        <f>SUMIFS(Input!$C$115:$C$3257,Input!$A$115:$A$3257,"="&amp;'Output - County'!A2132,Input!$B$115:$B$3257,"="&amp;'Output - County'!B2132)*VLOOKUP(A2132,'Output - State'!$B$2:$G$52,5,FALSE)</f>
        <v>39.021885100445701</v>
      </c>
      <c r="G2132" s="99">
        <f>SUMIFS(Input!$D$115:$D$3257,Input!$A$115:$A$3257,"="&amp;'Output - County'!A2132,Input!$B$115:$B$3257,"="&amp;'Output - County'!B2132)*VLOOKUP(A2132,'Output - State'!$B$2:$G$52,6,FALSE)</f>
        <v>4.9323705528042545</v>
      </c>
    </row>
    <row r="2133" spans="1:7" x14ac:dyDescent="0.25">
      <c r="A2133" s="88">
        <v>40</v>
      </c>
      <c r="B2133" s="88">
        <v>1</v>
      </c>
      <c r="C2133" s="97">
        <f>SUMIFS(Input!$C$115:$C$3257,Input!$A$115:$A$3257,"="&amp;'Output - County'!A2133,Input!$B$115:$B$3257,"="&amp;'Output - County'!B2133)*VLOOKUP(A2133,'Output - State'!$B$2:$G$52,2,FALSE)</f>
        <v>1.6974212289457951</v>
      </c>
      <c r="D2133" s="98">
        <f>SUMIFS(Input!$C$115:$C$3257,Input!$A$115:$A$3257,"="&amp;'Output - County'!A2133,Input!$B$115:$B$3257,"="&amp;'Output - County'!B2133)*VLOOKUP(A2133,'Output - State'!$B$2:$G$52,3,FALSE)</f>
        <v>0.79194224280279224</v>
      </c>
      <c r="E2133" s="98">
        <f>SUMIFS(Input!$C$115:$C$3257,Input!$A$115:$A$3257,"="&amp;'Output - County'!A2133,Input!$B$115:$B$3257,"="&amp;'Output - County'!B2133)*VLOOKUP(A2133,'Output - State'!$B$2:$G$52,4,FALSE)</f>
        <v>7.2090555453690586</v>
      </c>
      <c r="F2133" s="98">
        <f>SUMIFS(Input!$C$115:$C$3257,Input!$A$115:$A$3257,"="&amp;'Output - County'!A2133,Input!$B$115:$B$3257,"="&amp;'Output - County'!B2133)*VLOOKUP(A2133,'Output - State'!$B$2:$G$52,5,FALSE)</f>
        <v>8.5638188177438721</v>
      </c>
      <c r="G2133" s="99">
        <f>SUMIFS(Input!$D$115:$D$3257,Input!$A$115:$A$3257,"="&amp;'Output - County'!A2133,Input!$B$115:$B$3257,"="&amp;'Output - County'!B2133)*VLOOKUP(A2133,'Output - State'!$B$2:$G$52,6,FALSE)</f>
        <v>5.238538479831865</v>
      </c>
    </row>
    <row r="2134" spans="1:7" x14ac:dyDescent="0.25">
      <c r="A2134" s="88">
        <v>40</v>
      </c>
      <c r="B2134" s="88">
        <v>3</v>
      </c>
      <c r="C2134" s="97">
        <f>SUMIFS(Input!$C$115:$C$3257,Input!$A$115:$A$3257,"="&amp;'Output - County'!A2134,Input!$B$115:$B$3257,"="&amp;'Output - County'!B2134)*VLOOKUP(A2134,'Output - State'!$B$2:$G$52,2,FALSE)</f>
        <v>0.8017949572254206</v>
      </c>
      <c r="D2134" s="98">
        <f>SUMIFS(Input!$C$115:$C$3257,Input!$A$115:$A$3257,"="&amp;'Output - County'!A2134,Input!$B$115:$B$3257,"="&amp;'Output - County'!B2134)*VLOOKUP(A2134,'Output - State'!$B$2:$G$52,3,FALSE)</f>
        <v>0.37408233493546444</v>
      </c>
      <c r="E2134" s="98">
        <f>SUMIFS(Input!$C$115:$C$3257,Input!$A$115:$A$3257,"="&amp;'Output - County'!A2134,Input!$B$115:$B$3257,"="&amp;'Output - County'!B2134)*VLOOKUP(A2134,'Output - State'!$B$2:$G$52,4,FALSE)</f>
        <v>3.4052740027439876</v>
      </c>
      <c r="F2134" s="98">
        <f>SUMIFS(Input!$C$115:$C$3257,Input!$A$115:$A$3257,"="&amp;'Output - County'!A2134,Input!$B$115:$B$3257,"="&amp;'Output - County'!B2134)*VLOOKUP(A2134,'Output - State'!$B$2:$G$52,5,FALSE)</f>
        <v>4.045210832507192</v>
      </c>
      <c r="G2134" s="99">
        <f>SUMIFS(Input!$D$115:$D$3257,Input!$A$115:$A$3257,"="&amp;'Output - County'!A2134,Input!$B$115:$B$3257,"="&amp;'Output - County'!B2134)*VLOOKUP(A2134,'Output - State'!$B$2:$G$52,6,FALSE)</f>
        <v>1.3615480643526965</v>
      </c>
    </row>
    <row r="2135" spans="1:7" x14ac:dyDescent="0.25">
      <c r="A2135" s="88">
        <v>40</v>
      </c>
      <c r="B2135" s="88">
        <v>5</v>
      </c>
      <c r="C2135" s="97">
        <f>SUMIFS(Input!$C$115:$C$3257,Input!$A$115:$A$3257,"="&amp;'Output - County'!A2135,Input!$B$115:$B$3257,"="&amp;'Output - County'!B2135)*VLOOKUP(A2135,'Output - State'!$B$2:$G$52,2,FALSE)</f>
        <v>3.786960399564506</v>
      </c>
      <c r="D2135" s="98">
        <f>SUMIFS(Input!$C$115:$C$3257,Input!$A$115:$A$3257,"="&amp;'Output - County'!A2135,Input!$B$115:$B$3257,"="&amp;'Output - County'!B2135)*VLOOKUP(A2135,'Output - State'!$B$2:$G$52,3,FALSE)</f>
        <v>1.7668295064855963</v>
      </c>
      <c r="E2135" s="98">
        <f>SUMIFS(Input!$C$115:$C$3257,Input!$A$115:$A$3257,"="&amp;'Output - County'!A2135,Input!$B$115:$B$3257,"="&amp;'Output - County'!B2135)*VLOOKUP(A2135,'Output - State'!$B$2:$G$52,4,FALSE)</f>
        <v>16.083460842261761</v>
      </c>
      <c r="F2135" s="98">
        <f>SUMIFS(Input!$C$115:$C$3257,Input!$A$115:$A$3257,"="&amp;'Output - County'!A2135,Input!$B$115:$B$3257,"="&amp;'Output - County'!B2135)*VLOOKUP(A2135,'Output - State'!$B$2:$G$52,5,FALSE)</f>
        <v>19.105948587660208</v>
      </c>
      <c r="G2135" s="99">
        <f>SUMIFS(Input!$D$115:$D$3257,Input!$A$115:$A$3257,"="&amp;'Output - County'!A2135,Input!$B$115:$B$3257,"="&amp;'Output - County'!B2135)*VLOOKUP(A2135,'Output - State'!$B$2:$G$52,6,FALSE)</f>
        <v>3.2563887847603485</v>
      </c>
    </row>
    <row r="2136" spans="1:7" x14ac:dyDescent="0.25">
      <c r="A2136" s="88">
        <v>40</v>
      </c>
      <c r="B2136" s="88">
        <v>7</v>
      </c>
      <c r="C2136" s="97">
        <f>SUMIFS(Input!$C$115:$C$3257,Input!$A$115:$A$3257,"="&amp;'Output - County'!A2136,Input!$B$115:$B$3257,"="&amp;'Output - County'!B2136)*VLOOKUP(A2136,'Output - State'!$B$2:$G$52,2,FALSE)</f>
        <v>1.3217715551926081</v>
      </c>
      <c r="D2136" s="98">
        <f>SUMIFS(Input!$C$115:$C$3257,Input!$A$115:$A$3257,"="&amp;'Output - County'!A2136,Input!$B$115:$B$3257,"="&amp;'Output - County'!B2136)*VLOOKUP(A2136,'Output - State'!$B$2:$G$52,3,FALSE)</f>
        <v>0.61668059291462762</v>
      </c>
      <c r="E2136" s="98">
        <f>SUMIFS(Input!$C$115:$C$3257,Input!$A$115:$A$3257,"="&amp;'Output - County'!A2136,Input!$B$115:$B$3257,"="&amp;'Output - County'!B2136)*VLOOKUP(A2136,'Output - State'!$B$2:$G$52,4,FALSE)</f>
        <v>5.6136475714930762</v>
      </c>
      <c r="F2136" s="98">
        <f>SUMIFS(Input!$C$115:$C$3257,Input!$A$115:$A$3257,"="&amp;'Output - County'!A2136,Input!$B$115:$B$3257,"="&amp;'Output - County'!B2136)*VLOOKUP(A2136,'Output - State'!$B$2:$G$52,5,FALSE)</f>
        <v>6.6685934664238316</v>
      </c>
      <c r="G2136" s="99">
        <f>SUMIFS(Input!$D$115:$D$3257,Input!$A$115:$A$3257,"="&amp;'Output - County'!A2136,Input!$B$115:$B$3257,"="&amp;'Output - County'!B2136)*VLOOKUP(A2136,'Output - State'!$B$2:$G$52,6,FALSE)</f>
        <v>1.2553614735452938</v>
      </c>
    </row>
    <row r="2137" spans="1:7" x14ac:dyDescent="0.25">
      <c r="A2137" s="88">
        <v>40</v>
      </c>
      <c r="B2137" s="88">
        <v>9</v>
      </c>
      <c r="C2137" s="97">
        <f>SUMIFS(Input!$C$115:$C$3257,Input!$A$115:$A$3257,"="&amp;'Output - County'!A2137,Input!$B$115:$B$3257,"="&amp;'Output - County'!B2137)*VLOOKUP(A2137,'Output - State'!$B$2:$G$52,2,FALSE)</f>
        <v>7.390064525654009</v>
      </c>
      <c r="D2137" s="98">
        <f>SUMIFS(Input!$C$115:$C$3257,Input!$A$115:$A$3257,"="&amp;'Output - County'!A2137,Input!$B$115:$B$3257,"="&amp;'Output - County'!B2137)*VLOOKUP(A2137,'Output - State'!$B$2:$G$52,3,FALSE)</f>
        <v>3.4478797455234855</v>
      </c>
      <c r="E2137" s="98">
        <f>SUMIFS(Input!$C$115:$C$3257,Input!$A$115:$A$3257,"="&amp;'Output - County'!A2137,Input!$B$115:$B$3257,"="&amp;'Output - County'!B2137)*VLOOKUP(A2137,'Output - State'!$B$2:$G$52,4,FALSE)</f>
        <v>31.386072437887766</v>
      </c>
      <c r="F2137" s="98">
        <f>SUMIFS(Input!$C$115:$C$3257,Input!$A$115:$A$3257,"="&amp;'Output - County'!A2137,Input!$B$115:$B$3257,"="&amp;'Output - County'!B2137)*VLOOKUP(A2137,'Output - State'!$B$2:$G$52,5,FALSE)</f>
        <v>37.284306670561996</v>
      </c>
      <c r="G2137" s="99">
        <f>SUMIFS(Input!$D$115:$D$3257,Input!$A$115:$A$3257,"="&amp;'Output - County'!A2137,Input!$B$115:$B$3257,"="&amp;'Output - County'!B2137)*VLOOKUP(A2137,'Output - State'!$B$2:$G$52,6,FALSE)</f>
        <v>5.1205533789347513</v>
      </c>
    </row>
    <row r="2138" spans="1:7" x14ac:dyDescent="0.25">
      <c r="A2138" s="88">
        <v>40</v>
      </c>
      <c r="B2138" s="88">
        <v>11</v>
      </c>
      <c r="C2138" s="97">
        <f>SUMIFS(Input!$C$115:$C$3257,Input!$A$115:$A$3257,"="&amp;'Output - County'!A2138,Input!$B$115:$B$3257,"="&amp;'Output - County'!B2138)*VLOOKUP(A2138,'Output - State'!$B$2:$G$52,2,FALSE)</f>
        <v>2.509275168769046</v>
      </c>
      <c r="D2138" s="98">
        <f>SUMIFS(Input!$C$115:$C$3257,Input!$A$115:$A$3257,"="&amp;'Output - County'!A2138,Input!$B$115:$B$3257,"="&amp;'Output - County'!B2138)*VLOOKUP(A2138,'Output - State'!$B$2:$G$52,3,FALSE)</f>
        <v>1.1707176575130323</v>
      </c>
      <c r="E2138" s="98">
        <f>SUMIFS(Input!$C$115:$C$3257,Input!$A$115:$A$3257,"="&amp;'Output - County'!A2138,Input!$B$115:$B$3257,"="&amp;'Output - County'!B2138)*VLOOKUP(A2138,'Output - State'!$B$2:$G$52,4,FALSE)</f>
        <v>10.657050684764965</v>
      </c>
      <c r="F2138" s="98">
        <f>SUMIFS(Input!$C$115:$C$3257,Input!$A$115:$A$3257,"="&amp;'Output - County'!A2138,Input!$B$115:$B$3257,"="&amp;'Output - County'!B2138)*VLOOKUP(A2138,'Output - State'!$B$2:$G$52,5,FALSE)</f>
        <v>12.659779165450752</v>
      </c>
      <c r="G2138" s="99">
        <f>SUMIFS(Input!$D$115:$D$3257,Input!$A$115:$A$3257,"="&amp;'Output - County'!A2138,Input!$B$115:$B$3257,"="&amp;'Output - County'!B2138)*VLOOKUP(A2138,'Output - State'!$B$2:$G$52,6,FALSE)</f>
        <v>2.2299184069554561</v>
      </c>
    </row>
    <row r="2139" spans="1:7" x14ac:dyDescent="0.25">
      <c r="A2139" s="88">
        <v>40</v>
      </c>
      <c r="B2139" s="88">
        <v>13</v>
      </c>
      <c r="C2139" s="97">
        <f>SUMIFS(Input!$C$115:$C$3257,Input!$A$115:$A$3257,"="&amp;'Output - County'!A2139,Input!$B$115:$B$3257,"="&amp;'Output - County'!B2139)*VLOOKUP(A2139,'Output - State'!$B$2:$G$52,2,FALSE)</f>
        <v>8.7559780497538604</v>
      </c>
      <c r="D2139" s="98">
        <f>SUMIFS(Input!$C$115:$C$3257,Input!$A$115:$A$3257,"="&amp;'Output - County'!A2139,Input!$B$115:$B$3257,"="&amp;'Output - County'!B2139)*VLOOKUP(A2139,'Output - State'!$B$2:$G$52,3,FALSE)</f>
        <v>4.0851550436662567</v>
      </c>
      <c r="E2139" s="98">
        <f>SUMIFS(Input!$C$115:$C$3257,Input!$A$115:$A$3257,"="&amp;'Output - County'!A2139,Input!$B$115:$B$3257,"="&amp;'Output - County'!B2139)*VLOOKUP(A2139,'Output - State'!$B$2:$G$52,4,FALSE)</f>
        <v>37.187193749138359</v>
      </c>
      <c r="F2139" s="98">
        <f>SUMIFS(Input!$C$115:$C$3257,Input!$A$115:$A$3257,"="&amp;'Output - County'!A2139,Input!$B$115:$B$3257,"="&amp;'Output - County'!B2139)*VLOOKUP(A2139,'Output - State'!$B$2:$G$52,5,FALSE)</f>
        <v>44.175604918529579</v>
      </c>
      <c r="G2139" s="99">
        <f>SUMIFS(Input!$D$115:$D$3257,Input!$A$115:$A$3257,"="&amp;'Output - County'!A2139,Input!$B$115:$B$3257,"="&amp;'Output - County'!B2139)*VLOOKUP(A2139,'Output - State'!$B$2:$G$52,6,FALSE)</f>
        <v>11.13779352468757</v>
      </c>
    </row>
    <row r="2140" spans="1:7" x14ac:dyDescent="0.25">
      <c r="A2140" s="88">
        <v>40</v>
      </c>
      <c r="B2140" s="88">
        <v>15</v>
      </c>
      <c r="C2140" s="97">
        <f>SUMIFS(Input!$C$115:$C$3257,Input!$A$115:$A$3257,"="&amp;'Output - County'!A2140,Input!$B$115:$B$3257,"="&amp;'Output - County'!B2140)*VLOOKUP(A2140,'Output - State'!$B$2:$G$52,2,FALSE)</f>
        <v>6.7606839066787217</v>
      </c>
      <c r="D2140" s="98">
        <f>SUMIFS(Input!$C$115:$C$3257,Input!$A$115:$A$3257,"="&amp;'Output - County'!A2140,Input!$B$115:$B$3257,"="&amp;'Output - County'!B2140)*VLOOKUP(A2140,'Output - State'!$B$2:$G$52,3,FALSE)</f>
        <v>3.1542383732652528</v>
      </c>
      <c r="E2140" s="98">
        <f>SUMIFS(Input!$C$115:$C$3257,Input!$A$115:$A$3257,"="&amp;'Output - County'!A2140,Input!$B$115:$B$3257,"="&amp;'Output - County'!B2140)*VLOOKUP(A2140,'Output - State'!$B$2:$G$52,4,FALSE)</f>
        <v>28.713053057666205</v>
      </c>
      <c r="F2140" s="98">
        <f>SUMIFS(Input!$C$115:$C$3257,Input!$A$115:$A$3257,"="&amp;'Output - County'!A2140,Input!$B$115:$B$3257,"="&amp;'Output - County'!B2140)*VLOOKUP(A2140,'Output - State'!$B$2:$G$52,5,FALSE)</f>
        <v>34.108959563791494</v>
      </c>
      <c r="G2140" s="99">
        <f>SUMIFS(Input!$D$115:$D$3257,Input!$A$115:$A$3257,"="&amp;'Output - County'!A2140,Input!$B$115:$B$3257,"="&amp;'Output - County'!B2140)*VLOOKUP(A2140,'Output - State'!$B$2:$G$52,6,FALSE)</f>
        <v>6.8431358520326162</v>
      </c>
    </row>
    <row r="2141" spans="1:7" x14ac:dyDescent="0.25">
      <c r="A2141" s="88">
        <v>40</v>
      </c>
      <c r="B2141" s="88">
        <v>17</v>
      </c>
      <c r="C2141" s="97">
        <f>SUMIFS(Input!$C$115:$C$3257,Input!$A$115:$A$3257,"="&amp;'Output - County'!A2141,Input!$B$115:$B$3257,"="&amp;'Output - County'!B2141)*VLOOKUP(A2141,'Output - State'!$B$2:$G$52,2,FALSE)</f>
        <v>26.88670715683805</v>
      </c>
      <c r="D2141" s="98">
        <f>SUMIFS(Input!$C$115:$C$3257,Input!$A$115:$A$3257,"="&amp;'Output - County'!A2141,Input!$B$115:$B$3257,"="&amp;'Output - County'!B2141)*VLOOKUP(A2141,'Output - State'!$B$2:$G$52,3,FALSE)</f>
        <v>12.544157457363912</v>
      </c>
      <c r="E2141" s="98">
        <f>SUMIFS(Input!$C$115:$C$3257,Input!$A$115:$A$3257,"="&amp;'Output - County'!A2141,Input!$B$115:$B$3257,"="&amp;'Output - County'!B2141)*VLOOKUP(A2141,'Output - State'!$B$2:$G$52,4,FALSE)</f>
        <v>114.1895494296937</v>
      </c>
      <c r="F2141" s="98">
        <f>SUMIFS(Input!$C$115:$C$3257,Input!$A$115:$A$3257,"="&amp;'Output - County'!A2141,Input!$B$115:$B$3257,"="&amp;'Output - County'!B2141)*VLOOKUP(A2141,'Output - State'!$B$2:$G$52,5,FALSE)</f>
        <v>135.64864440861268</v>
      </c>
      <c r="G2141" s="99">
        <f>SUMIFS(Input!$D$115:$D$3257,Input!$A$115:$A$3257,"="&amp;'Output - County'!A2141,Input!$B$115:$B$3257,"="&amp;'Output - County'!B2141)*VLOOKUP(A2141,'Output - State'!$B$2:$G$52,6,FALSE)</f>
        <v>33.979709058368854</v>
      </c>
    </row>
    <row r="2142" spans="1:7" x14ac:dyDescent="0.25">
      <c r="A2142" s="88">
        <v>40</v>
      </c>
      <c r="B2142" s="88">
        <v>19</v>
      </c>
      <c r="C2142" s="97">
        <f>SUMIFS(Input!$C$115:$C$3257,Input!$A$115:$A$3257,"="&amp;'Output - County'!A2142,Input!$B$115:$B$3257,"="&amp;'Output - County'!B2142)*VLOOKUP(A2142,'Output - State'!$B$2:$G$52,2,FALSE)</f>
        <v>10.512691109668541</v>
      </c>
      <c r="D2142" s="98">
        <f>SUMIFS(Input!$C$115:$C$3257,Input!$A$115:$A$3257,"="&amp;'Output - County'!A2142,Input!$B$115:$B$3257,"="&amp;'Output - County'!B2142)*VLOOKUP(A2142,'Output - State'!$B$2:$G$52,3,FALSE)</f>
        <v>4.9047602523826699</v>
      </c>
      <c r="E2142" s="98">
        <f>SUMIFS(Input!$C$115:$C$3257,Input!$A$115:$A$3257,"="&amp;'Output - County'!A2142,Input!$B$115:$B$3257,"="&amp;'Output - County'!B2142)*VLOOKUP(A2142,'Output - State'!$B$2:$G$52,4,FALSE)</f>
        <v>44.64806545867004</v>
      </c>
      <c r="F2142" s="98">
        <f>SUMIFS(Input!$C$115:$C$3257,Input!$A$115:$A$3257,"="&amp;'Output - County'!A2142,Input!$B$115:$B$3257,"="&amp;'Output - County'!B2142)*VLOOKUP(A2142,'Output - State'!$B$2:$G$52,5,FALSE)</f>
        <v>53.038562505796911</v>
      </c>
      <c r="G2142" s="99">
        <f>SUMIFS(Input!$D$115:$D$3257,Input!$A$115:$A$3257,"="&amp;'Output - County'!A2142,Input!$B$115:$B$3257,"="&amp;'Output - County'!B2142)*VLOOKUP(A2142,'Output - State'!$B$2:$G$52,6,FALSE)</f>
        <v>11.373763726481798</v>
      </c>
    </row>
    <row r="2143" spans="1:7" x14ac:dyDescent="0.25">
      <c r="A2143" s="88">
        <v>40</v>
      </c>
      <c r="B2143" s="88">
        <v>21</v>
      </c>
      <c r="C2143" s="97">
        <f>SUMIFS(Input!$C$115:$C$3257,Input!$A$115:$A$3257,"="&amp;'Output - County'!A2143,Input!$B$115:$B$3257,"="&amp;'Output - County'!B2143)*VLOOKUP(A2143,'Output - State'!$B$2:$G$52,2,FALSE)</f>
        <v>5.1697416913150969</v>
      </c>
      <c r="D2143" s="98">
        <f>SUMIFS(Input!$C$115:$C$3257,Input!$A$115:$A$3257,"="&amp;'Output - County'!A2143,Input!$B$115:$B$3257,"="&amp;'Output - County'!B2143)*VLOOKUP(A2143,'Output - State'!$B$2:$G$52,3,FALSE)</f>
        <v>2.4119745646600017</v>
      </c>
      <c r="E2143" s="98">
        <f>SUMIFS(Input!$C$115:$C$3257,Input!$A$115:$A$3257,"="&amp;'Output - County'!A2143,Input!$B$115:$B$3257,"="&amp;'Output - County'!B2143)*VLOOKUP(A2143,'Output - State'!$B$2:$G$52,4,FALSE)</f>
        <v>21.956220631838729</v>
      </c>
      <c r="F2143" s="98">
        <f>SUMIFS(Input!$C$115:$C$3257,Input!$A$115:$A$3257,"="&amp;'Output - County'!A2143,Input!$B$115:$B$3257,"="&amp;'Output - County'!B2143)*VLOOKUP(A2143,'Output - State'!$B$2:$G$52,5,FALSE)</f>
        <v>26.082347989989145</v>
      </c>
      <c r="G2143" s="99">
        <f>SUMIFS(Input!$D$115:$D$3257,Input!$A$115:$A$3257,"="&amp;'Output - County'!A2143,Input!$B$115:$B$3257,"="&amp;'Output - County'!B2143)*VLOOKUP(A2143,'Output - State'!$B$2:$G$52,6,FALSE)</f>
        <v>11.468151807199488</v>
      </c>
    </row>
    <row r="2144" spans="1:7" x14ac:dyDescent="0.25">
      <c r="A2144" s="88">
        <v>40</v>
      </c>
      <c r="B2144" s="88">
        <v>23</v>
      </c>
      <c r="C2144" s="97">
        <f>SUMIFS(Input!$C$115:$C$3257,Input!$A$115:$A$3257,"="&amp;'Output - County'!A2144,Input!$B$115:$B$3257,"="&amp;'Output - County'!B2144)*VLOOKUP(A2144,'Output - State'!$B$2:$G$52,2,FALSE)</f>
        <v>2.4815014179255122</v>
      </c>
      <c r="D2144" s="98">
        <f>SUMIFS(Input!$C$115:$C$3257,Input!$A$115:$A$3257,"="&amp;'Output - County'!A2144,Input!$B$115:$B$3257,"="&amp;'Output - County'!B2144)*VLOOKUP(A2144,'Output - State'!$B$2:$G$52,3,FALSE)</f>
        <v>1.1577596444052696</v>
      </c>
      <c r="E2144" s="98">
        <f>SUMIFS(Input!$C$115:$C$3257,Input!$A$115:$A$3257,"="&amp;'Output - County'!A2144,Input!$B$115:$B$3257,"="&amp;'Output - County'!B2144)*VLOOKUP(A2144,'Output - State'!$B$2:$G$52,4,FALSE)</f>
        <v>10.539093804575225</v>
      </c>
      <c r="F2144" s="98">
        <f>SUMIFS(Input!$C$115:$C$3257,Input!$A$115:$A$3257,"="&amp;'Output - County'!A2144,Input!$B$115:$B$3257,"="&amp;'Output - County'!B2144)*VLOOKUP(A2144,'Output - State'!$B$2:$G$52,5,FALSE)</f>
        <v>12.519655213860428</v>
      </c>
      <c r="G2144" s="99">
        <f>SUMIFS(Input!$D$115:$D$3257,Input!$A$115:$A$3257,"="&amp;'Output - County'!A2144,Input!$B$115:$B$3257,"="&amp;'Output - County'!B2144)*VLOOKUP(A2144,'Output - State'!$B$2:$G$52,6,FALSE)</f>
        <v>3.4687619663751539</v>
      </c>
    </row>
    <row r="2145" spans="1:7" x14ac:dyDescent="0.25">
      <c r="A2145" s="88">
        <v>40</v>
      </c>
      <c r="B2145" s="88">
        <v>25</v>
      </c>
      <c r="C2145" s="97">
        <f>SUMIFS(Input!$C$115:$C$3257,Input!$A$115:$A$3257,"="&amp;'Output - County'!A2145,Input!$B$115:$B$3257,"="&amp;'Output - County'!B2145)*VLOOKUP(A2145,'Output - State'!$B$2:$G$52,2,FALSE)</f>
        <v>0.95852781701925205</v>
      </c>
      <c r="D2145" s="98">
        <f>SUMIFS(Input!$C$115:$C$3257,Input!$A$115:$A$3257,"="&amp;'Output - County'!A2145,Input!$B$115:$B$3257,"="&amp;'Output - County'!B2145)*VLOOKUP(A2145,'Output - State'!$B$2:$G$52,3,FALSE)</f>
        <v>0.44720700805099439</v>
      </c>
      <c r="E2145" s="98">
        <f>SUMIFS(Input!$C$115:$C$3257,Input!$A$115:$A$3257,"="&amp;'Output - County'!A2145,Input!$B$115:$B$3257,"="&amp;'Output - County'!B2145)*VLOOKUP(A2145,'Output - State'!$B$2:$G$52,4,FALSE)</f>
        <v>4.0709283923382591</v>
      </c>
      <c r="F2145" s="98">
        <f>SUMIFS(Input!$C$115:$C$3257,Input!$A$115:$A$3257,"="&amp;'Output - County'!A2145,Input!$B$115:$B$3257,"="&amp;'Output - County'!B2145)*VLOOKUP(A2145,'Output - State'!$B$2:$G$52,5,FALSE)</f>
        <v>4.8359584626018357</v>
      </c>
      <c r="G2145" s="99">
        <f>SUMIFS(Input!$D$115:$D$3257,Input!$A$115:$A$3257,"="&amp;'Output - County'!A2145,Input!$B$115:$B$3257,"="&amp;'Output - County'!B2145)*VLOOKUP(A2145,'Output - State'!$B$2:$G$52,6,FALSE)</f>
        <v>0.51205533789347513</v>
      </c>
    </row>
    <row r="2146" spans="1:7" x14ac:dyDescent="0.25">
      <c r="A2146" s="88">
        <v>40</v>
      </c>
      <c r="B2146" s="88">
        <v>27</v>
      </c>
      <c r="C2146" s="97">
        <f>SUMIFS(Input!$C$115:$C$3257,Input!$A$115:$A$3257,"="&amp;'Output - County'!A2146,Input!$B$115:$B$3257,"="&amp;'Output - County'!B2146)*VLOOKUP(A2146,'Output - State'!$B$2:$G$52,2,FALSE)</f>
        <v>37.899370700901613</v>
      </c>
      <c r="D2146" s="98">
        <f>SUMIFS(Input!$C$115:$C$3257,Input!$A$115:$A$3257,"="&amp;'Output - County'!A2146,Input!$B$115:$B$3257,"="&amp;'Output - County'!B2146)*VLOOKUP(A2146,'Output - State'!$B$2:$G$52,3,FALSE)</f>
        <v>17.682182903018777</v>
      </c>
      <c r="E2146" s="98">
        <f>SUMIFS(Input!$C$115:$C$3257,Input!$A$115:$A$3257,"="&amp;'Output - County'!A2146,Input!$B$115:$B$3257,"="&amp;'Output - County'!B2146)*VLOOKUP(A2146,'Output - State'!$B$2:$G$52,4,FALSE)</f>
        <v>160.96102950651698</v>
      </c>
      <c r="F2146" s="98">
        <f>SUMIFS(Input!$C$115:$C$3257,Input!$A$115:$A$3257,"="&amp;'Output - County'!A2146,Input!$B$115:$B$3257,"="&amp;'Output - County'!B2146)*VLOOKUP(A2146,'Output - State'!$B$2:$G$52,5,FALSE)</f>
        <v>191.20966466915593</v>
      </c>
      <c r="G2146" s="99">
        <f>SUMIFS(Input!$D$115:$D$3257,Input!$A$115:$A$3257,"="&amp;'Output - County'!A2146,Input!$B$115:$B$3257,"="&amp;'Output - County'!B2146)*VLOOKUP(A2146,'Output - State'!$B$2:$G$52,6,FALSE)</f>
        <v>66.307626704178119</v>
      </c>
    </row>
    <row r="2147" spans="1:7" x14ac:dyDescent="0.25">
      <c r="A2147" s="88">
        <v>40</v>
      </c>
      <c r="B2147" s="88">
        <v>29</v>
      </c>
      <c r="C2147" s="97">
        <f>SUMIFS(Input!$C$115:$C$3257,Input!$A$115:$A$3257,"="&amp;'Output - County'!A2147,Input!$B$115:$B$3257,"="&amp;'Output - County'!B2147)*VLOOKUP(A2147,'Output - State'!$B$2:$G$52,2,FALSE)</f>
        <v>0.72639695680142791</v>
      </c>
      <c r="D2147" s="98">
        <f>SUMIFS(Input!$C$115:$C$3257,Input!$A$115:$A$3257,"="&amp;'Output - County'!A2147,Input!$B$115:$B$3257,"="&amp;'Output - County'!B2147)*VLOOKUP(A2147,'Output - State'!$B$2:$G$52,3,FALSE)</f>
        <v>0.33890493728048937</v>
      </c>
      <c r="E2147" s="98">
        <f>SUMIFS(Input!$C$115:$C$3257,Input!$A$115:$A$3257,"="&amp;'Output - County'!A2147,Input!$B$115:$B$3257,"="&amp;'Output - County'!B2147)*VLOOKUP(A2147,'Output - State'!$B$2:$G$52,4,FALSE)</f>
        <v>3.0850539160634991</v>
      </c>
      <c r="F2147" s="98">
        <f>SUMIFS(Input!$C$115:$C$3257,Input!$A$115:$A$3257,"="&amp;'Output - County'!A2147,Input!$B$115:$B$3257,"="&amp;'Output - County'!B2147)*VLOOKUP(A2147,'Output - State'!$B$2:$G$52,5,FALSE)</f>
        <v>3.664813319008279</v>
      </c>
      <c r="G2147" s="99">
        <f>SUMIFS(Input!$D$115:$D$3257,Input!$A$115:$A$3257,"="&amp;'Output - County'!A2147,Input!$B$115:$B$3257,"="&amp;'Output - County'!B2147)*VLOOKUP(A2147,'Output - State'!$B$2:$G$52,6,FALSE)</f>
        <v>1.3025555139041394</v>
      </c>
    </row>
    <row r="2148" spans="1:7" x14ac:dyDescent="0.25">
      <c r="A2148" s="88">
        <v>40</v>
      </c>
      <c r="B2148" s="88">
        <v>31</v>
      </c>
      <c r="C2148" s="97">
        <f>SUMIFS(Input!$C$115:$C$3257,Input!$A$115:$A$3257,"="&amp;'Output - County'!A2148,Input!$B$115:$B$3257,"="&amp;'Output - County'!B2148)*VLOOKUP(A2148,'Output - State'!$B$2:$G$52,2,FALSE)</f>
        <v>15.593457069177902</v>
      </c>
      <c r="D2148" s="98">
        <f>SUMIFS(Input!$C$115:$C$3257,Input!$A$115:$A$3257,"="&amp;'Output - County'!A2148,Input!$B$115:$B$3257,"="&amp;'Output - County'!B2148)*VLOOKUP(A2148,'Output - State'!$B$2:$G$52,3,FALSE)</f>
        <v>7.2752226458740479</v>
      </c>
      <c r="E2148" s="98">
        <f>SUMIFS(Input!$C$115:$C$3257,Input!$A$115:$A$3257,"="&amp;'Output - County'!A2148,Input!$B$115:$B$3257,"="&amp;'Output - County'!B2148)*VLOOKUP(A2148,'Output - State'!$B$2:$G$52,4,FALSE)</f>
        <v>66.226400518065574</v>
      </c>
      <c r="F2148" s="98">
        <f>SUMIFS(Input!$C$115:$C$3257,Input!$A$115:$A$3257,"="&amp;'Output - County'!A2148,Input!$B$115:$B$3257,"="&amp;'Output - County'!B2148)*VLOOKUP(A2148,'Output - State'!$B$2:$G$52,5,FALSE)</f>
        <v>78.672010698041845</v>
      </c>
      <c r="G2148" s="99">
        <f>SUMIFS(Input!$D$115:$D$3257,Input!$A$115:$A$3257,"="&amp;'Output - County'!A2148,Input!$B$115:$B$3257,"="&amp;'Output - County'!B2148)*VLOOKUP(A2148,'Output - State'!$B$2:$G$52,6,FALSE)</f>
        <v>28.552394417101606</v>
      </c>
    </row>
    <row r="2149" spans="1:7" x14ac:dyDescent="0.25">
      <c r="A2149" s="88">
        <v>40</v>
      </c>
      <c r="B2149" s="88">
        <v>33</v>
      </c>
      <c r="C2149" s="97">
        <f>SUMIFS(Input!$C$115:$C$3257,Input!$A$115:$A$3257,"="&amp;'Output - County'!A2149,Input!$B$115:$B$3257,"="&amp;'Output - County'!B2149)*VLOOKUP(A2149,'Output - State'!$B$2:$G$52,2,FALSE)</f>
        <v>2.0669251374113782</v>
      </c>
      <c r="D2149" s="98">
        <f>SUMIFS(Input!$C$115:$C$3257,Input!$A$115:$A$3257,"="&amp;'Output - County'!A2149,Input!$B$115:$B$3257,"="&amp;'Output - County'!B2149)*VLOOKUP(A2149,'Output - State'!$B$2:$G$52,3,FALSE)</f>
        <v>0.96433654835555738</v>
      </c>
      <c r="E2149" s="98">
        <f>SUMIFS(Input!$C$115:$C$3257,Input!$A$115:$A$3257,"="&amp;'Output - County'!A2149,Input!$B$115:$B$3257,"="&amp;'Output - County'!B2149)*VLOOKUP(A2149,'Output - State'!$B$2:$G$52,4,FALSE)</f>
        <v>8.7783620645373865</v>
      </c>
      <c r="F2149" s="98">
        <f>SUMIFS(Input!$C$115:$C$3257,Input!$A$115:$A$3257,"="&amp;'Output - County'!A2149,Input!$B$115:$B$3257,"="&amp;'Output - County'!B2149)*VLOOKUP(A2149,'Output - State'!$B$2:$G$52,5,FALSE)</f>
        <v>10.428037593016724</v>
      </c>
      <c r="G2149" s="99">
        <f>SUMIFS(Input!$D$115:$D$3257,Input!$A$115:$A$3257,"="&amp;'Output - County'!A2149,Input!$B$115:$B$3257,"="&amp;'Output - County'!B2149)*VLOOKUP(A2149,'Output - State'!$B$2:$G$52,6,FALSE)</f>
        <v>1.3733465744424078</v>
      </c>
    </row>
    <row r="2150" spans="1:7" x14ac:dyDescent="0.25">
      <c r="A2150" s="88">
        <v>40</v>
      </c>
      <c r="B2150" s="88">
        <v>35</v>
      </c>
      <c r="C2150" s="97">
        <f>SUMIFS(Input!$C$115:$C$3257,Input!$A$115:$A$3257,"="&amp;'Output - County'!A2150,Input!$B$115:$B$3257,"="&amp;'Output - County'!B2150)*VLOOKUP(A2150,'Output - State'!$B$2:$G$52,2,FALSE)</f>
        <v>5.346802530556233</v>
      </c>
      <c r="D2150" s="98">
        <f>SUMIFS(Input!$C$115:$C$3257,Input!$A$115:$A$3257,"="&amp;'Output - County'!A2150,Input!$B$115:$B$3257,"="&amp;'Output - County'!B2150)*VLOOKUP(A2150,'Output - State'!$B$2:$G$52,3,FALSE)</f>
        <v>2.4945833807570268</v>
      </c>
      <c r="E2150" s="98">
        <f>SUMIFS(Input!$C$115:$C$3257,Input!$A$115:$A$3257,"="&amp;'Output - County'!A2150,Input!$B$115:$B$3257,"="&amp;'Output - County'!B2150)*VLOOKUP(A2150,'Output - State'!$B$2:$G$52,4,FALSE)</f>
        <v>22.708209238574703</v>
      </c>
      <c r="F2150" s="98">
        <f>SUMIFS(Input!$C$115:$C$3257,Input!$A$115:$A$3257,"="&amp;'Output - County'!A2150,Input!$B$115:$B$3257,"="&amp;'Output - County'!B2150)*VLOOKUP(A2150,'Output - State'!$B$2:$G$52,5,FALSE)</f>
        <v>26.975654213053463</v>
      </c>
      <c r="G2150" s="99">
        <f>SUMIFS(Input!$D$115:$D$3257,Input!$A$115:$A$3257,"="&amp;'Output - County'!A2150,Input!$B$115:$B$3257,"="&amp;'Output - County'!B2150)*VLOOKUP(A2150,'Output - State'!$B$2:$G$52,6,FALSE)</f>
        <v>3.3743738856574623</v>
      </c>
    </row>
    <row r="2151" spans="1:7" x14ac:dyDescent="0.25">
      <c r="A2151" s="88">
        <v>40</v>
      </c>
      <c r="B2151" s="88">
        <v>37</v>
      </c>
      <c r="C2151" s="97">
        <f>SUMIFS(Input!$C$115:$C$3257,Input!$A$115:$A$3257,"="&amp;'Output - County'!A2151,Input!$B$115:$B$3257,"="&amp;'Output - County'!B2151)*VLOOKUP(A2151,'Output - State'!$B$2:$G$52,2,FALSE)</f>
        <v>16.838145122574648</v>
      </c>
      <c r="D2151" s="98">
        <f>SUMIFS(Input!$C$115:$C$3257,Input!$A$115:$A$3257,"="&amp;'Output - County'!A2151,Input!$B$115:$B$3257,"="&amp;'Output - County'!B2151)*VLOOKUP(A2151,'Output - State'!$B$2:$G$52,3,FALSE)</f>
        <v>7.8559394601730279</v>
      </c>
      <c r="E2151" s="98">
        <f>SUMIFS(Input!$C$115:$C$3257,Input!$A$115:$A$3257,"="&amp;'Output - County'!A2151,Input!$B$115:$B$3257,"="&amp;'Output - County'!B2151)*VLOOKUP(A2151,'Output - State'!$B$2:$G$52,4,FALSE)</f>
        <v>71.512669571721304</v>
      </c>
      <c r="F2151" s="98">
        <f>SUMIFS(Input!$C$115:$C$3257,Input!$A$115:$A$3257,"="&amp;'Output - County'!A2151,Input!$B$115:$B$3257,"="&amp;'Output - County'!B2151)*VLOOKUP(A2151,'Output - State'!$B$2:$G$52,5,FALSE)</f>
        <v>84.951702970136338</v>
      </c>
      <c r="G2151" s="99">
        <f>SUMIFS(Input!$D$115:$D$3257,Input!$A$115:$A$3257,"="&amp;'Output - County'!A2151,Input!$B$115:$B$3257,"="&amp;'Output - County'!B2151)*VLOOKUP(A2151,'Output - State'!$B$2:$G$52,6,FALSE)</f>
        <v>16.919063468646158</v>
      </c>
    </row>
    <row r="2152" spans="1:7" x14ac:dyDescent="0.25">
      <c r="A2152" s="88">
        <v>40</v>
      </c>
      <c r="B2152" s="88">
        <v>39</v>
      </c>
      <c r="C2152" s="97">
        <f>SUMIFS(Input!$C$115:$C$3257,Input!$A$115:$A$3257,"="&amp;'Output - County'!A2152,Input!$B$115:$B$3257,"="&amp;'Output - County'!B2152)*VLOOKUP(A2152,'Output - State'!$B$2:$G$52,2,FALSE)</f>
        <v>8.9272788373616248</v>
      </c>
      <c r="D2152" s="98">
        <f>SUMIFS(Input!$C$115:$C$3257,Input!$A$115:$A$3257,"="&amp;'Output - County'!A2152,Input!$B$115:$B$3257,"="&amp;'Output - County'!B2152)*VLOOKUP(A2152,'Output - State'!$B$2:$G$52,3,FALSE)</f>
        <v>4.1650764724893374</v>
      </c>
      <c r="E2152" s="98">
        <f>SUMIFS(Input!$C$115:$C$3257,Input!$A$115:$A$3257,"="&amp;'Output - County'!A2152,Input!$B$115:$B$3257,"="&amp;'Output - County'!B2152)*VLOOKUP(A2152,'Output - State'!$B$2:$G$52,4,FALSE)</f>
        <v>37.914719051503525</v>
      </c>
      <c r="F2152" s="98">
        <f>SUMIFS(Input!$C$115:$C$3257,Input!$A$115:$A$3257,"="&amp;'Output - County'!A2152,Input!$B$115:$B$3257,"="&amp;'Output - County'!B2152)*VLOOKUP(A2152,'Output - State'!$B$2:$G$52,5,FALSE)</f>
        <v>45.039850565628512</v>
      </c>
      <c r="G2152" s="99">
        <f>SUMIFS(Input!$D$115:$D$3257,Input!$A$115:$A$3257,"="&amp;'Output - County'!A2152,Input!$B$115:$B$3257,"="&amp;'Output - County'!B2152)*VLOOKUP(A2152,'Output - State'!$B$2:$G$52,6,FALSE)</f>
        <v>6.8431358520326162</v>
      </c>
    </row>
    <row r="2153" spans="1:7" x14ac:dyDescent="0.25">
      <c r="A2153" s="88">
        <v>40</v>
      </c>
      <c r="B2153" s="88">
        <v>41</v>
      </c>
      <c r="C2153" s="97">
        <f>SUMIFS(Input!$C$115:$C$3257,Input!$A$115:$A$3257,"="&amp;'Output - County'!A2153,Input!$B$115:$B$3257,"="&amp;'Output - County'!B2153)*VLOOKUP(A2153,'Output - State'!$B$2:$G$52,2,FALSE)</f>
        <v>5.3065231066004648</v>
      </c>
      <c r="D2153" s="98">
        <f>SUMIFS(Input!$C$115:$C$3257,Input!$A$115:$A$3257,"="&amp;'Output - County'!A2153,Input!$B$115:$B$3257,"="&amp;'Output - County'!B2153)*VLOOKUP(A2153,'Output - State'!$B$2:$G$52,3,FALSE)</f>
        <v>2.4757907694697585</v>
      </c>
      <c r="E2153" s="98">
        <f>SUMIFS(Input!$C$115:$C$3257,Input!$A$115:$A$3257,"="&amp;'Output - County'!A2153,Input!$B$115:$B$3257,"="&amp;'Output - County'!B2153)*VLOOKUP(A2153,'Output - State'!$B$2:$G$52,4,FALSE)</f>
        <v>22.537139972042112</v>
      </c>
      <c r="F2153" s="98">
        <f>SUMIFS(Input!$C$115:$C$3257,Input!$A$115:$A$3257,"="&amp;'Output - County'!A2153,Input!$B$115:$B$3257,"="&amp;'Output - County'!B2153)*VLOOKUP(A2153,'Output - State'!$B$2:$G$52,5,FALSE)</f>
        <v>26.772436718799238</v>
      </c>
      <c r="G2153" s="99">
        <f>SUMIFS(Input!$D$115:$D$3257,Input!$A$115:$A$3257,"="&amp;'Output - County'!A2153,Input!$B$115:$B$3257,"="&amp;'Output - County'!B2153)*VLOOKUP(A2153,'Output - State'!$B$2:$G$52,6,FALSE)</f>
        <v>10.099524636792966</v>
      </c>
    </row>
    <row r="2154" spans="1:7" x14ac:dyDescent="0.25">
      <c r="A2154" s="88">
        <v>40</v>
      </c>
      <c r="B2154" s="88">
        <v>43</v>
      </c>
      <c r="C2154" s="97">
        <f>SUMIFS(Input!$C$115:$C$3257,Input!$A$115:$A$3257,"="&amp;'Output - County'!A2154,Input!$B$115:$B$3257,"="&amp;'Output - County'!B2154)*VLOOKUP(A2154,'Output - State'!$B$2:$G$52,2,FALSE)</f>
        <v>1.3465815343406935</v>
      </c>
      <c r="D2154" s="98">
        <f>SUMIFS(Input!$C$115:$C$3257,Input!$A$115:$A$3257,"="&amp;'Output - County'!A2154,Input!$B$115:$B$3257,"="&amp;'Output - County'!B2154)*VLOOKUP(A2154,'Output - State'!$B$2:$G$52,3,FALSE)</f>
        <v>0.62825584023413239</v>
      </c>
      <c r="E2154" s="98">
        <f>SUMIFS(Input!$C$115:$C$3257,Input!$A$115:$A$3257,"="&amp;'Output - County'!A2154,Input!$B$115:$B$3257,"="&amp;'Output - County'!B2154)*VLOOKUP(A2154,'Output - State'!$B$2:$G$52,4,FALSE)</f>
        <v>5.7190171254423205</v>
      </c>
      <c r="F2154" s="98">
        <f>SUMIFS(Input!$C$115:$C$3257,Input!$A$115:$A$3257,"="&amp;'Output - County'!A2154,Input!$B$115:$B$3257,"="&amp;'Output - County'!B2154)*VLOOKUP(A2154,'Output - State'!$B$2:$G$52,5,FALSE)</f>
        <v>6.7937646158551148</v>
      </c>
      <c r="G2154" s="99">
        <f>SUMIFS(Input!$D$115:$D$3257,Input!$A$115:$A$3257,"="&amp;'Output - County'!A2154,Input!$B$115:$B$3257,"="&amp;'Output - County'!B2154)*VLOOKUP(A2154,'Output - State'!$B$2:$G$52,6,FALSE)</f>
        <v>1.1633330948455447</v>
      </c>
    </row>
    <row r="2155" spans="1:7" x14ac:dyDescent="0.25">
      <c r="A2155" s="88">
        <v>40</v>
      </c>
      <c r="B2155" s="88">
        <v>45</v>
      </c>
      <c r="C2155" s="97">
        <f>SUMIFS(Input!$C$115:$C$3257,Input!$A$115:$A$3257,"="&amp;'Output - County'!A2155,Input!$B$115:$B$3257,"="&amp;'Output - County'!B2155)*VLOOKUP(A2155,'Output - State'!$B$2:$G$52,2,FALSE)</f>
        <v>0.95638016372297074</v>
      </c>
      <c r="D2155" s="98">
        <f>SUMIFS(Input!$C$115:$C$3257,Input!$A$115:$A$3257,"="&amp;'Output - County'!A2155,Input!$B$115:$B$3257,"="&amp;'Output - County'!B2155)*VLOOKUP(A2155,'Output - State'!$B$2:$G$52,3,FALSE)</f>
        <v>0.44620500728700246</v>
      </c>
      <c r="E2155" s="98">
        <f>SUMIFS(Input!$C$115:$C$3257,Input!$A$115:$A$3257,"="&amp;'Output - County'!A2155,Input!$B$115:$B$3257,"="&amp;'Output - County'!B2155)*VLOOKUP(A2155,'Output - State'!$B$2:$G$52,4,FALSE)</f>
        <v>4.0618071726662848</v>
      </c>
      <c r="F2155" s="98">
        <f>SUMIFS(Input!$C$115:$C$3257,Input!$A$115:$A$3257,"="&amp;'Output - County'!A2155,Input!$B$115:$B$3257,"="&amp;'Output - County'!B2155)*VLOOKUP(A2155,'Output - State'!$B$2:$G$52,5,FALSE)</f>
        <v>4.8251231358137376</v>
      </c>
      <c r="G2155" s="99">
        <f>SUMIFS(Input!$D$115:$D$3257,Input!$A$115:$A$3257,"="&amp;'Output - County'!A2155,Input!$B$115:$B$3257,"="&amp;'Output - County'!B2155)*VLOOKUP(A2155,'Output - State'!$B$2:$G$52,6,FALSE)</f>
        <v>0.92972259506925892</v>
      </c>
    </row>
    <row r="2156" spans="1:7" x14ac:dyDescent="0.25">
      <c r="A2156" s="88">
        <v>40</v>
      </c>
      <c r="B2156" s="88">
        <v>47</v>
      </c>
      <c r="C2156" s="97">
        <f>SUMIFS(Input!$C$115:$C$3257,Input!$A$115:$A$3257,"="&amp;'Output - County'!A2156,Input!$B$115:$B$3257,"="&amp;'Output - County'!B2156)*VLOOKUP(A2156,'Output - State'!$B$2:$G$52,2,FALSE)</f>
        <v>7.880150536182323</v>
      </c>
      <c r="D2156" s="98">
        <f>SUMIFS(Input!$C$115:$C$3257,Input!$A$115:$A$3257,"="&amp;'Output - County'!A2156,Input!$B$115:$B$3257,"="&amp;'Output - County'!B2156)*VLOOKUP(A2156,'Output - State'!$B$2:$G$52,3,FALSE)</f>
        <v>3.6765323673509571</v>
      </c>
      <c r="E2156" s="98">
        <f>SUMIFS(Input!$C$115:$C$3257,Input!$A$115:$A$3257,"="&amp;'Output - County'!A2156,Input!$B$115:$B$3257,"="&amp;'Output - County'!B2156)*VLOOKUP(A2156,'Output - State'!$B$2:$G$52,4,FALSE)</f>
        <v>33.46749878725727</v>
      </c>
      <c r="F2156" s="98">
        <f>SUMIFS(Input!$C$115:$C$3257,Input!$A$115:$A$3257,"="&amp;'Output - County'!A2156,Input!$B$115:$B$3257,"="&amp;'Output - County'!B2156)*VLOOKUP(A2156,'Output - State'!$B$2:$G$52,5,FALSE)</f>
        <v>39.756885502324337</v>
      </c>
      <c r="G2156" s="99">
        <f>SUMIFS(Input!$D$115:$D$3257,Input!$A$115:$A$3257,"="&amp;'Output - County'!A2156,Input!$B$115:$B$3257,"="&amp;'Output - County'!B2156)*VLOOKUP(A2156,'Output - State'!$B$2:$G$52,6,FALSE)</f>
        <v>14.41777932962734</v>
      </c>
    </row>
    <row r="2157" spans="1:7" x14ac:dyDescent="0.25">
      <c r="A2157" s="88">
        <v>40</v>
      </c>
      <c r="B2157" s="88">
        <v>49</v>
      </c>
      <c r="C2157" s="97">
        <f>SUMIFS(Input!$C$115:$C$3257,Input!$A$115:$A$3257,"="&amp;'Output - County'!A2157,Input!$B$115:$B$3257,"="&amp;'Output - County'!B2157)*VLOOKUP(A2157,'Output - State'!$B$2:$G$52,2,FALSE)</f>
        <v>9.028882446184447</v>
      </c>
      <c r="D2157" s="98">
        <f>SUMIFS(Input!$C$115:$C$3257,Input!$A$115:$A$3257,"="&amp;'Output - County'!A2157,Input!$B$115:$B$3257,"="&amp;'Output - County'!B2157)*VLOOKUP(A2157,'Output - State'!$B$2:$G$52,3,FALSE)</f>
        <v>4.2124802568157405</v>
      </c>
      <c r="E2157" s="98">
        <f>SUMIFS(Input!$C$115:$C$3257,Input!$A$115:$A$3257,"="&amp;'Output - County'!A2157,Input!$B$115:$B$3257,"="&amp;'Output - County'!B2157)*VLOOKUP(A2157,'Output - State'!$B$2:$G$52,4,FALSE)</f>
        <v>38.346236018019006</v>
      </c>
      <c r="F2157" s="98">
        <f>SUMIFS(Input!$C$115:$C$3257,Input!$A$115:$A$3257,"="&amp;'Output - County'!A2157,Input!$B$115:$B$3257,"="&amp;'Output - County'!B2157)*VLOOKUP(A2157,'Output - State'!$B$2:$G$52,5,FALSE)</f>
        <v>45.552460448402257</v>
      </c>
      <c r="G2157" s="99">
        <f>SUMIFS(Input!$D$115:$D$3257,Input!$A$115:$A$3257,"="&amp;'Output - County'!A2157,Input!$B$115:$B$3257,"="&amp;'Output - County'!B2157)*VLOOKUP(A2157,'Output - State'!$B$2:$G$52,6,FALSE)</f>
        <v>6.5363745897001202</v>
      </c>
    </row>
    <row r="2158" spans="1:7" x14ac:dyDescent="0.25">
      <c r="A2158" s="88">
        <v>40</v>
      </c>
      <c r="B2158" s="88">
        <v>51</v>
      </c>
      <c r="C2158" s="97">
        <f>SUMIFS(Input!$C$115:$C$3257,Input!$A$115:$A$3257,"="&amp;'Output - County'!A2158,Input!$B$115:$B$3257,"="&amp;'Output - County'!B2158)*VLOOKUP(A2158,'Output - State'!$B$2:$G$52,2,FALSE)</f>
        <v>11.02561601316529</v>
      </c>
      <c r="D2158" s="98">
        <f>SUMIFS(Input!$C$115:$C$3257,Input!$A$115:$A$3257,"="&amp;'Output - County'!A2158,Input!$B$115:$B$3257,"="&amp;'Output - County'!B2158)*VLOOKUP(A2158,'Output - State'!$B$2:$G$52,3,FALSE)</f>
        <v>5.1440684992324526</v>
      </c>
      <c r="E2158" s="98">
        <f>SUMIFS(Input!$C$115:$C$3257,Input!$A$115:$A$3257,"="&amp;'Output - County'!A2158,Input!$B$115:$B$3257,"="&amp;'Output - County'!B2158)*VLOOKUP(A2158,'Output - State'!$B$2:$G$52,4,FALSE)</f>
        <v>46.826490034052327</v>
      </c>
      <c r="F2158" s="98">
        <f>SUMIFS(Input!$C$115:$C$3257,Input!$A$115:$A$3257,"="&amp;'Output - County'!A2158,Input!$B$115:$B$3257,"="&amp;'Output - County'!B2158)*VLOOKUP(A2158,'Output - State'!$B$2:$G$52,5,FALSE)</f>
        <v>55.626367975499321</v>
      </c>
      <c r="G2158" s="99">
        <f>SUMIFS(Input!$D$115:$D$3257,Input!$A$115:$A$3257,"="&amp;'Output - County'!A2158,Input!$B$115:$B$3257,"="&amp;'Output - County'!B2158)*VLOOKUP(A2158,'Output - State'!$B$2:$G$52,6,FALSE)</f>
        <v>13.07274917940024</v>
      </c>
    </row>
    <row r="2159" spans="1:7" x14ac:dyDescent="0.25">
      <c r="A2159" s="88">
        <v>40</v>
      </c>
      <c r="B2159" s="88">
        <v>53</v>
      </c>
      <c r="C2159" s="97">
        <f>SUMIFS(Input!$C$115:$C$3257,Input!$A$115:$A$3257,"="&amp;'Output - County'!A2159,Input!$B$115:$B$3257,"="&amp;'Output - County'!B2159)*VLOOKUP(A2159,'Output - State'!$B$2:$G$52,2,FALSE)</f>
        <v>0.88505805763514156</v>
      </c>
      <c r="D2159" s="98">
        <f>SUMIFS(Input!$C$115:$C$3257,Input!$A$115:$A$3257,"="&amp;'Output - County'!A2159,Input!$B$115:$B$3257,"="&amp;'Output - County'!B2159)*VLOOKUP(A2159,'Output - State'!$B$2:$G$52,3,FALSE)</f>
        <v>0.41292924303154205</v>
      </c>
      <c r="E2159" s="98">
        <f>SUMIFS(Input!$C$115:$C$3257,Input!$A$115:$A$3257,"="&amp;'Output - County'!A2159,Input!$B$115:$B$3257,"="&amp;'Output - County'!B2159)*VLOOKUP(A2159,'Output - State'!$B$2:$G$52,4,FALSE)</f>
        <v>3.7588976675700194</v>
      </c>
      <c r="F2159" s="98">
        <f>SUMIFS(Input!$C$115:$C$3257,Input!$A$115:$A$3257,"="&amp;'Output - County'!A2159,Input!$B$115:$B$3257,"="&amp;'Output - County'!B2159)*VLOOKUP(A2159,'Output - State'!$B$2:$G$52,5,FALSE)</f>
        <v>4.4652892985667414</v>
      </c>
      <c r="G2159" s="99">
        <f>SUMIFS(Input!$D$115:$D$3257,Input!$A$115:$A$3257,"="&amp;'Output - County'!A2159,Input!$B$115:$B$3257,"="&amp;'Output - County'!B2159)*VLOOKUP(A2159,'Output - State'!$B$2:$G$52,6,FALSE)</f>
        <v>1.0193912717510656</v>
      </c>
    </row>
    <row r="2160" spans="1:7" x14ac:dyDescent="0.25">
      <c r="A2160" s="88">
        <v>40</v>
      </c>
      <c r="B2160" s="88">
        <v>55</v>
      </c>
      <c r="C2160" s="97">
        <f>SUMIFS(Input!$C$115:$C$3257,Input!$A$115:$A$3257,"="&amp;'Output - County'!A2160,Input!$B$115:$B$3257,"="&amp;'Output - County'!B2160)*VLOOKUP(A2160,'Output - State'!$B$2:$G$52,2,FALSE)</f>
        <v>0.51364578649440251</v>
      </c>
      <c r="D2160" s="98">
        <f>SUMIFS(Input!$C$115:$C$3257,Input!$A$115:$A$3257,"="&amp;'Output - County'!A2160,Input!$B$115:$B$3257,"="&amp;'Output - County'!B2160)*VLOOKUP(A2160,'Output - State'!$B$2:$G$52,3,FALSE)</f>
        <v>0.2396445792157412</v>
      </c>
      <c r="E2160" s="98">
        <f>SUMIFS(Input!$C$115:$C$3257,Input!$A$115:$A$3257,"="&amp;'Output - County'!A2160,Input!$B$115:$B$3257,"="&amp;'Output - County'!B2160)*VLOOKUP(A2160,'Output - State'!$B$2:$G$52,4,FALSE)</f>
        <v>2.181486211164366</v>
      </c>
      <c r="F2160" s="98">
        <f>SUMIFS(Input!$C$115:$C$3257,Input!$A$115:$A$3257,"="&amp;'Output - County'!A2160,Input!$B$115:$B$3257,"="&amp;'Output - County'!B2160)*VLOOKUP(A2160,'Output - State'!$B$2:$G$52,5,FALSE)</f>
        <v>2.5914424640297016</v>
      </c>
      <c r="G2160" s="99">
        <f>SUMIFS(Input!$D$115:$D$3257,Input!$A$115:$A$3257,"="&amp;'Output - County'!A2160,Input!$B$115:$B$3257,"="&amp;'Output - County'!B2160)*VLOOKUP(A2160,'Output - State'!$B$2:$G$52,6,FALSE)</f>
        <v>1.3709868724244654</v>
      </c>
    </row>
    <row r="2161" spans="1:7" x14ac:dyDescent="0.25">
      <c r="A2161" s="88">
        <v>40</v>
      </c>
      <c r="B2161" s="88">
        <v>57</v>
      </c>
      <c r="C2161" s="97">
        <f>SUMIFS(Input!$C$115:$C$3257,Input!$A$115:$A$3257,"="&amp;'Output - County'!A2161,Input!$B$115:$B$3257,"="&amp;'Output - County'!B2161)*VLOOKUP(A2161,'Output - State'!$B$2:$G$52,2,FALSE)</f>
        <v>0.2531295670745124</v>
      </c>
      <c r="D2161" s="98">
        <f>SUMIFS(Input!$C$115:$C$3257,Input!$A$115:$A$3257,"="&amp;'Output - County'!A2161,Input!$B$115:$B$3257,"="&amp;'Output - County'!B2161)*VLOOKUP(A2161,'Output - State'!$B$2:$G$52,3,FALSE)</f>
        <v>0.11809914572188419</v>
      </c>
      <c r="E2161" s="98">
        <f>SUMIFS(Input!$C$115:$C$3257,Input!$A$115:$A$3257,"="&amp;'Output - County'!A2161,Input!$B$115:$B$3257,"="&amp;'Output - County'!B2161)*VLOOKUP(A2161,'Output - State'!$B$2:$G$52,4,FALSE)</f>
        <v>1.0750573152361913</v>
      </c>
      <c r="F2161" s="98">
        <f>SUMIFS(Input!$C$115:$C$3257,Input!$A$115:$A$3257,"="&amp;'Output - County'!A2161,Input!$B$115:$B$3257,"="&amp;'Output - County'!B2161)*VLOOKUP(A2161,'Output - State'!$B$2:$G$52,5,FALSE)</f>
        <v>1.2770876862347134</v>
      </c>
      <c r="G2161" s="99">
        <f>SUMIFS(Input!$D$115:$D$3257,Input!$A$115:$A$3257,"="&amp;'Output - County'!A2161,Input!$B$115:$B$3257,"="&amp;'Output - County'!B2161)*VLOOKUP(A2161,'Output - State'!$B$2:$G$52,6,FALSE)</f>
        <v>0.6347598428264738</v>
      </c>
    </row>
    <row r="2162" spans="1:7" x14ac:dyDescent="0.25">
      <c r="A2162" s="88">
        <v>40</v>
      </c>
      <c r="B2162" s="88">
        <v>59</v>
      </c>
      <c r="C2162" s="97">
        <f>SUMIFS(Input!$C$115:$C$3257,Input!$A$115:$A$3257,"="&amp;'Output - County'!A2162,Input!$B$115:$B$3257,"="&amp;'Output - County'!B2162)*VLOOKUP(A2162,'Output - State'!$B$2:$G$52,2,FALSE)</f>
        <v>0.7247968497202163</v>
      </c>
      <c r="D2162" s="98">
        <f>SUMIFS(Input!$C$115:$C$3257,Input!$A$115:$A$3257,"="&amp;'Output - County'!A2162,Input!$B$115:$B$3257,"="&amp;'Output - County'!B2162)*VLOOKUP(A2162,'Output - State'!$B$2:$G$52,3,FALSE)</f>
        <v>0.33815839754774057</v>
      </c>
      <c r="E2162" s="98">
        <f>SUMIFS(Input!$C$115:$C$3257,Input!$A$115:$A$3257,"="&amp;'Output - County'!A2162,Input!$B$115:$B$3257,"="&amp;'Output - County'!B2162)*VLOOKUP(A2162,'Output - State'!$B$2:$G$52,4,FALSE)</f>
        <v>3.0782581598715271</v>
      </c>
      <c r="F2162" s="98">
        <f>SUMIFS(Input!$C$115:$C$3257,Input!$A$115:$A$3257,"="&amp;'Output - County'!A2162,Input!$B$115:$B$3257,"="&amp;'Output - County'!B2162)*VLOOKUP(A2162,'Output - State'!$B$2:$G$52,5,FALSE)</f>
        <v>3.6567404689114316</v>
      </c>
      <c r="G2162" s="99">
        <f>SUMIFS(Input!$D$115:$D$3257,Input!$A$115:$A$3257,"="&amp;'Output - County'!A2162,Input!$B$115:$B$3257,"="&amp;'Output - County'!B2162)*VLOOKUP(A2162,'Output - State'!$B$2:$G$52,6,FALSE)</f>
        <v>0.88016885269247103</v>
      </c>
    </row>
    <row r="2163" spans="1:7" x14ac:dyDescent="0.25">
      <c r="A2163" s="88">
        <v>40</v>
      </c>
      <c r="B2163" s="88">
        <v>61</v>
      </c>
      <c r="C2163" s="97">
        <f>SUMIFS(Input!$C$115:$C$3257,Input!$A$115:$A$3257,"="&amp;'Output - County'!A2163,Input!$B$115:$B$3257,"="&amp;'Output - County'!B2163)*VLOOKUP(A2163,'Output - State'!$B$2:$G$52,2,FALSE)</f>
        <v>1.2061595468354047</v>
      </c>
      <c r="D2163" s="98">
        <f>SUMIFS(Input!$C$115:$C$3257,Input!$A$115:$A$3257,"="&amp;'Output - County'!A2163,Input!$B$115:$B$3257,"="&amp;'Output - County'!B2163)*VLOOKUP(A2163,'Output - State'!$B$2:$G$52,3,FALSE)</f>
        <v>0.56274110421729229</v>
      </c>
      <c r="E2163" s="98">
        <f>SUMIFS(Input!$C$115:$C$3257,Input!$A$115:$A$3257,"="&amp;'Output - County'!A2163,Input!$B$115:$B$3257,"="&amp;'Output - County'!B2163)*VLOOKUP(A2163,'Output - State'!$B$2:$G$52,4,FALSE)</f>
        <v>5.1226360442740031</v>
      </c>
      <c r="F2163" s="98">
        <f>SUMIFS(Input!$C$115:$C$3257,Input!$A$115:$A$3257,"="&amp;'Output - County'!A2163,Input!$B$115:$B$3257,"="&amp;'Output - County'!B2163)*VLOOKUP(A2163,'Output - State'!$B$2:$G$52,5,FALSE)</f>
        <v>6.0853084951727752</v>
      </c>
      <c r="G2163" s="99">
        <f>SUMIFS(Input!$D$115:$D$3257,Input!$A$115:$A$3257,"="&amp;'Output - County'!A2163,Input!$B$115:$B$3257,"="&amp;'Output - County'!B2163)*VLOOKUP(A2163,'Output - State'!$B$2:$G$52,6,FALSE)</f>
        <v>2.9732245426072748</v>
      </c>
    </row>
    <row r="2164" spans="1:7" x14ac:dyDescent="0.25">
      <c r="A2164" s="88">
        <v>40</v>
      </c>
      <c r="B2164" s="88">
        <v>63</v>
      </c>
      <c r="C2164" s="97">
        <f>SUMIFS(Input!$C$115:$C$3257,Input!$A$115:$A$3257,"="&amp;'Output - County'!A2164,Input!$B$115:$B$3257,"="&amp;'Output - County'!B2164)*VLOOKUP(A2164,'Output - State'!$B$2:$G$52,2,FALSE)</f>
        <v>1.6598114908056778</v>
      </c>
      <c r="D2164" s="98">
        <f>SUMIFS(Input!$C$115:$C$3257,Input!$A$115:$A$3257,"="&amp;'Output - County'!A2164,Input!$B$115:$B$3257,"="&amp;'Output - County'!B2164)*VLOOKUP(A2164,'Output - State'!$B$2:$G$52,3,FALSE)</f>
        <v>0.77439518974018373</v>
      </c>
      <c r="E2164" s="98">
        <f>SUMIFS(Input!$C$115:$C$3257,Input!$A$115:$A$3257,"="&amp;'Output - County'!A2164,Input!$B$115:$B$3257,"="&amp;'Output - County'!B2164)*VLOOKUP(A2164,'Output - State'!$B$2:$G$52,4,FALSE)</f>
        <v>7.0493246037056982</v>
      </c>
      <c r="F2164" s="98">
        <f>SUMIFS(Input!$C$115:$C$3257,Input!$A$115:$A$3257,"="&amp;'Output - County'!A2164,Input!$B$115:$B$3257,"="&amp;'Output - County'!B2164)*VLOOKUP(A2164,'Output - State'!$B$2:$G$52,5,FALSE)</f>
        <v>8.3740704054332813</v>
      </c>
      <c r="G2164" s="99">
        <f>SUMIFS(Input!$D$115:$D$3257,Input!$A$115:$A$3257,"="&amp;'Output - County'!A2164,Input!$B$115:$B$3257,"="&amp;'Output - County'!B2164)*VLOOKUP(A2164,'Output - State'!$B$2:$G$52,6,FALSE)</f>
        <v>3.1384036838632343</v>
      </c>
    </row>
    <row r="2165" spans="1:7" x14ac:dyDescent="0.25">
      <c r="A2165" s="88">
        <v>40</v>
      </c>
      <c r="B2165" s="88">
        <v>65</v>
      </c>
      <c r="C2165" s="97">
        <f>SUMIFS(Input!$C$115:$C$3257,Input!$A$115:$A$3257,"="&amp;'Output - County'!A2165,Input!$B$115:$B$3257,"="&amp;'Output - County'!B2165)*VLOOKUP(A2165,'Output - State'!$B$2:$G$52,2,FALSE)</f>
        <v>2.8875546852290679</v>
      </c>
      <c r="D2165" s="98">
        <f>SUMIFS(Input!$C$115:$C$3257,Input!$A$115:$A$3257,"="&amp;'Output - County'!A2165,Input!$B$115:$B$3257,"="&amp;'Output - County'!B2165)*VLOOKUP(A2165,'Output - State'!$B$2:$G$52,3,FALSE)</f>
        <v>1.3472062765800628</v>
      </c>
      <c r="E2165" s="98">
        <f>SUMIFS(Input!$C$115:$C$3257,Input!$A$115:$A$3257,"="&amp;'Output - County'!A2165,Input!$B$115:$B$3257,"="&amp;'Output - County'!B2165)*VLOOKUP(A2165,'Output - State'!$B$2:$G$52,4,FALSE)</f>
        <v>12.263627767301694</v>
      </c>
      <c r="F2165" s="98">
        <f>SUMIFS(Input!$C$115:$C$3257,Input!$A$115:$A$3257,"="&amp;'Output - County'!A2165,Input!$B$115:$B$3257,"="&amp;'Output - County'!B2165)*VLOOKUP(A2165,'Output - State'!$B$2:$G$52,5,FALSE)</f>
        <v>14.568272582514545</v>
      </c>
      <c r="G2165" s="99">
        <f>SUMIFS(Input!$D$115:$D$3257,Input!$A$115:$A$3257,"="&amp;'Output - County'!A2165,Input!$B$115:$B$3257,"="&amp;'Output - County'!B2165)*VLOOKUP(A2165,'Output - State'!$B$2:$G$52,6,FALSE)</f>
        <v>5.8520610044968588</v>
      </c>
    </row>
    <row r="2166" spans="1:7" x14ac:dyDescent="0.25">
      <c r="A2166" s="88">
        <v>40</v>
      </c>
      <c r="B2166" s="88">
        <v>67</v>
      </c>
      <c r="C2166" s="97">
        <f>SUMIFS(Input!$C$115:$C$3257,Input!$A$115:$A$3257,"="&amp;'Output - County'!A2166,Input!$B$115:$B$3257,"="&amp;'Output - County'!B2166)*VLOOKUP(A2166,'Output - State'!$B$2:$G$52,2,FALSE)</f>
        <v>0.77271013733248173</v>
      </c>
      <c r="D2166" s="98">
        <f>SUMIFS(Input!$C$115:$C$3257,Input!$A$115:$A$3257,"="&amp;'Output - County'!A2166,Input!$B$115:$B$3257,"="&amp;'Output - County'!B2166)*VLOOKUP(A2166,'Output - State'!$B$2:$G$52,3,FALSE)</f>
        <v>0.36051263455423699</v>
      </c>
      <c r="E2166" s="98">
        <f>SUMIFS(Input!$C$115:$C$3257,Input!$A$115:$A$3257,"="&amp;'Output - County'!A2166,Input!$B$115:$B$3257,"="&amp;'Output - County'!B2166)*VLOOKUP(A2166,'Output - State'!$B$2:$G$52,4,FALSE)</f>
        <v>3.2817489292031832</v>
      </c>
      <c r="F2166" s="98">
        <f>SUMIFS(Input!$C$115:$C$3257,Input!$A$115:$A$3257,"="&amp;'Output - County'!A2166,Input!$B$115:$B$3257,"="&amp;'Output - County'!B2166)*VLOOKUP(A2166,'Output - State'!$B$2:$G$52,5,FALSE)</f>
        <v>3.898472283664761</v>
      </c>
      <c r="G2166" s="99">
        <f>SUMIFS(Input!$D$115:$D$3257,Input!$A$115:$A$3257,"="&amp;'Output - County'!A2166,Input!$B$115:$B$3257,"="&amp;'Output - County'!B2166)*VLOOKUP(A2166,'Output - State'!$B$2:$G$52,6,FALSE)</f>
        <v>1.4417779329627338</v>
      </c>
    </row>
    <row r="2167" spans="1:7" x14ac:dyDescent="0.25">
      <c r="A2167" s="88">
        <v>40</v>
      </c>
      <c r="B2167" s="88">
        <v>69</v>
      </c>
      <c r="C2167" s="97">
        <f>SUMIFS(Input!$C$115:$C$3257,Input!$A$115:$A$3257,"="&amp;'Output - County'!A2167,Input!$B$115:$B$3257,"="&amp;'Output - County'!B2167)*VLOOKUP(A2167,'Output - State'!$B$2:$G$52,2,FALSE)</f>
        <v>1.3792327403596572</v>
      </c>
      <c r="D2167" s="98">
        <f>SUMIFS(Input!$C$115:$C$3257,Input!$A$115:$A$3257,"="&amp;'Output - County'!A2167,Input!$B$115:$B$3257,"="&amp;'Output - County'!B2167)*VLOOKUP(A2167,'Output - State'!$B$2:$G$52,3,FALSE)</f>
        <v>0.6434894598471812</v>
      </c>
      <c r="E2167" s="98">
        <f>SUMIFS(Input!$C$115:$C$3257,Input!$A$115:$A$3257,"="&amp;'Output - County'!A2167,Input!$B$115:$B$3257,"="&amp;'Output - County'!B2167)*VLOOKUP(A2167,'Output - State'!$B$2:$G$52,4,FALSE)</f>
        <v>5.8576888669052138</v>
      </c>
      <c r="F2167" s="98">
        <f>SUMIFS(Input!$C$115:$C$3257,Input!$A$115:$A$3257,"="&amp;'Output - County'!A2167,Input!$B$115:$B$3257,"="&amp;'Output - County'!B2167)*VLOOKUP(A2167,'Output - State'!$B$2:$G$52,5,FALSE)</f>
        <v>6.9584962733594189</v>
      </c>
      <c r="G2167" s="99">
        <f>SUMIFS(Input!$D$115:$D$3257,Input!$A$115:$A$3257,"="&amp;'Output - County'!A2167,Input!$B$115:$B$3257,"="&amp;'Output - County'!B2167)*VLOOKUP(A2167,'Output - State'!$B$2:$G$52,6,FALSE)</f>
        <v>2.5956722197365099</v>
      </c>
    </row>
    <row r="2168" spans="1:7" x14ac:dyDescent="0.25">
      <c r="A2168" s="88">
        <v>40</v>
      </c>
      <c r="B2168" s="88">
        <v>71</v>
      </c>
      <c r="C2168" s="97">
        <f>SUMIFS(Input!$C$115:$C$3257,Input!$A$115:$A$3257,"="&amp;'Output - County'!A2168,Input!$B$115:$B$3257,"="&amp;'Output - County'!B2168)*VLOOKUP(A2168,'Output - State'!$B$2:$G$52,2,FALSE)</f>
        <v>9.421122582087202</v>
      </c>
      <c r="D2168" s="98">
        <f>SUMIFS(Input!$C$115:$C$3257,Input!$A$115:$A$3257,"="&amp;'Output - County'!A2168,Input!$B$115:$B$3257,"="&amp;'Output - County'!B2168)*VLOOKUP(A2168,'Output - State'!$B$2:$G$52,3,FALSE)</f>
        <v>4.3954822881600881</v>
      </c>
      <c r="E2168" s="98">
        <f>SUMIFS(Input!$C$115:$C$3257,Input!$A$115:$A$3257,"="&amp;'Output - County'!A2168,Input!$B$115:$B$3257,"="&amp;'Output - County'!B2168)*VLOOKUP(A2168,'Output - State'!$B$2:$G$52,4,FALSE)</f>
        <v>40.012104736181698</v>
      </c>
      <c r="F2168" s="98">
        <f>SUMIFS(Input!$C$115:$C$3257,Input!$A$115:$A$3257,"="&amp;'Output - County'!A2168,Input!$B$115:$B$3257,"="&amp;'Output - County'!B2168)*VLOOKUP(A2168,'Output - State'!$B$2:$G$52,5,FALSE)</f>
        <v>47.531387894128045</v>
      </c>
      <c r="G2168" s="99">
        <f>SUMIFS(Input!$D$115:$D$3257,Input!$A$115:$A$3257,"="&amp;'Output - County'!A2168,Input!$B$115:$B$3257,"="&amp;'Output - County'!B2168)*VLOOKUP(A2168,'Output - State'!$B$2:$G$52,6,FALSE)</f>
        <v>10.359091858766615</v>
      </c>
    </row>
    <row r="2169" spans="1:7" x14ac:dyDescent="0.25">
      <c r="A2169" s="88">
        <v>40</v>
      </c>
      <c r="B2169" s="88">
        <v>73</v>
      </c>
      <c r="C2169" s="97">
        <f>SUMIFS(Input!$C$115:$C$3257,Input!$A$115:$A$3257,"="&amp;'Output - County'!A2169,Input!$B$115:$B$3257,"="&amp;'Output - County'!B2169)*VLOOKUP(A2169,'Output - State'!$B$2:$G$52,2,FALSE)</f>
        <v>2.1797854881392933</v>
      </c>
      <c r="D2169" s="98">
        <f>SUMIFS(Input!$C$115:$C$3257,Input!$A$115:$A$3257,"="&amp;'Output - County'!A2169,Input!$B$115:$B$3257,"="&amp;'Output - County'!B2169)*VLOOKUP(A2169,'Output - State'!$B$2:$G$52,3,FALSE)</f>
        <v>1.0169922343778683</v>
      </c>
      <c r="E2169" s="98">
        <f>SUMIFS(Input!$C$115:$C$3257,Input!$A$115:$A$3257,"="&amp;'Output - County'!A2169,Input!$B$115:$B$3257,"="&amp;'Output - County'!B2169)*VLOOKUP(A2169,'Output - State'!$B$2:$G$52,4,FALSE)</f>
        <v>9.2576871273991745</v>
      </c>
      <c r="F2169" s="98">
        <f>SUMIFS(Input!$C$115:$C$3257,Input!$A$115:$A$3257,"="&amp;'Output - County'!A2169,Input!$B$115:$B$3257,"="&amp;'Output - County'!B2169)*VLOOKUP(A2169,'Output - State'!$B$2:$G$52,5,FALSE)</f>
        <v>10.997439918649921</v>
      </c>
      <c r="G2169" s="99">
        <f>SUMIFS(Input!$D$115:$D$3257,Input!$A$115:$A$3257,"="&amp;'Output - County'!A2169,Input!$B$115:$B$3257,"="&amp;'Output - County'!B2169)*VLOOKUP(A2169,'Output - State'!$B$2:$G$52,6,FALSE)</f>
        <v>3.728329188348805</v>
      </c>
    </row>
    <row r="2170" spans="1:7" x14ac:dyDescent="0.25">
      <c r="A2170" s="88">
        <v>40</v>
      </c>
      <c r="B2170" s="88">
        <v>75</v>
      </c>
      <c r="C2170" s="97">
        <f>SUMIFS(Input!$C$115:$C$3257,Input!$A$115:$A$3257,"="&amp;'Output - County'!A2170,Input!$B$115:$B$3257,"="&amp;'Output - County'!B2170)*VLOOKUP(A2170,'Output - State'!$B$2:$G$52,2,FALSE)</f>
        <v>1.1552643757853431</v>
      </c>
      <c r="D2170" s="98">
        <f>SUMIFS(Input!$C$115:$C$3257,Input!$A$115:$A$3257,"="&amp;'Output - County'!A2170,Input!$B$115:$B$3257,"="&amp;'Output - County'!B2170)*VLOOKUP(A2170,'Output - State'!$B$2:$G$52,3,FALSE)</f>
        <v>0.5389956512785129</v>
      </c>
      <c r="E2170" s="98">
        <f>SUMIFS(Input!$C$115:$C$3257,Input!$A$115:$A$3257,"="&amp;'Output - County'!A2170,Input!$B$115:$B$3257,"="&amp;'Output - County'!B2170)*VLOOKUP(A2170,'Output - State'!$B$2:$G$52,4,FALSE)</f>
        <v>4.9064810269841441</v>
      </c>
      <c r="F2170" s="98">
        <f>SUMIFS(Input!$C$115:$C$3257,Input!$A$115:$A$3257,"="&amp;'Output - County'!A2170,Input!$B$115:$B$3257,"="&amp;'Output - County'!B2170)*VLOOKUP(A2170,'Output - State'!$B$2:$G$52,5,FALSE)</f>
        <v>5.8285325010127966</v>
      </c>
      <c r="G2170" s="99">
        <f>SUMIFS(Input!$D$115:$D$3257,Input!$A$115:$A$3257,"="&amp;'Output - County'!A2170,Input!$B$115:$B$3257,"="&amp;'Output - County'!B2170)*VLOOKUP(A2170,'Output - State'!$B$2:$G$52,6,FALSE)</f>
        <v>2.0600198616636116</v>
      </c>
    </row>
    <row r="2171" spans="1:7" x14ac:dyDescent="0.25">
      <c r="A2171" s="88">
        <v>40</v>
      </c>
      <c r="B2171" s="88">
        <v>77</v>
      </c>
      <c r="C2171" s="97">
        <f>SUMIFS(Input!$C$115:$C$3257,Input!$A$115:$A$3257,"="&amp;'Output - County'!A2171,Input!$B$115:$B$3257,"="&amp;'Output - County'!B2171)*VLOOKUP(A2171,'Output - State'!$B$2:$G$52,2,FALSE)</f>
        <v>1.0045012609306079</v>
      </c>
      <c r="D2171" s="98">
        <f>SUMIFS(Input!$C$115:$C$3257,Input!$A$115:$A$3257,"="&amp;'Output - County'!A2171,Input!$B$115:$B$3257,"="&amp;'Output - County'!B2171)*VLOOKUP(A2171,'Output - State'!$B$2:$G$52,3,FALSE)</f>
        <v>0.46865619912959278</v>
      </c>
      <c r="E2171" s="98">
        <f>SUMIFS(Input!$C$115:$C$3257,Input!$A$115:$A$3257,"="&amp;'Output - County'!A2171,Input!$B$115:$B$3257,"="&amp;'Output - County'!B2171)*VLOOKUP(A2171,'Output - State'!$B$2:$G$52,4,FALSE)</f>
        <v>4.2661805225208829</v>
      </c>
      <c r="F2171" s="98">
        <f>SUMIFS(Input!$C$115:$C$3257,Input!$A$115:$A$3257,"="&amp;'Output - County'!A2171,Input!$B$115:$B$3257,"="&amp;'Output - County'!B2171)*VLOOKUP(A2171,'Output - State'!$B$2:$G$52,5,FALSE)</f>
        <v>5.0679033902195254</v>
      </c>
      <c r="G2171" s="99">
        <f>SUMIFS(Input!$D$115:$D$3257,Input!$A$115:$A$3257,"="&amp;'Output - County'!A2171,Input!$B$115:$B$3257,"="&amp;'Output - County'!B2171)*VLOOKUP(A2171,'Output - State'!$B$2:$G$52,6,FALSE)</f>
        <v>2.4068960583011267</v>
      </c>
    </row>
    <row r="2172" spans="1:7" x14ac:dyDescent="0.25">
      <c r="A2172" s="88">
        <v>40</v>
      </c>
      <c r="B2172" s="88">
        <v>79</v>
      </c>
      <c r="C2172" s="97">
        <f>SUMIFS(Input!$C$115:$C$3257,Input!$A$115:$A$3257,"="&amp;'Output - County'!A2172,Input!$B$115:$B$3257,"="&amp;'Output - County'!B2172)*VLOOKUP(A2172,'Output - State'!$B$2:$G$52,2,FALSE)</f>
        <v>6.1655381012491102</v>
      </c>
      <c r="D2172" s="98">
        <f>SUMIFS(Input!$C$115:$C$3257,Input!$A$115:$A$3257,"="&amp;'Output - County'!A2172,Input!$B$115:$B$3257,"="&amp;'Output - County'!B2172)*VLOOKUP(A2172,'Output - State'!$B$2:$G$52,3,FALSE)</f>
        <v>2.8765694623848814</v>
      </c>
      <c r="E2172" s="98">
        <f>SUMIFS(Input!$C$115:$C$3257,Input!$A$115:$A$3257,"="&amp;'Output - County'!A2172,Input!$B$115:$B$3257,"="&amp;'Output - County'!B2172)*VLOOKUP(A2172,'Output - State'!$B$2:$G$52,4,FALSE)</f>
        <v>26.185431100445779</v>
      </c>
      <c r="F2172" s="98">
        <f>SUMIFS(Input!$C$115:$C$3257,Input!$A$115:$A$3257,"="&amp;'Output - County'!A2172,Input!$B$115:$B$3257,"="&amp;'Output - County'!B2172)*VLOOKUP(A2172,'Output - State'!$B$2:$G$52,5,FALSE)</f>
        <v>31.106333721174444</v>
      </c>
      <c r="G2172" s="99">
        <f>SUMIFS(Input!$D$115:$D$3257,Input!$A$115:$A$3257,"="&amp;'Output - County'!A2172,Input!$B$115:$B$3257,"="&amp;'Output - County'!B2172)*VLOOKUP(A2172,'Output - State'!$B$2:$G$52,6,FALSE)</f>
        <v>11.82210710989083</v>
      </c>
    </row>
    <row r="2173" spans="1:7" x14ac:dyDescent="0.25">
      <c r="A2173" s="88">
        <v>40</v>
      </c>
      <c r="B2173" s="88">
        <v>81</v>
      </c>
      <c r="C2173" s="97">
        <f>SUMIFS(Input!$C$115:$C$3257,Input!$A$115:$A$3257,"="&amp;'Output - County'!A2173,Input!$B$115:$B$3257,"="&amp;'Output - County'!B2173)*VLOOKUP(A2173,'Output - State'!$B$2:$G$52,2,FALSE)</f>
        <v>8.9908331973625639</v>
      </c>
      <c r="D2173" s="98">
        <f>SUMIFS(Input!$C$115:$C$3257,Input!$A$115:$A$3257,"="&amp;'Output - County'!A2173,Input!$B$115:$B$3257,"="&amp;'Output - County'!B2173)*VLOOKUP(A2173,'Output - State'!$B$2:$G$52,3,FALSE)</f>
        <v>4.1947281473598697</v>
      </c>
      <c r="E2173" s="98">
        <f>SUMIFS(Input!$C$115:$C$3257,Input!$A$115:$A$3257,"="&amp;'Output - County'!A2173,Input!$B$115:$B$3257,"="&amp;'Output - County'!B2173)*VLOOKUP(A2173,'Output - State'!$B$2:$G$52,4,FALSE)</f>
        <v>38.184638446633102</v>
      </c>
      <c r="F2173" s="98">
        <f>SUMIFS(Input!$C$115:$C$3257,Input!$A$115:$A$3257,"="&amp;'Output - County'!A2173,Input!$B$115:$B$3257,"="&amp;'Output - County'!B2173)*VLOOKUP(A2173,'Output - State'!$B$2:$G$52,5,FALSE)</f>
        <v>45.360494619587783</v>
      </c>
      <c r="G2173" s="99">
        <f>SUMIFS(Input!$D$115:$D$3257,Input!$A$115:$A$3257,"="&amp;'Output - County'!A2173,Input!$B$115:$B$3257,"="&amp;'Output - County'!B2173)*VLOOKUP(A2173,'Output - State'!$B$2:$G$52,6,FALSE)</f>
        <v>8.2117630224391398</v>
      </c>
    </row>
    <row r="2174" spans="1:7" x14ac:dyDescent="0.25">
      <c r="A2174" s="88">
        <v>40</v>
      </c>
      <c r="B2174" s="88">
        <v>83</v>
      </c>
      <c r="C2174" s="97">
        <f>SUMIFS(Input!$C$115:$C$3257,Input!$A$115:$A$3257,"="&amp;'Output - County'!A2174,Input!$B$115:$B$3257,"="&amp;'Output - County'!B2174)*VLOOKUP(A2174,'Output - State'!$B$2:$G$52,2,FALSE)</f>
        <v>8.3228513281666547</v>
      </c>
      <c r="D2174" s="98">
        <f>SUMIFS(Input!$C$115:$C$3257,Input!$A$115:$A$3257,"="&amp;'Output - County'!A2174,Input!$B$115:$B$3257,"="&amp;'Output - County'!B2174)*VLOOKUP(A2174,'Output - State'!$B$2:$G$52,3,FALSE)</f>
        <v>3.8830771260213695</v>
      </c>
      <c r="E2174" s="98">
        <f>SUMIFS(Input!$C$115:$C$3257,Input!$A$115:$A$3257,"="&amp;'Output - County'!A2174,Input!$B$115:$B$3257,"="&amp;'Output - County'!B2174)*VLOOKUP(A2174,'Output - State'!$B$2:$G$52,4,FALSE)</f>
        <v>35.347677110098211</v>
      </c>
      <c r="F2174" s="98">
        <f>SUMIFS(Input!$C$115:$C$3257,Input!$A$115:$A$3257,"="&amp;'Output - County'!A2174,Input!$B$115:$B$3257,"="&amp;'Output - County'!B2174)*VLOOKUP(A2174,'Output - State'!$B$2:$G$52,5,FALSE)</f>
        <v>41.990396730047173</v>
      </c>
      <c r="G2174" s="99">
        <f>SUMIFS(Input!$D$115:$D$3257,Input!$A$115:$A$3257,"="&amp;'Output - County'!A2174,Input!$B$115:$B$3257,"="&amp;'Output - County'!B2174)*VLOOKUP(A2174,'Output - State'!$B$2:$G$52,6,FALSE)</f>
        <v>11.13779352468757</v>
      </c>
    </row>
    <row r="2175" spans="1:7" x14ac:dyDescent="0.25">
      <c r="A2175" s="88">
        <v>40</v>
      </c>
      <c r="B2175" s="88">
        <v>85</v>
      </c>
      <c r="C2175" s="97">
        <f>SUMIFS(Input!$C$115:$C$3257,Input!$A$115:$A$3257,"="&amp;'Output - County'!A2175,Input!$B$115:$B$3257,"="&amp;'Output - County'!B2175)*VLOOKUP(A2175,'Output - State'!$B$2:$G$52,2,FALSE)</f>
        <v>6.4968516161962055</v>
      </c>
      <c r="D2175" s="98">
        <f>SUMIFS(Input!$C$115:$C$3257,Input!$A$115:$A$3257,"="&amp;'Output - County'!A2175,Input!$B$115:$B$3257,"="&amp;'Output - County'!B2175)*VLOOKUP(A2175,'Output - State'!$B$2:$G$52,3,FALSE)</f>
        <v>3.0311458065614141</v>
      </c>
      <c r="E2175" s="98">
        <f>SUMIFS(Input!$C$115:$C$3257,Input!$A$115:$A$3257,"="&amp;'Output - County'!A2175,Input!$B$115:$B$3257,"="&amp;'Output - County'!B2175)*VLOOKUP(A2175,'Output - State'!$B$2:$G$52,4,FALSE)</f>
        <v>27.592540597755676</v>
      </c>
      <c r="F2175" s="98">
        <f>SUMIFS(Input!$C$115:$C$3257,Input!$A$115:$A$3257,"="&amp;'Output - County'!A2175,Input!$B$115:$B$3257,"="&amp;'Output - County'!B2175)*VLOOKUP(A2175,'Output - State'!$B$2:$G$52,5,FALSE)</f>
        <v>32.777874565304778</v>
      </c>
      <c r="G2175" s="99">
        <f>SUMIFS(Input!$D$115:$D$3257,Input!$A$115:$A$3257,"="&amp;'Output - County'!A2175,Input!$B$115:$B$3257,"="&amp;'Output - County'!B2175)*VLOOKUP(A2175,'Output - State'!$B$2:$G$52,6,FALSE)</f>
        <v>2.4068960583011267</v>
      </c>
    </row>
    <row r="2176" spans="1:7" x14ac:dyDescent="0.25">
      <c r="A2176" s="88">
        <v>40</v>
      </c>
      <c r="B2176" s="88">
        <v>87</v>
      </c>
      <c r="C2176" s="97">
        <f>SUMIFS(Input!$C$115:$C$3257,Input!$A$115:$A$3257,"="&amp;'Output - County'!A2176,Input!$B$115:$B$3257,"="&amp;'Output - County'!B2176)*VLOOKUP(A2176,'Output - State'!$B$2:$G$52,2,FALSE)</f>
        <v>14.856406500948221</v>
      </c>
      <c r="D2176" s="98">
        <f>SUMIFS(Input!$C$115:$C$3257,Input!$A$115:$A$3257,"="&amp;'Output - County'!A2176,Input!$B$115:$B$3257,"="&amp;'Output - County'!B2176)*VLOOKUP(A2176,'Output - State'!$B$2:$G$52,3,FALSE)</f>
        <v>6.9313472011057495</v>
      </c>
      <c r="E2176" s="98">
        <f>SUMIFS(Input!$C$115:$C$3257,Input!$A$115:$A$3257,"="&amp;'Output - County'!A2176,Input!$B$115:$B$3257,"="&amp;'Output - County'!B2176)*VLOOKUP(A2176,'Output - State'!$B$2:$G$52,4,FALSE)</f>
        <v>63.096100039018559</v>
      </c>
      <c r="F2176" s="98">
        <f>SUMIFS(Input!$C$115:$C$3257,Input!$A$115:$A$3257,"="&amp;'Output - County'!A2176,Input!$B$115:$B$3257,"="&amp;'Output - County'!B2176)*VLOOKUP(A2176,'Output - State'!$B$2:$G$52,5,FALSE)</f>
        <v>74.95344784623029</v>
      </c>
      <c r="G2176" s="99">
        <f>SUMIFS(Input!$D$115:$D$3257,Input!$A$115:$A$3257,"="&amp;'Output - County'!A2176,Input!$B$115:$B$3257,"="&amp;'Output - County'!B2176)*VLOOKUP(A2176,'Output - State'!$B$2:$G$52,6,FALSE)</f>
        <v>9.4152110515897025</v>
      </c>
    </row>
    <row r="2177" spans="1:7" x14ac:dyDescent="0.25">
      <c r="A2177" s="88">
        <v>40</v>
      </c>
      <c r="B2177" s="88">
        <v>89</v>
      </c>
      <c r="C2177" s="97">
        <f>SUMIFS(Input!$C$115:$C$3257,Input!$A$115:$A$3257,"="&amp;'Output - County'!A2177,Input!$B$115:$B$3257,"="&amp;'Output - County'!B2177)*VLOOKUP(A2177,'Output - State'!$B$2:$G$52,2,FALSE)</f>
        <v>4.3483765512799994</v>
      </c>
      <c r="D2177" s="98">
        <f>SUMIFS(Input!$C$115:$C$3257,Input!$A$115:$A$3257,"="&amp;'Output - County'!A2177,Input!$B$115:$B$3257,"="&amp;'Output - County'!B2177)*VLOOKUP(A2177,'Output - State'!$B$2:$G$52,3,FALSE)</f>
        <v>2.0287616413932117</v>
      </c>
      <c r="E2177" s="98">
        <f>SUMIFS(Input!$C$115:$C$3257,Input!$A$115:$A$3257,"="&amp;'Output - County'!A2177,Input!$B$115:$B$3257,"="&amp;'Output - County'!B2177)*VLOOKUP(A2177,'Output - State'!$B$2:$G$52,4,FALSE)</f>
        <v>18.467830822303746</v>
      </c>
      <c r="F2177" s="98">
        <f>SUMIFS(Input!$C$115:$C$3257,Input!$A$115:$A$3257,"="&amp;'Output - County'!A2177,Input!$B$115:$B$3257,"="&amp;'Output - County'!B2177)*VLOOKUP(A2177,'Output - State'!$B$2:$G$52,5,FALSE)</f>
        <v>21.938401795301822</v>
      </c>
      <c r="G2177" s="99">
        <f>SUMIFS(Input!$D$115:$D$3257,Input!$A$115:$A$3257,"="&amp;'Output - County'!A2177,Input!$B$115:$B$3257,"="&amp;'Output - County'!B2177)*VLOOKUP(A2177,'Output - State'!$B$2:$G$52,6,FALSE)</f>
        <v>7.78701665920953</v>
      </c>
    </row>
    <row r="2178" spans="1:7" x14ac:dyDescent="0.25">
      <c r="A2178" s="88">
        <v>40</v>
      </c>
      <c r="B2178" s="88">
        <v>91</v>
      </c>
      <c r="C2178" s="97">
        <f>SUMIFS(Input!$C$115:$C$3257,Input!$A$115:$A$3257,"="&amp;'Output - County'!A2178,Input!$B$115:$B$3257,"="&amp;'Output - County'!B2178)*VLOOKUP(A2178,'Output - State'!$B$2:$G$52,2,FALSE)</f>
        <v>6.8762396285524181</v>
      </c>
      <c r="D2178" s="98">
        <f>SUMIFS(Input!$C$115:$C$3257,Input!$A$115:$A$3257,"="&amp;'Output - County'!A2178,Input!$B$115:$B$3257,"="&amp;'Output - County'!B2178)*VLOOKUP(A2178,'Output - State'!$B$2:$G$52,3,FALSE)</f>
        <v>3.2081516011598907</v>
      </c>
      <c r="E2178" s="98">
        <f>SUMIFS(Input!$C$115:$C$3257,Input!$A$115:$A$3257,"="&amp;'Output - County'!A2178,Input!$B$115:$B$3257,"="&amp;'Output - County'!B2178)*VLOOKUP(A2178,'Output - State'!$B$2:$G$52,4,FALSE)</f>
        <v>29.203825532622275</v>
      </c>
      <c r="F2178" s="98">
        <f>SUMIFS(Input!$C$115:$C$3257,Input!$A$115:$A$3257,"="&amp;'Output - County'!A2178,Input!$B$115:$B$3257,"="&amp;'Output - County'!B2178)*VLOOKUP(A2178,'Output - State'!$B$2:$G$52,5,FALSE)</f>
        <v>34.691960558832982</v>
      </c>
      <c r="G2178" s="99">
        <f>SUMIFS(Input!$D$115:$D$3257,Input!$A$115:$A$3257,"="&amp;'Output - County'!A2178,Input!$B$115:$B$3257,"="&amp;'Output - County'!B2178)*VLOOKUP(A2178,'Output - State'!$B$2:$G$52,6,FALSE)</f>
        <v>4.6486129753462953</v>
      </c>
    </row>
    <row r="2179" spans="1:7" x14ac:dyDescent="0.25">
      <c r="A2179" s="88">
        <v>40</v>
      </c>
      <c r="B2179" s="88">
        <v>93</v>
      </c>
      <c r="C2179" s="97">
        <f>SUMIFS(Input!$C$115:$C$3257,Input!$A$115:$A$3257,"="&amp;'Output - County'!A2179,Input!$B$115:$B$3257,"="&amp;'Output - County'!B2179)*VLOOKUP(A2179,'Output - State'!$B$2:$G$52,2,FALSE)</f>
        <v>1.5903648949355054</v>
      </c>
      <c r="D2179" s="98">
        <f>SUMIFS(Input!$C$115:$C$3257,Input!$A$115:$A$3257,"="&amp;'Output - County'!A2179,Input!$B$115:$B$3257,"="&amp;'Output - County'!B2179)*VLOOKUP(A2179,'Output - State'!$B$2:$G$52,3,FALSE)</f>
        <v>0.74199445623303861</v>
      </c>
      <c r="E2179" s="98">
        <f>SUMIFS(Input!$C$115:$C$3257,Input!$A$115:$A$3257,"="&amp;'Output - County'!A2179,Input!$B$115:$B$3257,"="&amp;'Output - County'!B2179)*VLOOKUP(A2179,'Output - State'!$B$2:$G$52,4,FALSE)</f>
        <v>6.7543805093775022</v>
      </c>
      <c r="F2179" s="98">
        <f>SUMIFS(Input!$C$115:$C$3257,Input!$A$115:$A$3257,"="&amp;'Output - County'!A2179,Input!$B$115:$B$3257,"="&amp;'Output - County'!B2179)*VLOOKUP(A2179,'Output - State'!$B$2:$G$52,5,FALSE)</f>
        <v>8.0236988804402785</v>
      </c>
      <c r="G2179" s="99">
        <f>SUMIFS(Input!$D$115:$D$3257,Input!$A$115:$A$3257,"="&amp;'Output - County'!A2179,Input!$B$115:$B$3257,"="&amp;'Output - County'!B2179)*VLOOKUP(A2179,'Output - State'!$B$2:$G$52,6,FALSE)</f>
        <v>1.8004526396899607</v>
      </c>
    </row>
    <row r="2180" spans="1:7" x14ac:dyDescent="0.25">
      <c r="A2180" s="88">
        <v>40</v>
      </c>
      <c r="B2180" s="88">
        <v>95</v>
      </c>
      <c r="C2180" s="97">
        <f>SUMIFS(Input!$C$115:$C$3257,Input!$A$115:$A$3257,"="&amp;'Output - County'!A2180,Input!$B$115:$B$3257,"="&amp;'Output - County'!B2180)*VLOOKUP(A2180,'Output - State'!$B$2:$G$52,2,FALSE)</f>
        <v>1.585917014586909</v>
      </c>
      <c r="D2180" s="98">
        <f>SUMIFS(Input!$C$115:$C$3257,Input!$A$115:$A$3257,"="&amp;'Output - County'!A2180,Input!$B$115:$B$3257,"="&amp;'Output - County'!B2180)*VLOOKUP(A2180,'Output - State'!$B$2:$G$52,3,FALSE)</f>
        <v>0.73991927048720363</v>
      </c>
      <c r="E2180" s="98">
        <f>SUMIFS(Input!$C$115:$C$3257,Input!$A$115:$A$3257,"="&amp;'Output - County'!A2180,Input!$B$115:$B$3257,"="&amp;'Output - County'!B2180)*VLOOKUP(A2180,'Output - State'!$B$2:$G$52,4,FALSE)</f>
        <v>6.7354900796212416</v>
      </c>
      <c r="F2180" s="98">
        <f>SUMIFS(Input!$C$115:$C$3257,Input!$A$115:$A$3257,"="&amp;'Output - County'!A2180,Input!$B$115:$B$3257,"="&amp;'Output - County'!B2180)*VLOOKUP(A2180,'Output - State'!$B$2:$G$52,5,FALSE)</f>
        <v>8.001258462717896</v>
      </c>
      <c r="G2180" s="99">
        <f>SUMIFS(Input!$D$115:$D$3257,Input!$A$115:$A$3257,"="&amp;'Output - County'!A2180,Input!$B$115:$B$3257,"="&amp;'Output - County'!B2180)*VLOOKUP(A2180,'Output - State'!$B$2:$G$52,6,FALSE)</f>
        <v>3.9407023699636099</v>
      </c>
    </row>
    <row r="2181" spans="1:7" x14ac:dyDescent="0.25">
      <c r="A2181" s="88">
        <v>40</v>
      </c>
      <c r="B2181" s="88">
        <v>97</v>
      </c>
      <c r="C2181" s="97">
        <f>SUMIFS(Input!$C$115:$C$3257,Input!$A$115:$A$3257,"="&amp;'Output - County'!A2181,Input!$B$115:$B$3257,"="&amp;'Output - County'!B2181)*VLOOKUP(A2181,'Output - State'!$B$2:$G$52,2,FALSE)</f>
        <v>8.334149817265466</v>
      </c>
      <c r="D2181" s="98">
        <f>SUMIFS(Input!$C$115:$C$3257,Input!$A$115:$A$3257,"="&amp;'Output - County'!A2181,Input!$B$115:$B$3257,"="&amp;'Output - County'!B2181)*VLOOKUP(A2181,'Output - State'!$B$2:$G$52,3,FALSE)</f>
        <v>3.888348505125514</v>
      </c>
      <c r="E2181" s="98">
        <f>SUMIFS(Input!$C$115:$C$3257,Input!$A$115:$A$3257,"="&amp;'Output - County'!A2181,Input!$B$115:$B$3257,"="&amp;'Output - County'!B2181)*VLOOKUP(A2181,'Output - State'!$B$2:$G$52,4,FALSE)</f>
        <v>35.395662509422259</v>
      </c>
      <c r="F2181" s="98">
        <f>SUMIFS(Input!$C$115:$C$3257,Input!$A$115:$A$3257,"="&amp;'Output - County'!A2181,Input!$B$115:$B$3257,"="&amp;'Output - County'!B2181)*VLOOKUP(A2181,'Output - State'!$B$2:$G$52,5,FALSE)</f>
        <v>42.04739979558358</v>
      </c>
      <c r="G2181" s="99">
        <f>SUMIFS(Input!$D$115:$D$3257,Input!$A$115:$A$3257,"="&amp;'Output - County'!A2181,Input!$B$115:$B$3257,"="&amp;'Output - County'!B2181)*VLOOKUP(A2181,'Output - State'!$B$2:$G$52,6,FALSE)</f>
        <v>9.7219723139221994</v>
      </c>
    </row>
    <row r="2182" spans="1:7" x14ac:dyDescent="0.25">
      <c r="A2182" s="88">
        <v>40</v>
      </c>
      <c r="B2182" s="88">
        <v>99</v>
      </c>
      <c r="C2182" s="97">
        <f>SUMIFS(Input!$C$115:$C$3257,Input!$A$115:$A$3257,"="&amp;'Output - County'!A2182,Input!$B$115:$B$3257,"="&amp;'Output - County'!B2182)*VLOOKUP(A2182,'Output - State'!$B$2:$G$52,2,FALSE)</f>
        <v>3.7822834954709639</v>
      </c>
      <c r="D2182" s="98">
        <f>SUMIFS(Input!$C$115:$C$3257,Input!$A$115:$A$3257,"="&amp;'Output - County'!A2182,Input!$B$115:$B$3257,"="&amp;'Output - County'!B2182)*VLOOKUP(A2182,'Output - State'!$B$2:$G$52,3,FALSE)</f>
        <v>1.7646474683126003</v>
      </c>
      <c r="E2182" s="98">
        <f>SUMIFS(Input!$C$115:$C$3257,Input!$A$115:$A$3257,"="&amp;'Output - County'!A2182,Input!$B$115:$B$3257,"="&amp;'Output - County'!B2182)*VLOOKUP(A2182,'Output - State'!$B$2:$G$52,4,FALSE)</f>
        <v>16.063597734144718</v>
      </c>
      <c r="F2182" s="98">
        <f>SUMIFS(Input!$C$115:$C$3257,Input!$A$115:$A$3257,"="&amp;'Output - County'!A2182,Input!$B$115:$B$3257,"="&amp;'Output - County'!B2182)*VLOOKUP(A2182,'Output - State'!$B$2:$G$52,5,FALSE)</f>
        <v>19.082352700792494</v>
      </c>
      <c r="G2182" s="99">
        <f>SUMIFS(Input!$D$115:$D$3257,Input!$A$115:$A$3257,"="&amp;'Output - County'!A2182,Input!$B$115:$B$3257,"="&amp;'Output - County'!B2182)*VLOOKUP(A2182,'Output - State'!$B$2:$G$52,6,FALSE)</f>
        <v>3.3035828251191943</v>
      </c>
    </row>
    <row r="2183" spans="1:7" x14ac:dyDescent="0.25">
      <c r="A2183" s="88">
        <v>40</v>
      </c>
      <c r="B2183" s="88">
        <v>101</v>
      </c>
      <c r="C2183" s="97">
        <f>SUMIFS(Input!$C$115:$C$3257,Input!$A$115:$A$3257,"="&amp;'Output - County'!A2183,Input!$B$115:$B$3257,"="&amp;'Output - County'!B2183)*VLOOKUP(A2183,'Output - State'!$B$2:$G$52,2,FALSE)</f>
        <v>12.682303451675027</v>
      </c>
      <c r="D2183" s="98">
        <f>SUMIFS(Input!$C$115:$C$3257,Input!$A$115:$A$3257,"="&amp;'Output - County'!A2183,Input!$B$115:$B$3257,"="&amp;'Output - County'!B2183)*VLOOKUP(A2183,'Output - State'!$B$2:$G$52,3,FALSE)</f>
        <v>5.9170061432911689</v>
      </c>
      <c r="E2183" s="98">
        <f>SUMIFS(Input!$C$115:$C$3257,Input!$A$115:$A$3257,"="&amp;'Output - County'!A2183,Input!$B$115:$B$3257,"="&amp;'Output - County'!B2183)*VLOOKUP(A2183,'Output - State'!$B$2:$G$52,4,FALSE)</f>
        <v>53.862546589648332</v>
      </c>
      <c r="F2183" s="98">
        <f>SUMIFS(Input!$C$115:$C$3257,Input!$A$115:$A$3257,"="&amp;'Output - County'!A2183,Input!$B$115:$B$3257,"="&amp;'Output - County'!B2183)*VLOOKUP(A2183,'Output - State'!$B$2:$G$52,5,FALSE)</f>
        <v>63.984676932104605</v>
      </c>
      <c r="G2183" s="99">
        <f>SUMIFS(Input!$D$115:$D$3257,Input!$A$115:$A$3257,"="&amp;'Output - County'!A2183,Input!$B$115:$B$3257,"="&amp;'Output - County'!B2183)*VLOOKUP(A2183,'Output - State'!$B$2:$G$52,6,FALSE)</f>
        <v>16.116764782545783</v>
      </c>
    </row>
    <row r="2184" spans="1:7" x14ac:dyDescent="0.25">
      <c r="A2184" s="88">
        <v>40</v>
      </c>
      <c r="B2184" s="88">
        <v>103</v>
      </c>
      <c r="C2184" s="97">
        <f>SUMIFS(Input!$C$115:$C$3257,Input!$A$115:$A$3257,"="&amp;'Output - County'!A2184,Input!$B$115:$B$3257,"="&amp;'Output - County'!B2184)*VLOOKUP(A2184,'Output - State'!$B$2:$G$52,2,FALSE)</f>
        <v>7.0980065432824437</v>
      </c>
      <c r="D2184" s="98">
        <f>SUMIFS(Input!$C$115:$C$3257,Input!$A$115:$A$3257,"="&amp;'Output - County'!A2184,Input!$B$115:$B$3257,"="&amp;'Output - County'!B2184)*VLOOKUP(A2184,'Output - State'!$B$2:$G$52,3,FALSE)</f>
        <v>3.3116183098564864</v>
      </c>
      <c r="E2184" s="98">
        <f>SUMIFS(Input!$C$115:$C$3257,Input!$A$115:$A$3257,"="&amp;'Output - County'!A2184,Input!$B$115:$B$3257,"="&amp;'Output - County'!B2184)*VLOOKUP(A2184,'Output - State'!$B$2:$G$52,4,FALSE)</f>
        <v>30.145683675522246</v>
      </c>
      <c r="F2184" s="98">
        <f>SUMIFS(Input!$C$115:$C$3257,Input!$A$115:$A$3257,"="&amp;'Output - County'!A2184,Input!$B$115:$B$3257,"="&amp;'Output - County'!B2184)*VLOOKUP(A2184,'Output - State'!$B$2:$G$52,5,FALSE)</f>
        <v>35.810817590388723</v>
      </c>
      <c r="G2184" s="99">
        <f>SUMIFS(Input!$D$115:$D$3257,Input!$A$115:$A$3257,"="&amp;'Output - County'!A2184,Input!$B$115:$B$3257,"="&amp;'Output - County'!B2184)*VLOOKUP(A2184,'Output - State'!$B$2:$G$52,6,FALSE)</f>
        <v>2.6664632802747783</v>
      </c>
    </row>
    <row r="2185" spans="1:7" x14ac:dyDescent="0.25">
      <c r="A2185" s="88">
        <v>40</v>
      </c>
      <c r="B2185" s="88">
        <v>105</v>
      </c>
      <c r="C2185" s="97">
        <f>SUMIFS(Input!$C$115:$C$3257,Input!$A$115:$A$3257,"="&amp;'Output - County'!A2185,Input!$B$115:$B$3257,"="&amp;'Output - County'!B2185)*VLOOKUP(A2185,'Output - State'!$B$2:$G$52,2,FALSE)</f>
        <v>1.2123339253354957</v>
      </c>
      <c r="D2185" s="98">
        <f>SUMIFS(Input!$C$115:$C$3257,Input!$A$115:$A$3257,"="&amp;'Output - County'!A2185,Input!$B$115:$B$3257,"="&amp;'Output - County'!B2185)*VLOOKUP(A2185,'Output - State'!$B$2:$G$52,3,FALSE)</f>
        <v>0.56562179822175707</v>
      </c>
      <c r="E2185" s="98">
        <f>SUMIFS(Input!$C$115:$C$3257,Input!$A$115:$A$3257,"="&amp;'Output - County'!A2185,Input!$B$115:$B$3257,"="&amp;'Output - County'!B2185)*VLOOKUP(A2185,'Output - State'!$B$2:$G$52,4,FALSE)</f>
        <v>5.1488590211086533</v>
      </c>
      <c r="F2185" s="98">
        <f>SUMIFS(Input!$C$115:$C$3257,Input!$A$115:$A$3257,"="&amp;'Output - County'!A2185,Input!$B$115:$B$3257,"="&amp;'Output - County'!B2185)*VLOOKUP(A2185,'Output - State'!$B$2:$G$52,5,FALSE)</f>
        <v>6.1164594304181135</v>
      </c>
      <c r="G2185" s="99">
        <f>SUMIFS(Input!$D$115:$D$3257,Input!$A$115:$A$3257,"="&amp;'Output - County'!A2185,Input!$B$115:$B$3257,"="&amp;'Output - County'!B2185)*VLOOKUP(A2185,'Output - State'!$B$2:$G$52,6,FALSE)</f>
        <v>2.4304930784805499</v>
      </c>
    </row>
    <row r="2186" spans="1:7" x14ac:dyDescent="0.25">
      <c r="A2186" s="88">
        <v>40</v>
      </c>
      <c r="B2186" s="88">
        <v>107</v>
      </c>
      <c r="C2186" s="97">
        <f>SUMIFS(Input!$C$115:$C$3257,Input!$A$115:$A$3257,"="&amp;'Output - County'!A2186,Input!$B$115:$B$3257,"="&amp;'Output - County'!B2186)*VLOOKUP(A2186,'Output - State'!$B$2:$G$52,2,FALSE)</f>
        <v>3.6884671662648048</v>
      </c>
      <c r="D2186" s="98">
        <f>SUMIFS(Input!$C$115:$C$3257,Input!$A$115:$A$3257,"="&amp;'Output - County'!A2186,Input!$B$115:$B$3257,"="&amp;'Output - County'!B2186)*VLOOKUP(A2186,'Output - State'!$B$2:$G$52,3,FALSE)</f>
        <v>1.7208768868587594</v>
      </c>
      <c r="E2186" s="98">
        <f>SUMIFS(Input!$C$115:$C$3257,Input!$A$115:$A$3257,"="&amp;'Output - County'!A2186,Input!$B$115:$B$3257,"="&amp;'Output - County'!B2186)*VLOOKUP(A2186,'Output - State'!$B$2:$G$52,4,FALSE)</f>
        <v>15.665153837734945</v>
      </c>
      <c r="F2186" s="98">
        <f>SUMIFS(Input!$C$115:$C$3257,Input!$A$115:$A$3257,"="&amp;'Output - County'!A2186,Input!$B$115:$B$3257,"="&amp;'Output - County'!B2186)*VLOOKUP(A2186,'Output - State'!$B$2:$G$52,5,FALSE)</f>
        <v>18.609031151746983</v>
      </c>
      <c r="G2186" s="99">
        <f>SUMIFS(Input!$D$115:$D$3257,Input!$A$115:$A$3257,"="&amp;'Output - County'!A2186,Input!$B$115:$B$3257,"="&amp;'Output - County'!B2186)*VLOOKUP(A2186,'Output - State'!$B$2:$G$52,6,FALSE)</f>
        <v>2.8552394417101605</v>
      </c>
    </row>
    <row r="2187" spans="1:7" x14ac:dyDescent="0.25">
      <c r="A2187" s="88">
        <v>40</v>
      </c>
      <c r="B2187" s="88">
        <v>109</v>
      </c>
      <c r="C2187" s="97">
        <f>SUMIFS(Input!$C$115:$C$3257,Input!$A$115:$A$3257,"="&amp;'Output - County'!A2187,Input!$B$115:$B$3257,"="&amp;'Output - County'!B2187)*VLOOKUP(A2187,'Output - State'!$B$2:$G$52,2,FALSE)</f>
        <v>161.27408900856969</v>
      </c>
      <c r="D2187" s="98">
        <f>SUMIFS(Input!$C$115:$C$3257,Input!$A$115:$A$3257,"="&amp;'Output - County'!A2187,Input!$B$115:$B$3257,"="&amp;'Output - County'!B2187)*VLOOKUP(A2187,'Output - State'!$B$2:$G$52,3,FALSE)</f>
        <v>75.243411345070669</v>
      </c>
      <c r="E2187" s="98">
        <f>SUMIFS(Input!$C$115:$C$3257,Input!$A$115:$A$3257,"="&amp;'Output - County'!A2187,Input!$B$115:$B$3257,"="&amp;'Output - County'!B2187)*VLOOKUP(A2187,'Output - State'!$B$2:$G$52,4,FALSE)</f>
        <v>684.94127790167965</v>
      </c>
      <c r="F2187" s="98">
        <f>SUMIFS(Input!$C$115:$C$3257,Input!$A$115:$A$3257,"="&amp;'Output - County'!A2187,Input!$B$115:$B$3257,"="&amp;'Output - County'!B2187)*VLOOKUP(A2187,'Output - State'!$B$2:$G$52,5,FALSE)</f>
        <v>813.65901092438469</v>
      </c>
      <c r="G2187" s="99">
        <f>SUMIFS(Input!$D$115:$D$3257,Input!$A$115:$A$3257,"="&amp;'Output - County'!A2187,Input!$B$115:$B$3257,"="&amp;'Output - County'!B2187)*VLOOKUP(A2187,'Output - State'!$B$2:$G$52,6,FALSE)</f>
        <v>186.65242961923448</v>
      </c>
    </row>
    <row r="2188" spans="1:7" x14ac:dyDescent="0.25">
      <c r="A2188" s="88">
        <v>40</v>
      </c>
      <c r="B2188" s="88">
        <v>111</v>
      </c>
      <c r="C2188" s="97">
        <f>SUMIFS(Input!$C$115:$C$3257,Input!$A$115:$A$3257,"="&amp;'Output - County'!A2188,Input!$B$115:$B$3257,"="&amp;'Output - County'!B2188)*VLOOKUP(A2188,'Output - State'!$B$2:$G$52,2,FALSE)</f>
        <v>6.9213993278385182</v>
      </c>
      <c r="D2188" s="98">
        <f>SUMIFS(Input!$C$115:$C$3257,Input!$A$115:$A$3257,"="&amp;'Output - County'!A2188,Input!$B$115:$B$3257,"="&amp;'Output - County'!B2188)*VLOOKUP(A2188,'Output - State'!$B$2:$G$52,3,FALSE)</f>
        <v>3.2292211347129411</v>
      </c>
      <c r="E2188" s="98">
        <f>SUMIFS(Input!$C$115:$C$3257,Input!$A$115:$A$3257,"="&amp;'Output - County'!A2188,Input!$B$115:$B$3257,"="&amp;'Output - County'!B2188)*VLOOKUP(A2188,'Output - State'!$B$2:$G$52,4,FALSE)</f>
        <v>29.395621637804634</v>
      </c>
      <c r="F2188" s="98">
        <f>SUMIFS(Input!$C$115:$C$3257,Input!$A$115:$A$3257,"="&amp;'Output - County'!A2188,Input!$B$115:$B$3257,"="&amp;'Output - County'!B2188)*VLOOKUP(A2188,'Output - State'!$B$2:$G$52,5,FALSE)</f>
        <v>34.919799987228814</v>
      </c>
      <c r="G2188" s="99">
        <f>SUMIFS(Input!$D$115:$D$3257,Input!$A$115:$A$3257,"="&amp;'Output - County'!A2188,Input!$B$115:$B$3257,"="&amp;'Output - County'!B2188)*VLOOKUP(A2188,'Output - State'!$B$2:$G$52,6,FALSE)</f>
        <v>9.0376587287189381</v>
      </c>
    </row>
    <row r="2189" spans="1:7" x14ac:dyDescent="0.25">
      <c r="A2189" s="88">
        <v>40</v>
      </c>
      <c r="B2189" s="88">
        <v>113</v>
      </c>
      <c r="C2189" s="97">
        <f>SUMIFS(Input!$C$115:$C$3257,Input!$A$115:$A$3257,"="&amp;'Output - County'!A2189,Input!$B$115:$B$3257,"="&amp;'Output - County'!B2189)*VLOOKUP(A2189,'Output - State'!$B$2:$G$52,2,FALSE)</f>
        <v>4.3920908989080623</v>
      </c>
      <c r="D2189" s="98">
        <f>SUMIFS(Input!$C$115:$C$3257,Input!$A$115:$A$3257,"="&amp;'Output - County'!A2189,Input!$B$115:$B$3257,"="&amp;'Output - County'!B2189)*VLOOKUP(A2189,'Output - State'!$B$2:$G$52,3,FALSE)</f>
        <v>2.0491568373014952</v>
      </c>
      <c r="E2189" s="98">
        <f>SUMIFS(Input!$C$115:$C$3257,Input!$A$115:$A$3257,"="&amp;'Output - County'!A2189,Input!$B$115:$B$3257,"="&amp;'Output - County'!B2189)*VLOOKUP(A2189,'Output - State'!$B$2:$G$52,4,FALSE)</f>
        <v>18.653488427385074</v>
      </c>
      <c r="F2189" s="98">
        <f>SUMIFS(Input!$C$115:$C$3257,Input!$A$115:$A$3257,"="&amp;'Output - County'!A2189,Input!$B$115:$B$3257,"="&amp;'Output - County'!B2189)*VLOOKUP(A2189,'Output - State'!$B$2:$G$52,5,FALSE)</f>
        <v>22.158949144680214</v>
      </c>
      <c r="G2189" s="99">
        <f>SUMIFS(Input!$D$115:$D$3257,Input!$A$115:$A$3257,"="&amp;'Output - County'!A2189,Input!$B$115:$B$3257,"="&amp;'Output - County'!B2189)*VLOOKUP(A2189,'Output - State'!$B$2:$G$52,6,FALSE)</f>
        <v>11.114196504508145</v>
      </c>
    </row>
    <row r="2190" spans="1:7" x14ac:dyDescent="0.25">
      <c r="A2190" s="88">
        <v>40</v>
      </c>
      <c r="B2190" s="88">
        <v>115</v>
      </c>
      <c r="C2190" s="97">
        <f>SUMIFS(Input!$C$115:$C$3257,Input!$A$115:$A$3257,"="&amp;'Output - County'!A2190,Input!$B$115:$B$3257,"="&amp;'Output - County'!B2190)*VLOOKUP(A2190,'Output - State'!$B$2:$G$52,2,FALSE)</f>
        <v>8.5809380990304049</v>
      </c>
      <c r="D2190" s="98">
        <f>SUMIFS(Input!$C$115:$C$3257,Input!$A$115:$A$3257,"="&amp;'Output - County'!A2190,Input!$B$115:$B$3257,"="&amp;'Output - County'!B2190)*VLOOKUP(A2190,'Output - State'!$B$2:$G$52,3,FALSE)</f>
        <v>4.0034890854514451</v>
      </c>
      <c r="E2190" s="98">
        <f>SUMIFS(Input!$C$115:$C$3257,Input!$A$115:$A$3257,"="&amp;'Output - County'!A2190,Input!$B$115:$B$3257,"="&amp;'Output - County'!B2190)*VLOOKUP(A2190,'Output - State'!$B$2:$G$52,4,FALSE)</f>
        <v>36.443787984025036</v>
      </c>
      <c r="F2190" s="98">
        <f>SUMIFS(Input!$C$115:$C$3257,Input!$A$115:$A$3257,"="&amp;'Output - County'!A2190,Input!$B$115:$B$3257,"="&amp;'Output - County'!B2190)*VLOOKUP(A2190,'Output - State'!$B$2:$G$52,5,FALSE)</f>
        <v>43.292494469396424</v>
      </c>
      <c r="G2190" s="99">
        <f>SUMIFS(Input!$D$115:$D$3257,Input!$A$115:$A$3257,"="&amp;'Output - County'!A2190,Input!$B$115:$B$3257,"="&amp;'Output - County'!B2190)*VLOOKUP(A2190,'Output - State'!$B$2:$G$52,6,FALSE)</f>
        <v>7.3858673161593407</v>
      </c>
    </row>
    <row r="2191" spans="1:7" x14ac:dyDescent="0.25">
      <c r="A2191" s="88">
        <v>40</v>
      </c>
      <c r="B2191" s="88">
        <v>117</v>
      </c>
      <c r="C2191" s="97">
        <f>SUMIFS(Input!$C$115:$C$3257,Input!$A$115:$A$3257,"="&amp;'Output - County'!A2191,Input!$B$115:$B$3257,"="&amp;'Output - County'!B2191)*VLOOKUP(A2191,'Output - State'!$B$2:$G$52,2,FALSE)</f>
        <v>2.2077594601916837</v>
      </c>
      <c r="D2191" s="98">
        <f>SUMIFS(Input!$C$115:$C$3257,Input!$A$115:$A$3257,"="&amp;'Output - County'!A2191,Input!$B$115:$B$3257,"="&amp;'Output - County'!B2191)*VLOOKUP(A2191,'Output - State'!$B$2:$G$52,3,FALSE)</f>
        <v>1.0300436619136435</v>
      </c>
      <c r="E2191" s="98">
        <f>SUMIFS(Input!$C$115:$C$3257,Input!$A$115:$A$3257,"="&amp;'Output - County'!A2191,Input!$B$115:$B$3257,"="&amp;'Output - County'!B2191)*VLOOKUP(A2191,'Output - State'!$B$2:$G$52,4,FALSE)</f>
        <v>9.3764943597533552</v>
      </c>
      <c r="F2191" s="98">
        <f>SUMIFS(Input!$C$115:$C$3257,Input!$A$115:$A$3257,"="&amp;'Output - County'!A2191,Input!$B$115:$B$3257,"="&amp;'Output - County'!B2191)*VLOOKUP(A2191,'Output - State'!$B$2:$G$52,5,FALSE)</f>
        <v>11.138574025013186</v>
      </c>
      <c r="G2191" s="99">
        <f>SUMIFS(Input!$D$115:$D$3257,Input!$A$115:$A$3257,"="&amp;'Output - County'!A2191,Input!$B$115:$B$3257,"="&amp;'Output - County'!B2191)*VLOOKUP(A2191,'Output - State'!$B$2:$G$52,6,FALSE)</f>
        <v>3.8699113094253415</v>
      </c>
    </row>
    <row r="2192" spans="1:7" x14ac:dyDescent="0.25">
      <c r="A2192" s="88">
        <v>40</v>
      </c>
      <c r="B2192" s="88">
        <v>119</v>
      </c>
      <c r="C2192" s="97">
        <f>SUMIFS(Input!$C$115:$C$3257,Input!$A$115:$A$3257,"="&amp;'Output - County'!A2192,Input!$B$115:$B$3257,"="&amp;'Output - County'!B2192)*VLOOKUP(A2192,'Output - State'!$B$2:$G$52,2,FALSE)</f>
        <v>11.391514241300285</v>
      </c>
      <c r="D2192" s="98">
        <f>SUMIFS(Input!$C$115:$C$3257,Input!$A$115:$A$3257,"="&amp;'Output - County'!A2192,Input!$B$115:$B$3257,"="&amp;'Output - County'!B2192)*VLOOKUP(A2192,'Output - State'!$B$2:$G$52,3,FALSE)</f>
        <v>5.3147805526022349</v>
      </c>
      <c r="E2192" s="98">
        <f>SUMIFS(Input!$C$115:$C$3257,Input!$A$115:$A$3257,"="&amp;'Output - County'!A2192,Input!$B$115:$B$3257,"="&amp;'Output - County'!B2192)*VLOOKUP(A2192,'Output - State'!$B$2:$G$52,4,FALSE)</f>
        <v>48.380483000321242</v>
      </c>
      <c r="F2192" s="98">
        <f>SUMIFS(Input!$C$115:$C$3257,Input!$A$115:$A$3257,"="&amp;'Output - County'!A2192,Input!$B$115:$B$3257,"="&amp;'Output - County'!B2192)*VLOOKUP(A2192,'Output - State'!$B$2:$G$52,5,FALSE)</f>
        <v>57.472395395238678</v>
      </c>
      <c r="G2192" s="99">
        <f>SUMIFS(Input!$D$115:$D$3257,Input!$A$115:$A$3257,"="&amp;'Output - County'!A2192,Input!$B$115:$B$3257,"="&amp;'Output - County'!B2192)*VLOOKUP(A2192,'Output - State'!$B$2:$G$52,6,FALSE)</f>
        <v>19.396750587485556</v>
      </c>
    </row>
    <row r="2193" spans="1:7" x14ac:dyDescent="0.25">
      <c r="A2193" s="88">
        <v>40</v>
      </c>
      <c r="B2193" s="88">
        <v>121</v>
      </c>
      <c r="C2193" s="97">
        <f>SUMIFS(Input!$C$115:$C$3257,Input!$A$115:$A$3257,"="&amp;'Output - County'!A2193,Input!$B$115:$B$3257,"="&amp;'Output - County'!B2193)*VLOOKUP(A2193,'Output - State'!$B$2:$G$52,2,FALSE)</f>
        <v>8.2220739683400161</v>
      </c>
      <c r="D2193" s="98">
        <f>SUMIFS(Input!$C$115:$C$3257,Input!$A$115:$A$3257,"="&amp;'Output - County'!A2193,Input!$B$115:$B$3257,"="&amp;'Output - County'!B2193)*VLOOKUP(A2193,'Output - State'!$B$2:$G$52,3,FALSE)</f>
        <v>3.8360588332111529</v>
      </c>
      <c r="E2193" s="98">
        <f>SUMIFS(Input!$C$115:$C$3257,Input!$A$115:$A$3257,"="&amp;'Output - County'!A2193,Input!$B$115:$B$3257,"="&amp;'Output - County'!B2193)*VLOOKUP(A2193,'Output - State'!$B$2:$G$52,4,FALSE)</f>
        <v>34.919669275438878</v>
      </c>
      <c r="F2193" s="98">
        <f>SUMIFS(Input!$C$115:$C$3257,Input!$A$115:$A$3257,"="&amp;'Output - County'!A2193,Input!$B$115:$B$3257,"="&amp;'Output - County'!B2193)*VLOOKUP(A2193,'Output - State'!$B$2:$G$52,5,FALSE)</f>
        <v>41.481955433468187</v>
      </c>
      <c r="G2193" s="99">
        <f>SUMIFS(Input!$D$115:$D$3257,Input!$A$115:$A$3257,"="&amp;'Output - County'!A2193,Input!$B$115:$B$3257,"="&amp;'Output - County'!B2193)*VLOOKUP(A2193,'Output - State'!$B$2:$G$52,6,FALSE)</f>
        <v>10.359091858766615</v>
      </c>
    </row>
    <row r="2194" spans="1:7" x14ac:dyDescent="0.25">
      <c r="A2194" s="88">
        <v>40</v>
      </c>
      <c r="B2194" s="88">
        <v>123</v>
      </c>
      <c r="C2194" s="97">
        <f>SUMIFS(Input!$C$115:$C$3257,Input!$A$115:$A$3257,"="&amp;'Output - County'!A2194,Input!$B$115:$B$3257,"="&amp;'Output - County'!B2194)*VLOOKUP(A2194,'Output - State'!$B$2:$G$52,2,FALSE)</f>
        <v>5.0895775575673543</v>
      </c>
      <c r="D2194" s="98">
        <f>SUMIFS(Input!$C$115:$C$3257,Input!$A$115:$A$3257,"="&amp;'Output - County'!A2194,Input!$B$115:$B$3257,"="&amp;'Output - County'!B2194)*VLOOKUP(A2194,'Output - State'!$B$2:$G$52,3,FALSE)</f>
        <v>2.3745734983896338</v>
      </c>
      <c r="E2194" s="98">
        <f>SUMIFS(Input!$C$115:$C$3257,Input!$A$115:$A$3257,"="&amp;'Output - County'!A2194,Input!$B$115:$B$3257,"="&amp;'Output - County'!B2194)*VLOOKUP(A2194,'Output - State'!$B$2:$G$52,4,FALSE)</f>
        <v>21.615758474844974</v>
      </c>
      <c r="F2194" s="98">
        <f>SUMIFS(Input!$C$115:$C$3257,Input!$A$115:$A$3257,"="&amp;'Output - County'!A2194,Input!$B$115:$B$3257,"="&amp;'Output - County'!B2194)*VLOOKUP(A2194,'Output - State'!$B$2:$G$52,5,FALSE)</f>
        <v>25.677904410876241</v>
      </c>
      <c r="G2194" s="99">
        <f>SUMIFS(Input!$D$115:$D$3257,Input!$A$115:$A$3257,"="&amp;'Output - County'!A2194,Input!$B$115:$B$3257,"="&amp;'Output - County'!B2194)*VLOOKUP(A2194,'Output - State'!$B$2:$G$52,6,FALSE)</f>
        <v>9.0376587287189381</v>
      </c>
    </row>
    <row r="2195" spans="1:7" x14ac:dyDescent="0.25">
      <c r="A2195" s="88">
        <v>40</v>
      </c>
      <c r="B2195" s="88">
        <v>125</v>
      </c>
      <c r="C2195" s="97">
        <f>SUMIFS(Input!$C$115:$C$3257,Input!$A$115:$A$3257,"="&amp;'Output - County'!A2195,Input!$B$115:$B$3257,"="&amp;'Output - County'!B2195)*VLOOKUP(A2195,'Output - State'!$B$2:$G$52,2,FALSE)</f>
        <v>13.105201279877782</v>
      </c>
      <c r="D2195" s="98">
        <f>SUMIFS(Input!$C$115:$C$3257,Input!$A$115:$A$3257,"="&amp;'Output - County'!A2195,Input!$B$115:$B$3257,"="&amp;'Output - County'!B2195)*VLOOKUP(A2195,'Output - State'!$B$2:$G$52,3,FALSE)</f>
        <v>6.1143117082459097</v>
      </c>
      <c r="E2195" s="98">
        <f>SUMIFS(Input!$C$115:$C$3257,Input!$A$115:$A$3257,"="&amp;'Output - County'!A2195,Input!$B$115:$B$3257,"="&amp;'Output - County'!B2195)*VLOOKUP(A2195,'Output - State'!$B$2:$G$52,4,FALSE)</f>
        <v>55.658620470156485</v>
      </c>
      <c r="F2195" s="98">
        <f>SUMIFS(Input!$C$115:$C$3257,Input!$A$115:$A$3257,"="&amp;'Output - County'!A2195,Input!$B$115:$B$3257,"="&amp;'Output - County'!B2195)*VLOOKUP(A2195,'Output - State'!$B$2:$G$52,5,FALSE)</f>
        <v>66.11827837256439</v>
      </c>
      <c r="G2195" s="99">
        <f>SUMIFS(Input!$D$115:$D$3257,Input!$A$115:$A$3257,"="&amp;'Output - County'!A2195,Input!$B$115:$B$3257,"="&amp;'Output - County'!B2195)*VLOOKUP(A2195,'Output - State'!$B$2:$G$52,6,FALSE)</f>
        <v>17.107839630081543</v>
      </c>
    </row>
    <row r="2196" spans="1:7" x14ac:dyDescent="0.25">
      <c r="A2196" s="88">
        <v>40</v>
      </c>
      <c r="B2196" s="88">
        <v>127</v>
      </c>
      <c r="C2196" s="97">
        <f>SUMIFS(Input!$C$115:$C$3257,Input!$A$115:$A$3257,"="&amp;'Output - County'!A2196,Input!$B$115:$B$3257,"="&amp;'Output - County'!B2196)*VLOOKUP(A2196,'Output - State'!$B$2:$G$52,2,FALSE)</f>
        <v>1.5552719803235246</v>
      </c>
      <c r="D2196" s="98">
        <f>SUMIFS(Input!$C$115:$C$3257,Input!$A$115:$A$3257,"="&amp;'Output - County'!A2196,Input!$B$115:$B$3257,"="&amp;'Output - County'!B2196)*VLOOKUP(A2196,'Output - State'!$B$2:$G$52,3,FALSE)</f>
        <v>0.72562164256111394</v>
      </c>
      <c r="E2196" s="98">
        <f>SUMIFS(Input!$C$115:$C$3257,Input!$A$115:$A$3257,"="&amp;'Output - County'!A2196,Input!$B$115:$B$3257,"="&amp;'Output - County'!B2196)*VLOOKUP(A2196,'Output - State'!$B$2:$G$52,4,FALSE)</f>
        <v>6.6053386767595708</v>
      </c>
      <c r="F2196" s="98">
        <f>SUMIFS(Input!$C$115:$C$3257,Input!$A$115:$A$3257,"="&amp;'Output - County'!A2196,Input!$B$115:$B$3257,"="&amp;'Output - County'!B2196)*VLOOKUP(A2196,'Output - State'!$B$2:$G$52,5,FALSE)</f>
        <v>7.8466483302299412</v>
      </c>
      <c r="G2196" s="99">
        <f>SUMIFS(Input!$D$115:$D$3257,Input!$A$115:$A$3257,"="&amp;'Output - County'!A2196,Input!$B$115:$B$3257,"="&amp;'Output - County'!B2196)*VLOOKUP(A2196,'Output - State'!$B$2:$G$52,6,FALSE)</f>
        <v>2.6428662600953556</v>
      </c>
    </row>
    <row r="2197" spans="1:7" x14ac:dyDescent="0.25">
      <c r="A2197" s="88">
        <v>40</v>
      </c>
      <c r="B2197" s="88">
        <v>129</v>
      </c>
      <c r="C2197" s="97">
        <f>SUMIFS(Input!$C$115:$C$3257,Input!$A$115:$A$3257,"="&amp;'Output - County'!A2197,Input!$B$115:$B$3257,"="&amp;'Output - County'!B2197)*VLOOKUP(A2197,'Output - State'!$B$2:$G$52,2,FALSE)</f>
        <v>0.46672465030380617</v>
      </c>
      <c r="D2197" s="98">
        <f>SUMIFS(Input!$C$115:$C$3257,Input!$A$115:$A$3257,"="&amp;'Output - County'!A2197,Input!$B$115:$B$3257,"="&amp;'Output - County'!B2197)*VLOOKUP(A2197,'Output - State'!$B$2:$G$52,3,FALSE)</f>
        <v>0.2177532365154298</v>
      </c>
      <c r="E2197" s="98">
        <f>SUMIFS(Input!$C$115:$C$3257,Input!$A$115:$A$3257,"="&amp;'Output - County'!A2197,Input!$B$115:$B$3257,"="&amp;'Output - County'!B2197)*VLOOKUP(A2197,'Output - State'!$B$2:$G$52,4,FALSE)</f>
        <v>1.9822091718051289</v>
      </c>
      <c r="F2197" s="98">
        <f>SUMIFS(Input!$C$115:$C$3257,Input!$A$115:$A$3257,"="&amp;'Output - County'!A2197,Input!$B$115:$B$3257,"="&amp;'Output - County'!B2197)*VLOOKUP(A2197,'Output - State'!$B$2:$G$52,5,FALSE)</f>
        <v>2.3547162453358834</v>
      </c>
      <c r="G2197" s="99">
        <f>SUMIFS(Input!$D$115:$D$3257,Input!$A$115:$A$3257,"="&amp;'Output - County'!A2197,Input!$B$115:$B$3257,"="&amp;'Output - County'!B2197)*VLOOKUP(A2197,'Output - State'!$B$2:$G$52,6,FALSE)</f>
        <v>0.8612912365489328</v>
      </c>
    </row>
    <row r="2198" spans="1:7" x14ac:dyDescent="0.25">
      <c r="A2198" s="88">
        <v>40</v>
      </c>
      <c r="B2198" s="88">
        <v>131</v>
      </c>
      <c r="C2198" s="97">
        <f>SUMIFS(Input!$C$115:$C$3257,Input!$A$115:$A$3257,"="&amp;'Output - County'!A2198,Input!$B$115:$B$3257,"="&amp;'Output - County'!B2198)*VLOOKUP(A2198,'Output - State'!$B$2:$G$52,2,FALSE)</f>
        <v>17.793458677606967</v>
      </c>
      <c r="D2198" s="98">
        <f>SUMIFS(Input!$C$115:$C$3257,Input!$A$115:$A$3257,"="&amp;'Output - County'!A2198,Input!$B$115:$B$3257,"="&amp;'Output - County'!B2198)*VLOOKUP(A2198,'Output - State'!$B$2:$G$52,3,FALSE)</f>
        <v>8.3016468346601897</v>
      </c>
      <c r="E2198" s="98">
        <f>SUMIFS(Input!$C$115:$C$3257,Input!$A$115:$A$3257,"="&amp;'Output - County'!A2198,Input!$B$115:$B$3257,"="&amp;'Output - County'!B2198)*VLOOKUP(A2198,'Output - State'!$B$2:$G$52,4,FALSE)</f>
        <v>75.569946789674532</v>
      </c>
      <c r="F2198" s="98">
        <f>SUMIFS(Input!$C$115:$C$3257,Input!$A$115:$A$3257,"="&amp;'Output - County'!A2198,Input!$B$115:$B$3257,"="&amp;'Output - County'!B2198)*VLOOKUP(A2198,'Output - State'!$B$2:$G$52,5,FALSE)</f>
        <v>89.771444858549359</v>
      </c>
      <c r="G2198" s="99">
        <f>SUMIFS(Input!$D$115:$D$3257,Input!$A$115:$A$3257,"="&amp;'Output - County'!A2198,Input!$B$115:$B$3257,"="&amp;'Output - County'!B2198)*VLOOKUP(A2198,'Output - State'!$B$2:$G$52,6,FALSE)</f>
        <v>21.662064524710143</v>
      </c>
    </row>
    <row r="2199" spans="1:7" x14ac:dyDescent="0.25">
      <c r="A2199" s="88">
        <v>40</v>
      </c>
      <c r="B2199" s="88">
        <v>133</v>
      </c>
      <c r="C2199" s="97">
        <f>SUMIFS(Input!$C$115:$C$3257,Input!$A$115:$A$3257,"="&amp;'Output - County'!A2199,Input!$B$115:$B$3257,"="&amp;'Output - County'!B2199)*VLOOKUP(A2199,'Output - State'!$B$2:$G$52,2,FALSE)</f>
        <v>5.9064900047524516</v>
      </c>
      <c r="D2199" s="98">
        <f>SUMIFS(Input!$C$115:$C$3257,Input!$A$115:$A$3257,"="&amp;'Output - County'!A2199,Input!$B$115:$B$3257,"="&amp;'Output - County'!B2199)*VLOOKUP(A2199,'Output - State'!$B$2:$G$52,3,FALSE)</f>
        <v>2.7557089906086625</v>
      </c>
      <c r="E2199" s="98">
        <f>SUMIFS(Input!$C$115:$C$3257,Input!$A$115:$A$3257,"="&amp;'Output - County'!A2199,Input!$B$115:$B$3257,"="&amp;'Output - County'!B2199)*VLOOKUP(A2199,'Output - State'!$B$2:$G$52,4,FALSE)</f>
        <v>25.085237415625208</v>
      </c>
      <c r="F2199" s="98">
        <f>SUMIFS(Input!$C$115:$C$3257,Input!$A$115:$A$3257,"="&amp;'Output - County'!A2199,Input!$B$115:$B$3257,"="&amp;'Output - County'!B2199)*VLOOKUP(A2199,'Output - State'!$B$2:$G$52,5,FALSE)</f>
        <v>29.799385907839621</v>
      </c>
      <c r="G2199" s="99">
        <f>SUMIFS(Input!$D$115:$D$3257,Input!$A$115:$A$3257,"="&amp;'Output - County'!A2199,Input!$B$115:$B$3257,"="&amp;'Output - County'!B2199)*VLOOKUP(A2199,'Output - State'!$B$2:$G$52,6,FALSE)</f>
        <v>5.7812699439585895</v>
      </c>
    </row>
    <row r="2200" spans="1:7" x14ac:dyDescent="0.25">
      <c r="A2200" s="88">
        <v>40</v>
      </c>
      <c r="B2200" s="88">
        <v>135</v>
      </c>
      <c r="C2200" s="97">
        <f>SUMIFS(Input!$C$115:$C$3257,Input!$A$115:$A$3257,"="&amp;'Output - County'!A2200,Input!$B$115:$B$3257,"="&amp;'Output - County'!B2200)*VLOOKUP(A2200,'Output - State'!$B$2:$G$52,2,FALSE)</f>
        <v>10.548122241374687</v>
      </c>
      <c r="D2200" s="98">
        <f>SUMIFS(Input!$C$115:$C$3257,Input!$A$115:$A$3257,"="&amp;'Output - County'!A2200,Input!$B$115:$B$3257,"="&amp;'Output - County'!B2200)*VLOOKUP(A2200,'Output - State'!$B$2:$G$52,3,FALSE)</f>
        <v>4.921290863305825</v>
      </c>
      <c r="E2200" s="98">
        <f>SUMIFS(Input!$C$115:$C$3257,Input!$A$115:$A$3257,"="&amp;'Output - County'!A2200,Input!$B$115:$B$3257,"="&amp;'Output - County'!B2200)*VLOOKUP(A2200,'Output - State'!$B$2:$G$52,4,FALSE)</f>
        <v>44.798543720723778</v>
      </c>
      <c r="F2200" s="98">
        <f>SUMIFS(Input!$C$115:$C$3257,Input!$A$115:$A$3257,"="&amp;'Output - County'!A2200,Input!$B$115:$B$3257,"="&amp;'Output - County'!B2200)*VLOOKUP(A2200,'Output - State'!$B$2:$G$52,5,FALSE)</f>
        <v>53.217319426745455</v>
      </c>
      <c r="G2200" s="99">
        <f>SUMIFS(Input!$D$115:$D$3257,Input!$A$115:$A$3257,"="&amp;'Output - County'!A2200,Input!$B$115:$B$3257,"="&amp;'Output - County'!B2200)*VLOOKUP(A2200,'Output - State'!$B$2:$G$52,6,FALSE)</f>
        <v>9.8163603946398901</v>
      </c>
    </row>
    <row r="2201" spans="1:7" x14ac:dyDescent="0.25">
      <c r="A2201" s="88">
        <v>40</v>
      </c>
      <c r="B2201" s="88">
        <v>137</v>
      </c>
      <c r="C2201" s="97">
        <f>SUMIFS(Input!$C$115:$C$3257,Input!$A$115:$A$3257,"="&amp;'Output - County'!A2201,Input!$B$115:$B$3257,"="&amp;'Output - County'!B2201)*VLOOKUP(A2201,'Output - State'!$B$2:$G$52,2,FALSE)</f>
        <v>5.2146868099983683</v>
      </c>
      <c r="D2201" s="98">
        <f>SUMIFS(Input!$C$115:$C$3257,Input!$A$115:$A$3257,"="&amp;'Output - County'!A2201,Input!$B$115:$B$3257,"="&amp;'Output - County'!B2201)*VLOOKUP(A2201,'Output - State'!$B$2:$G$52,3,FALSE)</f>
        <v>2.4329439843220695</v>
      </c>
      <c r="E2201" s="98">
        <f>SUMIFS(Input!$C$115:$C$3257,Input!$A$115:$A$3257,"="&amp;'Output - County'!A2201,Input!$B$115:$B$3257,"="&amp;'Output - County'!B2201)*VLOOKUP(A2201,'Output - State'!$B$2:$G$52,4,FALSE)</f>
        <v>22.147105399600317</v>
      </c>
      <c r="F2201" s="98">
        <f>SUMIFS(Input!$C$115:$C$3257,Input!$A$115:$A$3257,"="&amp;'Output - County'!A2201,Input!$B$115:$B$3257,"="&amp;'Output - County'!B2201)*VLOOKUP(A2201,'Output - State'!$B$2:$G$52,5,FALSE)</f>
        <v>26.309104817688642</v>
      </c>
      <c r="G2201" s="99">
        <f>SUMIFS(Input!$D$115:$D$3257,Input!$A$115:$A$3257,"="&amp;'Output - County'!A2201,Input!$B$115:$B$3257,"="&amp;'Output - County'!B2201)*VLOOKUP(A2201,'Output - State'!$B$2:$G$52,6,FALSE)</f>
        <v>10.193912717510656</v>
      </c>
    </row>
    <row r="2202" spans="1:7" x14ac:dyDescent="0.25">
      <c r="A2202" s="88">
        <v>40</v>
      </c>
      <c r="B2202" s="88">
        <v>139</v>
      </c>
      <c r="C2202" s="97">
        <f>SUMIFS(Input!$C$115:$C$3257,Input!$A$115:$A$3257,"="&amp;'Output - County'!A2202,Input!$B$115:$B$3257,"="&amp;'Output - County'!B2202)*VLOOKUP(A2202,'Output - State'!$B$2:$G$52,2,FALSE)</f>
        <v>3.594511716994313</v>
      </c>
      <c r="D2202" s="98">
        <f>SUMIFS(Input!$C$115:$C$3257,Input!$A$115:$A$3257,"="&amp;'Output - County'!A2202,Input!$B$115:$B$3257,"="&amp;'Output - County'!B2202)*VLOOKUP(A2202,'Output - State'!$B$2:$G$52,3,FALSE)</f>
        <v>1.6770413980891106</v>
      </c>
      <c r="E2202" s="98">
        <f>SUMIFS(Input!$C$115:$C$3257,Input!$A$115:$A$3257,"="&amp;'Output - County'!A2202,Input!$B$115:$B$3257,"="&amp;'Output - County'!B2202)*VLOOKUP(A2202,'Output - State'!$B$2:$G$52,4,FALSE)</f>
        <v>15.266119089594236</v>
      </c>
      <c r="F2202" s="98">
        <f>SUMIFS(Input!$C$115:$C$3257,Input!$A$115:$A$3257,"="&amp;'Output - County'!A2202,Input!$B$115:$B$3257,"="&amp;'Output - County'!B2202)*VLOOKUP(A2202,'Output - State'!$B$2:$G$52,5,FALSE)</f>
        <v>18.135007715035325</v>
      </c>
      <c r="G2202" s="99">
        <f>SUMIFS(Input!$D$115:$D$3257,Input!$A$115:$A$3257,"="&amp;'Output - County'!A2202,Input!$B$115:$B$3257,"="&amp;'Output - County'!B2202)*VLOOKUP(A2202,'Output - State'!$B$2:$G$52,6,FALSE)</f>
        <v>4.8373891367816775</v>
      </c>
    </row>
    <row r="2203" spans="1:7" x14ac:dyDescent="0.25">
      <c r="A2203" s="88">
        <v>40</v>
      </c>
      <c r="B2203" s="88">
        <v>141</v>
      </c>
      <c r="C2203" s="97">
        <f>SUMIFS(Input!$C$115:$C$3257,Input!$A$115:$A$3257,"="&amp;'Output - County'!A2203,Input!$B$115:$B$3257,"="&amp;'Output - County'!B2203)*VLOOKUP(A2203,'Output - State'!$B$2:$G$52,2,FALSE)</f>
        <v>0.72828388667127397</v>
      </c>
      <c r="D2203" s="98">
        <f>SUMIFS(Input!$C$115:$C$3257,Input!$A$115:$A$3257,"="&amp;'Output - County'!A2203,Input!$B$115:$B$3257,"="&amp;'Output - County'!B2203)*VLOOKUP(A2203,'Output - State'!$B$2:$G$52,3,FALSE)</f>
        <v>0.33978529593728873</v>
      </c>
      <c r="E2203" s="98">
        <f>SUMIFS(Input!$C$115:$C$3257,Input!$A$115:$A$3257,"="&amp;'Output - County'!A2203,Input!$B$115:$B$3257,"="&amp;'Output - County'!B2203)*VLOOKUP(A2203,'Output - State'!$B$2:$G$52,4,FALSE)</f>
        <v>3.0930678268182175</v>
      </c>
      <c r="F2203" s="98">
        <f>SUMIFS(Input!$C$115:$C$3257,Input!$A$115:$A$3257,"="&amp;'Output - County'!A2203,Input!$B$115:$B$3257,"="&amp;'Output - County'!B2203)*VLOOKUP(A2203,'Output - State'!$B$2:$G$52,5,FALSE)</f>
        <v>3.6743332456190627</v>
      </c>
      <c r="G2203" s="99">
        <f>SUMIFS(Input!$D$115:$D$3257,Input!$A$115:$A$3257,"="&amp;'Output - County'!A2203,Input!$B$115:$B$3257,"="&amp;'Output - County'!B2203)*VLOOKUP(A2203,'Output - State'!$B$2:$G$52,6,FALSE)</f>
        <v>1.7273018771337501</v>
      </c>
    </row>
    <row r="2204" spans="1:7" x14ac:dyDescent="0.25">
      <c r="A2204" s="88">
        <v>40</v>
      </c>
      <c r="B2204" s="88">
        <v>143</v>
      </c>
      <c r="C2204" s="97">
        <f>SUMIFS(Input!$C$115:$C$3257,Input!$A$115:$A$3257,"="&amp;'Output - County'!A2204,Input!$B$115:$B$3257,"="&amp;'Output - County'!B2204)*VLOOKUP(A2204,'Output - State'!$B$2:$G$52,2,FALSE)</f>
        <v>110.4582467080394</v>
      </c>
      <c r="D2204" s="98">
        <f>SUMIFS(Input!$C$115:$C$3257,Input!$A$115:$A$3257,"="&amp;'Output - County'!A2204,Input!$B$115:$B$3257,"="&amp;'Output - County'!B2204)*VLOOKUP(A2204,'Output - State'!$B$2:$G$52,3,FALSE)</f>
        <v>51.53496971895261</v>
      </c>
      <c r="E2204" s="98">
        <f>SUMIFS(Input!$C$115:$C$3257,Input!$A$115:$A$3257,"="&amp;'Output - County'!A2204,Input!$B$115:$B$3257,"="&amp;'Output - County'!B2204)*VLOOKUP(A2204,'Output - State'!$B$2:$G$52,4,FALSE)</f>
        <v>469.12317483909811</v>
      </c>
      <c r="F2204" s="98">
        <f>SUMIFS(Input!$C$115:$C$3257,Input!$A$115:$A$3257,"="&amp;'Output - County'!A2204,Input!$B$115:$B$3257,"="&amp;'Output - County'!B2204)*VLOOKUP(A2204,'Output - State'!$B$2:$G$52,5,FALSE)</f>
        <v>557.28324566836818</v>
      </c>
      <c r="G2204" s="99">
        <f>SUMIFS(Input!$D$115:$D$3257,Input!$A$115:$A$3257,"="&amp;'Output - County'!A2204,Input!$B$115:$B$3257,"="&amp;'Output - County'!B2204)*VLOOKUP(A2204,'Output - State'!$B$2:$G$52,6,FALSE)</f>
        <v>152.90869076265983</v>
      </c>
    </row>
    <row r="2205" spans="1:7" x14ac:dyDescent="0.25">
      <c r="A2205" s="88">
        <v>40</v>
      </c>
      <c r="B2205" s="88">
        <v>145</v>
      </c>
      <c r="C2205" s="97">
        <f>SUMIFS(Input!$C$115:$C$3257,Input!$A$115:$A$3257,"="&amp;'Output - County'!A2205,Input!$B$115:$B$3257,"="&amp;'Output - County'!B2205)*VLOOKUP(A2205,'Output - State'!$B$2:$G$52,2,FALSE)</f>
        <v>12.644410806274536</v>
      </c>
      <c r="D2205" s="98">
        <f>SUMIFS(Input!$C$115:$C$3257,Input!$A$115:$A$3257,"="&amp;'Output - County'!A2205,Input!$B$115:$B$3257,"="&amp;'Output - County'!B2205)*VLOOKUP(A2205,'Output - State'!$B$2:$G$52,3,FALSE)</f>
        <v>5.8993270981181372</v>
      </c>
      <c r="E2205" s="98">
        <f>SUMIFS(Input!$C$115:$C$3257,Input!$A$115:$A$3257,"="&amp;'Output - County'!A2205,Input!$B$115:$B$3257,"="&amp;'Output - County'!B2205)*VLOOKUP(A2205,'Output - State'!$B$2:$G$52,4,FALSE)</f>
        <v>53.701614122918919</v>
      </c>
      <c r="F2205" s="98">
        <f>SUMIFS(Input!$C$115:$C$3257,Input!$A$115:$A$3257,"="&amp;'Output - County'!A2205,Input!$B$115:$B$3257,"="&amp;'Output - County'!B2205)*VLOOKUP(A2205,'Output - State'!$B$2:$G$52,5,FALSE)</f>
        <v>63.79350119787842</v>
      </c>
      <c r="G2205" s="99">
        <f>SUMIFS(Input!$D$115:$D$3257,Input!$A$115:$A$3257,"="&amp;'Output - County'!A2205,Input!$B$115:$B$3257,"="&amp;'Output - County'!B2205)*VLOOKUP(A2205,'Output - State'!$B$2:$G$52,6,FALSE)</f>
        <v>18.901213163717678</v>
      </c>
    </row>
    <row r="2206" spans="1:7" x14ac:dyDescent="0.25">
      <c r="A2206" s="88">
        <v>40</v>
      </c>
      <c r="B2206" s="88">
        <v>147</v>
      </c>
      <c r="C2206" s="97">
        <f>SUMIFS(Input!$C$115:$C$3257,Input!$A$115:$A$3257,"="&amp;'Output - County'!A2206,Input!$B$115:$B$3257,"="&amp;'Output - County'!B2206)*VLOOKUP(A2206,'Output - State'!$B$2:$G$52,2,FALSE)</f>
        <v>5.9430245197368459</v>
      </c>
      <c r="D2206" s="98">
        <f>SUMIFS(Input!$C$115:$C$3257,Input!$A$115:$A$3257,"="&amp;'Output - County'!A2206,Input!$B$115:$B$3257,"="&amp;'Output - County'!B2206)*VLOOKUP(A2206,'Output - State'!$B$2:$G$52,3,FALSE)</f>
        <v>2.7727543917401323</v>
      </c>
      <c r="E2206" s="98">
        <f>SUMIFS(Input!$C$115:$C$3257,Input!$A$115:$A$3257,"="&amp;'Output - County'!A2206,Input!$B$115:$B$3257,"="&amp;'Output - County'!B2206)*VLOOKUP(A2206,'Output - State'!$B$2:$G$52,4,FALSE)</f>
        <v>25.240401816396364</v>
      </c>
      <c r="F2206" s="98">
        <f>SUMIFS(Input!$C$115:$C$3257,Input!$A$115:$A$3257,"="&amp;'Output - County'!A2206,Input!$B$115:$B$3257,"="&amp;'Output - County'!B2206)*VLOOKUP(A2206,'Output - State'!$B$2:$G$52,5,FALSE)</f>
        <v>29.983709611104967</v>
      </c>
      <c r="G2206" s="99">
        <f>SUMIFS(Input!$D$115:$D$3257,Input!$A$115:$A$3257,"="&amp;'Output - County'!A2206,Input!$B$115:$B$3257,"="&amp;'Output - County'!B2206)*VLOOKUP(A2206,'Output - State'!$B$2:$G$52,6,FALSE)</f>
        <v>12.223256452941017</v>
      </c>
    </row>
    <row r="2207" spans="1:7" x14ac:dyDescent="0.25">
      <c r="A2207" s="88">
        <v>40</v>
      </c>
      <c r="B2207" s="88">
        <v>149</v>
      </c>
      <c r="C2207" s="97">
        <f>SUMIFS(Input!$C$115:$C$3257,Input!$A$115:$A$3257,"="&amp;'Output - County'!A2207,Input!$B$115:$B$3257,"="&amp;'Output - County'!B2207)*VLOOKUP(A2207,'Output - State'!$B$2:$G$52,2,FALSE)</f>
        <v>3.2566371868213135</v>
      </c>
      <c r="D2207" s="98">
        <f>SUMIFS(Input!$C$115:$C$3257,Input!$A$115:$A$3257,"="&amp;'Output - County'!A2207,Input!$B$115:$B$3257,"="&amp;'Output - County'!B2207)*VLOOKUP(A2207,'Output - State'!$B$2:$G$52,3,FALSE)</f>
        <v>1.519403972181973</v>
      </c>
      <c r="E2207" s="98">
        <f>SUMIFS(Input!$C$115:$C$3257,Input!$A$115:$A$3257,"="&amp;'Output - County'!A2207,Input!$B$115:$B$3257,"="&amp;'Output - County'!B2207)*VLOOKUP(A2207,'Output - State'!$B$2:$G$52,4,FALSE)</f>
        <v>13.831144544769327</v>
      </c>
      <c r="F2207" s="98">
        <f>SUMIFS(Input!$C$115:$C$3257,Input!$A$115:$A$3257,"="&amp;'Output - County'!A2207,Input!$B$115:$B$3257,"="&amp;'Output - County'!B2207)*VLOOKUP(A2207,'Output - State'!$B$2:$G$52,5,FALSE)</f>
        <v>16.430365278502968</v>
      </c>
      <c r="G2207" s="99">
        <f>SUMIFS(Input!$D$115:$D$3257,Input!$A$115:$A$3257,"="&amp;'Output - County'!A2207,Input!$B$115:$B$3257,"="&amp;'Output - County'!B2207)*VLOOKUP(A2207,'Output - State'!$B$2:$G$52,6,FALSE)</f>
        <v>2.5956722197365099</v>
      </c>
    </row>
    <row r="2208" spans="1:7" x14ac:dyDescent="0.25">
      <c r="A2208" s="88">
        <v>40</v>
      </c>
      <c r="B2208" s="88">
        <v>151</v>
      </c>
      <c r="C2208" s="97">
        <f>SUMIFS(Input!$C$115:$C$3257,Input!$A$115:$A$3257,"="&amp;'Output - County'!A2208,Input!$B$115:$B$3257,"="&amp;'Output - County'!B2208)*VLOOKUP(A2208,'Output - State'!$B$2:$G$52,2,FALSE)</f>
        <v>1.163557029410389</v>
      </c>
      <c r="D2208" s="98">
        <f>SUMIFS(Input!$C$115:$C$3257,Input!$A$115:$A$3257,"="&amp;'Output - County'!A2208,Input!$B$115:$B$3257,"="&amp;'Output - County'!B2208)*VLOOKUP(A2208,'Output - State'!$B$2:$G$52,3,FALSE)</f>
        <v>0.54286463948168517</v>
      </c>
      <c r="E2208" s="98">
        <f>SUMIFS(Input!$C$115:$C$3257,Input!$A$115:$A$3257,"="&amp;'Output - County'!A2208,Input!$B$115:$B$3257,"="&amp;'Output - County'!B2208)*VLOOKUP(A2208,'Output - State'!$B$2:$G$52,4,FALSE)</f>
        <v>4.9417004525350947</v>
      </c>
      <c r="F2208" s="98">
        <f>SUMIFS(Input!$C$115:$C$3257,Input!$A$115:$A$3257,"="&amp;'Output - County'!A2208,Input!$B$115:$B$3257,"="&amp;'Output - County'!B2208)*VLOOKUP(A2208,'Output - State'!$B$2:$G$52,5,FALSE)</f>
        <v>5.870370544482598</v>
      </c>
      <c r="G2208" s="99">
        <f>SUMIFS(Input!$D$115:$D$3257,Input!$A$115:$A$3257,"="&amp;'Output - County'!A2208,Input!$B$115:$B$3257,"="&amp;'Output - County'!B2208)*VLOOKUP(A2208,'Output - State'!$B$2:$G$52,6,FALSE)</f>
        <v>2.0977750939506881</v>
      </c>
    </row>
    <row r="2209" spans="1:7" x14ac:dyDescent="0.25">
      <c r="A2209" s="88">
        <v>40</v>
      </c>
      <c r="B2209" s="88">
        <v>153</v>
      </c>
      <c r="C2209" s="97">
        <f>SUMIFS(Input!$C$115:$C$3257,Input!$A$115:$A$3257,"="&amp;'Output - County'!A2209,Input!$B$115:$B$3257,"="&amp;'Output - County'!B2209)*VLOOKUP(A2209,'Output - State'!$B$2:$G$52,2,FALSE)</f>
        <v>3.4531293897799116</v>
      </c>
      <c r="D2209" s="98">
        <f>SUMIFS(Input!$C$115:$C$3257,Input!$A$115:$A$3257,"="&amp;'Output - County'!A2209,Input!$B$115:$B$3257,"="&amp;'Output - County'!B2209)*VLOOKUP(A2209,'Output - State'!$B$2:$G$52,3,FALSE)</f>
        <v>1.6110786097148955</v>
      </c>
      <c r="E2209" s="98">
        <f>SUMIFS(Input!$C$115:$C$3257,Input!$A$115:$A$3257,"="&amp;'Output - County'!A2209,Input!$B$115:$B$3257,"="&amp;'Output - County'!B2209)*VLOOKUP(A2209,'Output - State'!$B$2:$G$52,4,FALSE)</f>
        <v>14.665659384813017</v>
      </c>
      <c r="F2209" s="98">
        <f>SUMIFS(Input!$C$115:$C$3257,Input!$A$115:$A$3257,"="&amp;'Output - County'!A2209,Input!$B$115:$B$3257,"="&amp;'Output - County'!B2209)*VLOOKUP(A2209,'Output - State'!$B$2:$G$52,5,FALSE)</f>
        <v>17.421706494543884</v>
      </c>
      <c r="G2209" s="99">
        <f>SUMIFS(Input!$D$115:$D$3257,Input!$A$115:$A$3257,"="&amp;'Output - County'!A2209,Input!$B$115:$B$3257,"="&amp;'Output - County'!B2209)*VLOOKUP(A2209,'Output - State'!$B$2:$G$52,6,FALSE)</f>
        <v>4.7901950964228313</v>
      </c>
    </row>
    <row r="2210" spans="1:7" x14ac:dyDescent="0.25">
      <c r="A2210" s="88">
        <v>41</v>
      </c>
      <c r="B2210" s="88">
        <v>1</v>
      </c>
      <c r="C2210" s="97">
        <f>SUMIFS(Input!$C$115:$C$3257,Input!$A$115:$A$3257,"="&amp;'Output - County'!A2210,Input!$B$115:$B$3257,"="&amp;'Output - County'!B2210)*VLOOKUP(A2210,'Output - State'!$B$2:$G$52,2,FALSE)</f>
        <v>9.9574472093821029</v>
      </c>
      <c r="D2210" s="98">
        <f>SUMIFS(Input!$C$115:$C$3257,Input!$A$115:$A$3257,"="&amp;'Output - County'!A2210,Input!$B$115:$B$3257,"="&amp;'Output - County'!B2210)*VLOOKUP(A2210,'Output - State'!$B$2:$G$52,3,FALSE)</f>
        <v>0.66720271869787995</v>
      </c>
      <c r="E2210" s="98">
        <f>SUMIFS(Input!$C$115:$C$3257,Input!$A$115:$A$3257,"="&amp;'Output - County'!A2210,Input!$B$115:$B$3257,"="&amp;'Output - County'!B2210)*VLOOKUP(A2210,'Output - State'!$B$2:$G$52,4,FALSE)</f>
        <v>4.1708972607003743</v>
      </c>
      <c r="F2210" s="98">
        <f>SUMIFS(Input!$C$115:$C$3257,Input!$A$115:$A$3257,"="&amp;'Output - County'!A2210,Input!$B$115:$B$3257,"="&amp;'Output - County'!B2210)*VLOOKUP(A2210,'Output - State'!$B$2:$G$52,5,FALSE)</f>
        <v>38.991569750702787</v>
      </c>
      <c r="G2210" s="99">
        <f>SUMIFS(Input!$D$115:$D$3257,Input!$A$115:$A$3257,"="&amp;'Output - County'!A2210,Input!$B$115:$B$3257,"="&amp;'Output - County'!B2210)*VLOOKUP(A2210,'Output - State'!$B$2:$G$52,6,FALSE)</f>
        <v>2.1087640492805853</v>
      </c>
    </row>
    <row r="2211" spans="1:7" x14ac:dyDescent="0.25">
      <c r="A2211" s="88">
        <v>41</v>
      </c>
      <c r="B2211" s="88">
        <v>3</v>
      </c>
      <c r="C2211" s="97">
        <f>SUMIFS(Input!$C$115:$C$3257,Input!$A$115:$A$3257,"="&amp;'Output - County'!A2211,Input!$B$115:$B$3257,"="&amp;'Output - County'!B2211)*VLOOKUP(A2211,'Output - State'!$B$2:$G$52,2,FALSE)</f>
        <v>11.601875474012365</v>
      </c>
      <c r="D2211" s="98">
        <f>SUMIFS(Input!$C$115:$C$3257,Input!$A$115:$A$3257,"="&amp;'Output - County'!A2211,Input!$B$115:$B$3257,"="&amp;'Output - County'!B2211)*VLOOKUP(A2211,'Output - State'!$B$2:$G$52,3,FALSE)</f>
        <v>0.77738828993858666</v>
      </c>
      <c r="E2211" s="98">
        <f>SUMIFS(Input!$C$115:$C$3257,Input!$A$115:$A$3257,"="&amp;'Output - County'!A2211,Input!$B$115:$B$3257,"="&amp;'Output - County'!B2211)*VLOOKUP(A2211,'Output - State'!$B$2:$G$52,4,FALSE)</f>
        <v>4.8597024534512023</v>
      </c>
      <c r="F2211" s="98">
        <f>SUMIFS(Input!$C$115:$C$3257,Input!$A$115:$A$3257,"="&amp;'Output - County'!A2211,Input!$B$115:$B$3257,"="&amp;'Output - County'!B2211)*VLOOKUP(A2211,'Output - State'!$B$2:$G$52,5,FALSE)</f>
        <v>45.43085464291331</v>
      </c>
      <c r="G2211" s="99">
        <f>SUMIFS(Input!$D$115:$D$3257,Input!$A$115:$A$3257,"="&amp;'Output - County'!A2211,Input!$B$115:$B$3257,"="&amp;'Output - County'!B2211)*VLOOKUP(A2211,'Output - State'!$B$2:$G$52,6,FALSE)</f>
        <v>12.178112384595382</v>
      </c>
    </row>
    <row r="2212" spans="1:7" x14ac:dyDescent="0.25">
      <c r="A2212" s="88">
        <v>41</v>
      </c>
      <c r="B2212" s="88">
        <v>5</v>
      </c>
      <c r="C2212" s="97">
        <f>SUMIFS(Input!$C$115:$C$3257,Input!$A$115:$A$3257,"="&amp;'Output - County'!A2212,Input!$B$115:$B$3257,"="&amp;'Output - County'!B2212)*VLOOKUP(A2212,'Output - State'!$B$2:$G$52,2,FALSE)</f>
        <v>77.056253258402521</v>
      </c>
      <c r="D2212" s="98">
        <f>SUMIFS(Input!$C$115:$C$3257,Input!$A$115:$A$3257,"="&amp;'Output - County'!A2212,Input!$B$115:$B$3257,"="&amp;'Output - County'!B2212)*VLOOKUP(A2212,'Output - State'!$B$2:$G$52,3,FALSE)</f>
        <v>5.1631849595182384</v>
      </c>
      <c r="E2212" s="98">
        <f>SUMIFS(Input!$C$115:$C$3257,Input!$A$115:$A$3257,"="&amp;'Output - County'!A2212,Input!$B$115:$B$3257,"="&amp;'Output - County'!B2212)*VLOOKUP(A2212,'Output - State'!$B$2:$G$52,4,FALSE)</f>
        <v>32.276718005844096</v>
      </c>
      <c r="F2212" s="98">
        <f>SUMIFS(Input!$C$115:$C$3257,Input!$A$115:$A$3257,"="&amp;'Output - County'!A2212,Input!$B$115:$B$3257,"="&amp;'Output - County'!B2212)*VLOOKUP(A2212,'Output - State'!$B$2:$G$52,5,FALSE)</f>
        <v>301.73840849709751</v>
      </c>
      <c r="G2212" s="99">
        <f>SUMIFS(Input!$D$115:$D$3257,Input!$A$115:$A$3257,"="&amp;'Output - County'!A2212,Input!$B$115:$B$3257,"="&amp;'Output - County'!B2212)*VLOOKUP(A2212,'Output - State'!$B$2:$G$52,6,FALSE)</f>
        <v>54.696067528215181</v>
      </c>
    </row>
    <row r="2213" spans="1:7" x14ac:dyDescent="0.25">
      <c r="A2213" s="88">
        <v>41</v>
      </c>
      <c r="B2213" s="88">
        <v>7</v>
      </c>
      <c r="C2213" s="97">
        <f>SUMIFS(Input!$C$115:$C$3257,Input!$A$115:$A$3257,"="&amp;'Output - County'!A2213,Input!$B$115:$B$3257,"="&amp;'Output - County'!B2213)*VLOOKUP(A2213,'Output - State'!$B$2:$G$52,2,FALSE)</f>
        <v>9.1180880566596123</v>
      </c>
      <c r="D2213" s="98">
        <f>SUMIFS(Input!$C$115:$C$3257,Input!$A$115:$A$3257,"="&amp;'Output - County'!A2213,Input!$B$115:$B$3257,"="&amp;'Output - County'!B2213)*VLOOKUP(A2213,'Output - State'!$B$2:$G$52,3,FALSE)</f>
        <v>0.61096112415216841</v>
      </c>
      <c r="E2213" s="98">
        <f>SUMIFS(Input!$C$115:$C$3257,Input!$A$115:$A$3257,"="&amp;'Output - County'!A2213,Input!$B$115:$B$3257,"="&amp;'Output - County'!B2213)*VLOOKUP(A2213,'Output - State'!$B$2:$G$52,4,FALSE)</f>
        <v>3.8193130928691432</v>
      </c>
      <c r="F2213" s="98">
        <f>SUMIFS(Input!$C$115:$C$3257,Input!$A$115:$A$3257,"="&amp;'Output - County'!A2213,Input!$B$115:$B$3257,"="&amp;'Output - County'!B2213)*VLOOKUP(A2213,'Output - State'!$B$2:$G$52,5,FALSE)</f>
        <v>35.704790492819008</v>
      </c>
      <c r="G2213" s="99">
        <f>SUMIFS(Input!$D$115:$D$3257,Input!$A$115:$A$3257,"="&amp;'Output - County'!A2213,Input!$B$115:$B$3257,"="&amp;'Output - County'!B2213)*VLOOKUP(A2213,'Output - State'!$B$2:$G$52,6,FALSE)</f>
        <v>5.2323707972774525</v>
      </c>
    </row>
    <row r="2214" spans="1:7" x14ac:dyDescent="0.25">
      <c r="A2214" s="88">
        <v>41</v>
      </c>
      <c r="B2214" s="88">
        <v>9</v>
      </c>
      <c r="C2214" s="97">
        <f>SUMIFS(Input!$C$115:$C$3257,Input!$A$115:$A$3257,"="&amp;'Output - County'!A2214,Input!$B$115:$B$3257,"="&amp;'Output - County'!B2214)*VLOOKUP(A2214,'Output - State'!$B$2:$G$52,2,FALSE)</f>
        <v>8.9040916115611903</v>
      </c>
      <c r="D2214" s="98">
        <f>SUMIFS(Input!$C$115:$C$3257,Input!$A$115:$A$3257,"="&amp;'Output - County'!A2214,Input!$B$115:$B$3257,"="&amp;'Output - County'!B2214)*VLOOKUP(A2214,'Output - State'!$B$2:$G$52,3,FALSE)</f>
        <v>0.59662220706237268</v>
      </c>
      <c r="E2214" s="98">
        <f>SUMIFS(Input!$C$115:$C$3257,Input!$A$115:$A$3257,"="&amp;'Output - County'!A2214,Input!$B$115:$B$3257,"="&amp;'Output - County'!B2214)*VLOOKUP(A2214,'Output - State'!$B$2:$G$52,4,FALSE)</f>
        <v>3.7296759431165802</v>
      </c>
      <c r="F2214" s="98">
        <f>SUMIFS(Input!$C$115:$C$3257,Input!$A$115:$A$3257,"="&amp;'Output - County'!A2214,Input!$B$115:$B$3257,"="&amp;'Output - County'!B2214)*VLOOKUP(A2214,'Output - State'!$B$2:$G$52,5,FALSE)</f>
        <v>34.866818958549104</v>
      </c>
      <c r="G2214" s="99">
        <f>SUMIFS(Input!$D$115:$D$3257,Input!$A$115:$A$3257,"="&amp;'Output - County'!A2214,Input!$B$115:$B$3257,"="&amp;'Output - County'!B2214)*VLOOKUP(A2214,'Output - State'!$B$2:$G$52,6,FALSE)</f>
        <v>6.8798427107779094</v>
      </c>
    </row>
    <row r="2215" spans="1:7" x14ac:dyDescent="0.25">
      <c r="A2215" s="88">
        <v>41</v>
      </c>
      <c r="B2215" s="88">
        <v>11</v>
      </c>
      <c r="C2215" s="97">
        <f>SUMIFS(Input!$C$115:$C$3257,Input!$A$115:$A$3257,"="&amp;'Output - County'!A2215,Input!$B$115:$B$3257,"="&amp;'Output - County'!B2215)*VLOOKUP(A2215,'Output - State'!$B$2:$G$52,2,FALSE)</f>
        <v>9.4018341583772838</v>
      </c>
      <c r="D2215" s="98">
        <f>SUMIFS(Input!$C$115:$C$3257,Input!$A$115:$A$3257,"="&amp;'Output - County'!A2215,Input!$B$115:$B$3257,"="&amp;'Output - County'!B2215)*VLOOKUP(A2215,'Output - State'!$B$2:$G$52,3,FALSE)</f>
        <v>0.6299736447817107</v>
      </c>
      <c r="E2215" s="98">
        <f>SUMIFS(Input!$C$115:$C$3257,Input!$A$115:$A$3257,"="&amp;'Output - County'!A2215,Input!$B$115:$B$3257,"="&amp;'Output - County'!B2215)*VLOOKUP(A2215,'Output - State'!$B$2:$G$52,4,FALSE)</f>
        <v>3.9381664308284501</v>
      </c>
      <c r="F2215" s="98">
        <f>SUMIFS(Input!$C$115:$C$3257,Input!$A$115:$A$3257,"="&amp;'Output - County'!A2215,Input!$B$115:$B$3257,"="&amp;'Output - County'!B2215)*VLOOKUP(A2215,'Output - State'!$B$2:$G$52,5,FALSE)</f>
        <v>36.815889119200897</v>
      </c>
      <c r="G2215" s="99">
        <f>SUMIFS(Input!$D$115:$D$3257,Input!$A$115:$A$3257,"="&amp;'Output - County'!A2215,Input!$B$115:$B$3257,"="&amp;'Output - County'!B2215)*VLOOKUP(A2215,'Output - State'!$B$2:$G$52,6,FALSE)</f>
        <v>8.4745955230463519</v>
      </c>
    </row>
    <row r="2216" spans="1:7" x14ac:dyDescent="0.25">
      <c r="A2216" s="88">
        <v>41</v>
      </c>
      <c r="B2216" s="88">
        <v>13</v>
      </c>
      <c r="C2216" s="97">
        <f>SUMIFS(Input!$C$115:$C$3257,Input!$A$115:$A$3257,"="&amp;'Output - County'!A2216,Input!$B$115:$B$3257,"="&amp;'Output - County'!B2216)*VLOOKUP(A2216,'Output - State'!$B$2:$G$52,2,FALSE)</f>
        <v>3.8726538925342111</v>
      </c>
      <c r="D2216" s="98">
        <f>SUMIFS(Input!$C$115:$C$3257,Input!$A$115:$A$3257,"="&amp;'Output - County'!A2216,Input!$B$115:$B$3257,"="&amp;'Output - County'!B2216)*VLOOKUP(A2216,'Output - State'!$B$2:$G$52,3,FALSE)</f>
        <v>0.25948871747371183</v>
      </c>
      <c r="E2216" s="98">
        <f>SUMIFS(Input!$C$115:$C$3257,Input!$A$115:$A$3257,"="&amp;'Output - County'!A2216,Input!$B$115:$B$3257,"="&amp;'Output - County'!B2216)*VLOOKUP(A2216,'Output - State'!$B$2:$G$52,4,FALSE)</f>
        <v>1.6221468386789373</v>
      </c>
      <c r="F2216" s="98">
        <f>SUMIFS(Input!$C$115:$C$3257,Input!$A$115:$A$3257,"="&amp;'Output - County'!A2216,Input!$B$115:$B$3257,"="&amp;'Output - County'!B2216)*VLOOKUP(A2216,'Output - State'!$B$2:$G$52,5,FALSE)</f>
        <v>15.164615106249558</v>
      </c>
      <c r="G2216" s="99">
        <f>SUMIFS(Input!$D$115:$D$3257,Input!$A$115:$A$3257,"="&amp;'Output - County'!A2216,Input!$B$115:$B$3257,"="&amp;'Output - County'!B2216)*VLOOKUP(A2216,'Output - State'!$B$2:$G$52,6,FALSE)</f>
        <v>3.1367865233048713</v>
      </c>
    </row>
    <row r="2217" spans="1:7" x14ac:dyDescent="0.25">
      <c r="A2217" s="88">
        <v>41</v>
      </c>
      <c r="B2217" s="88">
        <v>15</v>
      </c>
      <c r="C2217" s="97">
        <f>SUMIFS(Input!$C$115:$C$3257,Input!$A$115:$A$3257,"="&amp;'Output - County'!A2217,Input!$B$115:$B$3257,"="&amp;'Output - County'!B2217)*VLOOKUP(A2217,'Output - State'!$B$2:$G$52,2,FALSE)</f>
        <v>3.736194907010677</v>
      </c>
      <c r="D2217" s="98">
        <f>SUMIFS(Input!$C$115:$C$3257,Input!$A$115:$A$3257,"="&amp;'Output - County'!A2217,Input!$B$115:$B$3257,"="&amp;'Output - County'!B2217)*VLOOKUP(A2217,'Output - State'!$B$2:$G$52,3,FALSE)</f>
        <v>0.25034522876444998</v>
      </c>
      <c r="E2217" s="98">
        <f>SUMIFS(Input!$C$115:$C$3257,Input!$A$115:$A$3257,"="&amp;'Output - County'!A2217,Input!$B$115:$B$3257,"="&amp;'Output - County'!B2217)*VLOOKUP(A2217,'Output - State'!$B$2:$G$52,4,FALSE)</f>
        <v>1.5649879708536787</v>
      </c>
      <c r="F2217" s="98">
        <f>SUMIFS(Input!$C$115:$C$3257,Input!$A$115:$A$3257,"="&amp;'Output - County'!A2217,Input!$B$115:$B$3257,"="&amp;'Output - County'!B2217)*VLOOKUP(A2217,'Output - State'!$B$2:$G$52,5,FALSE)</f>
        <v>14.630266297737904</v>
      </c>
      <c r="G2217" s="99">
        <f>SUMIFS(Input!$D$115:$D$3257,Input!$A$115:$A$3257,"="&amp;'Output - County'!A2217,Input!$B$115:$B$3257,"="&amp;'Output - County'!B2217)*VLOOKUP(A2217,'Output - State'!$B$2:$G$52,6,FALSE)</f>
        <v>3.0049887702248341</v>
      </c>
    </row>
    <row r="2218" spans="1:7" x14ac:dyDescent="0.25">
      <c r="A2218" s="88">
        <v>41</v>
      </c>
      <c r="B2218" s="88">
        <v>17</v>
      </c>
      <c r="C2218" s="97">
        <f>SUMIFS(Input!$C$115:$C$3257,Input!$A$115:$A$3257,"="&amp;'Output - County'!A2218,Input!$B$115:$B$3257,"="&amp;'Output - County'!B2218)*VLOOKUP(A2218,'Output - State'!$B$2:$G$52,2,FALSE)</f>
        <v>33.119641331979238</v>
      </c>
      <c r="D2218" s="98">
        <f>SUMIFS(Input!$C$115:$C$3257,Input!$A$115:$A$3257,"="&amp;'Output - County'!A2218,Input!$B$115:$B$3257,"="&amp;'Output - County'!B2218)*VLOOKUP(A2218,'Output - State'!$B$2:$G$52,3,FALSE)</f>
        <v>2.2191947669252525</v>
      </c>
      <c r="E2218" s="98">
        <f>SUMIFS(Input!$C$115:$C$3257,Input!$A$115:$A$3257,"="&amp;'Output - County'!A2218,Input!$B$115:$B$3257,"="&amp;'Output - County'!B2218)*VLOOKUP(A2218,'Output - State'!$B$2:$G$52,4,FALSE)</f>
        <v>13.872895171040843</v>
      </c>
      <c r="F2218" s="98">
        <f>SUMIFS(Input!$C$115:$C$3257,Input!$A$115:$A$3257,"="&amp;'Output - County'!A2218,Input!$B$115:$B$3257,"="&amp;'Output - County'!B2218)*VLOOKUP(A2218,'Output - State'!$B$2:$G$52,5,FALSE)</f>
        <v>129.69054999331127</v>
      </c>
      <c r="G2218" s="99">
        <f>SUMIFS(Input!$D$115:$D$3257,Input!$A$115:$A$3257,"="&amp;'Output - County'!A2218,Input!$B$115:$B$3257,"="&amp;'Output - County'!B2218)*VLOOKUP(A2218,'Output - State'!$B$2:$G$52,6,FALSE)</f>
        <v>25.305168591367025</v>
      </c>
    </row>
    <row r="2219" spans="1:7" x14ac:dyDescent="0.25">
      <c r="A2219" s="88">
        <v>41</v>
      </c>
      <c r="B2219" s="88">
        <v>19</v>
      </c>
      <c r="C2219" s="97">
        <f>SUMIFS(Input!$C$115:$C$3257,Input!$A$115:$A$3257,"="&amp;'Output - County'!A2219,Input!$B$115:$B$3257,"="&amp;'Output - County'!B2219)*VLOOKUP(A2219,'Output - State'!$B$2:$G$52,2,FALSE)</f>
        <v>40.456860828604484</v>
      </c>
      <c r="D2219" s="98">
        <f>SUMIFS(Input!$C$115:$C$3257,Input!$A$115:$A$3257,"="&amp;'Output - County'!A2219,Input!$B$115:$B$3257,"="&amp;'Output - County'!B2219)*VLOOKUP(A2219,'Output - State'!$B$2:$G$52,3,FALSE)</f>
        <v>2.7108280834663536</v>
      </c>
      <c r="E2219" s="98">
        <f>SUMIFS(Input!$C$115:$C$3257,Input!$A$115:$A$3257,"="&amp;'Output - County'!A2219,Input!$B$115:$B$3257,"="&amp;'Output - County'!B2219)*VLOOKUP(A2219,'Output - State'!$B$2:$G$52,4,FALSE)</f>
        <v>16.946252032104297</v>
      </c>
      <c r="F2219" s="98">
        <f>SUMIFS(Input!$C$115:$C$3257,Input!$A$115:$A$3257,"="&amp;'Output - County'!A2219,Input!$B$115:$B$3257,"="&amp;'Output - County'!B2219)*VLOOKUP(A2219,'Output - State'!$B$2:$G$52,5,FALSE)</f>
        <v>158.42177997254936</v>
      </c>
      <c r="G2219" s="99">
        <f>SUMIFS(Input!$D$115:$D$3257,Input!$A$115:$A$3257,"="&amp;'Output - County'!A2219,Input!$B$115:$B$3257,"="&amp;'Output - County'!B2219)*VLOOKUP(A2219,'Output - State'!$B$2:$G$52,6,FALSE)</f>
        <v>14.497752838804026</v>
      </c>
    </row>
    <row r="2220" spans="1:7" x14ac:dyDescent="0.25">
      <c r="A2220" s="88">
        <v>41</v>
      </c>
      <c r="B2220" s="88">
        <v>21</v>
      </c>
      <c r="C2220" s="97">
        <f>SUMIFS(Input!$C$115:$C$3257,Input!$A$115:$A$3257,"="&amp;'Output - County'!A2220,Input!$B$115:$B$3257,"="&amp;'Output - County'!B2220)*VLOOKUP(A2220,'Output - State'!$B$2:$G$52,2,FALSE)</f>
        <v>5.3103398419245824</v>
      </c>
      <c r="D2220" s="98">
        <f>SUMIFS(Input!$C$115:$C$3257,Input!$A$115:$A$3257,"="&amp;'Output - County'!A2220,Input!$B$115:$B$3257,"="&amp;'Output - County'!B2220)*VLOOKUP(A2220,'Output - State'!$B$2:$G$52,3,FALSE)</f>
        <v>0.35582143748684886</v>
      </c>
      <c r="E2220" s="98">
        <f>SUMIFS(Input!$C$115:$C$3257,Input!$A$115:$A$3257,"="&amp;'Output - County'!A2220,Input!$B$115:$B$3257,"="&amp;'Output - County'!B2220)*VLOOKUP(A2220,'Output - State'!$B$2:$G$52,4,FALSE)</f>
        <v>2.2243534346034179</v>
      </c>
      <c r="F2220" s="98">
        <f>SUMIFS(Input!$C$115:$C$3257,Input!$A$115:$A$3257,"="&amp;'Output - County'!A2220,Input!$B$115:$B$3257,"="&amp;'Output - County'!B2220)*VLOOKUP(A2220,'Output - State'!$B$2:$G$52,5,FALSE)</f>
        <v>20.794334330112619</v>
      </c>
      <c r="G2220" s="99">
        <f>SUMIFS(Input!$D$115:$D$3257,Input!$A$115:$A$3257,"="&amp;'Output - County'!A2220,Input!$B$115:$B$3257,"="&amp;'Output - County'!B2220)*VLOOKUP(A2220,'Output - State'!$B$2:$G$52,6,FALSE)</f>
        <v>0.24909775332126916</v>
      </c>
    </row>
    <row r="2221" spans="1:7" x14ac:dyDescent="0.25">
      <c r="A2221" s="88">
        <v>41</v>
      </c>
      <c r="B2221" s="88">
        <v>23</v>
      </c>
      <c r="C2221" s="97">
        <f>SUMIFS(Input!$C$115:$C$3257,Input!$A$115:$A$3257,"="&amp;'Output - County'!A2221,Input!$B$115:$B$3257,"="&amp;'Output - County'!B2221)*VLOOKUP(A2221,'Output - State'!$B$2:$G$52,2,FALSE)</f>
        <v>1.0403721769928869</v>
      </c>
      <c r="D2221" s="98">
        <f>SUMIFS(Input!$C$115:$C$3257,Input!$A$115:$A$3257,"="&amp;'Output - County'!A2221,Input!$B$115:$B$3257,"="&amp;'Output - County'!B2221)*VLOOKUP(A2221,'Output - State'!$B$2:$G$52,3,FALSE)</f>
        <v>6.9710552348523067E-2</v>
      </c>
      <c r="E2221" s="98">
        <f>SUMIFS(Input!$C$115:$C$3257,Input!$A$115:$A$3257,"="&amp;'Output - County'!A2221,Input!$B$115:$B$3257,"="&amp;'Output - County'!B2221)*VLOOKUP(A2221,'Output - State'!$B$2:$G$52,4,FALSE)</f>
        <v>0.4357829242659661</v>
      </c>
      <c r="F2221" s="98">
        <f>SUMIFS(Input!$C$115:$C$3257,Input!$A$115:$A$3257,"="&amp;'Output - County'!A2221,Input!$B$115:$B$3257,"="&amp;'Output - County'!B2221)*VLOOKUP(A2221,'Output - State'!$B$2:$G$52,5,FALSE)</f>
        <v>4.0739100547464417</v>
      </c>
      <c r="G2221" s="99">
        <f>SUMIFS(Input!$D$115:$D$3257,Input!$A$115:$A$3257,"="&amp;'Output - County'!A2221,Input!$B$115:$B$3257,"="&amp;'Output - County'!B2221)*VLOOKUP(A2221,'Output - State'!$B$2:$G$52,6,FALSE)</f>
        <v>0.94762584464546307</v>
      </c>
    </row>
    <row r="2222" spans="1:7" x14ac:dyDescent="0.25">
      <c r="A2222" s="88">
        <v>41</v>
      </c>
      <c r="B2222" s="88">
        <v>25</v>
      </c>
      <c r="C2222" s="97">
        <f>SUMIFS(Input!$C$115:$C$3257,Input!$A$115:$A$3257,"="&amp;'Output - County'!A2222,Input!$B$115:$B$3257,"="&amp;'Output - County'!B2222)*VLOOKUP(A2222,'Output - State'!$B$2:$G$52,2,FALSE)</f>
        <v>1.5118733801696957</v>
      </c>
      <c r="D2222" s="98">
        <f>SUMIFS(Input!$C$115:$C$3257,Input!$A$115:$A$3257,"="&amp;'Output - County'!A2222,Input!$B$115:$B$3257,"="&amp;'Output - County'!B2222)*VLOOKUP(A2222,'Output - State'!$B$2:$G$52,3,FALSE)</f>
        <v>0.10130367837910632</v>
      </c>
      <c r="E2222" s="98">
        <f>SUMIFS(Input!$C$115:$C$3257,Input!$A$115:$A$3257,"="&amp;'Output - County'!A2222,Input!$B$115:$B$3257,"="&amp;'Output - County'!B2222)*VLOOKUP(A2222,'Output - State'!$B$2:$G$52,4,FALSE)</f>
        <v>0.63328164410794829</v>
      </c>
      <c r="F2222" s="98">
        <f>SUMIFS(Input!$C$115:$C$3257,Input!$A$115:$A$3257,"="&amp;'Output - County'!A2222,Input!$B$115:$B$3257,"="&amp;'Output - County'!B2222)*VLOOKUP(A2222,'Output - State'!$B$2:$G$52,5,FALSE)</f>
        <v>5.9202238402603165</v>
      </c>
      <c r="G2222" s="99">
        <f>SUMIFS(Input!$D$115:$D$3257,Input!$A$115:$A$3257,"="&amp;'Output - County'!A2222,Input!$B$115:$B$3257,"="&amp;'Output - County'!B2222)*VLOOKUP(A2222,'Output - State'!$B$2:$G$52,6,FALSE)</f>
        <v>0.96080561995346669</v>
      </c>
    </row>
    <row r="2223" spans="1:7" x14ac:dyDescent="0.25">
      <c r="A2223" s="88">
        <v>41</v>
      </c>
      <c r="B2223" s="88">
        <v>27</v>
      </c>
      <c r="C2223" s="97">
        <f>SUMIFS(Input!$C$115:$C$3257,Input!$A$115:$A$3257,"="&amp;'Output - County'!A2223,Input!$B$115:$B$3257,"="&amp;'Output - County'!B2223)*VLOOKUP(A2223,'Output - State'!$B$2:$G$52,2,FALSE)</f>
        <v>10.567164706130113</v>
      </c>
      <c r="D2223" s="98">
        <f>SUMIFS(Input!$C$115:$C$3257,Input!$A$115:$A$3257,"="&amp;'Output - County'!A2223,Input!$B$115:$B$3257,"="&amp;'Output - County'!B2223)*VLOOKUP(A2223,'Output - State'!$B$2:$G$52,3,FALSE)</f>
        <v>0.70805708256381517</v>
      </c>
      <c r="E2223" s="98">
        <f>SUMIFS(Input!$C$115:$C$3257,Input!$A$115:$A$3257,"="&amp;'Output - County'!A2223,Input!$B$115:$B$3257,"="&amp;'Output - County'!B2223)*VLOOKUP(A2223,'Output - State'!$B$2:$G$52,4,FALSE)</f>
        <v>4.426290935757093</v>
      </c>
      <c r="F2223" s="98">
        <f>SUMIFS(Input!$C$115:$C$3257,Input!$A$115:$A$3257,"="&amp;'Output - County'!A2223,Input!$B$115:$B$3257,"="&amp;'Output - County'!B2223)*VLOOKUP(A2223,'Output - State'!$B$2:$G$52,5,FALSE)</f>
        <v>41.379113646519151</v>
      </c>
      <c r="G2223" s="99">
        <f>SUMIFS(Input!$D$115:$D$3257,Input!$A$115:$A$3257,"="&amp;'Output - County'!A2223,Input!$B$115:$B$3257,"="&amp;'Output - County'!B2223)*VLOOKUP(A2223,'Output - State'!$B$2:$G$52,6,FALSE)</f>
        <v>3.0708876467648527</v>
      </c>
    </row>
    <row r="2224" spans="1:7" x14ac:dyDescent="0.25">
      <c r="A2224" s="88">
        <v>41</v>
      </c>
      <c r="B2224" s="88">
        <v>29</v>
      </c>
      <c r="C2224" s="97">
        <f>SUMIFS(Input!$C$115:$C$3257,Input!$A$115:$A$3257,"="&amp;'Output - County'!A2224,Input!$B$115:$B$3257,"="&amp;'Output - County'!B2224)*VLOOKUP(A2224,'Output - State'!$B$2:$G$52,2,FALSE)</f>
        <v>50.385108478884788</v>
      </c>
      <c r="D2224" s="98">
        <f>SUMIFS(Input!$C$115:$C$3257,Input!$A$115:$A$3257,"="&amp;'Output - County'!A2224,Input!$B$115:$B$3257,"="&amp;'Output - County'!B2224)*VLOOKUP(A2224,'Output - State'!$B$2:$G$52,3,FALSE)</f>
        <v>3.376074274069448</v>
      </c>
      <c r="E2224" s="98">
        <f>SUMIFS(Input!$C$115:$C$3257,Input!$A$115:$A$3257,"="&amp;'Output - County'!A2224,Input!$B$115:$B$3257,"="&amp;'Output - County'!B2224)*VLOOKUP(A2224,'Output - State'!$B$2:$G$52,4,FALSE)</f>
        <v>21.104918410881783</v>
      </c>
      <c r="F2224" s="98">
        <f>SUMIFS(Input!$C$115:$C$3257,Input!$A$115:$A$3257,"="&amp;'Output - County'!A2224,Input!$B$115:$B$3257,"="&amp;'Output - County'!B2224)*VLOOKUP(A2224,'Output - State'!$B$2:$G$52,5,FALSE)</f>
        <v>197.29900950919259</v>
      </c>
      <c r="G2224" s="99">
        <f>SUMIFS(Input!$D$115:$D$3257,Input!$A$115:$A$3257,"="&amp;'Output - County'!A2224,Input!$B$115:$B$3257,"="&amp;'Output - County'!B2224)*VLOOKUP(A2224,'Output - State'!$B$2:$G$52,6,FALSE)</f>
        <v>28.863707924528015</v>
      </c>
    </row>
    <row r="2225" spans="1:7" x14ac:dyDescent="0.25">
      <c r="A2225" s="88">
        <v>41</v>
      </c>
      <c r="B2225" s="88">
        <v>31</v>
      </c>
      <c r="C2225" s="97">
        <f>SUMIFS(Input!$C$115:$C$3257,Input!$A$115:$A$3257,"="&amp;'Output - County'!A2225,Input!$B$115:$B$3257,"="&amp;'Output - County'!B2225)*VLOOKUP(A2225,'Output - State'!$B$2:$G$52,2,FALSE)</f>
        <v>4.3300194784306951</v>
      </c>
      <c r="D2225" s="98">
        <f>SUMIFS(Input!$C$115:$C$3257,Input!$A$115:$A$3257,"="&amp;'Output - County'!A2225,Input!$B$115:$B$3257,"="&amp;'Output - County'!B2225)*VLOOKUP(A2225,'Output - State'!$B$2:$G$52,3,FALSE)</f>
        <v>0.29013468083482907</v>
      </c>
      <c r="E2225" s="98">
        <f>SUMIFS(Input!$C$115:$C$3257,Input!$A$115:$A$3257,"="&amp;'Output - County'!A2225,Input!$B$115:$B$3257,"="&amp;'Output - County'!B2225)*VLOOKUP(A2225,'Output - State'!$B$2:$G$52,4,FALSE)</f>
        <v>1.8137245422048838</v>
      </c>
      <c r="F2225" s="98">
        <f>SUMIFS(Input!$C$115:$C$3257,Input!$A$115:$A$3257,"="&amp;'Output - County'!A2225,Input!$B$115:$B$3257,"="&amp;'Output - County'!B2225)*VLOOKUP(A2225,'Output - State'!$B$2:$G$52,5,FALSE)</f>
        <v>16.955576360580974</v>
      </c>
      <c r="G2225" s="99">
        <f>SUMIFS(Input!$D$115:$D$3257,Input!$A$115:$A$3257,"="&amp;'Output - County'!A2225,Input!$B$115:$B$3257,"="&amp;'Output - County'!B2225)*VLOOKUP(A2225,'Output - State'!$B$2:$G$52,6,FALSE)</f>
        <v>3.1895056245368858</v>
      </c>
    </row>
    <row r="2226" spans="1:7" x14ac:dyDescent="0.25">
      <c r="A2226" s="88">
        <v>41</v>
      </c>
      <c r="B2226" s="88">
        <v>33</v>
      </c>
      <c r="C2226" s="97">
        <f>SUMIFS(Input!$C$115:$C$3257,Input!$A$115:$A$3257,"="&amp;'Output - County'!A2226,Input!$B$115:$B$3257,"="&amp;'Output - County'!B2226)*VLOOKUP(A2226,'Output - State'!$B$2:$G$52,2,FALSE)</f>
        <v>20.340547047959845</v>
      </c>
      <c r="D2226" s="98">
        <f>SUMIFS(Input!$C$115:$C$3257,Input!$A$115:$A$3257,"="&amp;'Output - County'!A2226,Input!$B$115:$B$3257,"="&amp;'Output - County'!B2226)*VLOOKUP(A2226,'Output - State'!$B$2:$G$52,3,FALSE)</f>
        <v>1.36292646145428</v>
      </c>
      <c r="E2226" s="98">
        <f>SUMIFS(Input!$C$115:$C$3257,Input!$A$115:$A$3257,"="&amp;'Output - County'!A2226,Input!$B$115:$B$3257,"="&amp;'Output - County'!B2226)*VLOOKUP(A2226,'Output - State'!$B$2:$G$52,4,FALSE)</f>
        <v>8.5200885507629351</v>
      </c>
      <c r="F2226" s="98">
        <f>SUMIFS(Input!$C$115:$C$3257,Input!$A$115:$A$3257,"="&amp;'Output - County'!A2226,Input!$B$115:$B$3257,"="&amp;'Output - County'!B2226)*VLOOKUP(A2226,'Output - State'!$B$2:$G$52,5,FALSE)</f>
        <v>79.649918529389154</v>
      </c>
      <c r="G2226" s="99">
        <f>SUMIFS(Input!$D$115:$D$3257,Input!$A$115:$A$3257,"="&amp;'Output - County'!A2226,Input!$B$115:$B$3257,"="&amp;'Output - County'!B2226)*VLOOKUP(A2226,'Output - State'!$B$2:$G$52,6,FALSE)</f>
        <v>11.492764068579191</v>
      </c>
    </row>
    <row r="2227" spans="1:7" x14ac:dyDescent="0.25">
      <c r="A2227" s="88">
        <v>41</v>
      </c>
      <c r="B2227" s="88">
        <v>35</v>
      </c>
      <c r="C2227" s="97">
        <f>SUMIFS(Input!$C$115:$C$3257,Input!$A$115:$A$3257,"="&amp;'Output - County'!A2227,Input!$B$115:$B$3257,"="&amp;'Output - County'!B2227)*VLOOKUP(A2227,'Output - State'!$B$2:$G$52,2,FALSE)</f>
        <v>13.271136957334619</v>
      </c>
      <c r="D2227" s="98">
        <f>SUMIFS(Input!$C$115:$C$3257,Input!$A$115:$A$3257,"="&amp;'Output - County'!A2227,Input!$B$115:$B$3257,"="&amp;'Output - County'!B2227)*VLOOKUP(A2227,'Output - State'!$B$2:$G$52,3,FALSE)</f>
        <v>0.88923782089476178</v>
      </c>
      <c r="E2227" s="98">
        <f>SUMIFS(Input!$C$115:$C$3257,Input!$A$115:$A$3257,"="&amp;'Output - County'!A2227,Input!$B$115:$B$3257,"="&amp;'Output - County'!B2227)*VLOOKUP(A2227,'Output - State'!$B$2:$G$52,4,FALSE)</f>
        <v>5.5589095897563183</v>
      </c>
      <c r="F2227" s="98">
        <f>SUMIFS(Input!$C$115:$C$3257,Input!$A$115:$A$3257,"="&amp;'Output - County'!A2227,Input!$B$115:$B$3257,"="&amp;'Output - County'!B2227)*VLOOKUP(A2227,'Output - State'!$B$2:$G$52,5,FALSE)</f>
        <v>51.967381946597619</v>
      </c>
      <c r="G2227" s="99">
        <f>SUMIFS(Input!$D$115:$D$3257,Input!$A$115:$A$3257,"="&amp;'Output - County'!A2227,Input!$B$115:$B$3257,"="&amp;'Output - County'!B2227)*VLOOKUP(A2227,'Output - State'!$B$2:$G$52,6,FALSE)</f>
        <v>8.922707883518477</v>
      </c>
    </row>
    <row r="2228" spans="1:7" x14ac:dyDescent="0.25">
      <c r="A2228" s="88">
        <v>41</v>
      </c>
      <c r="B2228" s="88">
        <v>37</v>
      </c>
      <c r="C2228" s="97">
        <f>SUMIFS(Input!$C$115:$C$3257,Input!$A$115:$A$3257,"="&amp;'Output - County'!A2228,Input!$B$115:$B$3257,"="&amp;'Output - County'!B2228)*VLOOKUP(A2228,'Output - State'!$B$2:$G$52,2,FALSE)</f>
        <v>1.3669410313606918</v>
      </c>
      <c r="D2228" s="98">
        <f>SUMIFS(Input!$C$115:$C$3257,Input!$A$115:$A$3257,"="&amp;'Output - County'!A2228,Input!$B$115:$B$3257,"="&amp;'Output - County'!B2228)*VLOOKUP(A2228,'Output - State'!$B$2:$G$52,3,FALSE)</f>
        <v>9.1592428585933944E-2</v>
      </c>
      <c r="E2228" s="98">
        <f>SUMIFS(Input!$C$115:$C$3257,Input!$A$115:$A$3257,"="&amp;'Output - County'!A2228,Input!$B$115:$B$3257,"="&amp;'Output - County'!B2228)*VLOOKUP(A2228,'Output - State'!$B$2:$G$52,4,FALSE)</f>
        <v>0.57257352043697607</v>
      </c>
      <c r="F2228" s="98">
        <f>SUMIFS(Input!$C$115:$C$3257,Input!$A$115:$A$3257,"="&amp;'Output - County'!A2228,Input!$B$115:$B$3257,"="&amp;'Output - County'!B2228)*VLOOKUP(A2228,'Output - State'!$B$2:$G$52,5,FALSE)</f>
        <v>5.3526948673329127</v>
      </c>
      <c r="G2228" s="99">
        <f>SUMIFS(Input!$D$115:$D$3257,Input!$A$115:$A$3257,"="&amp;'Output - County'!A2228,Input!$B$115:$B$3257,"="&amp;'Output - County'!B2228)*VLOOKUP(A2228,'Output - State'!$B$2:$G$52,6,FALSE)</f>
        <v>1.0332943841474869</v>
      </c>
    </row>
    <row r="2229" spans="1:7" x14ac:dyDescent="0.25">
      <c r="A2229" s="88">
        <v>41</v>
      </c>
      <c r="B2229" s="88">
        <v>39</v>
      </c>
      <c r="C2229" s="97">
        <f>SUMIFS(Input!$C$115:$C$3257,Input!$A$115:$A$3257,"="&amp;'Output - County'!A2229,Input!$B$115:$B$3257,"="&amp;'Output - County'!B2229)*VLOOKUP(A2229,'Output - State'!$B$2:$G$52,2,FALSE)</f>
        <v>72.35061355863597</v>
      </c>
      <c r="D2229" s="98">
        <f>SUMIFS(Input!$C$115:$C$3257,Input!$A$115:$A$3257,"="&amp;'Output - County'!A2229,Input!$B$115:$B$3257,"="&amp;'Output - County'!B2229)*VLOOKUP(A2229,'Output - State'!$B$2:$G$52,3,FALSE)</f>
        <v>4.8478816960534115</v>
      </c>
      <c r="E2229" s="98">
        <f>SUMIFS(Input!$C$115:$C$3257,Input!$A$115:$A$3257,"="&amp;'Output - County'!A2229,Input!$B$115:$B$3257,"="&amp;'Output - County'!B2229)*VLOOKUP(A2229,'Output - State'!$B$2:$G$52,4,FALSE)</f>
        <v>30.30565661622342</v>
      </c>
      <c r="F2229" s="98">
        <f>SUMIFS(Input!$C$115:$C$3257,Input!$A$115:$A$3257,"="&amp;'Output - County'!A2229,Input!$B$115:$B$3257,"="&amp;'Output - County'!B2229)*VLOOKUP(A2229,'Output - State'!$B$2:$G$52,5,FALSE)</f>
        <v>283.31197100594574</v>
      </c>
      <c r="G2229" s="99">
        <f>SUMIFS(Input!$D$115:$D$3257,Input!$A$115:$A$3257,"="&amp;'Output - County'!A2229,Input!$B$115:$B$3257,"="&amp;'Output - County'!B2229)*VLOOKUP(A2229,'Output - State'!$B$2:$G$52,6,FALSE)</f>
        <v>49.951348417333868</v>
      </c>
    </row>
    <row r="2230" spans="1:7" x14ac:dyDescent="0.25">
      <c r="A2230" s="88">
        <v>41</v>
      </c>
      <c r="B2230" s="88">
        <v>41</v>
      </c>
      <c r="C2230" s="97">
        <f>SUMIFS(Input!$C$115:$C$3257,Input!$A$115:$A$3257,"="&amp;'Output - County'!A2230,Input!$B$115:$B$3257,"="&amp;'Output - County'!B2230)*VLOOKUP(A2230,'Output - State'!$B$2:$G$52,2,FALSE)</f>
        <v>9.4551292391278086</v>
      </c>
      <c r="D2230" s="98">
        <f>SUMIFS(Input!$C$115:$C$3257,Input!$A$115:$A$3257,"="&amp;'Output - County'!A2230,Input!$B$115:$B$3257,"="&amp;'Output - County'!B2230)*VLOOKUP(A2230,'Output - State'!$B$2:$G$52,3,FALSE)</f>
        <v>0.63354470290757947</v>
      </c>
      <c r="E2230" s="98">
        <f>SUMIFS(Input!$C$115:$C$3257,Input!$A$115:$A$3257,"="&amp;'Output - County'!A2230,Input!$B$115:$B$3257,"="&amp;'Output - County'!B2230)*VLOOKUP(A2230,'Output - State'!$B$2:$G$52,4,FALSE)</f>
        <v>3.9604902555635411</v>
      </c>
      <c r="F2230" s="98">
        <f>SUMIFS(Input!$C$115:$C$3257,Input!$A$115:$A$3257,"="&amp;'Output - County'!A2230,Input!$B$115:$B$3257,"="&amp;'Output - County'!B2230)*VLOOKUP(A2230,'Output - State'!$B$2:$G$52,5,FALSE)</f>
        <v>37.024583055985758</v>
      </c>
      <c r="G2230" s="99">
        <f>SUMIFS(Input!$D$115:$D$3257,Input!$A$115:$A$3257,"="&amp;'Output - County'!A2230,Input!$B$115:$B$3257,"="&amp;'Output - County'!B2230)*VLOOKUP(A2230,'Output - State'!$B$2:$G$52,6,FALSE)</f>
        <v>6.4844494515377997</v>
      </c>
    </row>
    <row r="2231" spans="1:7" x14ac:dyDescent="0.25">
      <c r="A2231" s="88">
        <v>41</v>
      </c>
      <c r="B2231" s="88">
        <v>43</v>
      </c>
      <c r="C2231" s="97">
        <f>SUMIFS(Input!$C$115:$C$3257,Input!$A$115:$A$3257,"="&amp;'Output - County'!A2231,Input!$B$115:$B$3257,"="&amp;'Output - County'!B2231)*VLOOKUP(A2231,'Output - State'!$B$2:$G$52,2,FALSE)</f>
        <v>37.369227590955383</v>
      </c>
      <c r="D2231" s="98">
        <f>SUMIFS(Input!$C$115:$C$3257,Input!$A$115:$A$3257,"="&amp;'Output - County'!A2231,Input!$B$115:$B$3257,"="&amp;'Output - County'!B2231)*VLOOKUP(A2231,'Output - State'!$B$2:$G$52,3,FALSE)</f>
        <v>2.503939987834737</v>
      </c>
      <c r="E2231" s="98">
        <f>SUMIFS(Input!$C$115:$C$3257,Input!$A$115:$A$3257,"="&amp;'Output - County'!A2231,Input!$B$115:$B$3257,"="&amp;'Output - County'!B2231)*VLOOKUP(A2231,'Output - State'!$B$2:$G$52,4,FALSE)</f>
        <v>15.652928478169313</v>
      </c>
      <c r="F2231" s="98">
        <f>SUMIFS(Input!$C$115:$C$3257,Input!$A$115:$A$3257,"="&amp;'Output - County'!A2231,Input!$B$115:$B$3257,"="&amp;'Output - County'!B2231)*VLOOKUP(A2231,'Output - State'!$B$2:$G$52,5,FALSE)</f>
        <v>146.33116435402539</v>
      </c>
      <c r="G2231" s="99">
        <f>SUMIFS(Input!$D$115:$D$3257,Input!$A$115:$A$3257,"="&amp;'Output - County'!A2231,Input!$B$115:$B$3257,"="&amp;'Output - County'!B2231)*VLOOKUP(A2231,'Output - State'!$B$2:$G$52,6,FALSE)</f>
        <v>16.738314641164646</v>
      </c>
    </row>
    <row r="2232" spans="1:7" x14ac:dyDescent="0.25">
      <c r="A2232" s="88">
        <v>41</v>
      </c>
      <c r="B2232" s="88">
        <v>45</v>
      </c>
      <c r="C2232" s="97">
        <f>SUMIFS(Input!$C$115:$C$3257,Input!$A$115:$A$3257,"="&amp;'Output - County'!A2232,Input!$B$115:$B$3257,"="&amp;'Output - County'!B2232)*VLOOKUP(A2232,'Output - State'!$B$2:$G$52,2,FALSE)</f>
        <v>9.1122883051154684</v>
      </c>
      <c r="D2232" s="98">
        <f>SUMIFS(Input!$C$115:$C$3257,Input!$A$115:$A$3257,"="&amp;'Output - County'!A2232,Input!$B$115:$B$3257,"="&amp;'Output - County'!B2232)*VLOOKUP(A2232,'Output - State'!$B$2:$G$52,3,FALSE)</f>
        <v>0.6105725094885246</v>
      </c>
      <c r="E2232" s="98">
        <f>SUMIFS(Input!$C$115:$C$3257,Input!$A$115:$A$3257,"="&amp;'Output - County'!A2232,Input!$B$115:$B$3257,"="&amp;'Output - County'!B2232)*VLOOKUP(A2232,'Output - State'!$B$2:$G$52,4,FALSE)</f>
        <v>3.8168837385055645</v>
      </c>
      <c r="F2232" s="98">
        <f>SUMIFS(Input!$C$115:$C$3257,Input!$A$115:$A$3257,"="&amp;'Output - County'!A2232,Input!$B$115:$B$3257,"="&amp;'Output - County'!B2232)*VLOOKUP(A2232,'Output - State'!$B$2:$G$52,5,FALSE)</f>
        <v>35.682079710415145</v>
      </c>
      <c r="G2232" s="99">
        <f>SUMIFS(Input!$D$115:$D$3257,Input!$A$115:$A$3257,"="&amp;'Output - County'!A2232,Input!$B$115:$B$3257,"="&amp;'Output - County'!B2232)*VLOOKUP(A2232,'Output - State'!$B$2:$G$52,6,FALSE)</f>
        <v>4.0330112442491197</v>
      </c>
    </row>
    <row r="2233" spans="1:7" x14ac:dyDescent="0.25">
      <c r="A2233" s="88">
        <v>41</v>
      </c>
      <c r="B2233" s="88">
        <v>47</v>
      </c>
      <c r="C2233" s="97">
        <f>SUMIFS(Input!$C$115:$C$3257,Input!$A$115:$A$3257,"="&amp;'Output - County'!A2233,Input!$B$115:$B$3257,"="&amp;'Output - County'!B2233)*VLOOKUP(A2233,'Output - State'!$B$2:$G$52,2,FALSE)</f>
        <v>81.926283762916697</v>
      </c>
      <c r="D2233" s="98">
        <f>SUMIFS(Input!$C$115:$C$3257,Input!$A$115:$A$3257,"="&amp;'Output - County'!A2233,Input!$B$115:$B$3257,"="&amp;'Output - County'!B2233)*VLOOKUP(A2233,'Output - State'!$B$2:$G$52,3,FALSE)</f>
        <v>5.4895032943713638</v>
      </c>
      <c r="E2233" s="98">
        <f>SUMIFS(Input!$C$115:$C$3257,Input!$A$115:$A$3257,"="&amp;'Output - County'!A2233,Input!$B$115:$B$3257,"="&amp;'Output - County'!B2233)*VLOOKUP(A2233,'Output - State'!$B$2:$G$52,4,FALSE)</f>
        <v>34.316638124292396</v>
      </c>
      <c r="F2233" s="98">
        <f>SUMIFS(Input!$C$115:$C$3257,Input!$A$115:$A$3257,"="&amp;'Output - County'!A2233,Input!$B$115:$B$3257,"="&amp;'Output - County'!B2233)*VLOOKUP(A2233,'Output - State'!$B$2:$G$52,5,FALSE)</f>
        <v>320.808570769803</v>
      </c>
      <c r="G2233" s="99">
        <f>SUMIFS(Input!$D$115:$D$3257,Input!$A$115:$A$3257,"="&amp;'Output - County'!A2233,Input!$B$115:$B$3257,"="&amp;'Output - County'!B2233)*VLOOKUP(A2233,'Output - State'!$B$2:$G$52,6,FALSE)</f>
        <v>45.470224812612621</v>
      </c>
    </row>
    <row r="2234" spans="1:7" x14ac:dyDescent="0.25">
      <c r="A2234" s="88">
        <v>41</v>
      </c>
      <c r="B2234" s="88">
        <v>49</v>
      </c>
      <c r="C2234" s="97">
        <f>SUMIFS(Input!$C$115:$C$3257,Input!$A$115:$A$3257,"="&amp;'Output - County'!A2234,Input!$B$115:$B$3257,"="&amp;'Output - County'!B2234)*VLOOKUP(A2234,'Output - State'!$B$2:$G$52,2,FALSE)</f>
        <v>6.1655750696172138</v>
      </c>
      <c r="D2234" s="98">
        <f>SUMIFS(Input!$C$115:$C$3257,Input!$A$115:$A$3257,"="&amp;'Output - County'!A2234,Input!$B$115:$B$3257,"="&amp;'Output - County'!B2234)*VLOOKUP(A2234,'Output - State'!$B$2:$G$52,3,FALSE)</f>
        <v>0.41312681476317314</v>
      </c>
      <c r="E2234" s="98">
        <f>SUMIFS(Input!$C$115:$C$3257,Input!$A$115:$A$3257,"="&amp;'Output - County'!A2234,Input!$B$115:$B$3257,"="&amp;'Output - County'!B2234)*VLOOKUP(A2234,'Output - State'!$B$2:$G$52,4,FALSE)</f>
        <v>2.5825876479946444</v>
      </c>
      <c r="F2234" s="98">
        <f>SUMIFS(Input!$C$115:$C$3257,Input!$A$115:$A$3257,"="&amp;'Output - County'!A2234,Input!$B$115:$B$3257,"="&amp;'Output - County'!B2234)*VLOOKUP(A2234,'Output - State'!$B$2:$G$52,5,FALSE)</f>
        <v>24.143281438003413</v>
      </c>
      <c r="G2234" s="99">
        <f>SUMIFS(Input!$D$115:$D$3257,Input!$A$115:$A$3257,"="&amp;'Output - County'!A2234,Input!$B$115:$B$3257,"="&amp;'Output - County'!B2234)*VLOOKUP(A2234,'Output - State'!$B$2:$G$52,6,FALSE)</f>
        <v>1.5024943851124171</v>
      </c>
    </row>
    <row r="2235" spans="1:7" x14ac:dyDescent="0.25">
      <c r="A2235" s="88">
        <v>41</v>
      </c>
      <c r="B2235" s="88">
        <v>51</v>
      </c>
      <c r="C2235" s="97">
        <f>SUMIFS(Input!$C$115:$C$3257,Input!$A$115:$A$3257,"="&amp;'Output - County'!A2235,Input!$B$115:$B$3257,"="&amp;'Output - County'!B2235)*VLOOKUP(A2235,'Output - State'!$B$2:$G$52,2,FALSE)</f>
        <v>168.32712573707087</v>
      </c>
      <c r="D2235" s="98">
        <f>SUMIFS(Input!$C$115:$C$3257,Input!$A$115:$A$3257,"="&amp;'Output - County'!A2235,Input!$B$115:$B$3257,"="&amp;'Output - County'!B2235)*VLOOKUP(A2235,'Output - State'!$B$2:$G$52,3,FALSE)</f>
        <v>11.278826144973628</v>
      </c>
      <c r="E2235" s="98">
        <f>SUMIFS(Input!$C$115:$C$3257,Input!$A$115:$A$3257,"="&amp;'Output - County'!A2235,Input!$B$115:$B$3257,"="&amp;'Output - County'!B2235)*VLOOKUP(A2235,'Output - State'!$B$2:$G$52,4,FALSE)</f>
        <v>70.507544039681903</v>
      </c>
      <c r="F2235" s="98">
        <f>SUMIFS(Input!$C$115:$C$3257,Input!$A$115:$A$3257,"="&amp;'Output - County'!A2235,Input!$B$115:$B$3257,"="&amp;'Output - County'!B2235)*VLOOKUP(A2235,'Output - State'!$B$2:$G$52,5,FALSE)</f>
        <v>659.13870554374716</v>
      </c>
      <c r="G2235" s="99">
        <f>SUMIFS(Input!$D$115:$D$3257,Input!$A$115:$A$3257,"="&amp;'Output - County'!A2235,Input!$B$115:$B$3257,"="&amp;'Output - County'!B2235)*VLOOKUP(A2235,'Output - State'!$B$2:$G$52,6,FALSE)</f>
        <v>106.6243822417496</v>
      </c>
    </row>
    <row r="2236" spans="1:7" x14ac:dyDescent="0.25">
      <c r="A2236" s="88">
        <v>41</v>
      </c>
      <c r="B2236" s="88">
        <v>53</v>
      </c>
      <c r="C2236" s="97">
        <f>SUMIFS(Input!$C$115:$C$3257,Input!$A$115:$A$3257,"="&amp;'Output - County'!A2236,Input!$B$115:$B$3257,"="&amp;'Output - County'!B2236)*VLOOKUP(A2236,'Output - State'!$B$2:$G$52,2,FALSE)</f>
        <v>11.769453391095807</v>
      </c>
      <c r="D2236" s="98">
        <f>SUMIFS(Input!$C$115:$C$3257,Input!$A$115:$A$3257,"="&amp;'Output - County'!A2236,Input!$B$115:$B$3257,"="&amp;'Output - County'!B2236)*VLOOKUP(A2236,'Output - State'!$B$2:$G$52,3,FALSE)</f>
        <v>0.78861691505913478</v>
      </c>
      <c r="E2236" s="98">
        <f>SUMIFS(Input!$C$115:$C$3257,Input!$A$115:$A$3257,"="&amp;'Output - County'!A2236,Input!$B$115:$B$3257,"="&amp;'Output - County'!B2236)*VLOOKUP(A2236,'Output - State'!$B$2:$G$52,4,FALSE)</f>
        <v>4.9298961748558847</v>
      </c>
      <c r="F2236" s="98">
        <f>SUMIFS(Input!$C$115:$C$3257,Input!$A$115:$A$3257,"="&amp;'Output - County'!A2236,Input!$B$115:$B$3257,"="&amp;'Output - County'!B2236)*VLOOKUP(A2236,'Output - State'!$B$2:$G$52,5,FALSE)</f>
        <v>46.087059582315845</v>
      </c>
      <c r="G2236" s="99">
        <f>SUMIFS(Input!$D$115:$D$3257,Input!$A$115:$A$3257,"="&amp;'Output - County'!A2236,Input!$B$115:$B$3257,"="&amp;'Output - County'!B2236)*VLOOKUP(A2236,'Output - State'!$B$2:$G$52,6,FALSE)</f>
        <v>11.20280901180311</v>
      </c>
    </row>
    <row r="2237" spans="1:7" x14ac:dyDescent="0.25">
      <c r="A2237" s="88">
        <v>41</v>
      </c>
      <c r="B2237" s="88">
        <v>55</v>
      </c>
      <c r="C2237" s="97">
        <f>SUMIFS(Input!$C$115:$C$3257,Input!$A$115:$A$3257,"="&amp;'Output - County'!A2237,Input!$B$115:$B$3257,"="&amp;'Output - County'!B2237)*VLOOKUP(A2237,'Output - State'!$B$2:$G$52,2,FALSE)</f>
        <v>3.2734419770514416</v>
      </c>
      <c r="D2237" s="98">
        <f>SUMIFS(Input!$C$115:$C$3257,Input!$A$115:$A$3257,"="&amp;'Output - County'!A2237,Input!$B$115:$B$3257,"="&amp;'Output - County'!B2237)*VLOOKUP(A2237,'Output - State'!$B$2:$G$52,3,FALSE)</f>
        <v>0.2193382842673402</v>
      </c>
      <c r="E2237" s="98">
        <f>SUMIFS(Input!$C$115:$C$3257,Input!$A$115:$A$3257,"="&amp;'Output - County'!A2237,Input!$B$115:$B$3257,"="&amp;'Output - County'!B2237)*VLOOKUP(A2237,'Output - State'!$B$2:$G$52,4,FALSE)</f>
        <v>1.3711536589700593</v>
      </c>
      <c r="F2237" s="98">
        <f>SUMIFS(Input!$C$115:$C$3257,Input!$A$115:$A$3257,"="&amp;'Output - County'!A2237,Input!$B$115:$B$3257,"="&amp;'Output - County'!B2237)*VLOOKUP(A2237,'Output - State'!$B$2:$G$52,5,FALSE)</f>
        <v>12.818209174417511</v>
      </c>
      <c r="G2237" s="99">
        <f>SUMIFS(Input!$D$115:$D$3257,Input!$A$115:$A$3257,"="&amp;'Output - County'!A2237,Input!$B$115:$B$3257,"="&amp;'Output - County'!B2237)*VLOOKUP(A2237,'Output - State'!$B$2:$G$52,6,FALSE)</f>
        <v>0.22405618023606219</v>
      </c>
    </row>
    <row r="2238" spans="1:7" x14ac:dyDescent="0.25">
      <c r="A2238" s="88">
        <v>41</v>
      </c>
      <c r="B2238" s="88">
        <v>57</v>
      </c>
      <c r="C2238" s="97">
        <f>SUMIFS(Input!$C$115:$C$3257,Input!$A$115:$A$3257,"="&amp;'Output - County'!A2238,Input!$B$115:$B$3257,"="&amp;'Output - County'!B2238)*VLOOKUP(A2238,'Output - State'!$B$2:$G$52,2,FALSE)</f>
        <v>5.5006406881577901</v>
      </c>
      <c r="D2238" s="98">
        <f>SUMIFS(Input!$C$115:$C$3257,Input!$A$115:$A$3257,"="&amp;'Output - County'!A2238,Input!$B$115:$B$3257,"="&amp;'Output - County'!B2238)*VLOOKUP(A2238,'Output - State'!$B$2:$G$52,3,FALSE)</f>
        <v>0.36857262153105552</v>
      </c>
      <c r="E2238" s="98">
        <f>SUMIFS(Input!$C$115:$C$3257,Input!$A$115:$A$3257,"="&amp;'Output - County'!A2238,Input!$B$115:$B$3257,"="&amp;'Output - County'!B2238)*VLOOKUP(A2238,'Output - State'!$B$2:$G$52,4,FALSE)</f>
        <v>2.3040651580575164</v>
      </c>
      <c r="F2238" s="98">
        <f>SUMIFS(Input!$C$115:$C$3257,Input!$A$115:$A$3257,"="&amp;'Output - County'!A2238,Input!$B$115:$B$3257,"="&amp;'Output - County'!B2238)*VLOOKUP(A2238,'Output - State'!$B$2:$G$52,5,FALSE)</f>
        <v>21.539518167243937</v>
      </c>
      <c r="G2238" s="99">
        <f>SUMIFS(Input!$D$115:$D$3257,Input!$A$115:$A$3257,"="&amp;'Output - County'!A2238,Input!$B$115:$B$3257,"="&amp;'Output - County'!B2238)*VLOOKUP(A2238,'Output - State'!$B$2:$G$52,6,FALSE)</f>
        <v>3.5190000072369774</v>
      </c>
    </row>
    <row r="2239" spans="1:7" x14ac:dyDescent="0.25">
      <c r="A2239" s="88">
        <v>41</v>
      </c>
      <c r="B2239" s="88">
        <v>59</v>
      </c>
      <c r="C2239" s="97">
        <f>SUMIFS(Input!$C$115:$C$3257,Input!$A$115:$A$3257,"="&amp;'Output - County'!A2239,Input!$B$115:$B$3257,"="&amp;'Output - County'!B2239)*VLOOKUP(A2239,'Output - State'!$B$2:$G$52,2,FALSE)</f>
        <v>23.440147897709391</v>
      </c>
      <c r="D2239" s="98">
        <f>SUMIFS(Input!$C$115:$C$3257,Input!$A$115:$A$3257,"="&amp;'Output - County'!A2239,Input!$B$115:$B$3257,"="&amp;'Output - County'!B2239)*VLOOKUP(A2239,'Output - State'!$B$2:$G$52,3,FALSE)</f>
        <v>1.5706164517042496</v>
      </c>
      <c r="E2239" s="98">
        <f>SUMIFS(Input!$C$115:$C$3257,Input!$A$115:$A$3257,"="&amp;'Output - County'!A2239,Input!$B$115:$B$3257,"="&amp;'Output - County'!B2239)*VLOOKUP(A2239,'Output - State'!$B$2:$G$52,4,FALSE)</f>
        <v>9.818425004036202</v>
      </c>
      <c r="F2239" s="98">
        <f>SUMIFS(Input!$C$115:$C$3257,Input!$A$115:$A$3257,"="&amp;'Output - County'!A2239,Input!$B$115:$B$3257,"="&amp;'Output - County'!B2239)*VLOOKUP(A2239,'Output - State'!$B$2:$G$52,5,FALSE)</f>
        <v>91.787397161309201</v>
      </c>
      <c r="G2239" s="99">
        <f>SUMIFS(Input!$D$115:$D$3257,Input!$A$115:$A$3257,"="&amp;'Output - County'!A2239,Input!$B$115:$B$3257,"="&amp;'Output - County'!B2239)*VLOOKUP(A2239,'Output - State'!$B$2:$G$52,6,FALSE)</f>
        <v>10.201146088394832</v>
      </c>
    </row>
    <row r="2240" spans="1:7" x14ac:dyDescent="0.25">
      <c r="A2240" s="88">
        <v>41</v>
      </c>
      <c r="B2240" s="88">
        <v>61</v>
      </c>
      <c r="C2240" s="97">
        <f>SUMIFS(Input!$C$115:$C$3257,Input!$A$115:$A$3257,"="&amp;'Output - County'!A2240,Input!$B$115:$B$3257,"="&amp;'Output - County'!B2240)*VLOOKUP(A2240,'Output - State'!$B$2:$G$52,2,FALSE)</f>
        <v>8.7762428165185522</v>
      </c>
      <c r="D2240" s="98">
        <f>SUMIFS(Input!$C$115:$C$3257,Input!$A$115:$A$3257,"="&amp;'Output - County'!A2240,Input!$B$115:$B$3257,"="&amp;'Output - County'!B2240)*VLOOKUP(A2240,'Output - State'!$B$2:$G$52,3,FALSE)</f>
        <v>0.58805564759778173</v>
      </c>
      <c r="E2240" s="98">
        <f>SUMIFS(Input!$C$115:$C$3257,Input!$A$115:$A$3257,"="&amp;'Output - County'!A2240,Input!$B$115:$B$3257,"="&amp;'Output - County'!B2240)*VLOOKUP(A2240,'Output - State'!$B$2:$G$52,4,FALSE)</f>
        <v>3.6761236442377316</v>
      </c>
      <c r="F2240" s="98">
        <f>SUMIFS(Input!$C$115:$C$3257,Input!$A$115:$A$3257,"="&amp;'Output - County'!A2240,Input!$B$115:$B$3257,"="&amp;'Output - County'!B2240)*VLOOKUP(A2240,'Output - State'!$B$2:$G$52,5,FALSE)</f>
        <v>34.366186105105363</v>
      </c>
      <c r="G2240" s="99">
        <f>SUMIFS(Input!$D$115:$D$3257,Input!$A$115:$A$3257,"="&amp;'Output - County'!A2240,Input!$B$115:$B$3257,"="&amp;'Output - County'!B2240)*VLOOKUP(A2240,'Output - State'!$B$2:$G$52,6,FALSE)</f>
        <v>3.5190000072369774</v>
      </c>
    </row>
    <row r="2241" spans="1:7" x14ac:dyDescent="0.25">
      <c r="A2241" s="88">
        <v>41</v>
      </c>
      <c r="B2241" s="88">
        <v>63</v>
      </c>
      <c r="C2241" s="97">
        <f>SUMIFS(Input!$C$115:$C$3257,Input!$A$115:$A$3257,"="&amp;'Output - County'!A2241,Input!$B$115:$B$3257,"="&amp;'Output - County'!B2241)*VLOOKUP(A2241,'Output - State'!$B$2:$G$52,2,FALSE)</f>
        <v>0.85699314064955934</v>
      </c>
      <c r="D2241" s="98">
        <f>SUMIFS(Input!$C$115:$C$3257,Input!$A$115:$A$3257,"="&amp;'Output - County'!A2241,Input!$B$115:$B$3257,"="&amp;'Output - County'!B2241)*VLOOKUP(A2241,'Output - State'!$B$2:$G$52,3,FALSE)</f>
        <v>5.742316693460052E-2</v>
      </c>
      <c r="E2241" s="98">
        <f>SUMIFS(Input!$C$115:$C$3257,Input!$A$115:$A$3257,"="&amp;'Output - County'!A2241,Input!$B$115:$B$3257,"="&amp;'Output - County'!B2241)*VLOOKUP(A2241,'Output - State'!$B$2:$G$52,4,FALSE)</f>
        <v>0.35897055416034335</v>
      </c>
      <c r="F2241" s="98">
        <f>SUMIFS(Input!$C$115:$C$3257,Input!$A$115:$A$3257,"="&amp;'Output - County'!A2241,Input!$B$115:$B$3257,"="&amp;'Output - County'!B2241)*VLOOKUP(A2241,'Output - State'!$B$2:$G$52,5,FALSE)</f>
        <v>3.3558307783973373</v>
      </c>
      <c r="G2241" s="99">
        <f>SUMIFS(Input!$D$115:$D$3257,Input!$A$115:$A$3257,"="&amp;'Output - County'!A2241,Input!$B$115:$B$3257,"="&amp;'Output - County'!B2241)*VLOOKUP(A2241,'Output - State'!$B$2:$G$52,6,FALSE)</f>
        <v>0.93049213674505826</v>
      </c>
    </row>
    <row r="2242" spans="1:7" x14ac:dyDescent="0.25">
      <c r="A2242" s="88">
        <v>41</v>
      </c>
      <c r="B2242" s="88">
        <v>65</v>
      </c>
      <c r="C2242" s="97">
        <f>SUMIFS(Input!$C$115:$C$3257,Input!$A$115:$A$3257,"="&amp;'Output - County'!A2242,Input!$B$115:$B$3257,"="&amp;'Output - County'!B2242)*VLOOKUP(A2242,'Output - State'!$B$2:$G$52,2,FALSE)</f>
        <v>12.224681604973021</v>
      </c>
      <c r="D2242" s="98">
        <f>SUMIFS(Input!$C$115:$C$3257,Input!$A$115:$A$3257,"="&amp;'Output - County'!A2242,Input!$B$115:$B$3257,"="&amp;'Output - County'!B2242)*VLOOKUP(A2242,'Output - State'!$B$2:$G$52,3,FALSE)</f>
        <v>0.81911966295627425</v>
      </c>
      <c r="E2242" s="98">
        <f>SUMIFS(Input!$C$115:$C$3257,Input!$A$115:$A$3257,"="&amp;'Output - County'!A2242,Input!$B$115:$B$3257,"="&amp;'Output - County'!B2242)*VLOOKUP(A2242,'Output - State'!$B$2:$G$52,4,FALSE)</f>
        <v>5.1205785927817358</v>
      </c>
      <c r="F2242" s="98">
        <f>SUMIFS(Input!$C$115:$C$3257,Input!$A$115:$A$3257,"="&amp;'Output - County'!A2242,Input!$B$115:$B$3257,"="&amp;'Output - County'!B2242)*VLOOKUP(A2242,'Output - State'!$B$2:$G$52,5,FALSE)</f>
        <v>47.869651272800205</v>
      </c>
      <c r="G2242" s="99">
        <f>SUMIFS(Input!$D$115:$D$3257,Input!$A$115:$A$3257,"="&amp;'Output - County'!A2242,Input!$B$115:$B$3257,"="&amp;'Output - County'!B2242)*VLOOKUP(A2242,'Output - State'!$B$2:$G$52,6,FALSE)</f>
        <v>3.4794606813129665</v>
      </c>
    </row>
    <row r="2243" spans="1:7" x14ac:dyDescent="0.25">
      <c r="A2243" s="88">
        <v>41</v>
      </c>
      <c r="B2243" s="88">
        <v>67</v>
      </c>
      <c r="C2243" s="97">
        <f>SUMIFS(Input!$C$115:$C$3257,Input!$A$115:$A$3257,"="&amp;'Output - County'!A2243,Input!$B$115:$B$3257,"="&amp;'Output - County'!B2243)*VLOOKUP(A2243,'Output - State'!$B$2:$G$52,2,FALSE)</f>
        <v>101.94632727615941</v>
      </c>
      <c r="D2243" s="98">
        <f>SUMIFS(Input!$C$115:$C$3257,Input!$A$115:$A$3257,"="&amp;'Output - County'!A2243,Input!$B$115:$B$3257,"="&amp;'Output - County'!B2243)*VLOOKUP(A2243,'Output - State'!$B$2:$G$52,3,FALSE)</f>
        <v>6.8309542887486936</v>
      </c>
      <c r="E2243" s="98">
        <f>SUMIFS(Input!$C$115:$C$3257,Input!$A$115:$A$3257,"="&amp;'Output - County'!A2243,Input!$B$115:$B$3257,"="&amp;'Output - County'!B2243)*VLOOKUP(A2243,'Output - State'!$B$2:$G$52,4,FALSE)</f>
        <v>42.702476672330043</v>
      </c>
      <c r="F2243" s="98">
        <f>SUMIFS(Input!$C$115:$C$3257,Input!$A$115:$A$3257,"="&amp;'Output - County'!A2243,Input!$B$115:$B$3257,"="&amp;'Output - County'!B2243)*VLOOKUP(A2243,'Output - State'!$B$2:$G$52,5,FALSE)</f>
        <v>399.20345518588096</v>
      </c>
      <c r="G2243" s="99">
        <f>SUMIFS(Input!$D$115:$D$3257,Input!$A$115:$A$3257,"="&amp;'Output - County'!A2243,Input!$B$115:$B$3257,"="&amp;'Output - County'!B2243)*VLOOKUP(A2243,'Output - State'!$B$2:$G$52,6,FALSE)</f>
        <v>78.68325858878184</v>
      </c>
    </row>
    <row r="2244" spans="1:7" x14ac:dyDescent="0.25">
      <c r="A2244" s="88">
        <v>41</v>
      </c>
      <c r="B2244" s="88">
        <v>69</v>
      </c>
      <c r="C2244" s="97">
        <f>SUMIFS(Input!$C$115:$C$3257,Input!$A$115:$A$3257,"="&amp;'Output - County'!A2244,Input!$B$115:$B$3257,"="&amp;'Output - County'!B2244)*VLOOKUP(A2244,'Output - State'!$B$2:$G$52,2,FALSE)</f>
        <v>0.30928618396644292</v>
      </c>
      <c r="D2244" s="98">
        <f>SUMIFS(Input!$C$115:$C$3257,Input!$A$115:$A$3257,"="&amp;'Output - County'!A2244,Input!$B$115:$B$3257,"="&amp;'Output - County'!B2244)*VLOOKUP(A2244,'Output - State'!$B$2:$G$52,3,FALSE)</f>
        <v>2.0723844019345652E-2</v>
      </c>
      <c r="E2244" s="98">
        <f>SUMIFS(Input!$C$115:$C$3257,Input!$A$115:$A$3257,"="&amp;'Output - County'!A2244,Input!$B$115:$B$3257,"="&amp;'Output - County'!B2244)*VLOOKUP(A2244,'Output - State'!$B$2:$G$52,4,FALSE)</f>
        <v>0.12955136696709219</v>
      </c>
      <c r="F2244" s="98">
        <f>SUMIFS(Input!$C$115:$C$3257,Input!$A$115:$A$3257,"="&amp;'Output - County'!A2244,Input!$B$115:$B$3257,"="&amp;'Output - County'!B2244)*VLOOKUP(A2244,'Output - State'!$B$2:$G$52,5,FALSE)</f>
        <v>1.2111089882247634</v>
      </c>
      <c r="G2244" s="99">
        <f>SUMIFS(Input!$D$115:$D$3257,Input!$A$115:$A$3257,"="&amp;'Output - County'!A2244,Input!$B$115:$B$3257,"="&amp;'Output - County'!B2244)*VLOOKUP(A2244,'Output - State'!$B$2:$G$52,6,FALSE)</f>
        <v>0.17792696665804941</v>
      </c>
    </row>
    <row r="2245" spans="1:7" x14ac:dyDescent="0.25">
      <c r="A2245" s="88">
        <v>41</v>
      </c>
      <c r="B2245" s="88">
        <v>71</v>
      </c>
      <c r="C2245" s="97">
        <f>SUMIFS(Input!$C$115:$C$3257,Input!$A$115:$A$3257,"="&amp;'Output - County'!A2245,Input!$B$115:$B$3257,"="&amp;'Output - County'!B2245)*VLOOKUP(A2245,'Output - State'!$B$2:$G$52,2,FALSE)</f>
        <v>14.407108070362861</v>
      </c>
      <c r="D2245" s="98">
        <f>SUMIFS(Input!$C$115:$C$3257,Input!$A$115:$A$3257,"="&amp;'Output - County'!A2245,Input!$B$115:$B$3257,"="&amp;'Output - County'!B2245)*VLOOKUP(A2245,'Output - State'!$B$2:$G$52,3,FALSE)</f>
        <v>0.96535401805225907</v>
      </c>
      <c r="E2245" s="98">
        <f>SUMIFS(Input!$C$115:$C$3257,Input!$A$115:$A$3257,"="&amp;'Output - County'!A2245,Input!$B$115:$B$3257,"="&amp;'Output - County'!B2245)*VLOOKUP(A2245,'Output - State'!$B$2:$G$52,4,FALSE)</f>
        <v>6.0347362453171929</v>
      </c>
      <c r="F2245" s="98">
        <f>SUMIFS(Input!$C$115:$C$3257,Input!$A$115:$A$3257,"="&amp;'Output - County'!A2245,Input!$B$115:$B$3257,"="&amp;'Output - County'!B2245)*VLOOKUP(A2245,'Output - State'!$B$2:$G$52,5,FALSE)</f>
        <v>56.415640215714042</v>
      </c>
      <c r="G2245" s="99">
        <f>SUMIFS(Input!$D$115:$D$3257,Input!$A$115:$A$3257,"="&amp;'Output - County'!A2245,Input!$B$115:$B$3257,"="&amp;'Output - County'!B2245)*VLOOKUP(A2245,'Output - State'!$B$2:$G$52,6,FALSE)</f>
        <v>13.970561826483879</v>
      </c>
    </row>
    <row r="2246" spans="1:7" x14ac:dyDescent="0.25">
      <c r="A2246" s="88">
        <v>42</v>
      </c>
      <c r="B2246" s="88">
        <v>1</v>
      </c>
      <c r="C2246" s="97">
        <f>SUMIFS(Input!$C$115:$C$3257,Input!$A$115:$A$3257,"="&amp;'Output - County'!A2246,Input!$B$115:$B$3257,"="&amp;'Output - County'!B2246)*VLOOKUP(A2246,'Output - State'!$B$2:$G$52,2,FALSE)</f>
        <v>18.243605195931078</v>
      </c>
      <c r="D2246" s="98">
        <f>SUMIFS(Input!$C$115:$C$3257,Input!$A$115:$A$3257,"="&amp;'Output - County'!A2246,Input!$B$115:$B$3257,"="&amp;'Output - County'!B2246)*VLOOKUP(A2246,'Output - State'!$B$2:$G$52,3,FALSE)</f>
        <v>8.6684592795330033</v>
      </c>
      <c r="E2246" s="98">
        <f>SUMIFS(Input!$C$115:$C$3257,Input!$A$115:$A$3257,"="&amp;'Output - County'!A2246,Input!$B$115:$B$3257,"="&amp;'Output - County'!B2246)*VLOOKUP(A2246,'Output - State'!$B$2:$G$52,4,FALSE)</f>
        <v>0.78604946190878089</v>
      </c>
      <c r="F2246" s="98">
        <f>SUMIFS(Input!$C$115:$C$3257,Input!$A$115:$A$3257,"="&amp;'Output - County'!A2246,Input!$B$115:$B$3257,"="&amp;'Output - County'!B2246)*VLOOKUP(A2246,'Output - State'!$B$2:$G$52,5,FALSE)</f>
        <v>49.087470044377326</v>
      </c>
      <c r="G2246" s="99">
        <f>SUMIFS(Input!$D$115:$D$3257,Input!$A$115:$A$3257,"="&amp;'Output - County'!A2246,Input!$B$115:$B$3257,"="&amp;'Output - County'!B2246)*VLOOKUP(A2246,'Output - State'!$B$2:$G$52,6,FALSE)</f>
        <v>17.463018225373663</v>
      </c>
    </row>
    <row r="2247" spans="1:7" x14ac:dyDescent="0.25">
      <c r="A2247" s="88">
        <v>42</v>
      </c>
      <c r="B2247" s="88">
        <v>3</v>
      </c>
      <c r="C2247" s="97">
        <f>SUMIFS(Input!$C$115:$C$3257,Input!$A$115:$A$3257,"="&amp;'Output - County'!A2247,Input!$B$115:$B$3257,"="&amp;'Output - County'!B2247)*VLOOKUP(A2247,'Output - State'!$B$2:$G$52,2,FALSE)</f>
        <v>182.28161621779245</v>
      </c>
      <c r="D2247" s="98">
        <f>SUMIFS(Input!$C$115:$C$3257,Input!$A$115:$A$3257,"="&amp;'Output - County'!A2247,Input!$B$115:$B$3257,"="&amp;'Output - County'!B2247)*VLOOKUP(A2247,'Output - State'!$B$2:$G$52,3,FALSE)</f>
        <v>86.611212565804209</v>
      </c>
      <c r="E2247" s="98">
        <f>SUMIFS(Input!$C$115:$C$3257,Input!$A$115:$A$3257,"="&amp;'Output - County'!A2247,Input!$B$115:$B$3257,"="&amp;'Output - County'!B2247)*VLOOKUP(A2247,'Output - State'!$B$2:$G$52,4,FALSE)</f>
        <v>7.8538405542680421</v>
      </c>
      <c r="F2247" s="98">
        <f>SUMIFS(Input!$C$115:$C$3257,Input!$A$115:$A$3257,"="&amp;'Output - County'!A2247,Input!$B$115:$B$3257,"="&amp;'Output - County'!B2247)*VLOOKUP(A2247,'Output - State'!$B$2:$G$52,5,FALSE)</f>
        <v>490.45916526012149</v>
      </c>
      <c r="G2247" s="99">
        <f>SUMIFS(Input!$D$115:$D$3257,Input!$A$115:$A$3257,"="&amp;'Output - County'!A2247,Input!$B$115:$B$3257,"="&amp;'Output - County'!B2247)*VLOOKUP(A2247,'Output - State'!$B$2:$G$52,6,FALSE)</f>
        <v>206.84351684423171</v>
      </c>
    </row>
    <row r="2248" spans="1:7" x14ac:dyDescent="0.25">
      <c r="A2248" s="88">
        <v>42</v>
      </c>
      <c r="B2248" s="88">
        <v>5</v>
      </c>
      <c r="C2248" s="97">
        <f>SUMIFS(Input!$C$115:$C$3257,Input!$A$115:$A$3257,"="&amp;'Output - County'!A2248,Input!$B$115:$B$3257,"="&amp;'Output - County'!B2248)*VLOOKUP(A2248,'Output - State'!$B$2:$G$52,2,FALSE)</f>
        <v>11.647906106371796</v>
      </c>
      <c r="D2248" s="98">
        <f>SUMIFS(Input!$C$115:$C$3257,Input!$A$115:$A$3257,"="&amp;'Output - County'!A2248,Input!$B$115:$B$3257,"="&amp;'Output - County'!B2248)*VLOOKUP(A2248,'Output - State'!$B$2:$G$52,3,FALSE)</f>
        <v>5.5345091439178491</v>
      </c>
      <c r="E2248" s="98">
        <f>SUMIFS(Input!$C$115:$C$3257,Input!$A$115:$A$3257,"="&amp;'Output - County'!A2248,Input!$B$115:$B$3257,"="&amp;'Output - County'!B2248)*VLOOKUP(A2248,'Output - State'!$B$2:$G$52,4,FALSE)</f>
        <v>0.50186518667481372</v>
      </c>
      <c r="F2248" s="98">
        <f>SUMIFS(Input!$C$115:$C$3257,Input!$A$115:$A$3257,"="&amp;'Output - County'!A2248,Input!$B$115:$B$3257,"="&amp;'Output - County'!B2248)*VLOOKUP(A2248,'Output - State'!$B$2:$G$52,5,FALSE)</f>
        <v>31.340638866914741</v>
      </c>
      <c r="G2248" s="99">
        <f>SUMIFS(Input!$D$115:$D$3257,Input!$A$115:$A$3257,"="&amp;'Output - County'!A2248,Input!$B$115:$B$3257,"="&amp;'Output - County'!B2248)*VLOOKUP(A2248,'Output - State'!$B$2:$G$52,6,FALSE)</f>
        <v>11.088168853780946</v>
      </c>
    </row>
    <row r="2249" spans="1:7" x14ac:dyDescent="0.25">
      <c r="A2249" s="88">
        <v>42</v>
      </c>
      <c r="B2249" s="88">
        <v>7</v>
      </c>
      <c r="C2249" s="97">
        <f>SUMIFS(Input!$C$115:$C$3257,Input!$A$115:$A$3257,"="&amp;'Output - County'!A2249,Input!$B$115:$B$3257,"="&amp;'Output - County'!B2249)*VLOOKUP(A2249,'Output - State'!$B$2:$G$52,2,FALSE)</f>
        <v>27.500020854539777</v>
      </c>
      <c r="D2249" s="98">
        <f>SUMIFS(Input!$C$115:$C$3257,Input!$A$115:$A$3257,"="&amp;'Output - County'!A2249,Input!$B$115:$B$3257,"="&amp;'Output - County'!B2249)*VLOOKUP(A2249,'Output - State'!$B$2:$G$52,3,FALSE)</f>
        <v>13.066650390847839</v>
      </c>
      <c r="E2249" s="98">
        <f>SUMIFS(Input!$C$115:$C$3257,Input!$A$115:$A$3257,"="&amp;'Output - County'!A2249,Input!$B$115:$B$3257,"="&amp;'Output - County'!B2249)*VLOOKUP(A2249,'Output - State'!$B$2:$G$52,4,FALSE)</f>
        <v>1.1848741716912623</v>
      </c>
      <c r="F2249" s="98">
        <f>SUMIFS(Input!$C$115:$C$3257,Input!$A$115:$A$3257,"="&amp;'Output - County'!A2249,Input!$B$115:$B$3257,"="&amp;'Output - County'!B2249)*VLOOKUP(A2249,'Output - State'!$B$2:$G$52,5,FALSE)</f>
        <v>73.993404013042692</v>
      </c>
      <c r="G2249" s="99">
        <f>SUMIFS(Input!$D$115:$D$3257,Input!$A$115:$A$3257,"="&amp;'Output - County'!A2249,Input!$B$115:$B$3257,"="&amp;'Output - County'!B2249)*VLOOKUP(A2249,'Output - State'!$B$2:$G$52,6,FALSE)</f>
        <v>27.974737933851006</v>
      </c>
    </row>
    <row r="2250" spans="1:7" x14ac:dyDescent="0.25">
      <c r="A2250" s="88">
        <v>42</v>
      </c>
      <c r="B2250" s="88">
        <v>9</v>
      </c>
      <c r="C2250" s="97">
        <f>SUMIFS(Input!$C$115:$C$3257,Input!$A$115:$A$3257,"="&amp;'Output - County'!A2250,Input!$B$115:$B$3257,"="&amp;'Output - County'!B2250)*VLOOKUP(A2250,'Output - State'!$B$2:$G$52,2,FALSE)</f>
        <v>19.318776942371997</v>
      </c>
      <c r="D2250" s="98">
        <f>SUMIFS(Input!$C$115:$C$3257,Input!$A$115:$A$3257,"="&amp;'Output - County'!A2250,Input!$B$115:$B$3257,"="&amp;'Output - County'!B2250)*VLOOKUP(A2250,'Output - State'!$B$2:$G$52,3,FALSE)</f>
        <v>9.1793277401487927</v>
      </c>
      <c r="E2250" s="98">
        <f>SUMIFS(Input!$C$115:$C$3257,Input!$A$115:$A$3257,"="&amp;'Output - County'!A2250,Input!$B$115:$B$3257,"="&amp;'Output - County'!B2250)*VLOOKUP(A2250,'Output - State'!$B$2:$G$52,4,FALSE)</f>
        <v>0.83237463523241229</v>
      </c>
      <c r="F2250" s="98">
        <f>SUMIFS(Input!$C$115:$C$3257,Input!$A$115:$A$3257,"="&amp;'Output - County'!A2250,Input!$B$115:$B$3257,"="&amp;'Output - County'!B2250)*VLOOKUP(A2250,'Output - State'!$B$2:$G$52,5,FALSE)</f>
        <v>51.980399392999203</v>
      </c>
      <c r="G2250" s="99">
        <f>SUMIFS(Input!$D$115:$D$3257,Input!$A$115:$A$3257,"="&amp;'Output - County'!A2250,Input!$B$115:$B$3257,"="&amp;'Output - County'!B2250)*VLOOKUP(A2250,'Output - State'!$B$2:$G$52,6,FALSE)</f>
        <v>8.1550599673832345</v>
      </c>
    </row>
    <row r="2251" spans="1:7" x14ac:dyDescent="0.25">
      <c r="A2251" s="88">
        <v>42</v>
      </c>
      <c r="B2251" s="88">
        <v>11</v>
      </c>
      <c r="C2251" s="97">
        <f>SUMIFS(Input!$C$115:$C$3257,Input!$A$115:$A$3257,"="&amp;'Output - County'!A2251,Input!$B$115:$B$3257,"="&amp;'Output - County'!B2251)*VLOOKUP(A2251,'Output - State'!$B$2:$G$52,2,FALSE)</f>
        <v>72.75260731330053</v>
      </c>
      <c r="D2251" s="98">
        <f>SUMIFS(Input!$C$115:$C$3257,Input!$A$115:$A$3257,"="&amp;'Output - County'!A2251,Input!$B$115:$B$3257,"="&amp;'Output - County'!B2251)*VLOOKUP(A2251,'Output - State'!$B$2:$G$52,3,FALSE)</f>
        <v>34.568442322784811</v>
      </c>
      <c r="E2251" s="98">
        <f>SUMIFS(Input!$C$115:$C$3257,Input!$A$115:$A$3257,"="&amp;'Output - County'!A2251,Input!$B$115:$B$3257,"="&amp;'Output - County'!B2251)*VLOOKUP(A2251,'Output - State'!$B$2:$G$52,4,FALSE)</f>
        <v>3.1346407257177069</v>
      </c>
      <c r="F2251" s="98">
        <f>SUMIFS(Input!$C$115:$C$3257,Input!$A$115:$A$3257,"="&amp;'Output - County'!A2251,Input!$B$115:$B$3257,"="&amp;'Output - County'!B2251)*VLOOKUP(A2251,'Output - State'!$B$2:$G$52,5,FALSE)</f>
        <v>195.75305394892513</v>
      </c>
      <c r="G2251" s="99">
        <f>SUMIFS(Input!$D$115:$D$3257,Input!$A$115:$A$3257,"="&amp;'Output - County'!A2251,Input!$B$115:$B$3257,"="&amp;'Output - County'!B2251)*VLOOKUP(A2251,'Output - State'!$B$2:$G$52,6,FALSE)</f>
        <v>71.377967697886518</v>
      </c>
    </row>
    <row r="2252" spans="1:7" x14ac:dyDescent="0.25">
      <c r="A2252" s="88">
        <v>42</v>
      </c>
      <c r="B2252" s="88">
        <v>13</v>
      </c>
      <c r="C2252" s="97">
        <f>SUMIFS(Input!$C$115:$C$3257,Input!$A$115:$A$3257,"="&amp;'Output - County'!A2252,Input!$B$115:$B$3257,"="&amp;'Output - County'!B2252)*VLOOKUP(A2252,'Output - State'!$B$2:$G$52,2,FALSE)</f>
        <v>21.723624030593548</v>
      </c>
      <c r="D2252" s="98">
        <f>SUMIFS(Input!$C$115:$C$3257,Input!$A$115:$A$3257,"="&amp;'Output - County'!A2252,Input!$B$115:$B$3257,"="&amp;'Output - County'!B2252)*VLOOKUP(A2252,'Output - State'!$B$2:$G$52,3,FALSE)</f>
        <v>10.321992187985092</v>
      </c>
      <c r="E2252" s="98">
        <f>SUMIFS(Input!$C$115:$C$3257,Input!$A$115:$A$3257,"="&amp;'Output - County'!A2252,Input!$B$115:$B$3257,"="&amp;'Output - County'!B2252)*VLOOKUP(A2252,'Output - State'!$B$2:$G$52,4,FALSE)</f>
        <v>0.9359906003537718</v>
      </c>
      <c r="F2252" s="98">
        <f>SUMIFS(Input!$C$115:$C$3257,Input!$A$115:$A$3257,"="&amp;'Output - County'!A2252,Input!$B$115:$B$3257,"="&amp;'Output - County'!B2252)*VLOOKUP(A2252,'Output - State'!$B$2:$G$52,5,FALSE)</f>
        <v>58.451042565583968</v>
      </c>
      <c r="G2252" s="99">
        <f>SUMIFS(Input!$D$115:$D$3257,Input!$A$115:$A$3257,"="&amp;'Output - County'!A2252,Input!$B$115:$B$3257,"="&amp;'Output - County'!B2252)*VLOOKUP(A2252,'Output - State'!$B$2:$G$52,6,FALSE)</f>
        <v>20.853895550688932</v>
      </c>
    </row>
    <row r="2253" spans="1:7" x14ac:dyDescent="0.25">
      <c r="A2253" s="88">
        <v>42</v>
      </c>
      <c r="B2253" s="88">
        <v>15</v>
      </c>
      <c r="C2253" s="97">
        <f>SUMIFS(Input!$C$115:$C$3257,Input!$A$115:$A$3257,"="&amp;'Output - County'!A2253,Input!$B$115:$B$3257,"="&amp;'Output - County'!B2253)*VLOOKUP(A2253,'Output - State'!$B$2:$G$52,2,FALSE)</f>
        <v>9.6776415673754581</v>
      </c>
      <c r="D2253" s="98">
        <f>SUMIFS(Input!$C$115:$C$3257,Input!$A$115:$A$3257,"="&amp;'Output - County'!A2253,Input!$B$115:$B$3257,"="&amp;'Output - County'!B2253)*VLOOKUP(A2253,'Output - State'!$B$2:$G$52,3,FALSE)</f>
        <v>4.5983368390048476</v>
      </c>
      <c r="E2253" s="98">
        <f>SUMIFS(Input!$C$115:$C$3257,Input!$A$115:$A$3257,"="&amp;'Output - County'!A2253,Input!$B$115:$B$3257,"="&amp;'Output - County'!B2253)*VLOOKUP(A2253,'Output - State'!$B$2:$G$52,4,FALSE)</f>
        <v>0.41697377600991736</v>
      </c>
      <c r="F2253" s="98">
        <f>SUMIFS(Input!$C$115:$C$3257,Input!$A$115:$A$3257,"="&amp;'Output - County'!A2253,Input!$B$115:$B$3257,"="&amp;'Output - County'!B2253)*VLOOKUP(A2253,'Output - State'!$B$2:$G$52,5,FALSE)</f>
        <v>26.039312703648928</v>
      </c>
      <c r="G2253" s="99">
        <f>SUMIFS(Input!$D$115:$D$3257,Input!$A$115:$A$3257,"="&amp;'Output - County'!A2253,Input!$B$115:$B$3257,"="&amp;'Output - County'!B2253)*VLOOKUP(A2253,'Output - State'!$B$2:$G$52,6,FALSE)</f>
        <v>10.308267068958433</v>
      </c>
    </row>
    <row r="2254" spans="1:7" x14ac:dyDescent="0.25">
      <c r="A2254" s="88">
        <v>42</v>
      </c>
      <c r="B2254" s="88">
        <v>17</v>
      </c>
      <c r="C2254" s="97">
        <f>SUMIFS(Input!$C$115:$C$3257,Input!$A$115:$A$3257,"="&amp;'Output - County'!A2254,Input!$B$115:$B$3257,"="&amp;'Output - County'!B2254)*VLOOKUP(A2254,'Output - State'!$B$2:$G$52,2,FALSE)</f>
        <v>103.20872686003371</v>
      </c>
      <c r="D2254" s="98">
        <f>SUMIFS(Input!$C$115:$C$3257,Input!$A$115:$A$3257,"="&amp;'Output - County'!A2254,Input!$B$115:$B$3257,"="&amp;'Output - County'!B2254)*VLOOKUP(A2254,'Output - State'!$B$2:$G$52,3,FALSE)</f>
        <v>49.039684671436824</v>
      </c>
      <c r="E2254" s="98">
        <f>SUMIFS(Input!$C$115:$C$3257,Input!$A$115:$A$3257,"="&amp;'Output - County'!A2254,Input!$B$115:$B$3257,"="&amp;'Output - County'!B2254)*VLOOKUP(A2254,'Output - State'!$B$2:$G$52,4,FALSE)</f>
        <v>4.4468822549785196</v>
      </c>
      <c r="F2254" s="98">
        <f>SUMIFS(Input!$C$115:$C$3257,Input!$A$115:$A$3257,"="&amp;'Output - County'!A2254,Input!$B$115:$B$3257,"="&amp;'Output - County'!B2254)*VLOOKUP(A2254,'Output - State'!$B$2:$G$52,5,FALSE)</f>
        <v>277.70033574231081</v>
      </c>
      <c r="G2254" s="99">
        <f>SUMIFS(Input!$D$115:$D$3257,Input!$A$115:$A$3257,"="&amp;'Output - County'!A2254,Input!$B$115:$B$3257,"="&amp;'Output - County'!B2254)*VLOOKUP(A2254,'Output - State'!$B$2:$G$52,6,FALSE)</f>
        <v>106.47354801489961</v>
      </c>
    </row>
    <row r="2255" spans="1:7" x14ac:dyDescent="0.25">
      <c r="A2255" s="88">
        <v>42</v>
      </c>
      <c r="B2255" s="88">
        <v>19</v>
      </c>
      <c r="C2255" s="97">
        <f>SUMIFS(Input!$C$115:$C$3257,Input!$A$115:$A$3257,"="&amp;'Output - County'!A2255,Input!$B$115:$B$3257,"="&amp;'Output - County'!B2255)*VLOOKUP(A2255,'Output - State'!$B$2:$G$52,2,FALSE)</f>
        <v>37.857704847254837</v>
      </c>
      <c r="D2255" s="98">
        <f>SUMIFS(Input!$C$115:$C$3257,Input!$A$115:$A$3257,"="&amp;'Output - County'!A2255,Input!$B$115:$B$3257,"="&amp;'Output - County'!B2255)*VLOOKUP(A2255,'Output - State'!$B$2:$G$52,3,FALSE)</f>
        <v>17.98810977109941</v>
      </c>
      <c r="E2255" s="98">
        <f>SUMIFS(Input!$C$115:$C$3257,Input!$A$115:$A$3257,"="&amp;'Output - County'!A2255,Input!$B$115:$B$3257,"="&amp;'Output - County'!B2255)*VLOOKUP(A2255,'Output - State'!$B$2:$G$52,4,FALSE)</f>
        <v>1.6311484602244697</v>
      </c>
      <c r="F2255" s="98">
        <f>SUMIFS(Input!$C$115:$C$3257,Input!$A$115:$A$3257,"="&amp;'Output - County'!A2255,Input!$B$115:$B$3257,"="&amp;'Output - County'!B2255)*VLOOKUP(A2255,'Output - State'!$B$2:$G$52,5,FALSE)</f>
        <v>101.86248456269875</v>
      </c>
      <c r="G2255" s="99">
        <f>SUMIFS(Input!$D$115:$D$3257,Input!$A$115:$A$3257,"="&amp;'Output - County'!A2255,Input!$B$115:$B$3257,"="&amp;'Output - County'!B2255)*VLOOKUP(A2255,'Output - State'!$B$2:$G$52,6,FALSE)</f>
        <v>31.874246857963573</v>
      </c>
    </row>
    <row r="2256" spans="1:7" x14ac:dyDescent="0.25">
      <c r="A2256" s="88">
        <v>42</v>
      </c>
      <c r="B2256" s="88">
        <v>21</v>
      </c>
      <c r="C2256" s="97">
        <f>SUMIFS(Input!$C$115:$C$3257,Input!$A$115:$A$3257,"="&amp;'Output - County'!A2256,Input!$B$115:$B$3257,"="&amp;'Output - County'!B2256)*VLOOKUP(A2256,'Output - State'!$B$2:$G$52,2,FALSE)</f>
        <v>22.028361873030995</v>
      </c>
      <c r="D2256" s="98">
        <f>SUMIFS(Input!$C$115:$C$3257,Input!$A$115:$A$3257,"="&amp;'Output - County'!A2256,Input!$B$115:$B$3257,"="&amp;'Output - County'!B2256)*VLOOKUP(A2256,'Output - State'!$B$2:$G$52,3,FALSE)</f>
        <v>10.466788545378909</v>
      </c>
      <c r="E2256" s="98">
        <f>SUMIFS(Input!$C$115:$C$3257,Input!$A$115:$A$3257,"="&amp;'Output - County'!A2256,Input!$B$115:$B$3257,"="&amp;'Output - County'!B2256)*VLOOKUP(A2256,'Output - State'!$B$2:$G$52,4,FALSE)</f>
        <v>0.94912062671087716</v>
      </c>
      <c r="F2256" s="98">
        <f>SUMIFS(Input!$C$115:$C$3257,Input!$A$115:$A$3257,"="&amp;'Output - County'!A2256,Input!$B$115:$B$3257,"="&amp;'Output - County'!B2256)*VLOOKUP(A2256,'Output - State'!$B$2:$G$52,5,FALSE)</f>
        <v>59.270990681725657</v>
      </c>
      <c r="G2256" s="99">
        <f>SUMIFS(Input!$D$115:$D$3257,Input!$A$115:$A$3257,"="&amp;'Output - County'!A2256,Input!$B$115:$B$3257,"="&amp;'Output - County'!B2256)*VLOOKUP(A2256,'Output - State'!$B$2:$G$52,6,FALSE)</f>
        <v>22.210246480815044</v>
      </c>
    </row>
    <row r="2257" spans="1:7" x14ac:dyDescent="0.25">
      <c r="A2257" s="88">
        <v>42</v>
      </c>
      <c r="B2257" s="88">
        <v>23</v>
      </c>
      <c r="C2257" s="97">
        <f>SUMIFS(Input!$C$115:$C$3257,Input!$A$115:$A$3257,"="&amp;'Output - County'!A2257,Input!$B$115:$B$3257,"="&amp;'Output - County'!B2257)*VLOOKUP(A2257,'Output - State'!$B$2:$G$52,2,FALSE)</f>
        <v>0.7996047662807021</v>
      </c>
      <c r="D2257" s="98">
        <f>SUMIFS(Input!$C$115:$C$3257,Input!$A$115:$A$3257,"="&amp;'Output - County'!A2257,Input!$B$115:$B$3257,"="&amp;'Output - County'!B2257)*VLOOKUP(A2257,'Output - State'!$B$2:$G$52,3,FALSE)</f>
        <v>0.37993265485544969</v>
      </c>
      <c r="E2257" s="98">
        <f>SUMIFS(Input!$C$115:$C$3257,Input!$A$115:$A$3257,"="&amp;'Output - County'!A2257,Input!$B$115:$B$3257,"="&amp;'Output - County'!B2257)*VLOOKUP(A2257,'Output - State'!$B$2:$G$52,4,FALSE)</f>
        <v>3.4452011514414099E-2</v>
      </c>
      <c r="F2257" s="98">
        <f>SUMIFS(Input!$C$115:$C$3257,Input!$A$115:$A$3257,"="&amp;'Output - County'!A2257,Input!$B$115:$B$3257,"="&amp;'Output - County'!B2257)*VLOOKUP(A2257,'Output - State'!$B$2:$G$52,5,FALSE)</f>
        <v>2.1514703146996115</v>
      </c>
      <c r="G2257" s="99">
        <f>SUMIFS(Input!$D$115:$D$3257,Input!$A$115:$A$3257,"="&amp;'Output - County'!A2257,Input!$B$115:$B$3257,"="&amp;'Output - County'!B2257)*VLOOKUP(A2257,'Output - State'!$B$2:$G$52,6,FALSE)</f>
        <v>0.7629473981959366</v>
      </c>
    </row>
    <row r="2258" spans="1:7" x14ac:dyDescent="0.25">
      <c r="A2258" s="88">
        <v>42</v>
      </c>
      <c r="B2258" s="88">
        <v>25</v>
      </c>
      <c r="C2258" s="97">
        <f>SUMIFS(Input!$C$115:$C$3257,Input!$A$115:$A$3257,"="&amp;'Output - County'!A2258,Input!$B$115:$B$3257,"="&amp;'Output - County'!B2258)*VLOOKUP(A2258,'Output - State'!$B$2:$G$52,2,FALSE)</f>
        <v>16.09782266221853</v>
      </c>
      <c r="D2258" s="98">
        <f>SUMIFS(Input!$C$115:$C$3257,Input!$A$115:$A$3257,"="&amp;'Output - County'!A2258,Input!$B$115:$B$3257,"="&amp;'Output - County'!B2258)*VLOOKUP(A2258,'Output - State'!$B$2:$G$52,3,FALSE)</f>
        <v>7.648889500618421</v>
      </c>
      <c r="E2258" s="98">
        <f>SUMIFS(Input!$C$115:$C$3257,Input!$A$115:$A$3257,"="&amp;'Output - County'!A2258,Input!$B$115:$B$3257,"="&amp;'Output - County'!B2258)*VLOOKUP(A2258,'Output - State'!$B$2:$G$52,4,FALSE)</f>
        <v>0.69359563012041281</v>
      </c>
      <c r="F2258" s="98">
        <f>SUMIFS(Input!$C$115:$C$3257,Input!$A$115:$A$3257,"="&amp;'Output - County'!A2258,Input!$B$115:$B$3257,"="&amp;'Output - County'!B2258)*VLOOKUP(A2258,'Output - State'!$B$2:$G$52,5,FALSE)</f>
        <v>43.313883370354411</v>
      </c>
      <c r="G2258" s="99">
        <f>SUMIFS(Input!$D$115:$D$3257,Input!$A$115:$A$3257,"="&amp;'Output - County'!A2258,Input!$B$115:$B$3257,"="&amp;'Output - County'!B2258)*VLOOKUP(A2258,'Output - State'!$B$2:$G$52,6,FALSE)</f>
        <v>10.88471621426203</v>
      </c>
    </row>
    <row r="2259" spans="1:7" x14ac:dyDescent="0.25">
      <c r="A2259" s="88">
        <v>42</v>
      </c>
      <c r="B2259" s="88">
        <v>27</v>
      </c>
      <c r="C2259" s="97">
        <f>SUMIFS(Input!$C$115:$C$3257,Input!$A$115:$A$3257,"="&amp;'Output - County'!A2259,Input!$B$115:$B$3257,"="&amp;'Output - County'!B2259)*VLOOKUP(A2259,'Output - State'!$B$2:$G$52,2,FALSE)</f>
        <v>31.491111329217599</v>
      </c>
      <c r="D2259" s="98">
        <f>SUMIFS(Input!$C$115:$C$3257,Input!$A$115:$A$3257,"="&amp;'Output - County'!A2259,Input!$B$115:$B$3257,"="&amp;'Output - County'!B2259)*VLOOKUP(A2259,'Output - State'!$B$2:$G$52,3,FALSE)</f>
        <v>14.963019276773572</v>
      </c>
      <c r="E2259" s="98">
        <f>SUMIFS(Input!$C$115:$C$3257,Input!$A$115:$A$3257,"="&amp;'Output - County'!A2259,Input!$B$115:$B$3257,"="&amp;'Output - County'!B2259)*VLOOKUP(A2259,'Output - State'!$B$2:$G$52,4,FALSE)</f>
        <v>1.356835496569607</v>
      </c>
      <c r="F2259" s="98">
        <f>SUMIFS(Input!$C$115:$C$3257,Input!$A$115:$A$3257,"="&amp;'Output - County'!A2259,Input!$B$115:$B$3257,"="&amp;'Output - County'!B2259)*VLOOKUP(A2259,'Output - State'!$B$2:$G$52,5,FALSE)</f>
        <v>84.732100231038146</v>
      </c>
      <c r="G2259" s="99">
        <f>SUMIFS(Input!$D$115:$D$3257,Input!$A$115:$A$3257,"="&amp;'Output - County'!A2259,Input!$B$115:$B$3257,"="&amp;'Output - County'!B2259)*VLOOKUP(A2259,'Output - State'!$B$2:$G$52,6,FALSE)</f>
        <v>27.635650201319486</v>
      </c>
    </row>
    <row r="2260" spans="1:7" x14ac:dyDescent="0.25">
      <c r="A2260" s="88">
        <v>42</v>
      </c>
      <c r="B2260" s="88">
        <v>29</v>
      </c>
      <c r="C2260" s="97">
        <f>SUMIFS(Input!$C$115:$C$3257,Input!$A$115:$A$3257,"="&amp;'Output - County'!A2260,Input!$B$115:$B$3257,"="&amp;'Output - County'!B2260)*VLOOKUP(A2260,'Output - State'!$B$2:$G$52,2,FALSE)</f>
        <v>90.960932559851557</v>
      </c>
      <c r="D2260" s="98">
        <f>SUMIFS(Input!$C$115:$C$3257,Input!$A$115:$A$3257,"="&amp;'Output - County'!A2260,Input!$B$115:$B$3257,"="&amp;'Output - County'!B2260)*VLOOKUP(A2260,'Output - State'!$B$2:$G$52,3,FALSE)</f>
        <v>43.220138314508162</v>
      </c>
      <c r="E2260" s="98">
        <f>SUMIFS(Input!$C$115:$C$3257,Input!$A$115:$A$3257,"="&amp;'Output - County'!A2260,Input!$B$115:$B$3257,"="&amp;'Output - County'!B2260)*VLOOKUP(A2260,'Output - State'!$B$2:$G$52,4,FALSE)</f>
        <v>3.9191701051138192</v>
      </c>
      <c r="F2260" s="98">
        <f>SUMIFS(Input!$C$115:$C$3257,Input!$A$115:$A$3257,"="&amp;'Output - County'!A2260,Input!$B$115:$B$3257,"="&amp;'Output - County'!B2260)*VLOOKUP(A2260,'Output - State'!$B$2:$G$52,5,FALSE)</f>
        <v>244.74559739081562</v>
      </c>
      <c r="G2260" s="99">
        <f>SUMIFS(Input!$D$115:$D$3257,Input!$A$115:$A$3257,"="&amp;'Output - County'!A2260,Input!$B$115:$B$3257,"="&amp;'Output - County'!B2260)*VLOOKUP(A2260,'Output - State'!$B$2:$G$52,6,FALSE)</f>
        <v>88.501898190728653</v>
      </c>
    </row>
    <row r="2261" spans="1:7" x14ac:dyDescent="0.25">
      <c r="A2261" s="88">
        <v>42</v>
      </c>
      <c r="B2261" s="88">
        <v>31</v>
      </c>
      <c r="C2261" s="97">
        <f>SUMIFS(Input!$C$115:$C$3257,Input!$A$115:$A$3257,"="&amp;'Output - County'!A2261,Input!$B$115:$B$3257,"="&amp;'Output - County'!B2261)*VLOOKUP(A2261,'Output - State'!$B$2:$G$52,2,FALSE)</f>
        <v>11.389659853441092</v>
      </c>
      <c r="D2261" s="98">
        <f>SUMIFS(Input!$C$115:$C$3257,Input!$A$115:$A$3257,"="&amp;'Output - County'!A2261,Input!$B$115:$B$3257,"="&amp;'Output - County'!B2261)*VLOOKUP(A2261,'Output - State'!$B$2:$G$52,3,FALSE)</f>
        <v>5.4118032914517444</v>
      </c>
      <c r="E2261" s="98">
        <f>SUMIFS(Input!$C$115:$C$3257,Input!$A$115:$A$3257,"="&amp;'Output - County'!A2261,Input!$B$115:$B$3257,"="&amp;'Output - County'!B2261)*VLOOKUP(A2261,'Output - State'!$B$2:$G$52,4,FALSE)</f>
        <v>0.49073831092980408</v>
      </c>
      <c r="F2261" s="98">
        <f>SUMIFS(Input!$C$115:$C$3257,Input!$A$115:$A$3257,"="&amp;'Output - County'!A2261,Input!$B$115:$B$3257,"="&amp;'Output - County'!B2261)*VLOOKUP(A2261,'Output - State'!$B$2:$G$52,5,FALSE)</f>
        <v>30.64578414556636</v>
      </c>
      <c r="G2261" s="99">
        <f>SUMIFS(Input!$D$115:$D$3257,Input!$A$115:$A$3257,"="&amp;'Output - County'!A2261,Input!$B$115:$B$3257,"="&amp;'Output - County'!B2261)*VLOOKUP(A2261,'Output - State'!$B$2:$G$52,6,FALSE)</f>
        <v>6.5613476244850553</v>
      </c>
    </row>
    <row r="2262" spans="1:7" x14ac:dyDescent="0.25">
      <c r="A2262" s="88">
        <v>42</v>
      </c>
      <c r="B2262" s="88">
        <v>33</v>
      </c>
      <c r="C2262" s="97">
        <f>SUMIFS(Input!$C$115:$C$3257,Input!$A$115:$A$3257,"="&amp;'Output - County'!A2262,Input!$B$115:$B$3257,"="&amp;'Output - County'!B2262)*VLOOKUP(A2262,'Output - State'!$B$2:$G$52,2,FALSE)</f>
        <v>20.161203854455771</v>
      </c>
      <c r="D2262" s="98">
        <f>SUMIFS(Input!$C$115:$C$3257,Input!$A$115:$A$3257,"="&amp;'Output - County'!A2262,Input!$B$115:$B$3257,"="&amp;'Output - County'!B2262)*VLOOKUP(A2262,'Output - State'!$B$2:$G$52,3,FALSE)</f>
        <v>9.5796073616903517</v>
      </c>
      <c r="E2262" s="98">
        <f>SUMIFS(Input!$C$115:$C$3257,Input!$A$115:$A$3257,"="&amp;'Output - County'!A2262,Input!$B$115:$B$3257,"="&amp;'Output - County'!B2262)*VLOOKUP(A2262,'Output - State'!$B$2:$G$52,4,FALSE)</f>
        <v>0.86867169460358395</v>
      </c>
      <c r="F2262" s="98">
        <f>SUMIFS(Input!$C$115:$C$3257,Input!$A$115:$A$3257,"="&amp;'Output - County'!A2262,Input!$B$115:$B$3257,"="&amp;'Output - County'!B2262)*VLOOKUP(A2262,'Output - State'!$B$2:$G$52,5,FALSE)</f>
        <v>54.24708985068969</v>
      </c>
      <c r="G2262" s="99">
        <f>SUMIFS(Input!$D$115:$D$3257,Input!$A$115:$A$3257,"="&amp;'Output - County'!A2262,Input!$B$115:$B$3257,"="&amp;'Output - County'!B2262)*VLOOKUP(A2262,'Output - State'!$B$2:$G$52,6,FALSE)</f>
        <v>13.495691754754791</v>
      </c>
    </row>
    <row r="2263" spans="1:7" x14ac:dyDescent="0.25">
      <c r="A2263" s="88">
        <v>42</v>
      </c>
      <c r="B2263" s="88">
        <v>35</v>
      </c>
      <c r="C2263" s="97">
        <f>SUMIFS(Input!$C$115:$C$3257,Input!$A$115:$A$3257,"="&amp;'Output - County'!A2263,Input!$B$115:$B$3257,"="&amp;'Output - County'!B2263)*VLOOKUP(A2263,'Output - State'!$B$2:$G$52,2,FALSE)</f>
        <v>10.575874083891918</v>
      </c>
      <c r="D2263" s="98">
        <f>SUMIFS(Input!$C$115:$C$3257,Input!$A$115:$A$3257,"="&amp;'Output - County'!A2263,Input!$B$115:$B$3257,"="&amp;'Output - County'!B2263)*VLOOKUP(A2263,'Output - State'!$B$2:$G$52,3,FALSE)</f>
        <v>5.0251325249097354</v>
      </c>
      <c r="E2263" s="98">
        <f>SUMIFS(Input!$C$115:$C$3257,Input!$A$115:$A$3257,"="&amp;'Output - County'!A2263,Input!$B$115:$B$3257,"="&amp;'Output - County'!B2263)*VLOOKUP(A2263,'Output - State'!$B$2:$G$52,4,FALSE)</f>
        <v>0.45567529244232774</v>
      </c>
      <c r="F2263" s="98">
        <f>SUMIFS(Input!$C$115:$C$3257,Input!$A$115:$A$3257,"="&amp;'Output - County'!A2263,Input!$B$115:$B$3257,"="&amp;'Output - County'!B2263)*VLOOKUP(A2263,'Output - State'!$B$2:$G$52,5,FALSE)</f>
        <v>28.45615747056053</v>
      </c>
      <c r="G2263" s="99">
        <f>SUMIFS(Input!$D$115:$D$3257,Input!$A$115:$A$3257,"="&amp;'Output - County'!A2263,Input!$B$115:$B$3257,"="&amp;'Output - County'!B2263)*VLOOKUP(A2263,'Output - State'!$B$2:$G$52,6,FALSE)</f>
        <v>6.5613476244850553</v>
      </c>
    </row>
    <row r="2264" spans="1:7" x14ac:dyDescent="0.25">
      <c r="A2264" s="88">
        <v>42</v>
      </c>
      <c r="B2264" s="88">
        <v>37</v>
      </c>
      <c r="C2264" s="97">
        <f>SUMIFS(Input!$C$115:$C$3257,Input!$A$115:$A$3257,"="&amp;'Output - County'!A2264,Input!$B$115:$B$3257,"="&amp;'Output - County'!B2264)*VLOOKUP(A2264,'Output - State'!$B$2:$G$52,2,FALSE)</f>
        <v>12.997886214823588</v>
      </c>
      <c r="D2264" s="98">
        <f>SUMIFS(Input!$C$115:$C$3257,Input!$A$115:$A$3257,"="&amp;'Output - County'!A2264,Input!$B$115:$B$3257,"="&amp;'Output - County'!B2264)*VLOOKUP(A2264,'Output - State'!$B$2:$G$52,3,FALSE)</f>
        <v>6.1759529524532306</v>
      </c>
      <c r="E2264" s="98">
        <f>SUMIFS(Input!$C$115:$C$3257,Input!$A$115:$A$3257,"="&amp;'Output - County'!A2264,Input!$B$115:$B$3257,"="&amp;'Output - County'!B2264)*VLOOKUP(A2264,'Output - State'!$B$2:$G$52,4,FALSE)</f>
        <v>0.56003083575785573</v>
      </c>
      <c r="F2264" s="98">
        <f>SUMIFS(Input!$C$115:$C$3257,Input!$A$115:$A$3257,"="&amp;'Output - County'!A2264,Input!$B$115:$B$3257,"="&amp;'Output - County'!B2264)*VLOOKUP(A2264,'Output - State'!$B$2:$G$52,5,FALSE)</f>
        <v>34.972986060489852</v>
      </c>
      <c r="G2264" s="99">
        <f>SUMIFS(Input!$D$115:$D$3257,Input!$A$115:$A$3257,"="&amp;'Output - County'!A2264,Input!$B$115:$B$3257,"="&amp;'Output - County'!B2264)*VLOOKUP(A2264,'Output - State'!$B$2:$G$52,6,FALSE)</f>
        <v>11.054260080527792</v>
      </c>
    </row>
    <row r="2265" spans="1:7" x14ac:dyDescent="0.25">
      <c r="A2265" s="88">
        <v>42</v>
      </c>
      <c r="B2265" s="88">
        <v>39</v>
      </c>
      <c r="C2265" s="97">
        <f>SUMIFS(Input!$C$115:$C$3257,Input!$A$115:$A$3257,"="&amp;'Output - County'!A2265,Input!$B$115:$B$3257,"="&amp;'Output - County'!B2265)*VLOOKUP(A2265,'Output - State'!$B$2:$G$52,2,FALSE)</f>
        <v>15.393735654130772</v>
      </c>
      <c r="D2265" s="98">
        <f>SUMIFS(Input!$C$115:$C$3257,Input!$A$115:$A$3257,"="&amp;'Output - County'!A2265,Input!$B$115:$B$3257,"="&amp;'Output - County'!B2265)*VLOOKUP(A2265,'Output - State'!$B$2:$G$52,3,FALSE)</f>
        <v>7.3143421623424212</v>
      </c>
      <c r="E2265" s="98">
        <f>SUMIFS(Input!$C$115:$C$3257,Input!$A$115:$A$3257,"="&amp;'Output - County'!A2265,Input!$B$115:$B$3257,"="&amp;'Output - County'!B2265)*VLOOKUP(A2265,'Output - State'!$B$2:$G$52,4,FALSE)</f>
        <v>0.66325912547122312</v>
      </c>
      <c r="F2265" s="98">
        <f>SUMIFS(Input!$C$115:$C$3257,Input!$A$115:$A$3257,"="&amp;'Output - County'!A2265,Input!$B$115:$B$3257,"="&amp;'Output - County'!B2265)*VLOOKUP(A2265,'Output - State'!$B$2:$G$52,5,FALSE)</f>
        <v>41.419419554296205</v>
      </c>
      <c r="G2265" s="99">
        <f>SUMIFS(Input!$D$115:$D$3257,Input!$A$115:$A$3257,"="&amp;'Output - County'!A2265,Input!$B$115:$B$3257,"="&amp;'Output - County'!B2265)*VLOOKUP(A2265,'Output - State'!$B$2:$G$52,6,FALSE)</f>
        <v>14.42818301921649</v>
      </c>
    </row>
    <row r="2266" spans="1:7" x14ac:dyDescent="0.25">
      <c r="A2266" s="88">
        <v>42</v>
      </c>
      <c r="B2266" s="88">
        <v>41</v>
      </c>
      <c r="C2266" s="97">
        <f>SUMIFS(Input!$C$115:$C$3257,Input!$A$115:$A$3257,"="&amp;'Output - County'!A2266,Input!$B$115:$B$3257,"="&amp;'Output - County'!B2266)*VLOOKUP(A2266,'Output - State'!$B$2:$G$52,2,FALSE)</f>
        <v>60.791563106471813</v>
      </c>
      <c r="D2266" s="98">
        <f>SUMIFS(Input!$C$115:$C$3257,Input!$A$115:$A$3257,"="&amp;'Output - County'!A2266,Input!$B$115:$B$3257,"="&amp;'Output - County'!B2266)*VLOOKUP(A2266,'Output - State'!$B$2:$G$52,3,FALSE)</f>
        <v>28.885145434146057</v>
      </c>
      <c r="E2266" s="98">
        <f>SUMIFS(Input!$C$115:$C$3257,Input!$A$115:$A$3257,"="&amp;'Output - County'!A2266,Input!$B$115:$B$3257,"="&amp;'Output - County'!B2266)*VLOOKUP(A2266,'Output - State'!$B$2:$G$52,4,FALSE)</f>
        <v>2.6192835766416129</v>
      </c>
      <c r="F2266" s="98">
        <f>SUMIFS(Input!$C$115:$C$3257,Input!$A$115:$A$3257,"="&amp;'Output - County'!A2266,Input!$B$115:$B$3257,"="&amp;'Output - County'!B2266)*VLOOKUP(A2266,'Output - State'!$B$2:$G$52,5,FALSE)</f>
        <v>163.56986466717456</v>
      </c>
      <c r="G2266" s="99">
        <f>SUMIFS(Input!$D$115:$D$3257,Input!$A$115:$A$3257,"="&amp;'Output - County'!A2266,Input!$B$115:$B$3257,"="&amp;'Output - County'!B2266)*VLOOKUP(A2266,'Output - State'!$B$2:$G$52,6,FALSE)</f>
        <v>42.55551043270669</v>
      </c>
    </row>
    <row r="2267" spans="1:7" x14ac:dyDescent="0.25">
      <c r="A2267" s="88">
        <v>42</v>
      </c>
      <c r="B2267" s="88">
        <v>43</v>
      </c>
      <c r="C2267" s="97">
        <f>SUMIFS(Input!$C$115:$C$3257,Input!$A$115:$A$3257,"="&amp;'Output - County'!A2267,Input!$B$115:$B$3257,"="&amp;'Output - County'!B2267)*VLOOKUP(A2267,'Output - State'!$B$2:$G$52,2,FALSE)</f>
        <v>61.882512196855281</v>
      </c>
      <c r="D2267" s="98">
        <f>SUMIFS(Input!$C$115:$C$3257,Input!$A$115:$A$3257,"="&amp;'Output - County'!A2267,Input!$B$115:$B$3257,"="&amp;'Output - County'!B2267)*VLOOKUP(A2267,'Output - State'!$B$2:$G$52,3,FALSE)</f>
        <v>29.403510508618389</v>
      </c>
      <c r="E2267" s="98">
        <f>SUMIFS(Input!$C$115:$C$3257,Input!$A$115:$A$3257,"="&amp;'Output - County'!A2267,Input!$B$115:$B$3257,"="&amp;'Output - County'!B2267)*VLOOKUP(A2267,'Output - State'!$B$2:$G$52,4,FALSE)</f>
        <v>2.6662885373528358</v>
      </c>
      <c r="F2267" s="98">
        <f>SUMIFS(Input!$C$115:$C$3257,Input!$A$115:$A$3257,"="&amp;'Output - County'!A2267,Input!$B$115:$B$3257,"="&amp;'Output - County'!B2267)*VLOOKUP(A2267,'Output - State'!$B$2:$G$52,5,FALSE)</f>
        <v>166.50524559758864</v>
      </c>
      <c r="G2267" s="99">
        <f>SUMIFS(Input!$D$115:$D$3257,Input!$A$115:$A$3257,"="&amp;'Output - County'!A2267,Input!$B$115:$B$3257,"="&amp;'Output - County'!B2267)*VLOOKUP(A2267,'Output - State'!$B$2:$G$52,6,FALSE)</f>
        <v>46.963650955616551</v>
      </c>
    </row>
    <row r="2268" spans="1:7" x14ac:dyDescent="0.25">
      <c r="A2268" s="88">
        <v>42</v>
      </c>
      <c r="B2268" s="88">
        <v>45</v>
      </c>
      <c r="C2268" s="97">
        <f>SUMIFS(Input!$C$115:$C$3257,Input!$A$115:$A$3257,"="&amp;'Output - County'!A2268,Input!$B$115:$B$3257,"="&amp;'Output - County'!B2268)*VLOOKUP(A2268,'Output - State'!$B$2:$G$52,2,FALSE)</f>
        <v>76.033104916061234</v>
      </c>
      <c r="D2268" s="98">
        <f>SUMIFS(Input!$C$115:$C$3257,Input!$A$115:$A$3257,"="&amp;'Output - County'!A2268,Input!$B$115:$B$3257,"="&amp;'Output - County'!B2268)*VLOOKUP(A2268,'Output - State'!$B$2:$G$52,3,FALSE)</f>
        <v>36.127172605573378</v>
      </c>
      <c r="E2268" s="98">
        <f>SUMIFS(Input!$C$115:$C$3257,Input!$A$115:$A$3257,"="&amp;'Output - County'!A2268,Input!$B$115:$B$3257,"="&amp;'Output - County'!B2268)*VLOOKUP(A2268,'Output - State'!$B$2:$G$52,4,FALSE)</f>
        <v>3.2759852323406746</v>
      </c>
      <c r="F2268" s="98">
        <f>SUMIFS(Input!$C$115:$C$3257,Input!$A$115:$A$3257,"="&amp;'Output - County'!A2268,Input!$B$115:$B$3257,"="&amp;'Output - County'!B2268)*VLOOKUP(A2268,'Output - State'!$B$2:$G$52,5,FALSE)</f>
        <v>204.57978123647257</v>
      </c>
      <c r="G2268" s="99">
        <f>SUMIFS(Input!$D$115:$D$3257,Input!$A$115:$A$3257,"="&amp;'Output - County'!A2268,Input!$B$115:$B$3257,"="&amp;'Output - County'!B2268)*VLOOKUP(A2268,'Output - State'!$B$2:$G$52,6,FALSE)</f>
        <v>95.792284440156493</v>
      </c>
    </row>
    <row r="2269" spans="1:7" x14ac:dyDescent="0.25">
      <c r="A2269" s="88">
        <v>42</v>
      </c>
      <c r="B2269" s="88">
        <v>47</v>
      </c>
      <c r="C2269" s="97">
        <f>SUMIFS(Input!$C$115:$C$3257,Input!$A$115:$A$3257,"="&amp;'Output - County'!A2269,Input!$B$115:$B$3257,"="&amp;'Output - County'!B2269)*VLOOKUP(A2269,'Output - State'!$B$2:$G$52,2,FALSE)</f>
        <v>5.6821285858689254</v>
      </c>
      <c r="D2269" s="98">
        <f>SUMIFS(Input!$C$115:$C$3257,Input!$A$115:$A$3257,"="&amp;'Output - County'!A2269,Input!$B$115:$B$3257,"="&amp;'Output - County'!B2269)*VLOOKUP(A2269,'Output - State'!$B$2:$G$52,3,FALSE)</f>
        <v>2.6998665964696924</v>
      </c>
      <c r="E2269" s="98">
        <f>SUMIFS(Input!$C$115:$C$3257,Input!$A$115:$A$3257,"="&amp;'Output - County'!A2269,Input!$B$115:$B$3257,"="&amp;'Output - County'!B2269)*VLOOKUP(A2269,'Output - State'!$B$2:$G$52,4,FALSE)</f>
        <v>0.24482190167187637</v>
      </c>
      <c r="F2269" s="98">
        <f>SUMIFS(Input!$C$115:$C$3257,Input!$A$115:$A$3257,"="&amp;'Output - County'!A2269,Input!$B$115:$B$3257,"="&amp;'Output - County'!B2269)*VLOOKUP(A2269,'Output - State'!$B$2:$G$52,5,FALSE)</f>
        <v>15.288716991603698</v>
      </c>
      <c r="G2269" s="99">
        <f>SUMIFS(Input!$D$115:$D$3257,Input!$A$115:$A$3257,"="&amp;'Output - County'!A2269,Input!$B$115:$B$3257,"="&amp;'Output - County'!B2269)*VLOOKUP(A2269,'Output - State'!$B$2:$G$52,6,FALSE)</f>
        <v>5.1032703745994867</v>
      </c>
    </row>
    <row r="2270" spans="1:7" x14ac:dyDescent="0.25">
      <c r="A2270" s="88">
        <v>42</v>
      </c>
      <c r="B2270" s="88">
        <v>49</v>
      </c>
      <c r="C2270" s="97">
        <f>SUMIFS(Input!$C$115:$C$3257,Input!$A$115:$A$3257,"="&amp;'Output - County'!A2270,Input!$B$115:$B$3257,"="&amp;'Output - County'!B2270)*VLOOKUP(A2270,'Output - State'!$B$2:$G$52,2,FALSE)</f>
        <v>43.707692043105929</v>
      </c>
      <c r="D2270" s="98">
        <f>SUMIFS(Input!$C$115:$C$3257,Input!$A$115:$A$3257,"="&amp;'Output - County'!A2270,Input!$B$115:$B$3257,"="&amp;'Output - County'!B2270)*VLOOKUP(A2270,'Output - State'!$B$2:$G$52,3,FALSE)</f>
        <v>20.767734480602261</v>
      </c>
      <c r="E2270" s="98">
        <f>SUMIFS(Input!$C$115:$C$3257,Input!$A$115:$A$3257,"="&amp;'Output - County'!A2270,Input!$B$115:$B$3257,"="&amp;'Output - County'!B2270)*VLOOKUP(A2270,'Output - State'!$B$2:$G$52,4,FALSE)</f>
        <v>1.8832027684649042</v>
      </c>
      <c r="F2270" s="98">
        <f>SUMIFS(Input!$C$115:$C$3257,Input!$A$115:$A$3257,"="&amp;'Output - County'!A2270,Input!$B$115:$B$3257,"="&amp;'Output - County'!B2270)*VLOOKUP(A2270,'Output - State'!$B$2:$G$52,5,FALSE)</f>
        <v>117.6028532098112</v>
      </c>
      <c r="G2270" s="99">
        <f>SUMIFS(Input!$D$115:$D$3257,Input!$A$115:$A$3257,"="&amp;'Output - County'!A2270,Input!$B$115:$B$3257,"="&amp;'Output - County'!B2270)*VLOOKUP(A2270,'Output - State'!$B$2:$G$52,6,FALSE)</f>
        <v>46.115931624287725</v>
      </c>
    </row>
    <row r="2271" spans="1:7" x14ac:dyDescent="0.25">
      <c r="A2271" s="88">
        <v>42</v>
      </c>
      <c r="B2271" s="88">
        <v>51</v>
      </c>
      <c r="C2271" s="97">
        <f>SUMIFS(Input!$C$115:$C$3257,Input!$A$115:$A$3257,"="&amp;'Output - County'!A2271,Input!$B$115:$B$3257,"="&amp;'Output - County'!B2271)*VLOOKUP(A2271,'Output - State'!$B$2:$G$52,2,FALSE)</f>
        <v>21.906405269990426</v>
      </c>
      <c r="D2271" s="98">
        <f>SUMIFS(Input!$C$115:$C$3257,Input!$A$115:$A$3257,"="&amp;'Output - County'!A2271,Input!$B$115:$B$3257,"="&amp;'Output - County'!B2271)*VLOOKUP(A2271,'Output - State'!$B$2:$G$52,3,FALSE)</f>
        <v>10.408840796785714</v>
      </c>
      <c r="E2271" s="98">
        <f>SUMIFS(Input!$C$115:$C$3257,Input!$A$115:$A$3257,"="&amp;'Output - County'!A2271,Input!$B$115:$B$3257,"="&amp;'Output - County'!B2271)*VLOOKUP(A2271,'Output - State'!$B$2:$G$52,4,FALSE)</f>
        <v>0.94386596782264143</v>
      </c>
      <c r="F2271" s="98">
        <f>SUMIFS(Input!$C$115:$C$3257,Input!$A$115:$A$3257,"="&amp;'Output - County'!A2271,Input!$B$115:$B$3257,"="&amp;'Output - County'!B2271)*VLOOKUP(A2271,'Output - State'!$B$2:$G$52,5,FALSE)</f>
        <v>58.942846050542606</v>
      </c>
      <c r="G2271" s="99">
        <f>SUMIFS(Input!$D$115:$D$3257,Input!$A$115:$A$3257,"="&amp;'Output - County'!A2271,Input!$B$115:$B$3257,"="&amp;'Output - County'!B2271)*VLOOKUP(A2271,'Output - State'!$B$2:$G$52,6,FALSE)</f>
        <v>22.040702614549279</v>
      </c>
    </row>
    <row r="2272" spans="1:7" x14ac:dyDescent="0.25">
      <c r="A2272" s="88">
        <v>42</v>
      </c>
      <c r="B2272" s="88">
        <v>53</v>
      </c>
      <c r="C2272" s="97">
        <f>SUMIFS(Input!$C$115:$C$3257,Input!$A$115:$A$3257,"="&amp;'Output - County'!A2272,Input!$B$115:$B$3257,"="&amp;'Output - County'!B2272)*VLOOKUP(A2272,'Output - State'!$B$2:$G$52,2,FALSE)</f>
        <v>1.1739374223056838</v>
      </c>
      <c r="D2272" s="98">
        <f>SUMIFS(Input!$C$115:$C$3257,Input!$A$115:$A$3257,"="&amp;'Output - County'!A2272,Input!$B$115:$B$3257,"="&amp;'Output - County'!B2272)*VLOOKUP(A2272,'Output - State'!$B$2:$G$52,3,FALSE)</f>
        <v>0.55779702710549728</v>
      </c>
      <c r="E2272" s="98">
        <f>SUMIFS(Input!$C$115:$C$3257,Input!$A$115:$A$3257,"="&amp;'Output - County'!A2272,Input!$B$115:$B$3257,"="&amp;'Output - County'!B2272)*VLOOKUP(A2272,'Output - State'!$B$2:$G$52,4,FALSE)</f>
        <v>5.0580620946772764E-2</v>
      </c>
      <c r="F2272" s="98">
        <f>SUMIFS(Input!$C$115:$C$3257,Input!$A$115:$A$3257,"="&amp;'Output - County'!A2272,Input!$B$115:$B$3257,"="&amp;'Output - County'!B2272)*VLOOKUP(A2272,'Output - State'!$B$2:$G$52,5,FALSE)</f>
        <v>3.158674912799373</v>
      </c>
      <c r="G2272" s="99">
        <f>SUMIFS(Input!$D$115:$D$3257,Input!$A$115:$A$3257,"="&amp;'Output - County'!A2272,Input!$B$115:$B$3257,"="&amp;'Output - County'!B2272)*VLOOKUP(A2272,'Output - State'!$B$2:$G$52,6,FALSE)</f>
        <v>1.2342793464147599</v>
      </c>
    </row>
    <row r="2273" spans="1:7" x14ac:dyDescent="0.25">
      <c r="A2273" s="88">
        <v>42</v>
      </c>
      <c r="B2273" s="88">
        <v>55</v>
      </c>
      <c r="C2273" s="97">
        <f>SUMIFS(Input!$C$115:$C$3257,Input!$A$115:$A$3257,"="&amp;'Output - County'!A2273,Input!$B$115:$B$3257,"="&amp;'Output - County'!B2273)*VLOOKUP(A2273,'Output - State'!$B$2:$G$52,2,FALSE)</f>
        <v>31.533138085630156</v>
      </c>
      <c r="D2273" s="98">
        <f>SUMIFS(Input!$C$115:$C$3257,Input!$A$115:$A$3257,"="&amp;'Output - County'!A2273,Input!$B$115:$B$3257,"="&amp;'Output - County'!B2273)*VLOOKUP(A2273,'Output - State'!$B$2:$G$52,3,FALSE)</f>
        <v>14.982988313742995</v>
      </c>
      <c r="E2273" s="98">
        <f>SUMIFS(Input!$C$115:$C$3257,Input!$A$115:$A$3257,"="&amp;'Output - County'!A2273,Input!$B$115:$B$3257,"="&amp;'Output - County'!B2273)*VLOOKUP(A2273,'Output - State'!$B$2:$G$52,4,FALSE)</f>
        <v>1.3586462740397987</v>
      </c>
      <c r="F2273" s="98">
        <f>SUMIFS(Input!$C$115:$C$3257,Input!$A$115:$A$3257,"="&amp;'Output - County'!A2273,Input!$B$115:$B$3257,"="&amp;'Output - County'!B2273)*VLOOKUP(A2273,'Output - State'!$B$2:$G$52,5,FALSE)</f>
        <v>84.845180245887619</v>
      </c>
      <c r="G2273" s="99">
        <f>SUMIFS(Input!$D$115:$D$3257,Input!$A$115:$A$3257,"="&amp;'Output - County'!A2273,Input!$B$115:$B$3257,"="&amp;'Output - County'!B2273)*VLOOKUP(A2273,'Output - State'!$B$2:$G$52,6,FALSE)</f>
        <v>26.279299271193373</v>
      </c>
    </row>
    <row r="2274" spans="1:7" x14ac:dyDescent="0.25">
      <c r="A2274" s="88">
        <v>42</v>
      </c>
      <c r="B2274" s="88">
        <v>57</v>
      </c>
      <c r="C2274" s="97">
        <f>SUMIFS(Input!$C$115:$C$3257,Input!$A$115:$A$3257,"="&amp;'Output - County'!A2274,Input!$B$115:$B$3257,"="&amp;'Output - County'!B2274)*VLOOKUP(A2274,'Output - State'!$B$2:$G$52,2,FALSE)</f>
        <v>8.6030149584303786</v>
      </c>
      <c r="D2274" s="98">
        <f>SUMIFS(Input!$C$115:$C$3257,Input!$A$115:$A$3257,"="&amp;'Output - County'!A2274,Input!$B$115:$B$3257,"="&amp;'Output - County'!B2274)*VLOOKUP(A2274,'Output - State'!$B$2:$G$52,3,FALSE)</f>
        <v>4.0877274007771058</v>
      </c>
      <c r="E2274" s="98">
        <f>SUMIFS(Input!$C$115:$C$3257,Input!$A$115:$A$3257,"="&amp;'Output - County'!A2274,Input!$B$115:$B$3257,"="&amp;'Output - County'!B2274)*VLOOKUP(A2274,'Output - State'!$B$2:$G$52,4,FALSE)</f>
        <v>0.3706720906444318</v>
      </c>
      <c r="F2274" s="98">
        <f>SUMIFS(Input!$C$115:$C$3257,Input!$A$115:$A$3257,"="&amp;'Output - County'!A2274,Input!$B$115:$B$3257,"="&amp;'Output - County'!B2274)*VLOOKUP(A2274,'Output - State'!$B$2:$G$52,5,FALSE)</f>
        <v>23.147850138604625</v>
      </c>
      <c r="G2274" s="99">
        <f>SUMIFS(Input!$D$115:$D$3257,Input!$A$115:$A$3257,"="&amp;'Output - County'!A2274,Input!$B$115:$B$3257,"="&amp;'Output - County'!B2274)*VLOOKUP(A2274,'Output - State'!$B$2:$G$52,6,FALSE)</f>
        <v>2.4583860608535737</v>
      </c>
    </row>
    <row r="2275" spans="1:7" x14ac:dyDescent="0.25">
      <c r="A2275" s="88">
        <v>42</v>
      </c>
      <c r="B2275" s="88">
        <v>59</v>
      </c>
      <c r="C2275" s="97">
        <f>SUMIFS(Input!$C$115:$C$3257,Input!$A$115:$A$3257,"="&amp;'Output - County'!A2275,Input!$B$115:$B$3257,"="&amp;'Output - County'!B2275)*VLOOKUP(A2275,'Output - State'!$B$2:$G$52,2,FALSE)</f>
        <v>10.85087736898347</v>
      </c>
      <c r="D2275" s="98">
        <f>SUMIFS(Input!$C$115:$C$3257,Input!$A$115:$A$3257,"="&amp;'Output - County'!A2275,Input!$B$115:$B$3257,"="&amp;'Output - County'!B2275)*VLOOKUP(A2275,'Output - State'!$B$2:$G$52,3,FALSE)</f>
        <v>5.1558004906408508</v>
      </c>
      <c r="E2275" s="98">
        <f>SUMIFS(Input!$C$115:$C$3257,Input!$A$115:$A$3257,"="&amp;'Output - County'!A2275,Input!$B$115:$B$3257,"="&amp;'Output - County'!B2275)*VLOOKUP(A2275,'Output - State'!$B$2:$G$52,4,FALSE)</f>
        <v>0.46752416671623348</v>
      </c>
      <c r="F2275" s="98">
        <f>SUMIFS(Input!$C$115:$C$3257,Input!$A$115:$A$3257,"="&amp;'Output - County'!A2275,Input!$B$115:$B$3257,"="&amp;'Output - County'!B2275)*VLOOKUP(A2275,'Output - State'!$B$2:$G$52,5,FALSE)</f>
        <v>29.19609978865277</v>
      </c>
      <c r="G2275" s="99">
        <f>SUMIFS(Input!$D$115:$D$3257,Input!$A$115:$A$3257,"="&amp;'Output - County'!A2275,Input!$B$115:$B$3257,"="&amp;'Output - County'!B2275)*VLOOKUP(A2275,'Output - State'!$B$2:$G$52,6,FALSE)</f>
        <v>6.2222598919535281</v>
      </c>
    </row>
    <row r="2276" spans="1:7" x14ac:dyDescent="0.25">
      <c r="A2276" s="88">
        <v>42</v>
      </c>
      <c r="B2276" s="88">
        <v>61</v>
      </c>
      <c r="C2276" s="97">
        <f>SUMIFS(Input!$C$115:$C$3257,Input!$A$115:$A$3257,"="&amp;'Output - County'!A2276,Input!$B$115:$B$3257,"="&amp;'Output - County'!B2276)*VLOOKUP(A2276,'Output - State'!$B$2:$G$52,2,FALSE)</f>
        <v>7.9511172335619547</v>
      </c>
      <c r="D2276" s="98">
        <f>SUMIFS(Input!$C$115:$C$3257,Input!$A$115:$A$3257,"="&amp;'Output - County'!A2276,Input!$B$115:$B$3257,"="&amp;'Output - County'!B2276)*VLOOKUP(A2276,'Output - State'!$B$2:$G$52,3,FALSE)</f>
        <v>3.7779778298040134</v>
      </c>
      <c r="E2276" s="98">
        <f>SUMIFS(Input!$C$115:$C$3257,Input!$A$115:$A$3257,"="&amp;'Output - County'!A2276,Input!$B$115:$B$3257,"="&amp;'Output - County'!B2276)*VLOOKUP(A2276,'Output - State'!$B$2:$G$52,4,FALSE)</f>
        <v>0.34258422915274211</v>
      </c>
      <c r="F2276" s="98">
        <f>SUMIFS(Input!$C$115:$C$3257,Input!$A$115:$A$3257,"="&amp;'Output - County'!A2276,Input!$B$115:$B$3257,"="&amp;'Output - County'!B2276)*VLOOKUP(A2276,'Output - State'!$B$2:$G$52,5,FALSE)</f>
        <v>21.393810314907192</v>
      </c>
      <c r="G2276" s="99">
        <f>SUMIFS(Input!$D$115:$D$3257,Input!$A$115:$A$3257,"="&amp;'Output - County'!A2276,Input!$B$115:$B$3257,"="&amp;'Output - County'!B2276)*VLOOKUP(A2276,'Output - State'!$B$2:$G$52,6,FALSE)</f>
        <v>7.697291528465672</v>
      </c>
    </row>
    <row r="2277" spans="1:7" x14ac:dyDescent="0.25">
      <c r="A2277" s="88">
        <v>42</v>
      </c>
      <c r="B2277" s="88">
        <v>63</v>
      </c>
      <c r="C2277" s="97">
        <f>SUMIFS(Input!$C$115:$C$3257,Input!$A$115:$A$3257,"="&amp;'Output - County'!A2277,Input!$B$115:$B$3257,"="&amp;'Output - County'!B2277)*VLOOKUP(A2277,'Output - State'!$B$2:$G$52,2,FALSE)</f>
        <v>15.14246346547106</v>
      </c>
      <c r="D2277" s="98">
        <f>SUMIFS(Input!$C$115:$C$3257,Input!$A$115:$A$3257,"="&amp;'Output - County'!A2277,Input!$B$115:$B$3257,"="&amp;'Output - County'!B2277)*VLOOKUP(A2277,'Output - State'!$B$2:$G$52,3,FALSE)</f>
        <v>7.194950040440899</v>
      </c>
      <c r="E2277" s="98">
        <f>SUMIFS(Input!$C$115:$C$3257,Input!$A$115:$A$3257,"="&amp;'Output - County'!A2277,Input!$B$115:$B$3257,"="&amp;'Output - County'!B2277)*VLOOKUP(A2277,'Output - State'!$B$2:$G$52,4,FALSE)</f>
        <v>0.65243273635748256</v>
      </c>
      <c r="F2277" s="98">
        <f>SUMIFS(Input!$C$115:$C$3257,Input!$A$115:$A$3257,"="&amp;'Output - County'!A2277,Input!$B$115:$B$3257,"="&amp;'Output - County'!B2277)*VLOOKUP(A2277,'Output - State'!$B$2:$G$52,5,FALSE)</f>
        <v>40.743329718907212</v>
      </c>
      <c r="G2277" s="99">
        <f>SUMIFS(Input!$D$115:$D$3257,Input!$A$115:$A$3257,"="&amp;'Output - County'!A2277,Input!$B$115:$B$3257,"="&amp;'Output - County'!B2277)*VLOOKUP(A2277,'Output - State'!$B$2:$G$52,6,FALSE)</f>
        <v>14.309502312830455</v>
      </c>
    </row>
    <row r="2278" spans="1:7" x14ac:dyDescent="0.25">
      <c r="A2278" s="88">
        <v>42</v>
      </c>
      <c r="B2278" s="88">
        <v>65</v>
      </c>
      <c r="C2278" s="97">
        <f>SUMIFS(Input!$C$115:$C$3257,Input!$A$115:$A$3257,"="&amp;'Output - County'!A2278,Input!$B$115:$B$3257,"="&amp;'Output - County'!B2278)*VLOOKUP(A2278,'Output - State'!$B$2:$G$52,2,FALSE)</f>
        <v>10.67705210544767</v>
      </c>
      <c r="D2278" s="98">
        <f>SUMIFS(Input!$C$115:$C$3257,Input!$A$115:$A$3257,"="&amp;'Output - County'!A2278,Input!$B$115:$B$3257,"="&amp;'Output - County'!B2278)*VLOOKUP(A2278,'Output - State'!$B$2:$G$52,3,FALSE)</f>
        <v>5.0732073188126074</v>
      </c>
      <c r="E2278" s="98">
        <f>SUMIFS(Input!$C$115:$C$3257,Input!$A$115:$A$3257,"="&amp;'Output - County'!A2278,Input!$B$115:$B$3257,"="&amp;'Output - County'!B2278)*VLOOKUP(A2278,'Output - State'!$B$2:$G$52,4,FALSE)</f>
        <v>0.46003467911764512</v>
      </c>
      <c r="F2278" s="98">
        <f>SUMIFS(Input!$C$115:$C$3257,Input!$A$115:$A$3257,"="&amp;'Output - County'!A2278,Input!$B$115:$B$3257,"="&amp;'Output - County'!B2278)*VLOOKUP(A2278,'Output - State'!$B$2:$G$52,5,FALSE)</f>
        <v>28.728393854155097</v>
      </c>
      <c r="G2278" s="99">
        <f>SUMIFS(Input!$D$115:$D$3257,Input!$A$115:$A$3257,"="&amp;'Output - County'!A2278,Input!$B$115:$B$3257,"="&amp;'Output - County'!B2278)*VLOOKUP(A2278,'Output - State'!$B$2:$G$52,6,FALSE)</f>
        <v>7.3921125691872973</v>
      </c>
    </row>
    <row r="2279" spans="1:7" x14ac:dyDescent="0.25">
      <c r="A2279" s="88">
        <v>42</v>
      </c>
      <c r="B2279" s="88">
        <v>67</v>
      </c>
      <c r="C2279" s="97">
        <f>SUMIFS(Input!$C$115:$C$3257,Input!$A$115:$A$3257,"="&amp;'Output - County'!A2279,Input!$B$115:$B$3257,"="&amp;'Output - County'!B2279)*VLOOKUP(A2279,'Output - State'!$B$2:$G$52,2,FALSE)</f>
        <v>5.2588939148199563</v>
      </c>
      <c r="D2279" s="98">
        <f>SUMIFS(Input!$C$115:$C$3257,Input!$A$115:$A$3257,"="&amp;'Output - County'!A2279,Input!$B$115:$B$3257,"="&amp;'Output - County'!B2279)*VLOOKUP(A2279,'Output - State'!$B$2:$G$52,3,FALSE)</f>
        <v>2.498766404250405</v>
      </c>
      <c r="E2279" s="98">
        <f>SUMIFS(Input!$C$115:$C$3257,Input!$A$115:$A$3257,"="&amp;'Output - County'!A2279,Input!$B$115:$B$3257,"="&amp;'Output - County'!B2279)*VLOOKUP(A2279,'Output - State'!$B$2:$G$52,4,FALSE)</f>
        <v>0.22658628530842967</v>
      </c>
      <c r="F2279" s="98">
        <f>SUMIFS(Input!$C$115:$C$3257,Input!$A$115:$A$3257,"="&amp;'Output - County'!A2279,Input!$B$115:$B$3257,"="&amp;'Output - County'!B2279)*VLOOKUP(A2279,'Output - State'!$B$2:$G$52,5,FALSE)</f>
        <v>14.149933345842072</v>
      </c>
      <c r="G2279" s="99">
        <f>SUMIFS(Input!$D$115:$D$3257,Input!$A$115:$A$3257,"="&amp;'Output - County'!A2279,Input!$B$115:$B$3257,"="&amp;'Output - County'!B2279)*VLOOKUP(A2279,'Output - State'!$B$2:$G$52,6,FALSE)</f>
        <v>4.1877334967643636</v>
      </c>
    </row>
    <row r="2280" spans="1:7" x14ac:dyDescent="0.25">
      <c r="A2280" s="88">
        <v>42</v>
      </c>
      <c r="B2280" s="88">
        <v>69</v>
      </c>
      <c r="C2280" s="97">
        <f>SUMIFS(Input!$C$115:$C$3257,Input!$A$115:$A$3257,"="&amp;'Output - County'!A2280,Input!$B$115:$B$3257,"="&amp;'Output - County'!B2280)*VLOOKUP(A2280,'Output - State'!$B$2:$G$52,2,FALSE)</f>
        <v>36.954618507441467</v>
      </c>
      <c r="D2280" s="98">
        <f>SUMIFS(Input!$C$115:$C$3257,Input!$A$115:$A$3257,"="&amp;'Output - County'!A2280,Input!$B$115:$B$3257,"="&amp;'Output - County'!B2280)*VLOOKUP(A2280,'Output - State'!$B$2:$G$52,3,FALSE)</f>
        <v>17.559007788322415</v>
      </c>
      <c r="E2280" s="98">
        <f>SUMIFS(Input!$C$115:$C$3257,Input!$A$115:$A$3257,"="&amp;'Output - County'!A2280,Input!$B$115:$B$3257,"="&amp;'Output - County'!B2280)*VLOOKUP(A2280,'Output - State'!$B$2:$G$52,4,FALSE)</f>
        <v>1.5922378105012562</v>
      </c>
      <c r="F2280" s="98">
        <f>SUMIFS(Input!$C$115:$C$3257,Input!$A$115:$A$3257,"="&amp;'Output - County'!A2280,Input!$B$115:$B$3257,"="&amp;'Output - County'!B2280)*VLOOKUP(A2280,'Output - State'!$B$2:$G$52,5,FALSE)</f>
        <v>99.432579772665136</v>
      </c>
      <c r="G2280" s="99">
        <f>SUMIFS(Input!$D$115:$D$3257,Input!$A$115:$A$3257,"="&amp;'Output - County'!A2280,Input!$B$115:$B$3257,"="&amp;'Output - County'!B2280)*VLOOKUP(A2280,'Output - State'!$B$2:$G$52,6,FALSE)</f>
        <v>35.604211915810374</v>
      </c>
    </row>
    <row r="2281" spans="1:7" x14ac:dyDescent="0.25">
      <c r="A2281" s="88">
        <v>42</v>
      </c>
      <c r="B2281" s="88">
        <v>71</v>
      </c>
      <c r="C2281" s="97">
        <f>SUMIFS(Input!$C$115:$C$3257,Input!$A$115:$A$3257,"="&amp;'Output - County'!A2281,Input!$B$115:$B$3257,"="&amp;'Output - County'!B2281)*VLOOKUP(A2281,'Output - State'!$B$2:$G$52,2,FALSE)</f>
        <v>91.483066843600682</v>
      </c>
      <c r="D2281" s="98">
        <f>SUMIFS(Input!$C$115:$C$3257,Input!$A$115:$A$3257,"="&amp;'Output - County'!A2281,Input!$B$115:$B$3257,"="&amp;'Output - County'!B2281)*VLOOKUP(A2281,'Output - State'!$B$2:$G$52,3,FALSE)</f>
        <v>43.468230713379903</v>
      </c>
      <c r="E2281" s="98">
        <f>SUMIFS(Input!$C$115:$C$3257,Input!$A$115:$A$3257,"="&amp;'Output - County'!A2281,Input!$B$115:$B$3257,"="&amp;'Output - County'!B2281)*VLOOKUP(A2281,'Output - State'!$B$2:$G$52,4,FALSE)</f>
        <v>3.941666939943191</v>
      </c>
      <c r="F2281" s="98">
        <f>SUMIFS(Input!$C$115:$C$3257,Input!$A$115:$A$3257,"="&amp;'Output - County'!A2281,Input!$B$115:$B$3257,"="&amp;'Output - County'!B2281)*VLOOKUP(A2281,'Output - State'!$B$2:$G$52,5,FALSE)</f>
        <v>246.15048698020414</v>
      </c>
      <c r="G2281" s="99">
        <f>SUMIFS(Input!$D$115:$D$3257,Input!$A$115:$A$3257,"="&amp;'Output - County'!A2281,Input!$B$115:$B$3257,"="&amp;'Output - County'!B2281)*VLOOKUP(A2281,'Output - State'!$B$2:$G$52,6,FALSE)</f>
        <v>92.231863248575451</v>
      </c>
    </row>
    <row r="2282" spans="1:7" x14ac:dyDescent="0.25">
      <c r="A2282" s="88">
        <v>42</v>
      </c>
      <c r="B2282" s="88">
        <v>73</v>
      </c>
      <c r="C2282" s="97">
        <f>SUMIFS(Input!$C$115:$C$3257,Input!$A$115:$A$3257,"="&amp;'Output - County'!A2282,Input!$B$115:$B$3257,"="&amp;'Output - County'!B2282)*VLOOKUP(A2282,'Output - State'!$B$2:$G$52,2,FALSE)</f>
        <v>15.642614138806382</v>
      </c>
      <c r="D2282" s="98">
        <f>SUMIFS(Input!$C$115:$C$3257,Input!$A$115:$A$3257,"="&amp;'Output - County'!A2282,Input!$B$115:$B$3257,"="&amp;'Output - County'!B2282)*VLOOKUP(A2282,'Output - State'!$B$2:$G$52,3,FALSE)</f>
        <v>7.4325969144483031</v>
      </c>
      <c r="E2282" s="98">
        <f>SUMIFS(Input!$C$115:$C$3257,Input!$A$115:$A$3257,"="&amp;'Output - County'!A2282,Input!$B$115:$B$3257,"="&amp;'Output - County'!B2282)*VLOOKUP(A2282,'Output - State'!$B$2:$G$52,4,FALSE)</f>
        <v>0.67398237873497868</v>
      </c>
      <c r="F2282" s="98">
        <f>SUMIFS(Input!$C$115:$C$3257,Input!$A$115:$A$3257,"="&amp;'Output - County'!A2282,Input!$B$115:$B$3257,"="&amp;'Output - County'!B2282)*VLOOKUP(A2282,'Output - State'!$B$2:$G$52,5,FALSE)</f>
        <v>42.089068728897331</v>
      </c>
      <c r="G2282" s="99">
        <f>SUMIFS(Input!$D$115:$D$3257,Input!$A$115:$A$3257,"="&amp;'Output - County'!A2282,Input!$B$115:$B$3257,"="&amp;'Output - County'!B2282)*VLOOKUP(A2282,'Output - State'!$B$2:$G$52,6,FALSE)</f>
        <v>14.597726885482254</v>
      </c>
    </row>
    <row r="2283" spans="1:7" x14ac:dyDescent="0.25">
      <c r="A2283" s="88">
        <v>42</v>
      </c>
      <c r="B2283" s="88">
        <v>75</v>
      </c>
      <c r="C2283" s="97">
        <f>SUMIFS(Input!$C$115:$C$3257,Input!$A$115:$A$3257,"="&amp;'Output - County'!A2283,Input!$B$115:$B$3257,"="&amp;'Output - County'!B2283)*VLOOKUP(A2283,'Output - State'!$B$2:$G$52,2,FALSE)</f>
        <v>26.505410633599141</v>
      </c>
      <c r="D2283" s="98">
        <f>SUMIFS(Input!$C$115:$C$3257,Input!$A$115:$A$3257,"="&amp;'Output - County'!A2283,Input!$B$115:$B$3257,"="&amp;'Output - County'!B2283)*VLOOKUP(A2283,'Output - State'!$B$2:$G$52,3,FALSE)</f>
        <v>12.594060784427603</v>
      </c>
      <c r="E2283" s="98">
        <f>SUMIFS(Input!$C$115:$C$3257,Input!$A$115:$A$3257,"="&amp;'Output - County'!A2283,Input!$B$115:$B$3257,"="&amp;'Output - County'!B2283)*VLOOKUP(A2283,'Output - State'!$B$2:$G$52,4,FALSE)</f>
        <v>1.142020096491601</v>
      </c>
      <c r="F2283" s="98">
        <f>SUMIFS(Input!$C$115:$C$3257,Input!$A$115:$A$3257,"="&amp;'Output - County'!A2283,Input!$B$115:$B$3257,"="&amp;'Output - County'!B2283)*VLOOKUP(A2283,'Output - State'!$B$2:$G$52,5,FALSE)</f>
        <v>71.317238918374656</v>
      </c>
      <c r="G2283" s="99">
        <f>SUMIFS(Input!$D$115:$D$3257,Input!$A$115:$A$3257,"="&amp;'Output - County'!A2283,Input!$B$115:$B$3257,"="&amp;'Output - County'!B2283)*VLOOKUP(A2283,'Output - State'!$B$2:$G$52,6,FALSE)</f>
        <v>23.905685143472681</v>
      </c>
    </row>
    <row r="2284" spans="1:7" x14ac:dyDescent="0.25">
      <c r="A2284" s="88">
        <v>42</v>
      </c>
      <c r="B2284" s="88">
        <v>77</v>
      </c>
      <c r="C2284" s="97">
        <f>SUMIFS(Input!$C$115:$C$3257,Input!$A$115:$A$3257,"="&amp;'Output - County'!A2284,Input!$B$115:$B$3257,"="&amp;'Output - County'!B2284)*VLOOKUP(A2284,'Output - State'!$B$2:$G$52,2,FALSE)</f>
        <v>64.890223887240268</v>
      </c>
      <c r="D2284" s="98">
        <f>SUMIFS(Input!$C$115:$C$3257,Input!$A$115:$A$3257,"="&amp;'Output - County'!A2284,Input!$B$115:$B$3257,"="&amp;'Output - County'!B2284)*VLOOKUP(A2284,'Output - State'!$B$2:$G$52,3,FALSE)</f>
        <v>30.8326264115701</v>
      </c>
      <c r="E2284" s="98">
        <f>SUMIFS(Input!$C$115:$C$3257,Input!$A$115:$A$3257,"="&amp;'Output - County'!A2284,Input!$B$115:$B$3257,"="&amp;'Output - County'!B2284)*VLOOKUP(A2284,'Output - State'!$B$2:$G$52,4,FALSE)</f>
        <v>2.7958797080898101</v>
      </c>
      <c r="F2284" s="98">
        <f>SUMIFS(Input!$C$115:$C$3257,Input!$A$115:$A$3257,"="&amp;'Output - County'!A2284,Input!$B$115:$B$3257,"="&amp;'Output - County'!B2284)*VLOOKUP(A2284,'Output - State'!$B$2:$G$52,5,FALSE)</f>
        <v>174.5979967790725</v>
      </c>
      <c r="G2284" s="99">
        <f>SUMIFS(Input!$D$115:$D$3257,Input!$A$115:$A$3257,"="&amp;'Output - County'!A2284,Input!$B$115:$B$3257,"="&amp;'Output - County'!B2284)*VLOOKUP(A2284,'Output - State'!$B$2:$G$52,6,FALSE)</f>
        <v>62.392142785801042</v>
      </c>
    </row>
    <row r="2285" spans="1:7" x14ac:dyDescent="0.25">
      <c r="A2285" s="88">
        <v>42</v>
      </c>
      <c r="B2285" s="88">
        <v>79</v>
      </c>
      <c r="C2285" s="97">
        <f>SUMIFS(Input!$C$115:$C$3257,Input!$A$115:$A$3257,"="&amp;'Output - County'!A2285,Input!$B$115:$B$3257,"="&amp;'Output - County'!B2285)*VLOOKUP(A2285,'Output - State'!$B$2:$G$52,2,FALSE)</f>
        <v>61.292744682793064</v>
      </c>
      <c r="D2285" s="98">
        <f>SUMIFS(Input!$C$115:$C$3257,Input!$A$115:$A$3257,"="&amp;'Output - County'!A2285,Input!$B$115:$B$3257,"="&amp;'Output - County'!B2285)*VLOOKUP(A2285,'Output - State'!$B$2:$G$52,3,FALSE)</f>
        <v>29.123282142287596</v>
      </c>
      <c r="E2285" s="98">
        <f>SUMIFS(Input!$C$115:$C$3257,Input!$A$115:$A$3257,"="&amp;'Output - County'!A2285,Input!$B$115:$B$3257,"="&amp;'Output - County'!B2285)*VLOOKUP(A2285,'Output - State'!$B$2:$G$52,4,FALSE)</f>
        <v>2.6408776368152993</v>
      </c>
      <c r="F2285" s="98">
        <f>SUMIFS(Input!$C$115:$C$3257,Input!$A$115:$A$3257,"="&amp;'Output - County'!A2285,Input!$B$115:$B$3257,"="&amp;'Output - County'!B2285)*VLOOKUP(A2285,'Output - State'!$B$2:$G$52,5,FALSE)</f>
        <v>164.91837749401157</v>
      </c>
      <c r="G2285" s="99">
        <f>SUMIFS(Input!$D$115:$D$3257,Input!$A$115:$A$3257,"="&amp;'Output - County'!A2285,Input!$B$115:$B$3257,"="&amp;'Output - County'!B2285)*VLOOKUP(A2285,'Output - State'!$B$2:$G$52,6,FALSE)</f>
        <v>53.914949472512859</v>
      </c>
    </row>
    <row r="2286" spans="1:7" x14ac:dyDescent="0.25">
      <c r="A2286" s="88">
        <v>42</v>
      </c>
      <c r="B2286" s="88">
        <v>81</v>
      </c>
      <c r="C2286" s="97">
        <f>SUMIFS(Input!$C$115:$C$3257,Input!$A$115:$A$3257,"="&amp;'Output - County'!A2286,Input!$B$115:$B$3257,"="&amp;'Output - County'!B2286)*VLOOKUP(A2286,'Output - State'!$B$2:$G$52,2,FALSE)</f>
        <v>21.944199872322343</v>
      </c>
      <c r="D2286" s="98">
        <f>SUMIFS(Input!$C$115:$C$3257,Input!$A$115:$A$3257,"="&amp;'Output - County'!A2286,Input!$B$115:$B$3257,"="&amp;'Output - County'!B2286)*VLOOKUP(A2286,'Output - State'!$B$2:$G$52,3,FALSE)</f>
        <v>10.426798923361126</v>
      </c>
      <c r="E2286" s="98">
        <f>SUMIFS(Input!$C$115:$C$3257,Input!$A$115:$A$3257,"="&amp;'Output - County'!A2286,Input!$B$115:$B$3257,"="&amp;'Output - County'!B2286)*VLOOKUP(A2286,'Output - State'!$B$2:$G$52,4,FALSE)</f>
        <v>0.94549439742890617</v>
      </c>
      <c r="F2286" s="98">
        <f>SUMIFS(Input!$C$115:$C$3257,Input!$A$115:$A$3257,"="&amp;'Output - County'!A2286,Input!$B$115:$B$3257,"="&amp;'Output - County'!B2286)*VLOOKUP(A2286,'Output - State'!$B$2:$G$52,5,FALSE)</f>
        <v>59.044538747237276</v>
      </c>
      <c r="G2286" s="99">
        <f>SUMIFS(Input!$D$115:$D$3257,Input!$A$115:$A$3257,"="&amp;'Output - County'!A2286,Input!$B$115:$B$3257,"="&amp;'Output - County'!B2286)*VLOOKUP(A2286,'Output - State'!$B$2:$G$52,6,FALSE)</f>
        <v>19.328000754297062</v>
      </c>
    </row>
    <row r="2287" spans="1:7" x14ac:dyDescent="0.25">
      <c r="A2287" s="88">
        <v>42</v>
      </c>
      <c r="B2287" s="88">
        <v>83</v>
      </c>
      <c r="C2287" s="97">
        <f>SUMIFS(Input!$C$115:$C$3257,Input!$A$115:$A$3257,"="&amp;'Output - County'!A2287,Input!$B$115:$B$3257,"="&amp;'Output - County'!B2287)*VLOOKUP(A2287,'Output - State'!$B$2:$G$52,2,FALSE)</f>
        <v>6.5931139599130431</v>
      </c>
      <c r="D2287" s="98">
        <f>SUMIFS(Input!$C$115:$C$3257,Input!$A$115:$A$3257,"="&amp;'Output - County'!A2287,Input!$B$115:$B$3257,"="&amp;'Output - County'!B2287)*VLOOKUP(A2287,'Output - State'!$B$2:$G$52,3,FALSE)</f>
        <v>3.1327218098083822</v>
      </c>
      <c r="E2287" s="98">
        <f>SUMIFS(Input!$C$115:$C$3257,Input!$A$115:$A$3257,"="&amp;'Output - County'!A2287,Input!$B$115:$B$3257,"="&amp;'Output - County'!B2287)*VLOOKUP(A2287,'Output - State'!$B$2:$G$52,4,FALSE)</f>
        <v>0.28407289156031446</v>
      </c>
      <c r="F2287" s="98">
        <f>SUMIFS(Input!$C$115:$C$3257,Input!$A$115:$A$3257,"="&amp;'Output - County'!A2287,Input!$B$115:$B$3257,"="&amp;'Output - County'!B2287)*VLOOKUP(A2287,'Output - State'!$B$2:$G$52,5,FALSE)</f>
        <v>17.739875453925062</v>
      </c>
      <c r="G2287" s="99">
        <f>SUMIFS(Input!$D$115:$D$3257,Input!$A$115:$A$3257,"="&amp;'Output - County'!A2287,Input!$B$115:$B$3257,"="&amp;'Output - County'!B2287)*VLOOKUP(A2287,'Output - State'!$B$2:$G$52,6,FALSE)</f>
        <v>6.951298516896312</v>
      </c>
    </row>
    <row r="2288" spans="1:7" x14ac:dyDescent="0.25">
      <c r="A2288" s="88">
        <v>42</v>
      </c>
      <c r="B2288" s="88">
        <v>85</v>
      </c>
      <c r="C2288" s="97">
        <f>SUMIFS(Input!$C$115:$C$3257,Input!$A$115:$A$3257,"="&amp;'Output - County'!A2288,Input!$B$115:$B$3257,"="&amp;'Output - County'!B2288)*VLOOKUP(A2288,'Output - State'!$B$2:$G$52,2,FALSE)</f>
        <v>25.49418383459539</v>
      </c>
      <c r="D2288" s="98">
        <f>SUMIFS(Input!$C$115:$C$3257,Input!$A$115:$A$3257,"="&amp;'Output - County'!A2288,Input!$B$115:$B$3257,"="&amp;'Output - County'!B2288)*VLOOKUP(A2288,'Output - State'!$B$2:$G$52,3,FALSE)</f>
        <v>12.113575801585966</v>
      </c>
      <c r="E2288" s="98">
        <f>SUMIFS(Input!$C$115:$C$3257,Input!$A$115:$A$3257,"="&amp;'Output - County'!A2288,Input!$B$115:$B$3257,"="&amp;'Output - County'!B2288)*VLOOKUP(A2288,'Output - State'!$B$2:$G$52,4,FALSE)</f>
        <v>1.0984500744105532</v>
      </c>
      <c r="F2288" s="98">
        <f>SUMIFS(Input!$C$115:$C$3257,Input!$A$115:$A$3257,"="&amp;'Output - County'!A2288,Input!$B$115:$B$3257,"="&amp;'Output - County'!B2288)*VLOOKUP(A2288,'Output - State'!$B$2:$G$52,5,FALSE)</f>
        <v>68.596364142196151</v>
      </c>
      <c r="G2288" s="99">
        <f>SUMIFS(Input!$D$115:$D$3257,Input!$A$115:$A$3257,"="&amp;'Output - County'!A2288,Input!$B$115:$B$3257,"="&amp;'Output - County'!B2288)*VLOOKUP(A2288,'Output - State'!$B$2:$G$52,6,FALSE)</f>
        <v>18.649825289234009</v>
      </c>
    </row>
    <row r="2289" spans="1:7" x14ac:dyDescent="0.25">
      <c r="A2289" s="88">
        <v>42</v>
      </c>
      <c r="B2289" s="88">
        <v>87</v>
      </c>
      <c r="C2289" s="97">
        <f>SUMIFS(Input!$C$115:$C$3257,Input!$A$115:$A$3257,"="&amp;'Output - County'!A2289,Input!$B$115:$B$3257,"="&amp;'Output - County'!B2289)*VLOOKUP(A2289,'Output - State'!$B$2:$G$52,2,FALSE)</f>
        <v>8.2851564851803055</v>
      </c>
      <c r="D2289" s="98">
        <f>SUMIFS(Input!$C$115:$C$3257,Input!$A$115:$A$3257,"="&amp;'Output - County'!A2289,Input!$B$115:$B$3257,"="&amp;'Output - County'!B2289)*VLOOKUP(A2289,'Output - State'!$B$2:$G$52,3,FALSE)</f>
        <v>3.9366967682660872</v>
      </c>
      <c r="E2289" s="98">
        <f>SUMIFS(Input!$C$115:$C$3257,Input!$A$115:$A$3257,"="&amp;'Output - County'!A2289,Input!$B$115:$B$3257,"="&amp;'Output - County'!B2289)*VLOOKUP(A2289,'Output - State'!$B$2:$G$52,4,FALSE)</f>
        <v>0.35697674484090108</v>
      </c>
      <c r="F2289" s="98">
        <f>SUMIFS(Input!$C$115:$C$3257,Input!$A$115:$A$3257,"="&amp;'Output - County'!A2289,Input!$B$115:$B$3257,"="&amp;'Output - County'!B2289)*VLOOKUP(A2289,'Output - State'!$B$2:$G$52,5,FALSE)</f>
        <v>22.292598771539609</v>
      </c>
      <c r="G2289" s="99">
        <f>SUMIFS(Input!$D$115:$D$3257,Input!$A$115:$A$3257,"="&amp;'Output - County'!A2289,Input!$B$115:$B$3257,"="&amp;'Output - County'!B2289)*VLOOKUP(A2289,'Output - State'!$B$2:$G$52,6,FALSE)</f>
        <v>7.8329266214782827</v>
      </c>
    </row>
    <row r="2290" spans="1:7" x14ac:dyDescent="0.25">
      <c r="A2290" s="88">
        <v>42</v>
      </c>
      <c r="B2290" s="88">
        <v>89</v>
      </c>
      <c r="C2290" s="97">
        <f>SUMIFS(Input!$C$115:$C$3257,Input!$A$115:$A$3257,"="&amp;'Output - County'!A2290,Input!$B$115:$B$3257,"="&amp;'Output - County'!B2290)*VLOOKUP(A2290,'Output - State'!$B$2:$G$52,2,FALSE)</f>
        <v>33.180955962634485</v>
      </c>
      <c r="D2290" s="98">
        <f>SUMIFS(Input!$C$115:$C$3257,Input!$A$115:$A$3257,"="&amp;'Output - County'!A2290,Input!$B$115:$B$3257,"="&amp;'Output - County'!B2290)*VLOOKUP(A2290,'Output - State'!$B$2:$G$52,3,FALSE)</f>
        <v>15.765949905681214</v>
      </c>
      <c r="E2290" s="98">
        <f>SUMIFS(Input!$C$115:$C$3257,Input!$A$115:$A$3257,"="&amp;'Output - County'!A2290,Input!$B$115:$B$3257,"="&amp;'Output - County'!B2290)*VLOOKUP(A2290,'Output - State'!$B$2:$G$52,4,FALSE)</f>
        <v>1.4296446508207108</v>
      </c>
      <c r="F2290" s="98">
        <f>SUMIFS(Input!$C$115:$C$3257,Input!$A$115:$A$3257,"="&amp;'Output - County'!A2290,Input!$B$115:$B$3257,"="&amp;'Output - County'!B2290)*VLOOKUP(A2290,'Output - State'!$B$2:$G$52,5,FALSE)</f>
        <v>89.278909753149705</v>
      </c>
      <c r="G2290" s="99">
        <f>SUMIFS(Input!$D$115:$D$3257,Input!$A$115:$A$3257,"="&amp;'Output - County'!A2290,Input!$B$115:$B$3257,"="&amp;'Output - County'!B2290)*VLOOKUP(A2290,'Output - State'!$B$2:$G$52,6,FALSE)</f>
        <v>28.652913398914063</v>
      </c>
    </row>
    <row r="2291" spans="1:7" x14ac:dyDescent="0.25">
      <c r="A2291" s="88">
        <v>42</v>
      </c>
      <c r="B2291" s="88">
        <v>91</v>
      </c>
      <c r="C2291" s="97">
        <f>SUMIFS(Input!$C$115:$C$3257,Input!$A$115:$A$3257,"="&amp;'Output - County'!A2291,Input!$B$115:$B$3257,"="&amp;'Output - County'!B2291)*VLOOKUP(A2291,'Output - State'!$B$2:$G$52,2,FALSE)</f>
        <v>147.62632161326624</v>
      </c>
      <c r="D2291" s="98">
        <f>SUMIFS(Input!$C$115:$C$3257,Input!$A$115:$A$3257,"="&amp;'Output - County'!A2291,Input!$B$115:$B$3257,"="&amp;'Output - County'!B2291)*VLOOKUP(A2291,'Output - State'!$B$2:$G$52,3,FALSE)</f>
        <v>70.144729824412934</v>
      </c>
      <c r="E2291" s="98">
        <f>SUMIFS(Input!$C$115:$C$3257,Input!$A$115:$A$3257,"="&amp;'Output - County'!A2291,Input!$B$115:$B$3257,"="&amp;'Output - County'!B2291)*VLOOKUP(A2291,'Output - State'!$B$2:$G$52,4,FALSE)</f>
        <v>6.3606721051802655</v>
      </c>
      <c r="F2291" s="98">
        <f>SUMIFS(Input!$C$115:$C$3257,Input!$A$115:$A$3257,"="&amp;'Output - County'!A2291,Input!$B$115:$B$3257,"="&amp;'Output - County'!B2291)*VLOOKUP(A2291,'Output - State'!$B$2:$G$52,5,FALSE)</f>
        <v>397.21330088688012</v>
      </c>
      <c r="G2291" s="99">
        <f>SUMIFS(Input!$D$115:$D$3257,Input!$A$115:$A$3257,"="&amp;'Output - County'!A2291,Input!$B$115:$B$3257,"="&amp;'Output - County'!B2291)*VLOOKUP(A2291,'Output - State'!$B$2:$G$52,6,FALSE)</f>
        <v>140.21277740178655</v>
      </c>
    </row>
    <row r="2292" spans="1:7" x14ac:dyDescent="0.25">
      <c r="A2292" s="88">
        <v>42</v>
      </c>
      <c r="B2292" s="88">
        <v>93</v>
      </c>
      <c r="C2292" s="97">
        <f>SUMIFS(Input!$C$115:$C$3257,Input!$A$115:$A$3257,"="&amp;'Output - County'!A2292,Input!$B$115:$B$3257,"="&amp;'Output - County'!B2292)*VLOOKUP(A2292,'Output - State'!$B$2:$G$52,2,FALSE)</f>
        <v>5.6361807956787668</v>
      </c>
      <c r="D2292" s="98">
        <f>SUMIFS(Input!$C$115:$C$3257,Input!$A$115:$A$3257,"="&amp;'Output - County'!A2292,Input!$B$115:$B$3257,"="&amp;'Output - County'!B2292)*VLOOKUP(A2292,'Output - State'!$B$2:$G$52,3,FALSE)</f>
        <v>2.6780344780933998</v>
      </c>
      <c r="E2292" s="98">
        <f>SUMIFS(Input!$C$115:$C$3257,Input!$A$115:$A$3257,"="&amp;'Output - County'!A2292,Input!$B$115:$B$3257,"="&amp;'Output - County'!B2292)*VLOOKUP(A2292,'Output - State'!$B$2:$G$52,4,FALSE)</f>
        <v>0.24284218136073266</v>
      </c>
      <c r="F2292" s="98">
        <f>SUMIFS(Input!$C$115:$C$3257,Input!$A$115:$A$3257,"="&amp;'Output - County'!A2292,Input!$B$115:$B$3257,"="&amp;'Output - County'!B2292)*VLOOKUP(A2292,'Output - State'!$B$2:$G$52,5,FALSE)</f>
        <v>15.165086779792944</v>
      </c>
      <c r="G2292" s="99">
        <f>SUMIFS(Input!$D$115:$D$3257,Input!$A$115:$A$3257,"="&amp;'Output - County'!A2292,Input!$B$115:$B$3257,"="&amp;'Output - County'!B2292)*VLOOKUP(A2292,'Output - State'!$B$2:$G$52,6,FALSE)</f>
        <v>3.0856983660368993</v>
      </c>
    </row>
    <row r="2293" spans="1:7" x14ac:dyDescent="0.25">
      <c r="A2293" s="88">
        <v>42</v>
      </c>
      <c r="B2293" s="88">
        <v>95</v>
      </c>
      <c r="C2293" s="97">
        <f>SUMIFS(Input!$C$115:$C$3257,Input!$A$115:$A$3257,"="&amp;'Output - County'!A2293,Input!$B$115:$B$3257,"="&amp;'Output - County'!B2293)*VLOOKUP(A2293,'Output - State'!$B$2:$G$52,2,FALSE)</f>
        <v>47.860788710323732</v>
      </c>
      <c r="D2293" s="98">
        <f>SUMIFS(Input!$C$115:$C$3257,Input!$A$115:$A$3257,"="&amp;'Output - County'!A2293,Input!$B$115:$B$3257,"="&amp;'Output - County'!B2293)*VLOOKUP(A2293,'Output - State'!$B$2:$G$52,3,FALSE)</f>
        <v>22.74108070011874</v>
      </c>
      <c r="E2293" s="98">
        <f>SUMIFS(Input!$C$115:$C$3257,Input!$A$115:$A$3257,"="&amp;'Output - County'!A2293,Input!$B$115:$B$3257,"="&amp;'Output - County'!B2293)*VLOOKUP(A2293,'Output - State'!$B$2:$G$52,4,FALSE)</f>
        <v>2.0621443408932425</v>
      </c>
      <c r="F2293" s="98">
        <f>SUMIFS(Input!$C$115:$C$3257,Input!$A$115:$A$3257,"="&amp;'Output - County'!A2293,Input!$B$115:$B$3257,"="&amp;'Output - County'!B2293)*VLOOKUP(A2293,'Output - State'!$B$2:$G$52,5,FALSE)</f>
        <v>128.77745417568423</v>
      </c>
      <c r="G2293" s="99">
        <f>SUMIFS(Input!$D$115:$D$3257,Input!$A$115:$A$3257,"="&amp;'Output - County'!A2293,Input!$B$115:$B$3257,"="&amp;'Output - County'!B2293)*VLOOKUP(A2293,'Output - State'!$B$2:$G$52,6,FALSE)</f>
        <v>51.710879211057929</v>
      </c>
    </row>
    <row r="2294" spans="1:7" x14ac:dyDescent="0.25">
      <c r="A2294" s="88">
        <v>42</v>
      </c>
      <c r="B2294" s="88">
        <v>97</v>
      </c>
      <c r="C2294" s="97">
        <f>SUMIFS(Input!$C$115:$C$3257,Input!$A$115:$A$3257,"="&amp;'Output - County'!A2294,Input!$B$115:$B$3257,"="&amp;'Output - County'!B2294)*VLOOKUP(A2294,'Output - State'!$B$2:$G$52,2,FALSE)</f>
        <v>15.541137424489003</v>
      </c>
      <c r="D2294" s="98">
        <f>SUMIFS(Input!$C$115:$C$3257,Input!$A$115:$A$3257,"="&amp;'Output - County'!A2294,Input!$B$115:$B$3257,"="&amp;'Output - County'!B2294)*VLOOKUP(A2294,'Output - State'!$B$2:$G$52,3,FALSE)</f>
        <v>7.3843801965115876</v>
      </c>
      <c r="E2294" s="98">
        <f>SUMIFS(Input!$C$115:$C$3257,Input!$A$115:$A$3257,"="&amp;'Output - County'!A2294,Input!$B$115:$B$3257,"="&amp;'Output - County'!B2294)*VLOOKUP(A2294,'Output - State'!$B$2:$G$52,4,FALSE)</f>
        <v>0.66961012249347451</v>
      </c>
      <c r="F2294" s="98">
        <f>SUMIFS(Input!$C$115:$C$3257,Input!$A$115:$A$3257,"="&amp;'Output - County'!A2294,Input!$B$115:$B$3257,"="&amp;'Output - County'!B2294)*VLOOKUP(A2294,'Output - State'!$B$2:$G$52,5,FALSE)</f>
        <v>41.816028662487255</v>
      </c>
      <c r="G2294" s="99">
        <f>SUMIFS(Input!$D$115:$D$3257,Input!$A$115:$A$3257,"="&amp;'Output - County'!A2294,Input!$B$115:$B$3257,"="&amp;'Output - County'!B2294)*VLOOKUP(A2294,'Output - State'!$B$2:$G$52,6,FALSE)</f>
        <v>15.445446216811073</v>
      </c>
    </row>
    <row r="2295" spans="1:7" x14ac:dyDescent="0.25">
      <c r="A2295" s="88">
        <v>42</v>
      </c>
      <c r="B2295" s="88">
        <v>99</v>
      </c>
      <c r="C2295" s="97">
        <f>SUMIFS(Input!$C$115:$C$3257,Input!$A$115:$A$3257,"="&amp;'Output - County'!A2295,Input!$B$115:$B$3257,"="&amp;'Output - County'!B2295)*VLOOKUP(A2295,'Output - State'!$B$2:$G$52,2,FALSE)</f>
        <v>9.9647550425962788</v>
      </c>
      <c r="D2295" s="98">
        <f>SUMIFS(Input!$C$115:$C$3257,Input!$A$115:$A$3257,"="&amp;'Output - County'!A2295,Input!$B$115:$B$3257,"="&amp;'Output - County'!B2295)*VLOOKUP(A2295,'Output - State'!$B$2:$G$52,3,FALSE)</f>
        <v>4.7347589683936135</v>
      </c>
      <c r="E2295" s="98">
        <f>SUMIFS(Input!$C$115:$C$3257,Input!$A$115:$A$3257,"="&amp;'Output - County'!A2295,Input!$B$115:$B$3257,"="&amp;'Output - County'!B2295)*VLOOKUP(A2295,'Output - State'!$B$2:$G$52,4,FALSE)</f>
        <v>0.42934443357898278</v>
      </c>
      <c r="F2295" s="98">
        <f>SUMIFS(Input!$C$115:$C$3257,Input!$A$115:$A$3257,"="&amp;'Output - County'!A2295,Input!$B$115:$B$3257,"="&amp;'Output - County'!B2295)*VLOOKUP(A2295,'Output - State'!$B$2:$G$52,5,FALSE)</f>
        <v>26.811839513063898</v>
      </c>
      <c r="G2295" s="99">
        <f>SUMIFS(Input!$D$115:$D$3257,Input!$A$115:$A$3257,"="&amp;'Output - County'!A2295,Input!$B$115:$B$3257,"="&amp;'Output - County'!B2295)*VLOOKUP(A2295,'Output - State'!$B$2:$G$52,6,FALSE)</f>
        <v>7.8329266214782827</v>
      </c>
    </row>
    <row r="2296" spans="1:7" x14ac:dyDescent="0.25">
      <c r="A2296" s="88">
        <v>42</v>
      </c>
      <c r="B2296" s="88">
        <v>101</v>
      </c>
      <c r="C2296" s="97">
        <f>SUMIFS(Input!$C$115:$C$3257,Input!$A$115:$A$3257,"="&amp;'Output - County'!A2296,Input!$B$115:$B$3257,"="&amp;'Output - County'!B2296)*VLOOKUP(A2296,'Output - State'!$B$2:$G$52,2,FALSE)</f>
        <v>144.06649604573522</v>
      </c>
      <c r="D2296" s="98">
        <f>SUMIFS(Input!$C$115:$C$3257,Input!$A$115:$A$3257,"="&amp;'Output - County'!A2296,Input!$B$115:$B$3257,"="&amp;'Output - County'!B2296)*VLOOKUP(A2296,'Output - State'!$B$2:$G$52,3,FALSE)</f>
        <v>68.453276701909189</v>
      </c>
      <c r="E2296" s="98">
        <f>SUMIFS(Input!$C$115:$C$3257,Input!$A$115:$A$3257,"="&amp;'Output - County'!A2296,Input!$B$115:$B$3257,"="&amp;'Output - County'!B2296)*VLOOKUP(A2296,'Output - State'!$B$2:$G$52,4,FALSE)</f>
        <v>6.2072923898337082</v>
      </c>
      <c r="F2296" s="98">
        <f>SUMIFS(Input!$C$115:$C$3257,Input!$A$115:$A$3257,"="&amp;'Output - County'!A2296,Input!$B$115:$B$3257,"="&amp;'Output - County'!B2296)*VLOOKUP(A2296,'Output - State'!$B$2:$G$52,5,FALSE)</f>
        <v>387.63499500749384</v>
      </c>
      <c r="G2296" s="99">
        <f>SUMIFS(Input!$D$115:$D$3257,Input!$A$115:$A$3257,"="&amp;'Output - County'!A2296,Input!$B$115:$B$3257,"="&amp;'Output - County'!B2296)*VLOOKUP(A2296,'Output - State'!$B$2:$G$52,6,FALSE)</f>
        <v>267.87930869990663</v>
      </c>
    </row>
    <row r="2297" spans="1:7" x14ac:dyDescent="0.25">
      <c r="A2297" s="88">
        <v>42</v>
      </c>
      <c r="B2297" s="88">
        <v>103</v>
      </c>
      <c r="C2297" s="97">
        <f>SUMIFS(Input!$C$115:$C$3257,Input!$A$115:$A$3257,"="&amp;'Output - County'!A2297,Input!$B$115:$B$3257,"="&amp;'Output - County'!B2297)*VLOOKUP(A2297,'Output - State'!$B$2:$G$52,2,FALSE)</f>
        <v>10.877855505331272</v>
      </c>
      <c r="D2297" s="98">
        <f>SUMIFS(Input!$C$115:$C$3257,Input!$A$115:$A$3257,"="&amp;'Output - County'!A2297,Input!$B$115:$B$3257,"="&amp;'Output - County'!B2297)*VLOOKUP(A2297,'Output - State'!$B$2:$G$52,3,FALSE)</f>
        <v>5.1686191673145156</v>
      </c>
      <c r="E2297" s="98">
        <f>SUMIFS(Input!$C$115:$C$3257,Input!$A$115:$A$3257,"="&amp;'Output - County'!A2297,Input!$B$115:$B$3257,"="&amp;'Output - County'!B2297)*VLOOKUP(A2297,'Output - State'!$B$2:$G$52,4,FALSE)</f>
        <v>0.46868655481506288</v>
      </c>
      <c r="F2297" s="98">
        <f>SUMIFS(Input!$C$115:$C$3257,Input!$A$115:$A$3257,"="&amp;'Output - County'!A2297,Input!$B$115:$B$3257,"="&amp;'Output - County'!B2297)*VLOOKUP(A2297,'Output - State'!$B$2:$G$52,5,FALSE)</f>
        <v>29.268688975143242</v>
      </c>
      <c r="G2297" s="99">
        <f>SUMIFS(Input!$D$115:$D$3257,Input!$A$115:$A$3257,"="&amp;'Output - County'!A2297,Input!$B$115:$B$3257,"="&amp;'Output - County'!B2297)*VLOOKUP(A2297,'Output - State'!$B$2:$G$52,6,FALSE)</f>
        <v>9.4605477376296143</v>
      </c>
    </row>
    <row r="2298" spans="1:7" x14ac:dyDescent="0.25">
      <c r="A2298" s="88">
        <v>42</v>
      </c>
      <c r="B2298" s="88">
        <v>105</v>
      </c>
      <c r="C2298" s="97">
        <f>SUMIFS(Input!$C$115:$C$3257,Input!$A$115:$A$3257,"="&amp;'Output - County'!A2298,Input!$B$115:$B$3257,"="&amp;'Output - County'!B2298)*VLOOKUP(A2298,'Output - State'!$B$2:$G$52,2,FALSE)</f>
        <v>2.6516907153009015</v>
      </c>
      <c r="D2298" s="98">
        <f>SUMIFS(Input!$C$115:$C$3257,Input!$A$115:$A$3257,"="&amp;'Output - County'!A2298,Input!$B$115:$B$3257,"="&amp;'Output - County'!B2298)*VLOOKUP(A2298,'Output - State'!$B$2:$G$52,3,FALSE)</f>
        <v>1.2599523362097453</v>
      </c>
      <c r="E2298" s="98">
        <f>SUMIFS(Input!$C$115:$C$3257,Input!$A$115:$A$3257,"="&amp;'Output - County'!A2298,Input!$B$115:$B$3257,"="&amp;'Output - County'!B2298)*VLOOKUP(A2298,'Output - State'!$B$2:$G$52,4,FALSE)</f>
        <v>0.11425154389855272</v>
      </c>
      <c r="F2298" s="98">
        <f>SUMIFS(Input!$C$115:$C$3257,Input!$A$115:$A$3257,"="&amp;'Output - County'!A2298,Input!$B$115:$B$3257,"="&amp;'Output - County'!B2298)*VLOOKUP(A2298,'Output - State'!$B$2:$G$52,5,FALSE)</f>
        <v>7.1348172226023348</v>
      </c>
      <c r="G2298" s="99">
        <f>SUMIFS(Input!$D$115:$D$3257,Input!$A$115:$A$3257,"="&amp;'Output - County'!A2298,Input!$B$115:$B$3257,"="&amp;'Output - County'!B2298)*VLOOKUP(A2298,'Output - State'!$B$2:$G$52,6,FALSE)</f>
        <v>2.8144281800116775</v>
      </c>
    </row>
    <row r="2299" spans="1:7" x14ac:dyDescent="0.25">
      <c r="A2299" s="88">
        <v>42</v>
      </c>
      <c r="B2299" s="88">
        <v>107</v>
      </c>
      <c r="C2299" s="97">
        <f>SUMIFS(Input!$C$115:$C$3257,Input!$A$115:$A$3257,"="&amp;'Output - County'!A2299,Input!$B$115:$B$3257,"="&amp;'Output - County'!B2299)*VLOOKUP(A2299,'Output - State'!$B$2:$G$52,2,FALSE)</f>
        <v>28.725312289127825</v>
      </c>
      <c r="D2299" s="98">
        <f>SUMIFS(Input!$C$115:$C$3257,Input!$A$115:$A$3257,"="&amp;'Output - County'!A2299,Input!$B$115:$B$3257,"="&amp;'Output - County'!B2299)*VLOOKUP(A2299,'Output - State'!$B$2:$G$52,3,FALSE)</f>
        <v>13.648848305800305</v>
      </c>
      <c r="E2299" s="98">
        <f>SUMIFS(Input!$C$115:$C$3257,Input!$A$115:$A$3257,"="&amp;'Output - County'!A2299,Input!$B$115:$B$3257,"="&amp;'Output - County'!B2299)*VLOOKUP(A2299,'Output - State'!$B$2:$G$52,4,FALSE)</f>
        <v>1.2376674470606603</v>
      </c>
      <c r="F2299" s="98">
        <f>SUMIFS(Input!$C$115:$C$3257,Input!$A$115:$A$3257,"="&amp;'Output - County'!A2299,Input!$B$115:$B$3257,"="&amp;'Output - County'!B2299)*VLOOKUP(A2299,'Output - State'!$B$2:$G$52,5,FALSE)</f>
        <v>77.290255482092647</v>
      </c>
      <c r="G2299" s="99">
        <f>SUMIFS(Input!$D$115:$D$3257,Input!$A$115:$A$3257,"="&amp;'Output - County'!A2299,Input!$B$115:$B$3257,"="&amp;'Output - County'!B2299)*VLOOKUP(A2299,'Output - State'!$B$2:$G$52,6,FALSE)</f>
        <v>24.075229009738447</v>
      </c>
    </row>
    <row r="2300" spans="1:7" x14ac:dyDescent="0.25">
      <c r="A2300" s="88">
        <v>42</v>
      </c>
      <c r="B2300" s="88">
        <v>109</v>
      </c>
      <c r="C2300" s="97">
        <f>SUMIFS(Input!$C$115:$C$3257,Input!$A$115:$A$3257,"="&amp;'Output - County'!A2300,Input!$B$115:$B$3257,"="&amp;'Output - County'!B2300)*VLOOKUP(A2300,'Output - State'!$B$2:$G$52,2,FALSE)</f>
        <v>8.1970254128202047</v>
      </c>
      <c r="D2300" s="98">
        <f>SUMIFS(Input!$C$115:$C$3257,Input!$A$115:$A$3257,"="&amp;'Output - County'!A2300,Input!$B$115:$B$3257,"="&amp;'Output - County'!B2300)*VLOOKUP(A2300,'Output - State'!$B$2:$G$52,3,FALSE)</f>
        <v>3.8948212396186301</v>
      </c>
      <c r="E2300" s="98">
        <f>SUMIFS(Input!$C$115:$C$3257,Input!$A$115:$A$3257,"="&amp;'Output - County'!A2300,Input!$B$115:$B$3257,"="&amp;'Output - County'!B2300)*VLOOKUP(A2300,'Output - State'!$B$2:$G$52,4,FALSE)</f>
        <v>0.35317950294369366</v>
      </c>
      <c r="F2300" s="98">
        <f>SUMIFS(Input!$C$115:$C$3257,Input!$A$115:$A$3257,"="&amp;'Output - County'!A2300,Input!$B$115:$B$3257,"="&amp;'Output - County'!B2300)*VLOOKUP(A2300,'Output - State'!$B$2:$G$52,5,FALSE)</f>
        <v>22.055467386158604</v>
      </c>
      <c r="G2300" s="99">
        <f>SUMIFS(Input!$D$115:$D$3257,Input!$A$115:$A$3257,"="&amp;'Output - County'!A2300,Input!$B$115:$B$3257,"="&amp;'Output - County'!B2300)*VLOOKUP(A2300,'Output - State'!$B$2:$G$52,6,FALSE)</f>
        <v>6.8665265837634299</v>
      </c>
    </row>
    <row r="2301" spans="1:7" x14ac:dyDescent="0.25">
      <c r="A2301" s="88">
        <v>42</v>
      </c>
      <c r="B2301" s="88">
        <v>111</v>
      </c>
      <c r="C2301" s="97">
        <f>SUMIFS(Input!$C$115:$C$3257,Input!$A$115:$A$3257,"="&amp;'Output - County'!A2301,Input!$B$115:$B$3257,"="&amp;'Output - County'!B2301)*VLOOKUP(A2301,'Output - State'!$B$2:$G$52,2,FALSE)</f>
        <v>19.793456448236963</v>
      </c>
      <c r="D2301" s="98">
        <f>SUMIFS(Input!$C$115:$C$3257,Input!$A$115:$A$3257,"="&amp;'Output - County'!A2301,Input!$B$115:$B$3257,"="&amp;'Output - County'!B2301)*VLOOKUP(A2301,'Output - State'!$B$2:$G$52,3,FALSE)</f>
        <v>9.4048719745930356</v>
      </c>
      <c r="E2301" s="98">
        <f>SUMIFS(Input!$C$115:$C$3257,Input!$A$115:$A$3257,"="&amp;'Output - County'!A2301,Input!$B$115:$B$3257,"="&amp;'Output - County'!B2301)*VLOOKUP(A2301,'Output - State'!$B$2:$G$52,4,FALSE)</f>
        <v>0.85282681922549164</v>
      </c>
      <c r="F2301" s="98">
        <f>SUMIFS(Input!$C$115:$C$3257,Input!$A$115:$A$3257,"="&amp;'Output - County'!A2301,Input!$B$115:$B$3257,"="&amp;'Output - County'!B2301)*VLOOKUP(A2301,'Output - State'!$B$2:$G$52,5,FALSE)</f>
        <v>53.25760396822335</v>
      </c>
      <c r="G2301" s="99">
        <f>SUMIFS(Input!$D$115:$D$3257,Input!$A$115:$A$3257,"="&amp;'Output - County'!A2301,Input!$B$115:$B$3257,"="&amp;'Output - County'!B2301)*VLOOKUP(A2301,'Output - State'!$B$2:$G$52,6,FALSE)</f>
        <v>12.529291717039937</v>
      </c>
    </row>
    <row r="2302" spans="1:7" x14ac:dyDescent="0.25">
      <c r="A2302" s="88">
        <v>42</v>
      </c>
      <c r="B2302" s="88">
        <v>113</v>
      </c>
      <c r="C2302" s="97">
        <f>SUMIFS(Input!$C$115:$C$3257,Input!$A$115:$A$3257,"="&amp;'Output - County'!A2302,Input!$B$115:$B$3257,"="&amp;'Output - County'!B2302)*VLOOKUP(A2302,'Output - State'!$B$2:$G$52,2,FALSE)</f>
        <v>1.3357762103539794</v>
      </c>
      <c r="D2302" s="98">
        <f>SUMIFS(Input!$C$115:$C$3257,Input!$A$115:$A$3257,"="&amp;'Output - County'!A2302,Input!$B$115:$B$3257,"="&amp;'Output - County'!B2302)*VLOOKUP(A2302,'Output - State'!$B$2:$G$52,3,FALSE)</f>
        <v>0.63469481835777208</v>
      </c>
      <c r="E2302" s="98">
        <f>SUMIFS(Input!$C$115:$C$3257,Input!$A$115:$A$3257,"="&amp;'Output - County'!A2302,Input!$B$115:$B$3257,"="&amp;'Output - County'!B2302)*VLOOKUP(A2302,'Output - State'!$B$2:$G$52,4,FALSE)</f>
        <v>5.7553655656475029E-2</v>
      </c>
      <c r="F2302" s="98">
        <f>SUMIFS(Input!$C$115:$C$3257,Input!$A$115:$A$3257,"="&amp;'Output - County'!A2302,Input!$B$115:$B$3257,"="&amp;'Output - County'!B2302)*VLOOKUP(A2302,'Output - State'!$B$2:$G$52,5,FALSE)</f>
        <v>3.5941292309026212</v>
      </c>
      <c r="G2302" s="99">
        <f>SUMIFS(Input!$D$115:$D$3257,Input!$A$115:$A$3257,"="&amp;'Output - County'!A2302,Input!$B$115:$B$3257,"="&amp;'Output - County'!B2302)*VLOOKUP(A2302,'Output - State'!$B$2:$G$52,6,FALSE)</f>
        <v>1.0308267068958432</v>
      </c>
    </row>
    <row r="2303" spans="1:7" x14ac:dyDescent="0.25">
      <c r="A2303" s="88">
        <v>42</v>
      </c>
      <c r="B2303" s="88">
        <v>115</v>
      </c>
      <c r="C2303" s="97">
        <f>SUMIFS(Input!$C$115:$C$3257,Input!$A$115:$A$3257,"="&amp;'Output - County'!A2303,Input!$B$115:$B$3257,"="&amp;'Output - County'!B2303)*VLOOKUP(A2303,'Output - State'!$B$2:$G$52,2,FALSE)</f>
        <v>11.63072087790794</v>
      </c>
      <c r="D2303" s="98">
        <f>SUMIFS(Input!$C$115:$C$3257,Input!$A$115:$A$3257,"="&amp;'Output - County'!A2303,Input!$B$115:$B$3257,"="&amp;'Output - County'!B2303)*VLOOKUP(A2303,'Output - State'!$B$2:$G$52,3,FALSE)</f>
        <v>5.5263435729384014</v>
      </c>
      <c r="E2303" s="98">
        <f>SUMIFS(Input!$C$115:$C$3257,Input!$A$115:$A$3257,"="&amp;'Output - County'!A2303,Input!$B$115:$B$3257,"="&amp;'Output - County'!B2303)*VLOOKUP(A2303,'Output - State'!$B$2:$G$52,4,FALSE)</f>
        <v>0.50112473875118713</v>
      </c>
      <c r="F2303" s="98">
        <f>SUMIFS(Input!$C$115:$C$3257,Input!$A$115:$A$3257,"="&amp;'Output - County'!A2303,Input!$B$115:$B$3257,"="&amp;'Output - County'!B2303)*VLOOKUP(A2303,'Output - State'!$B$2:$G$52,5,FALSE)</f>
        <v>31.294399136424772</v>
      </c>
      <c r="G2303" s="99">
        <f>SUMIFS(Input!$D$115:$D$3257,Input!$A$115:$A$3257,"="&amp;'Output - County'!A2303,Input!$B$115:$B$3257,"="&amp;'Output - County'!B2303)*VLOOKUP(A2303,'Output - State'!$B$2:$G$52,6,FALSE)</f>
        <v>6.8834809703900062</v>
      </c>
    </row>
    <row r="2304" spans="1:7" x14ac:dyDescent="0.25">
      <c r="A2304" s="88">
        <v>42</v>
      </c>
      <c r="B2304" s="88">
        <v>117</v>
      </c>
      <c r="C2304" s="97">
        <f>SUMIFS(Input!$C$115:$C$3257,Input!$A$115:$A$3257,"="&amp;'Output - County'!A2304,Input!$B$115:$B$3257,"="&amp;'Output - County'!B2304)*VLOOKUP(A2304,'Output - State'!$B$2:$G$52,2,FALSE)</f>
        <v>9.8166021275507891</v>
      </c>
      <c r="D2304" s="98">
        <f>SUMIFS(Input!$C$115:$C$3257,Input!$A$115:$A$3257,"="&amp;'Output - County'!A2304,Input!$B$115:$B$3257,"="&amp;'Output - County'!B2304)*VLOOKUP(A2304,'Output - State'!$B$2:$G$52,3,FALSE)</f>
        <v>4.6643640274034217</v>
      </c>
      <c r="E2304" s="98">
        <f>SUMIFS(Input!$C$115:$C$3257,Input!$A$115:$A$3257,"="&amp;'Output - County'!A2304,Input!$B$115:$B$3257,"="&amp;'Output - County'!B2304)*VLOOKUP(A2304,'Output - State'!$B$2:$G$52,4,FALSE)</f>
        <v>0.42296107251076054</v>
      </c>
      <c r="F2304" s="98">
        <f>SUMIFS(Input!$C$115:$C$3257,Input!$A$115:$A$3257,"="&amp;'Output - County'!A2304,Input!$B$115:$B$3257,"="&amp;'Output - County'!B2304)*VLOOKUP(A2304,'Output - State'!$B$2:$G$52,5,FALSE)</f>
        <v>26.413209324503111</v>
      </c>
      <c r="G2304" s="99">
        <f>SUMIFS(Input!$D$115:$D$3257,Input!$A$115:$A$3257,"="&amp;'Output - County'!A2304,Input!$B$115:$B$3257,"="&amp;'Output - County'!B2304)*VLOOKUP(A2304,'Output - State'!$B$2:$G$52,6,FALSE)</f>
        <v>6.9004353570165833</v>
      </c>
    </row>
    <row r="2305" spans="1:7" x14ac:dyDescent="0.25">
      <c r="A2305" s="88">
        <v>42</v>
      </c>
      <c r="B2305" s="88">
        <v>119</v>
      </c>
      <c r="C2305" s="97">
        <f>SUMIFS(Input!$C$115:$C$3257,Input!$A$115:$A$3257,"="&amp;'Output - County'!A2305,Input!$B$115:$B$3257,"="&amp;'Output - County'!B2305)*VLOOKUP(A2305,'Output - State'!$B$2:$G$52,2,FALSE)</f>
        <v>10.34757758731801</v>
      </c>
      <c r="D2305" s="98">
        <f>SUMIFS(Input!$C$115:$C$3257,Input!$A$115:$A$3257,"="&amp;'Output - County'!A2305,Input!$B$115:$B$3257,"="&amp;'Output - County'!B2305)*VLOOKUP(A2305,'Output - State'!$B$2:$G$52,3,FALSE)</f>
        <v>4.9166573160375142</v>
      </c>
      <c r="E2305" s="98">
        <f>SUMIFS(Input!$C$115:$C$3257,Input!$A$115:$A$3257,"="&amp;'Output - County'!A2305,Input!$B$115:$B$3257,"="&amp;'Output - County'!B2305)*VLOOKUP(A2305,'Output - State'!$B$2:$G$52,4,FALSE)</f>
        <v>0.44583884090984199</v>
      </c>
      <c r="F2305" s="98">
        <f>SUMIFS(Input!$C$115:$C$3257,Input!$A$115:$A$3257,"="&amp;'Output - County'!A2305,Input!$B$115:$B$3257,"="&amp;'Output - County'!B2305)*VLOOKUP(A2305,'Output - State'!$B$2:$G$52,5,FALSE)</f>
        <v>27.841887576180913</v>
      </c>
      <c r="G2305" s="99">
        <f>SUMIFS(Input!$D$115:$D$3257,Input!$A$115:$A$3257,"="&amp;'Output - County'!A2305,Input!$B$115:$B$3257,"="&amp;'Output - County'!B2305)*VLOOKUP(A2305,'Output - State'!$B$2:$G$52,6,FALSE)</f>
        <v>7.6294739819593662</v>
      </c>
    </row>
    <row r="2306" spans="1:7" x14ac:dyDescent="0.25">
      <c r="A2306" s="88">
        <v>42</v>
      </c>
      <c r="B2306" s="88">
        <v>121</v>
      </c>
      <c r="C2306" s="97">
        <f>SUMIFS(Input!$C$115:$C$3257,Input!$A$115:$A$3257,"="&amp;'Output - County'!A2306,Input!$B$115:$B$3257,"="&amp;'Output - County'!B2306)*VLOOKUP(A2306,'Output - State'!$B$2:$G$52,2,FALSE)</f>
        <v>11.421139096185515</v>
      </c>
      <c r="D2306" s="98">
        <f>SUMIFS(Input!$C$115:$C$3257,Input!$A$115:$A$3257,"="&amp;'Output - County'!A2306,Input!$B$115:$B$3257,"="&amp;'Output - County'!B2306)*VLOOKUP(A2306,'Output - State'!$B$2:$G$52,3,FALSE)</f>
        <v>5.4267606713637706</v>
      </c>
      <c r="E2306" s="98">
        <f>SUMIFS(Input!$C$115:$C$3257,Input!$A$115:$A$3257,"="&amp;'Output - County'!A2306,Input!$B$115:$B$3257,"="&amp;'Output - County'!B2306)*VLOOKUP(A2306,'Output - State'!$B$2:$G$52,4,FALSE)</f>
        <v>0.49209463505295864</v>
      </c>
      <c r="F2306" s="98">
        <f>SUMIFS(Input!$C$115:$C$3257,Input!$A$115:$A$3257,"="&amp;'Output - County'!A2306,Input!$B$115:$B$3257,"="&amp;'Output - County'!B2306)*VLOOKUP(A2306,'Output - State'!$B$2:$G$52,5,FALSE)</f>
        <v>30.73048431138562</v>
      </c>
      <c r="G2306" s="99">
        <f>SUMIFS(Input!$D$115:$D$3257,Input!$A$115:$A$3257,"="&amp;'Output - County'!A2306,Input!$B$115:$B$3257,"="&amp;'Output - County'!B2306)*VLOOKUP(A2306,'Output - State'!$B$2:$G$52,6,FALSE)</f>
        <v>8.6806459528071009</v>
      </c>
    </row>
    <row r="2307" spans="1:7" x14ac:dyDescent="0.25">
      <c r="A2307" s="88">
        <v>42</v>
      </c>
      <c r="B2307" s="88">
        <v>123</v>
      </c>
      <c r="C2307" s="97">
        <f>SUMIFS(Input!$C$115:$C$3257,Input!$A$115:$A$3257,"="&amp;'Output - County'!A2307,Input!$B$115:$B$3257,"="&amp;'Output - County'!B2307)*VLOOKUP(A2307,'Output - State'!$B$2:$G$52,2,FALSE)</f>
        <v>6.6041306287586625</v>
      </c>
      <c r="D2307" s="98">
        <f>SUMIFS(Input!$C$115:$C$3257,Input!$A$115:$A$3257,"="&amp;'Output - County'!A2307,Input!$B$115:$B$3257,"="&amp;'Output - County'!B2307)*VLOOKUP(A2307,'Output - State'!$B$2:$G$52,3,FALSE)</f>
        <v>3.1379563862124833</v>
      </c>
      <c r="E2307" s="98">
        <f>SUMIFS(Input!$C$115:$C$3257,Input!$A$115:$A$3257,"="&amp;'Output - County'!A2307,Input!$B$115:$B$3257,"="&amp;'Output - County'!B2307)*VLOOKUP(A2307,'Output - State'!$B$2:$G$52,4,FALSE)</f>
        <v>0.28454755906847007</v>
      </c>
      <c r="F2307" s="98">
        <f>SUMIFS(Input!$C$115:$C$3257,Input!$A$115:$A$3257,"="&amp;'Output - County'!A2307,Input!$B$115:$B$3257,"="&amp;'Output - County'!B2307)*VLOOKUP(A2307,'Output - State'!$B$2:$G$52,5,FALSE)</f>
        <v>17.769517643401343</v>
      </c>
      <c r="G2307" s="99">
        <f>SUMIFS(Input!$D$115:$D$3257,Input!$A$115:$A$3257,"="&amp;'Output - County'!A2307,Input!$B$115:$B$3257,"="&amp;'Output - County'!B2307)*VLOOKUP(A2307,'Output - State'!$B$2:$G$52,6,FALSE)</f>
        <v>6.713937104124243</v>
      </c>
    </row>
    <row r="2308" spans="1:7" x14ac:dyDescent="0.25">
      <c r="A2308" s="88">
        <v>42</v>
      </c>
      <c r="B2308" s="88">
        <v>125</v>
      </c>
      <c r="C2308" s="97">
        <f>SUMIFS(Input!$C$115:$C$3257,Input!$A$115:$A$3257,"="&amp;'Output - County'!A2308,Input!$B$115:$B$3257,"="&amp;'Output - County'!B2308)*VLOOKUP(A2308,'Output - State'!$B$2:$G$52,2,FALSE)</f>
        <v>48.015700847998446</v>
      </c>
      <c r="D2308" s="98">
        <f>SUMIFS(Input!$C$115:$C$3257,Input!$A$115:$A$3257,"="&amp;'Output - County'!A2308,Input!$B$115:$B$3257,"="&amp;'Output - County'!B2308)*VLOOKUP(A2308,'Output - State'!$B$2:$G$52,3,FALSE)</f>
        <v>22.814687289546477</v>
      </c>
      <c r="E2308" s="98">
        <f>SUMIFS(Input!$C$115:$C$3257,Input!$A$115:$A$3257,"="&amp;'Output - County'!A2308,Input!$B$115:$B$3257,"="&amp;'Output - County'!B2308)*VLOOKUP(A2308,'Output - State'!$B$2:$G$52,4,FALSE)</f>
        <v>2.0688189318611232</v>
      </c>
      <c r="F2308" s="98">
        <f>SUMIFS(Input!$C$115:$C$3257,Input!$A$115:$A$3257,"="&amp;'Output - County'!A2308,Input!$B$115:$B$3257,"="&amp;'Output - County'!B2308)*VLOOKUP(A2308,'Output - State'!$B$2:$G$52,5,FALSE)</f>
        <v>129.19427118284648</v>
      </c>
      <c r="G2308" s="99">
        <f>SUMIFS(Input!$D$115:$D$3257,Input!$A$115:$A$3257,"="&amp;'Output - County'!A2308,Input!$B$115:$B$3257,"="&amp;'Output - County'!B2308)*VLOOKUP(A2308,'Output - State'!$B$2:$G$52,6,FALSE)</f>
        <v>35.095580317013081</v>
      </c>
    </row>
    <row r="2309" spans="1:7" x14ac:dyDescent="0.25">
      <c r="A2309" s="88">
        <v>42</v>
      </c>
      <c r="B2309" s="88">
        <v>127</v>
      </c>
      <c r="C2309" s="97">
        <f>SUMIFS(Input!$C$115:$C$3257,Input!$A$115:$A$3257,"="&amp;'Output - County'!A2309,Input!$B$115:$B$3257,"="&amp;'Output - County'!B2309)*VLOOKUP(A2309,'Output - State'!$B$2:$G$52,2,FALSE)</f>
        <v>7.4836615945580869</v>
      </c>
      <c r="D2309" s="98">
        <f>SUMIFS(Input!$C$115:$C$3257,Input!$A$115:$A$3257,"="&amp;'Output - County'!A2309,Input!$B$115:$B$3257,"="&amp;'Output - County'!B2309)*VLOOKUP(A2309,'Output - State'!$B$2:$G$52,3,FALSE)</f>
        <v>3.555866019765674</v>
      </c>
      <c r="E2309" s="98">
        <f>SUMIFS(Input!$C$115:$C$3257,Input!$A$115:$A$3257,"="&amp;'Output - County'!A2309,Input!$B$115:$B$3257,"="&amp;'Output - County'!B2309)*VLOOKUP(A2309,'Output - State'!$B$2:$G$52,4,FALSE)</f>
        <v>0.32244329486048023</v>
      </c>
      <c r="F2309" s="98">
        <f>SUMIFS(Input!$C$115:$C$3257,Input!$A$115:$A$3257,"="&amp;'Output - County'!A2309,Input!$B$115:$B$3257,"="&amp;'Output - County'!B2309)*VLOOKUP(A2309,'Output - State'!$B$2:$G$52,5,FALSE)</f>
        <v>20.136042761277203</v>
      </c>
      <c r="G2309" s="99">
        <f>SUMIFS(Input!$D$115:$D$3257,Input!$A$115:$A$3257,"="&amp;'Output - County'!A2309,Input!$B$115:$B$3257,"="&amp;'Output - County'!B2309)*VLOOKUP(A2309,'Output - State'!$B$2:$G$52,6,FALSE)</f>
        <v>8.7145547260602552</v>
      </c>
    </row>
    <row r="2310" spans="1:7" x14ac:dyDescent="0.25">
      <c r="A2310" s="88">
        <v>42</v>
      </c>
      <c r="B2310" s="88">
        <v>129</v>
      </c>
      <c r="C2310" s="97">
        <f>SUMIFS(Input!$C$115:$C$3257,Input!$A$115:$A$3257,"="&amp;'Output - County'!A2310,Input!$B$115:$B$3257,"="&amp;'Output - County'!B2310)*VLOOKUP(A2310,'Output - State'!$B$2:$G$52,2,FALSE)</f>
        <v>68.772229225397012</v>
      </c>
      <c r="D2310" s="98">
        <f>SUMIFS(Input!$C$115:$C$3257,Input!$A$115:$A$3257,"="&amp;'Output - County'!A2310,Input!$B$115:$B$3257,"="&amp;'Output - County'!B2310)*VLOOKUP(A2310,'Output - State'!$B$2:$G$52,3,FALSE)</f>
        <v>32.677163433465687</v>
      </c>
      <c r="E2310" s="98">
        <f>SUMIFS(Input!$C$115:$C$3257,Input!$A$115:$A$3257,"="&amp;'Output - County'!A2310,Input!$B$115:$B$3257,"="&amp;'Output - County'!B2310)*VLOOKUP(A2310,'Output - State'!$B$2:$G$52,4,FALSE)</f>
        <v>2.9631409579586521</v>
      </c>
      <c r="F2310" s="98">
        <f>SUMIFS(Input!$C$115:$C$3257,Input!$A$115:$A$3257,"="&amp;'Output - County'!A2310,Input!$B$115:$B$3257,"="&amp;'Output - County'!B2310)*VLOOKUP(A2310,'Output - State'!$B$2:$G$52,5,FALSE)</f>
        <v>185.04318119861819</v>
      </c>
      <c r="G2310" s="99">
        <f>SUMIFS(Input!$D$115:$D$3257,Input!$A$115:$A$3257,"="&amp;'Output - County'!A2310,Input!$B$115:$B$3257,"="&amp;'Output - County'!B2310)*VLOOKUP(A2310,'Output - State'!$B$2:$G$52,6,FALSE)</f>
        <v>59.340353193017293</v>
      </c>
    </row>
    <row r="2311" spans="1:7" x14ac:dyDescent="0.25">
      <c r="A2311" s="88">
        <v>42</v>
      </c>
      <c r="B2311" s="88">
        <v>131</v>
      </c>
      <c r="C2311" s="97">
        <f>SUMIFS(Input!$C$115:$C$3257,Input!$A$115:$A$3257,"="&amp;'Output - County'!A2311,Input!$B$115:$B$3257,"="&amp;'Output - County'!B2311)*VLOOKUP(A2311,'Output - State'!$B$2:$G$52,2,FALSE)</f>
        <v>5.2520633156550405</v>
      </c>
      <c r="D2311" s="98">
        <f>SUMIFS(Input!$C$115:$C$3257,Input!$A$115:$A$3257,"="&amp;'Output - County'!A2311,Input!$B$115:$B$3257,"="&amp;'Output - County'!B2311)*VLOOKUP(A2311,'Output - State'!$B$2:$G$52,3,FALSE)</f>
        <v>2.4955208412117411</v>
      </c>
      <c r="E2311" s="98">
        <f>SUMIFS(Input!$C$115:$C$3257,Input!$A$115:$A$3257,"="&amp;'Output - County'!A2311,Input!$B$115:$B$3257,"="&amp;'Output - County'!B2311)*VLOOKUP(A2311,'Output - State'!$B$2:$G$52,4,FALSE)</f>
        <v>0.22629198005788115</v>
      </c>
      <c r="F2311" s="98">
        <f>SUMIFS(Input!$C$115:$C$3257,Input!$A$115:$A$3257,"="&amp;'Output - County'!A2311,Input!$B$115:$B$3257,"="&amp;'Output - County'!B2311)*VLOOKUP(A2311,'Output - State'!$B$2:$G$52,5,FALSE)</f>
        <v>14.131554476737421</v>
      </c>
      <c r="G2311" s="99">
        <f>SUMIFS(Input!$D$115:$D$3257,Input!$A$115:$A$3257,"="&amp;'Output - County'!A2311,Input!$B$115:$B$3257,"="&amp;'Output - County'!B2311)*VLOOKUP(A2311,'Output - State'!$B$2:$G$52,6,FALSE)</f>
        <v>4.5946387758021965</v>
      </c>
    </row>
    <row r="2312" spans="1:7" x14ac:dyDescent="0.25">
      <c r="A2312" s="88">
        <v>42</v>
      </c>
      <c r="B2312" s="88">
        <v>133</v>
      </c>
      <c r="C2312" s="97">
        <f>SUMIFS(Input!$C$115:$C$3257,Input!$A$115:$A$3257,"="&amp;'Output - County'!A2312,Input!$B$115:$B$3257,"="&amp;'Output - County'!B2312)*VLOOKUP(A2312,'Output - State'!$B$2:$G$52,2,FALSE)</f>
        <v>71.162598791801344</v>
      </c>
      <c r="D2312" s="98">
        <f>SUMIFS(Input!$C$115:$C$3257,Input!$A$115:$A$3257,"="&amp;'Output - County'!A2312,Input!$B$115:$B$3257,"="&amp;'Output - County'!B2312)*VLOOKUP(A2312,'Output - State'!$B$2:$G$52,3,FALSE)</f>
        <v>33.812948878660059</v>
      </c>
      <c r="E2312" s="98">
        <f>SUMIFS(Input!$C$115:$C$3257,Input!$A$115:$A$3257,"="&amp;'Output - County'!A2312,Input!$B$115:$B$3257,"="&amp;'Output - County'!B2312)*VLOOKUP(A2312,'Output - State'!$B$2:$G$52,4,FALSE)</f>
        <v>3.0661331402195531</v>
      </c>
      <c r="F2312" s="98">
        <f>SUMIFS(Input!$C$115:$C$3257,Input!$A$115:$A$3257,"="&amp;'Output - County'!A2312,Input!$B$115:$B$3257,"="&amp;'Output - County'!B2312)*VLOOKUP(A2312,'Output - State'!$B$2:$G$52,5,FALSE)</f>
        <v>191.47487017816454</v>
      </c>
      <c r="G2312" s="99">
        <f>SUMIFS(Input!$D$115:$D$3257,Input!$A$115:$A$3257,"="&amp;'Output - County'!A2312,Input!$B$115:$B$3257,"="&amp;'Output - County'!B2312)*VLOOKUP(A2312,'Output - State'!$B$2:$G$52,6,FALSE)</f>
        <v>75.955652087062148</v>
      </c>
    </row>
    <row r="2313" spans="1:7" x14ac:dyDescent="0.25">
      <c r="A2313" s="88">
        <v>44</v>
      </c>
      <c r="B2313" s="88">
        <v>1</v>
      </c>
      <c r="C2313" s="97">
        <f>SUMIFS(Input!$C$115:$C$3257,Input!$A$115:$A$3257,"="&amp;'Output - County'!A2313,Input!$B$115:$B$3257,"="&amp;'Output - County'!B2313)*VLOOKUP(A2313,'Output - State'!$B$2:$G$52,2,FALSE)</f>
        <v>11.654286284892391</v>
      </c>
      <c r="D2313" s="98">
        <f>SUMIFS(Input!$C$115:$C$3257,Input!$A$115:$A$3257,"="&amp;'Output - County'!A2313,Input!$B$115:$B$3257,"="&amp;'Output - County'!B2313)*VLOOKUP(A2313,'Output - State'!$B$2:$G$52,3,FALSE)</f>
        <v>0</v>
      </c>
      <c r="E2313" s="98">
        <f>SUMIFS(Input!$C$115:$C$3257,Input!$A$115:$A$3257,"="&amp;'Output - County'!A2313,Input!$B$115:$B$3257,"="&amp;'Output - County'!B2313)*VLOOKUP(A2313,'Output - State'!$B$2:$G$52,4,FALSE)</f>
        <v>0</v>
      </c>
      <c r="F2313" s="98">
        <f>SUMIFS(Input!$C$115:$C$3257,Input!$A$115:$A$3257,"="&amp;'Output - County'!A2313,Input!$B$115:$B$3257,"="&amp;'Output - County'!B2313)*VLOOKUP(A2313,'Output - State'!$B$2:$G$52,5,FALSE)</f>
        <v>0.80101726002221252</v>
      </c>
      <c r="G2313" s="99">
        <f>SUMIFS(Input!$D$115:$D$3257,Input!$A$115:$A$3257,"="&amp;'Output - County'!A2313,Input!$B$115:$B$3257,"="&amp;'Output - County'!B2313)*VLOOKUP(A2313,'Output - State'!$B$2:$G$52,6,FALSE)</f>
        <v>0.67481078888644352</v>
      </c>
    </row>
    <row r="2314" spans="1:7" x14ac:dyDescent="0.25">
      <c r="A2314" s="88">
        <v>44</v>
      </c>
      <c r="B2314" s="88">
        <v>3</v>
      </c>
      <c r="C2314" s="97">
        <f>SUMIFS(Input!$C$115:$C$3257,Input!$A$115:$A$3257,"="&amp;'Output - County'!A2314,Input!$B$115:$B$3257,"="&amp;'Output - County'!B2314)*VLOOKUP(A2314,'Output - State'!$B$2:$G$52,2,FALSE)</f>
        <v>84.863438831648168</v>
      </c>
      <c r="D2314" s="98">
        <f>SUMIFS(Input!$C$115:$C$3257,Input!$A$115:$A$3257,"="&amp;'Output - County'!A2314,Input!$B$115:$B$3257,"="&amp;'Output - County'!B2314)*VLOOKUP(A2314,'Output - State'!$B$2:$G$52,3,FALSE)</f>
        <v>0</v>
      </c>
      <c r="E2314" s="98">
        <f>SUMIFS(Input!$C$115:$C$3257,Input!$A$115:$A$3257,"="&amp;'Output - County'!A2314,Input!$B$115:$B$3257,"="&amp;'Output - County'!B2314)*VLOOKUP(A2314,'Output - State'!$B$2:$G$52,4,FALSE)</f>
        <v>0</v>
      </c>
      <c r="F2314" s="98">
        <f>SUMIFS(Input!$C$115:$C$3257,Input!$A$115:$A$3257,"="&amp;'Output - County'!A2314,Input!$B$115:$B$3257,"="&amp;'Output - County'!B2314)*VLOOKUP(A2314,'Output - State'!$B$2:$G$52,5,FALSE)</f>
        <v>5.8327964138918613</v>
      </c>
      <c r="G2314" s="99">
        <f>SUMIFS(Input!$D$115:$D$3257,Input!$A$115:$A$3257,"="&amp;'Output - County'!A2314,Input!$B$115:$B$3257,"="&amp;'Output - County'!B2314)*VLOOKUP(A2314,'Output - State'!$B$2:$G$52,6,FALSE)</f>
        <v>2.277139287600344</v>
      </c>
    </row>
    <row r="2315" spans="1:7" x14ac:dyDescent="0.25">
      <c r="A2315" s="88">
        <v>44</v>
      </c>
      <c r="B2315" s="88">
        <v>5</v>
      </c>
      <c r="C2315" s="97">
        <f>SUMIFS(Input!$C$115:$C$3257,Input!$A$115:$A$3257,"="&amp;'Output - County'!A2315,Input!$B$115:$B$3257,"="&amp;'Output - County'!B2315)*VLOOKUP(A2315,'Output - State'!$B$2:$G$52,2,FALSE)</f>
        <v>33.940600973367033</v>
      </c>
      <c r="D2315" s="98">
        <f>SUMIFS(Input!$C$115:$C$3257,Input!$A$115:$A$3257,"="&amp;'Output - County'!A2315,Input!$B$115:$B$3257,"="&amp;'Output - County'!B2315)*VLOOKUP(A2315,'Output - State'!$B$2:$G$52,3,FALSE)</f>
        <v>0</v>
      </c>
      <c r="E2315" s="98">
        <f>SUMIFS(Input!$C$115:$C$3257,Input!$A$115:$A$3257,"="&amp;'Output - County'!A2315,Input!$B$115:$B$3257,"="&amp;'Output - County'!B2315)*VLOOKUP(A2315,'Output - State'!$B$2:$G$52,4,FALSE)</f>
        <v>0</v>
      </c>
      <c r="F2315" s="98">
        <f>SUMIFS(Input!$C$115:$C$3257,Input!$A$115:$A$3257,"="&amp;'Output - County'!A2315,Input!$B$115:$B$3257,"="&amp;'Output - County'!B2315)*VLOOKUP(A2315,'Output - State'!$B$2:$G$52,5,FALSE)</f>
        <v>2.3327904026552519</v>
      </c>
      <c r="G2315" s="99">
        <f>SUMIFS(Input!$D$115:$D$3257,Input!$A$115:$A$3257,"="&amp;'Output - County'!A2315,Input!$B$115:$B$3257,"="&amp;'Output - County'!B2315)*VLOOKUP(A2315,'Output - State'!$B$2:$G$52,6,FALSE)</f>
        <v>1.1455121416282219</v>
      </c>
    </row>
    <row r="2316" spans="1:7" x14ac:dyDescent="0.25">
      <c r="A2316" s="88">
        <v>44</v>
      </c>
      <c r="B2316" s="88">
        <v>7</v>
      </c>
      <c r="C2316" s="97">
        <f>SUMIFS(Input!$C$115:$C$3257,Input!$A$115:$A$3257,"="&amp;'Output - County'!A2316,Input!$B$115:$B$3257,"="&amp;'Output - County'!B2316)*VLOOKUP(A2316,'Output - State'!$B$2:$G$52,2,FALSE)</f>
        <v>235.07638426503939</v>
      </c>
      <c r="D2316" s="98">
        <f>SUMIFS(Input!$C$115:$C$3257,Input!$A$115:$A$3257,"="&amp;'Output - County'!A2316,Input!$B$115:$B$3257,"="&amp;'Output - County'!B2316)*VLOOKUP(A2316,'Output - State'!$B$2:$G$52,3,FALSE)</f>
        <v>0</v>
      </c>
      <c r="E2316" s="98">
        <f>SUMIFS(Input!$C$115:$C$3257,Input!$A$115:$A$3257,"="&amp;'Output - County'!A2316,Input!$B$115:$B$3257,"="&amp;'Output - County'!B2316)*VLOOKUP(A2316,'Output - State'!$B$2:$G$52,4,FALSE)</f>
        <v>0</v>
      </c>
      <c r="F2316" s="98">
        <f>SUMIFS(Input!$C$115:$C$3257,Input!$A$115:$A$3257,"="&amp;'Output - County'!A2316,Input!$B$115:$B$3257,"="&amp;'Output - County'!B2316)*VLOOKUP(A2316,'Output - State'!$B$2:$G$52,5,FALSE)</f>
        <v>16.157166266286659</v>
      </c>
      <c r="G2316" s="99">
        <f>SUMIFS(Input!$D$115:$D$3257,Input!$A$115:$A$3257,"="&amp;'Output - County'!A2316,Input!$B$115:$B$3257,"="&amp;'Output - County'!B2316)*VLOOKUP(A2316,'Output - State'!$B$2:$G$52,6,FALSE)</f>
        <v>8.8447422329354826</v>
      </c>
    </row>
    <row r="2317" spans="1:7" x14ac:dyDescent="0.25">
      <c r="A2317" s="88">
        <v>44</v>
      </c>
      <c r="B2317" s="88">
        <v>9</v>
      </c>
      <c r="C2317" s="97">
        <f>SUMIFS(Input!$C$115:$C$3257,Input!$A$115:$A$3257,"="&amp;'Output - County'!A2317,Input!$B$115:$B$3257,"="&amp;'Output - County'!B2317)*VLOOKUP(A2317,'Output - State'!$B$2:$G$52,2,FALSE)</f>
        <v>73.283705203563599</v>
      </c>
      <c r="D2317" s="98">
        <f>SUMIFS(Input!$C$115:$C$3257,Input!$A$115:$A$3257,"="&amp;'Output - County'!A2317,Input!$B$115:$B$3257,"="&amp;'Output - County'!B2317)*VLOOKUP(A2317,'Output - State'!$B$2:$G$52,3,FALSE)</f>
        <v>0</v>
      </c>
      <c r="E2317" s="98">
        <f>SUMIFS(Input!$C$115:$C$3257,Input!$A$115:$A$3257,"="&amp;'Output - County'!A2317,Input!$B$115:$B$3257,"="&amp;'Output - County'!B2317)*VLOOKUP(A2317,'Output - State'!$B$2:$G$52,4,FALSE)</f>
        <v>0</v>
      </c>
      <c r="F2317" s="98">
        <f>SUMIFS(Input!$C$115:$C$3257,Input!$A$115:$A$3257,"="&amp;'Output - County'!A2317,Input!$B$115:$B$3257,"="&amp;'Output - County'!B2317)*VLOOKUP(A2317,'Output - State'!$B$2:$G$52,5,FALSE)</f>
        <v>5.0369032741652857</v>
      </c>
      <c r="G2317" s="99">
        <f>SUMIFS(Input!$D$115:$D$3257,Input!$A$115:$A$3257,"="&amp;'Output - County'!A2317,Input!$B$115:$B$3257,"="&amp;'Output - County'!B2317)*VLOOKUP(A2317,'Output - State'!$B$2:$G$52,6,FALSE)</f>
        <v>1.7495094526685571</v>
      </c>
    </row>
    <row r="2318" spans="1:7" x14ac:dyDescent="0.25">
      <c r="A2318" s="88">
        <v>45</v>
      </c>
      <c r="B2318" s="88">
        <v>1</v>
      </c>
      <c r="C2318" s="97">
        <f>SUMIFS(Input!$C$115:$C$3257,Input!$A$115:$A$3257,"="&amp;'Output - County'!A2318,Input!$B$115:$B$3257,"="&amp;'Output - County'!B2318)*VLOOKUP(A2318,'Output - State'!$B$2:$G$52,2,FALSE)</f>
        <v>4.2367141505395054</v>
      </c>
      <c r="D2318" s="98">
        <f>SUMIFS(Input!$C$115:$C$3257,Input!$A$115:$A$3257,"="&amp;'Output - County'!A2318,Input!$B$115:$B$3257,"="&amp;'Output - County'!B2318)*VLOOKUP(A2318,'Output - State'!$B$2:$G$52,3,FALSE)</f>
        <v>0.41053808760681315</v>
      </c>
      <c r="E2318" s="98">
        <f>SUMIFS(Input!$C$115:$C$3257,Input!$A$115:$A$3257,"="&amp;'Output - County'!A2318,Input!$B$115:$B$3257,"="&amp;'Output - County'!B2318)*VLOOKUP(A2318,'Output - State'!$B$2:$G$52,4,FALSE)</f>
        <v>0.15265688320131302</v>
      </c>
      <c r="F2318" s="98">
        <f>SUMIFS(Input!$C$115:$C$3257,Input!$A$115:$A$3257,"="&amp;'Output - County'!A2318,Input!$B$115:$B$3257,"="&amp;'Output - County'!B2318)*VLOOKUP(A2318,'Output - State'!$B$2:$G$52,5,FALSE)</f>
        <v>7.1218121493320146</v>
      </c>
      <c r="G2318" s="99">
        <f>SUMIFS(Input!$D$115:$D$3257,Input!$A$115:$A$3257,"="&amp;'Output - County'!A2318,Input!$B$115:$B$3257,"="&amp;'Output - County'!B2318)*VLOOKUP(A2318,'Output - State'!$B$2:$G$52,6,FALSE)</f>
        <v>4.479745359356782</v>
      </c>
    </row>
    <row r="2319" spans="1:7" x14ac:dyDescent="0.25">
      <c r="A2319" s="88">
        <v>45</v>
      </c>
      <c r="B2319" s="88">
        <v>3</v>
      </c>
      <c r="C2319" s="97">
        <f>SUMIFS(Input!$C$115:$C$3257,Input!$A$115:$A$3257,"="&amp;'Output - County'!A2319,Input!$B$115:$B$3257,"="&amp;'Output - County'!B2319)*VLOOKUP(A2319,'Output - State'!$B$2:$G$52,2,FALSE)</f>
        <v>43.462343028011425</v>
      </c>
      <c r="D2319" s="98">
        <f>SUMIFS(Input!$C$115:$C$3257,Input!$A$115:$A$3257,"="&amp;'Output - County'!A2319,Input!$B$115:$B$3257,"="&amp;'Output - County'!B2319)*VLOOKUP(A2319,'Output - State'!$B$2:$G$52,3,FALSE)</f>
        <v>4.2115060293503603</v>
      </c>
      <c r="E2319" s="98">
        <f>SUMIFS(Input!$C$115:$C$3257,Input!$A$115:$A$3257,"="&amp;'Output - County'!A2319,Input!$B$115:$B$3257,"="&amp;'Output - County'!B2319)*VLOOKUP(A2319,'Output - State'!$B$2:$G$52,4,FALSE)</f>
        <v>1.5660310295981752</v>
      </c>
      <c r="F2319" s="98">
        <f>SUMIFS(Input!$C$115:$C$3257,Input!$A$115:$A$3257,"="&amp;'Output - County'!A2319,Input!$B$115:$B$3257,"="&amp;'Output - County'!B2319)*VLOOKUP(A2319,'Output - State'!$B$2:$G$52,5,FALSE)</f>
        <v>73.059128281267576</v>
      </c>
      <c r="G2319" s="99">
        <f>SUMIFS(Input!$D$115:$D$3257,Input!$A$115:$A$3257,"="&amp;'Output - County'!A2319,Input!$B$115:$B$3257,"="&amp;'Output - County'!B2319)*VLOOKUP(A2319,'Output - State'!$B$2:$G$52,6,FALSE)</f>
        <v>30.775486411841307</v>
      </c>
    </row>
    <row r="2320" spans="1:7" x14ac:dyDescent="0.25">
      <c r="A2320" s="88">
        <v>45</v>
      </c>
      <c r="B2320" s="88">
        <v>5</v>
      </c>
      <c r="C2320" s="97">
        <f>SUMIFS(Input!$C$115:$C$3257,Input!$A$115:$A$3257,"="&amp;'Output - County'!A2320,Input!$B$115:$B$3257,"="&amp;'Output - County'!B2320)*VLOOKUP(A2320,'Output - State'!$B$2:$G$52,2,FALSE)</f>
        <v>1.9089143623987483</v>
      </c>
      <c r="D2320" s="98">
        <f>SUMIFS(Input!$C$115:$C$3257,Input!$A$115:$A$3257,"="&amp;'Output - County'!A2320,Input!$B$115:$B$3257,"="&amp;'Output - County'!B2320)*VLOOKUP(A2320,'Output - State'!$B$2:$G$52,3,FALSE)</f>
        <v>0.18497402087997056</v>
      </c>
      <c r="E2320" s="98">
        <f>SUMIFS(Input!$C$115:$C$3257,Input!$A$115:$A$3257,"="&amp;'Output - County'!A2320,Input!$B$115:$B$3257,"="&amp;'Output - County'!B2320)*VLOOKUP(A2320,'Output - State'!$B$2:$G$52,4,FALSE)</f>
        <v>6.8781821597500611E-2</v>
      </c>
      <c r="F2320" s="98">
        <f>SUMIFS(Input!$C$115:$C$3257,Input!$A$115:$A$3257,"="&amp;'Output - County'!A2320,Input!$B$115:$B$3257,"="&amp;'Output - County'!B2320)*VLOOKUP(A2320,'Output - State'!$B$2:$G$52,5,FALSE)</f>
        <v>3.2088380322837207</v>
      </c>
      <c r="G2320" s="99">
        <f>SUMIFS(Input!$D$115:$D$3257,Input!$A$115:$A$3257,"="&amp;'Output - County'!A2320,Input!$B$115:$B$3257,"="&amp;'Output - County'!B2320)*VLOOKUP(A2320,'Output - State'!$B$2:$G$52,6,FALSE)</f>
        <v>1.624362951441565</v>
      </c>
    </row>
    <row r="2321" spans="1:7" x14ac:dyDescent="0.25">
      <c r="A2321" s="88">
        <v>45</v>
      </c>
      <c r="B2321" s="88">
        <v>7</v>
      </c>
      <c r="C2321" s="97">
        <f>SUMIFS(Input!$C$115:$C$3257,Input!$A$115:$A$3257,"="&amp;'Output - County'!A2321,Input!$B$115:$B$3257,"="&amp;'Output - County'!B2321)*VLOOKUP(A2321,'Output - State'!$B$2:$G$52,2,FALSE)</f>
        <v>54.380170987216289</v>
      </c>
      <c r="D2321" s="98">
        <f>SUMIFS(Input!$C$115:$C$3257,Input!$A$115:$A$3257,"="&amp;'Output - County'!A2321,Input!$B$115:$B$3257,"="&amp;'Output - County'!B2321)*VLOOKUP(A2321,'Output - State'!$B$2:$G$52,3,FALSE)</f>
        <v>5.2694448120792821</v>
      </c>
      <c r="E2321" s="98">
        <f>SUMIFS(Input!$C$115:$C$3257,Input!$A$115:$A$3257,"="&amp;'Output - County'!A2321,Input!$B$115:$B$3257,"="&amp;'Output - County'!B2321)*VLOOKUP(A2321,'Output - State'!$B$2:$G$52,4,FALSE)</f>
        <v>1.9594211730819244</v>
      </c>
      <c r="F2321" s="98">
        <f>SUMIFS(Input!$C$115:$C$3257,Input!$A$115:$A$3257,"="&amp;'Output - County'!A2321,Input!$B$115:$B$3257,"="&amp;'Output - County'!B2321)*VLOOKUP(A2321,'Output - State'!$B$2:$G$52,5,FALSE)</f>
        <v>91.411728206915285</v>
      </c>
      <c r="G2321" s="99">
        <f>SUMIFS(Input!$D$115:$D$3257,Input!$A$115:$A$3257,"="&amp;'Output - County'!A2321,Input!$B$115:$B$3257,"="&amp;'Output - County'!B2321)*VLOOKUP(A2321,'Output - State'!$B$2:$G$52,6,FALSE)</f>
        <v>36.420693978510421</v>
      </c>
    </row>
    <row r="2322" spans="1:7" x14ac:dyDescent="0.25">
      <c r="A2322" s="88">
        <v>45</v>
      </c>
      <c r="B2322" s="88">
        <v>9</v>
      </c>
      <c r="C2322" s="97">
        <f>SUMIFS(Input!$C$115:$C$3257,Input!$A$115:$A$3257,"="&amp;'Output - County'!A2322,Input!$B$115:$B$3257,"="&amp;'Output - County'!B2322)*VLOOKUP(A2322,'Output - State'!$B$2:$G$52,2,FALSE)</f>
        <v>2.7793272627382568</v>
      </c>
      <c r="D2322" s="98">
        <f>SUMIFS(Input!$C$115:$C$3257,Input!$A$115:$A$3257,"="&amp;'Output - County'!A2322,Input!$B$115:$B$3257,"="&amp;'Output - County'!B2322)*VLOOKUP(A2322,'Output - State'!$B$2:$G$52,3,FALSE)</f>
        <v>0.26931713085546366</v>
      </c>
      <c r="E2322" s="98">
        <f>SUMIFS(Input!$C$115:$C$3257,Input!$A$115:$A$3257,"="&amp;'Output - County'!A2322,Input!$B$115:$B$3257,"="&amp;'Output - County'!B2322)*VLOOKUP(A2322,'Output - State'!$B$2:$G$52,4,FALSE)</f>
        <v>0.10014445682440731</v>
      </c>
      <c r="F2322" s="98">
        <f>SUMIFS(Input!$C$115:$C$3257,Input!$A$115:$A$3257,"="&amp;'Output - County'!A2322,Input!$B$115:$B$3257,"="&amp;'Output - County'!B2322)*VLOOKUP(A2322,'Output - State'!$B$2:$G$52,5,FALSE)</f>
        <v>4.6719806820619345</v>
      </c>
      <c r="G2322" s="99">
        <f>SUMIFS(Input!$D$115:$D$3257,Input!$A$115:$A$3257,"="&amp;'Output - County'!A2322,Input!$B$115:$B$3257,"="&amp;'Output - County'!B2322)*VLOOKUP(A2322,'Output - State'!$B$2:$G$52,6,FALSE)</f>
        <v>2.6040796194634952</v>
      </c>
    </row>
    <row r="2323" spans="1:7" x14ac:dyDescent="0.25">
      <c r="A2323" s="88">
        <v>45</v>
      </c>
      <c r="B2323" s="88">
        <v>11</v>
      </c>
      <c r="C2323" s="97">
        <f>SUMIFS(Input!$C$115:$C$3257,Input!$A$115:$A$3257,"="&amp;'Output - County'!A2323,Input!$B$115:$B$3257,"="&amp;'Output - County'!B2323)*VLOOKUP(A2323,'Output - State'!$B$2:$G$52,2,FALSE)</f>
        <v>4.2162290708826928</v>
      </c>
      <c r="D2323" s="98">
        <f>SUMIFS(Input!$C$115:$C$3257,Input!$A$115:$A$3257,"="&amp;'Output - County'!A2323,Input!$B$115:$B$3257,"="&amp;'Output - County'!B2323)*VLOOKUP(A2323,'Output - State'!$B$2:$G$52,3,FALSE)</f>
        <v>0.4085530810361645</v>
      </c>
      <c r="E2323" s="98">
        <f>SUMIFS(Input!$C$115:$C$3257,Input!$A$115:$A$3257,"="&amp;'Output - County'!A2323,Input!$B$115:$B$3257,"="&amp;'Output - County'!B2323)*VLOOKUP(A2323,'Output - State'!$B$2:$G$52,4,FALSE)</f>
        <v>0.15191876675035032</v>
      </c>
      <c r="F2323" s="98">
        <f>SUMIFS(Input!$C$115:$C$3257,Input!$A$115:$A$3257,"="&amp;'Output - County'!A2323,Input!$B$115:$B$3257,"="&amp;'Output - County'!B2323)*VLOOKUP(A2323,'Output - State'!$B$2:$G$52,5,FALSE)</f>
        <v>7.0873772349157695</v>
      </c>
      <c r="G2323" s="99">
        <f>SUMIFS(Input!$D$115:$D$3257,Input!$A$115:$A$3257,"="&amp;'Output - County'!A2323,Input!$B$115:$B$3257,"="&amp;'Output - County'!B2323)*VLOOKUP(A2323,'Output - State'!$B$2:$G$52,6,FALSE)</f>
        <v>3.8423832147328496</v>
      </c>
    </row>
    <row r="2324" spans="1:7" x14ac:dyDescent="0.25">
      <c r="A2324" s="88">
        <v>45</v>
      </c>
      <c r="B2324" s="88">
        <v>13</v>
      </c>
      <c r="C2324" s="97">
        <f>SUMIFS(Input!$C$115:$C$3257,Input!$A$115:$A$3257,"="&amp;'Output - County'!A2324,Input!$B$115:$B$3257,"="&amp;'Output - County'!B2324)*VLOOKUP(A2324,'Output - State'!$B$2:$G$52,2,FALSE)</f>
        <v>37.848564219902286</v>
      </c>
      <c r="D2324" s="98">
        <f>SUMIFS(Input!$C$115:$C$3257,Input!$A$115:$A$3257,"="&amp;'Output - County'!A2324,Input!$B$115:$B$3257,"="&amp;'Output - County'!B2324)*VLOOKUP(A2324,'Output - State'!$B$2:$G$52,3,FALSE)</f>
        <v>3.6675302183234821</v>
      </c>
      <c r="E2324" s="98">
        <f>SUMIFS(Input!$C$115:$C$3257,Input!$A$115:$A$3257,"="&amp;'Output - County'!A2324,Input!$B$115:$B$3257,"="&amp;'Output - County'!B2324)*VLOOKUP(A2324,'Output - State'!$B$2:$G$52,4,FALSE)</f>
        <v>1.3637558830159133</v>
      </c>
      <c r="F2324" s="98">
        <f>SUMIFS(Input!$C$115:$C$3257,Input!$A$115:$A$3257,"="&amp;'Output - County'!A2324,Input!$B$115:$B$3257,"="&amp;'Output - County'!B2324)*VLOOKUP(A2324,'Output - State'!$B$2:$G$52,5,FALSE)</f>
        <v>63.62250435558613</v>
      </c>
      <c r="G2324" s="99">
        <f>SUMIFS(Input!$D$115:$D$3257,Input!$A$115:$A$3257,"="&amp;'Output - County'!A2324,Input!$B$115:$B$3257,"="&amp;'Output - County'!B2324)*VLOOKUP(A2324,'Output - State'!$B$2:$G$52,6,FALSE)</f>
        <v>34.417555809692352</v>
      </c>
    </row>
    <row r="2325" spans="1:7" x14ac:dyDescent="0.25">
      <c r="A2325" s="88">
        <v>45</v>
      </c>
      <c r="B2325" s="88">
        <v>15</v>
      </c>
      <c r="C2325" s="97">
        <f>SUMIFS(Input!$C$115:$C$3257,Input!$A$115:$A$3257,"="&amp;'Output - County'!A2325,Input!$B$115:$B$3257,"="&amp;'Output - County'!B2325)*VLOOKUP(A2325,'Output - State'!$B$2:$G$52,2,FALSE)</f>
        <v>47.28660128404757</v>
      </c>
      <c r="D2325" s="98">
        <f>SUMIFS(Input!$C$115:$C$3257,Input!$A$115:$A$3257,"="&amp;'Output - County'!A2325,Input!$B$115:$B$3257,"="&amp;'Output - County'!B2325)*VLOOKUP(A2325,'Output - State'!$B$2:$G$52,3,FALSE)</f>
        <v>4.5820770934255046</v>
      </c>
      <c r="E2325" s="98">
        <f>SUMIFS(Input!$C$115:$C$3257,Input!$A$115:$A$3257,"="&amp;'Output - County'!A2325,Input!$B$115:$B$3257,"="&amp;'Output - County'!B2325)*VLOOKUP(A2325,'Output - State'!$B$2:$G$52,4,FALSE)</f>
        <v>1.7038263410541121</v>
      </c>
      <c r="F2325" s="98">
        <f>SUMIFS(Input!$C$115:$C$3257,Input!$A$115:$A$3257,"="&amp;'Output - County'!A2325,Input!$B$115:$B$3257,"="&amp;'Output - County'!B2325)*VLOOKUP(A2325,'Output - State'!$B$2:$G$52,5,FALSE)</f>
        <v>79.487612229506865</v>
      </c>
      <c r="G2325" s="99">
        <f>SUMIFS(Input!$D$115:$D$3257,Input!$A$115:$A$3257,"="&amp;'Output - County'!A2325,Input!$B$115:$B$3257,"="&amp;'Output - County'!B2325)*VLOOKUP(A2325,'Output - State'!$B$2:$G$52,6,FALSE)</f>
        <v>40.24486684625402</v>
      </c>
    </row>
    <row r="2326" spans="1:7" x14ac:dyDescent="0.25">
      <c r="A2326" s="88">
        <v>45</v>
      </c>
      <c r="B2326" s="88">
        <v>17</v>
      </c>
      <c r="C2326" s="97">
        <f>SUMIFS(Input!$C$115:$C$3257,Input!$A$115:$A$3257,"="&amp;'Output - County'!A2326,Input!$B$115:$B$3257,"="&amp;'Output - County'!B2326)*VLOOKUP(A2326,'Output - State'!$B$2:$G$52,2,FALSE)</f>
        <v>11.493656160639533</v>
      </c>
      <c r="D2326" s="98">
        <f>SUMIFS(Input!$C$115:$C$3257,Input!$A$115:$A$3257,"="&amp;'Output - County'!A2326,Input!$B$115:$B$3257,"="&amp;'Output - County'!B2326)*VLOOKUP(A2326,'Output - State'!$B$2:$G$52,3,FALSE)</f>
        <v>1.1137366015591006</v>
      </c>
      <c r="E2326" s="98">
        <f>SUMIFS(Input!$C$115:$C$3257,Input!$A$115:$A$3257,"="&amp;'Output - County'!A2326,Input!$B$115:$B$3257,"="&amp;'Output - County'!B2326)*VLOOKUP(A2326,'Output - State'!$B$2:$G$52,4,FALSE)</f>
        <v>0.41413833072674283</v>
      </c>
      <c r="F2326" s="98">
        <f>SUMIFS(Input!$C$115:$C$3257,Input!$A$115:$A$3257,"="&amp;'Output - County'!A2326,Input!$B$115:$B$3257,"="&amp;'Output - County'!B2326)*VLOOKUP(A2326,'Output - State'!$B$2:$G$52,5,FALSE)</f>
        <v>19.320552951315783</v>
      </c>
      <c r="G2326" s="99">
        <f>SUMIFS(Input!$D$115:$D$3257,Input!$A$115:$A$3257,"="&amp;'Output - County'!A2326,Input!$B$115:$B$3257,"="&amp;'Output - County'!B2326)*VLOOKUP(A2326,'Output - State'!$B$2:$G$52,6,FALSE)</f>
        <v>2.6587106604312609</v>
      </c>
    </row>
    <row r="2327" spans="1:7" x14ac:dyDescent="0.25">
      <c r="A2327" s="88">
        <v>45</v>
      </c>
      <c r="B2327" s="88">
        <v>19</v>
      </c>
      <c r="C2327" s="97">
        <f>SUMIFS(Input!$C$115:$C$3257,Input!$A$115:$A$3257,"="&amp;'Output - County'!A2327,Input!$B$115:$B$3257,"="&amp;'Output - County'!B2327)*VLOOKUP(A2327,'Output - State'!$B$2:$G$52,2,FALSE)</f>
        <v>98.232362716928719</v>
      </c>
      <c r="D2327" s="98">
        <f>SUMIFS(Input!$C$115:$C$3257,Input!$A$115:$A$3257,"="&amp;'Output - County'!A2327,Input!$B$115:$B$3257,"="&amp;'Output - County'!B2327)*VLOOKUP(A2327,'Output - State'!$B$2:$G$52,3,FALSE)</f>
        <v>9.518727225383218</v>
      </c>
      <c r="E2327" s="98">
        <f>SUMIFS(Input!$C$115:$C$3257,Input!$A$115:$A$3257,"="&amp;'Output - County'!A2327,Input!$B$115:$B$3257,"="&amp;'Output - County'!B2327)*VLOOKUP(A2327,'Output - State'!$B$2:$G$52,4,FALSE)</f>
        <v>3.5394991941945437</v>
      </c>
      <c r="F2327" s="98">
        <f>SUMIFS(Input!$C$115:$C$3257,Input!$A$115:$A$3257,"="&amp;'Output - County'!A2327,Input!$B$115:$B$3257,"="&amp;'Output - County'!B2327)*VLOOKUP(A2327,'Output - State'!$B$2:$G$52,5,FALSE)</f>
        <v>165.12618255492305</v>
      </c>
      <c r="G2327" s="99">
        <f>SUMIFS(Input!$D$115:$D$3257,Input!$A$115:$A$3257,"="&amp;'Output - County'!A2327,Input!$B$115:$B$3257,"="&amp;'Output - County'!B2327)*VLOOKUP(A2327,'Output - State'!$B$2:$G$52,6,FALSE)</f>
        <v>73.93400877637616</v>
      </c>
    </row>
    <row r="2328" spans="1:7" x14ac:dyDescent="0.25">
      <c r="A2328" s="88">
        <v>45</v>
      </c>
      <c r="B2328" s="88">
        <v>21</v>
      </c>
      <c r="C2328" s="97">
        <f>SUMIFS(Input!$C$115:$C$3257,Input!$A$115:$A$3257,"="&amp;'Output - County'!A2328,Input!$B$115:$B$3257,"="&amp;'Output - County'!B2328)*VLOOKUP(A2328,'Output - State'!$B$2:$G$52,2,FALSE)</f>
        <v>19.510879664291057</v>
      </c>
      <c r="D2328" s="98">
        <f>SUMIFS(Input!$C$115:$C$3257,Input!$A$115:$A$3257,"="&amp;'Output - County'!A2328,Input!$B$115:$B$3257,"="&amp;'Output - County'!B2328)*VLOOKUP(A2328,'Output - State'!$B$2:$G$52,3,FALSE)</f>
        <v>1.8906064795248738</v>
      </c>
      <c r="E2328" s="98">
        <f>SUMIFS(Input!$C$115:$C$3257,Input!$A$115:$A$3257,"="&amp;'Output - County'!A2328,Input!$B$115:$B$3257,"="&amp;'Output - County'!B2328)*VLOOKUP(A2328,'Output - State'!$B$2:$G$52,4,FALSE)</f>
        <v>0.70301416905534508</v>
      </c>
      <c r="F2328" s="98">
        <f>SUMIFS(Input!$C$115:$C$3257,Input!$A$115:$A$3257,"="&amp;'Output - County'!A2328,Input!$B$115:$B$3257,"="&amp;'Output - County'!B2328)*VLOOKUP(A2328,'Output - State'!$B$2:$G$52,5,FALSE)</f>
        <v>32.797308220477575</v>
      </c>
      <c r="G2328" s="99">
        <f>SUMIFS(Input!$D$115:$D$3257,Input!$A$115:$A$3257,"="&amp;'Output - County'!A2328,Input!$B$115:$B$3257,"="&amp;'Output - County'!B2328)*VLOOKUP(A2328,'Output - State'!$B$2:$G$52,6,FALSE)</f>
        <v>10.398108130864726</v>
      </c>
    </row>
    <row r="2329" spans="1:7" x14ac:dyDescent="0.25">
      <c r="A2329" s="88">
        <v>45</v>
      </c>
      <c r="B2329" s="88">
        <v>23</v>
      </c>
      <c r="C2329" s="97">
        <f>SUMIFS(Input!$C$115:$C$3257,Input!$A$115:$A$3257,"="&amp;'Output - County'!A2329,Input!$B$115:$B$3257,"="&amp;'Output - County'!B2329)*VLOOKUP(A2329,'Output - State'!$B$2:$G$52,2,FALSE)</f>
        <v>13.877426461985744</v>
      </c>
      <c r="D2329" s="98">
        <f>SUMIFS(Input!$C$115:$C$3257,Input!$A$115:$A$3257,"="&amp;'Output - County'!A2329,Input!$B$115:$B$3257,"="&amp;'Output - County'!B2329)*VLOOKUP(A2329,'Output - State'!$B$2:$G$52,3,FALSE)</f>
        <v>1.3447242174415577</v>
      </c>
      <c r="E2329" s="98">
        <f>SUMIFS(Input!$C$115:$C$3257,Input!$A$115:$A$3257,"="&amp;'Output - County'!A2329,Input!$B$115:$B$3257,"="&amp;'Output - County'!B2329)*VLOOKUP(A2329,'Output - State'!$B$2:$G$52,4,FALSE)</f>
        <v>0.50003011656389396</v>
      </c>
      <c r="F2329" s="98">
        <f>SUMIFS(Input!$C$115:$C$3257,Input!$A$115:$A$3257,"="&amp;'Output - County'!A2329,Input!$B$115:$B$3257,"="&amp;'Output - County'!B2329)*VLOOKUP(A2329,'Output - State'!$B$2:$G$52,5,FALSE)</f>
        <v>23.327612122674427</v>
      </c>
      <c r="G2329" s="99">
        <f>SUMIFS(Input!$D$115:$D$3257,Input!$A$115:$A$3257,"="&amp;'Output - County'!A2329,Input!$B$115:$B$3257,"="&amp;'Output - County'!B2329)*VLOOKUP(A2329,'Output - State'!$B$2:$G$52,6,FALSE)</f>
        <v>5.881942077529434</v>
      </c>
    </row>
    <row r="2330" spans="1:7" x14ac:dyDescent="0.25">
      <c r="A2330" s="88">
        <v>45</v>
      </c>
      <c r="B2330" s="88">
        <v>25</v>
      </c>
      <c r="C2330" s="97">
        <f>SUMIFS(Input!$C$115:$C$3257,Input!$A$115:$A$3257,"="&amp;'Output - County'!A2330,Input!$B$115:$B$3257,"="&amp;'Output - County'!B2330)*VLOOKUP(A2330,'Output - State'!$B$2:$G$52,2,FALSE)</f>
        <v>9.2197195831992609</v>
      </c>
      <c r="D2330" s="98">
        <f>SUMIFS(Input!$C$115:$C$3257,Input!$A$115:$A$3257,"="&amp;'Output - County'!A2330,Input!$B$115:$B$3257,"="&amp;'Output - County'!B2330)*VLOOKUP(A2330,'Output - State'!$B$2:$G$52,3,FALSE)</f>
        <v>0.89339188613320042</v>
      </c>
      <c r="E2330" s="98">
        <f>SUMIFS(Input!$C$115:$C$3257,Input!$A$115:$A$3257,"="&amp;'Output - County'!A2330,Input!$B$115:$B$3257,"="&amp;'Output - County'!B2330)*VLOOKUP(A2330,'Output - State'!$B$2:$G$52,4,FALSE)</f>
        <v>0.33220406323189916</v>
      </c>
      <c r="F2330" s="98">
        <f>SUMIFS(Input!$C$115:$C$3257,Input!$A$115:$A$3257,"="&amp;'Output - County'!A2330,Input!$B$115:$B$3257,"="&amp;'Output - County'!B2330)*VLOOKUP(A2330,'Output - State'!$B$2:$G$52,5,FALSE)</f>
        <v>15.498121564963609</v>
      </c>
      <c r="G2330" s="99">
        <f>SUMIFS(Input!$D$115:$D$3257,Input!$A$115:$A$3257,"="&amp;'Output - County'!A2330,Input!$B$115:$B$3257,"="&amp;'Output - County'!B2330)*VLOOKUP(A2330,'Output - State'!$B$2:$G$52,6,FALSE)</f>
        <v>8.3585492680681419</v>
      </c>
    </row>
    <row r="2331" spans="1:7" x14ac:dyDescent="0.25">
      <c r="A2331" s="88">
        <v>45</v>
      </c>
      <c r="B2331" s="88">
        <v>27</v>
      </c>
      <c r="C2331" s="97">
        <f>SUMIFS(Input!$C$115:$C$3257,Input!$A$115:$A$3257,"="&amp;'Output - County'!A2331,Input!$B$115:$B$3257,"="&amp;'Output - County'!B2331)*VLOOKUP(A2331,'Output - State'!$B$2:$G$52,2,FALSE)</f>
        <v>15.058843712865615</v>
      </c>
      <c r="D2331" s="98">
        <f>SUMIFS(Input!$C$115:$C$3257,Input!$A$115:$A$3257,"="&amp;'Output - County'!A2331,Input!$B$115:$B$3257,"="&amp;'Output - County'!B2331)*VLOOKUP(A2331,'Output - State'!$B$2:$G$52,3,FALSE)</f>
        <v>1.4592036846909964</v>
      </c>
      <c r="E2331" s="98">
        <f>SUMIFS(Input!$C$115:$C$3257,Input!$A$115:$A$3257,"="&amp;'Output - County'!A2331,Input!$B$115:$B$3257,"="&amp;'Output - County'!B2331)*VLOOKUP(A2331,'Output - State'!$B$2:$G$52,4,FALSE)</f>
        <v>0.54259883110806939</v>
      </c>
      <c r="F2331" s="98">
        <f>SUMIFS(Input!$C$115:$C$3257,Input!$A$115:$A$3257,"="&amp;'Output - County'!A2331,Input!$B$115:$B$3257,"="&amp;'Output - County'!B2331)*VLOOKUP(A2331,'Output - State'!$B$2:$G$52,5,FALSE)</f>
        <v>25.3135454265947</v>
      </c>
      <c r="G2331" s="99">
        <f>SUMIFS(Input!$D$115:$D$3257,Input!$A$115:$A$3257,"="&amp;'Output - County'!A2331,Input!$B$115:$B$3257,"="&amp;'Output - County'!B2331)*VLOOKUP(A2331,'Output - State'!$B$2:$G$52,6,FALSE)</f>
        <v>6.1368869353790068</v>
      </c>
    </row>
    <row r="2332" spans="1:7" x14ac:dyDescent="0.25">
      <c r="A2332" s="88">
        <v>45</v>
      </c>
      <c r="B2332" s="88">
        <v>29</v>
      </c>
      <c r="C2332" s="97">
        <f>SUMIFS(Input!$C$115:$C$3257,Input!$A$115:$A$3257,"="&amp;'Output - County'!A2332,Input!$B$115:$B$3257,"="&amp;'Output - County'!B2332)*VLOOKUP(A2332,'Output - State'!$B$2:$G$52,2,FALSE)</f>
        <v>21.183612145651914</v>
      </c>
      <c r="D2332" s="98">
        <f>SUMIFS(Input!$C$115:$C$3257,Input!$A$115:$A$3257,"="&amp;'Output - County'!A2332,Input!$B$115:$B$3257,"="&amp;'Output - County'!B2332)*VLOOKUP(A2332,'Output - State'!$B$2:$G$52,3,FALSE)</f>
        <v>2.0526944490160979</v>
      </c>
      <c r="E2332" s="98">
        <f>SUMIFS(Input!$C$115:$C$3257,Input!$A$115:$A$3257,"="&amp;'Output - County'!A2332,Input!$B$115:$B$3257,"="&amp;'Output - County'!B2332)*VLOOKUP(A2332,'Output - State'!$B$2:$G$52,4,FALSE)</f>
        <v>0.76328590747357894</v>
      </c>
      <c r="F2332" s="98">
        <f>SUMIFS(Input!$C$115:$C$3257,Input!$A$115:$A$3257,"="&amp;'Output - County'!A2332,Input!$B$115:$B$3257,"="&amp;'Output - County'!B2332)*VLOOKUP(A2332,'Output - State'!$B$2:$G$52,5,FALSE)</f>
        <v>35.609130327197008</v>
      </c>
      <c r="G2332" s="99">
        <f>SUMIFS(Input!$D$115:$D$3257,Input!$A$115:$A$3257,"="&amp;'Output - County'!A2332,Input!$B$115:$B$3257,"="&amp;'Output - County'!B2332)*VLOOKUP(A2332,'Output - State'!$B$2:$G$52,6,FALSE)</f>
        <v>6.8653008149492152</v>
      </c>
    </row>
    <row r="2333" spans="1:7" x14ac:dyDescent="0.25">
      <c r="A2333" s="88">
        <v>45</v>
      </c>
      <c r="B2333" s="88">
        <v>31</v>
      </c>
      <c r="C2333" s="97">
        <f>SUMIFS(Input!$C$115:$C$3257,Input!$A$115:$A$3257,"="&amp;'Output - County'!A2333,Input!$B$115:$B$3257,"="&amp;'Output - County'!B2333)*VLOOKUP(A2333,'Output - State'!$B$2:$G$52,2,FALSE)</f>
        <v>16.899445390009667</v>
      </c>
      <c r="D2333" s="98">
        <f>SUMIFS(Input!$C$115:$C$3257,Input!$A$115:$A$3257,"="&amp;'Output - County'!A2333,Input!$B$115:$B$3257,"="&amp;'Output - County'!B2333)*VLOOKUP(A2333,'Output - State'!$B$2:$G$52,3,FALSE)</f>
        <v>1.6375581985267693</v>
      </c>
      <c r="E2333" s="98">
        <f>SUMIFS(Input!$C$115:$C$3257,Input!$A$115:$A$3257,"="&amp;'Output - County'!A2333,Input!$B$115:$B$3257,"="&amp;'Output - County'!B2333)*VLOOKUP(A2333,'Output - State'!$B$2:$G$52,4,FALSE)</f>
        <v>0.60891921649733161</v>
      </c>
      <c r="F2333" s="98">
        <f>SUMIFS(Input!$C$115:$C$3257,Input!$A$115:$A$3257,"="&amp;'Output - County'!A2333,Input!$B$115:$B$3257,"="&amp;'Output - County'!B2333)*VLOOKUP(A2333,'Output - State'!$B$2:$G$52,5,FALSE)</f>
        <v>28.407551517304448</v>
      </c>
      <c r="G2333" s="99">
        <f>SUMIFS(Input!$D$115:$D$3257,Input!$A$115:$A$3257,"="&amp;'Output - County'!A2333,Input!$B$115:$B$3257,"="&amp;'Output - County'!B2333)*VLOOKUP(A2333,'Output - State'!$B$2:$G$52,6,FALSE)</f>
        <v>12.164511788822482</v>
      </c>
    </row>
    <row r="2334" spans="1:7" x14ac:dyDescent="0.25">
      <c r="A2334" s="88">
        <v>45</v>
      </c>
      <c r="B2334" s="88">
        <v>33</v>
      </c>
      <c r="C2334" s="97">
        <f>SUMIFS(Input!$C$115:$C$3257,Input!$A$115:$A$3257,"="&amp;'Output - County'!A2334,Input!$B$115:$B$3257,"="&amp;'Output - County'!B2334)*VLOOKUP(A2334,'Output - State'!$B$2:$G$52,2,FALSE)</f>
        <v>13.17814246683557</v>
      </c>
      <c r="D2334" s="98">
        <f>SUMIFS(Input!$C$115:$C$3257,Input!$A$115:$A$3257,"="&amp;'Output - County'!A2334,Input!$B$115:$B$3257,"="&amp;'Output - County'!B2334)*VLOOKUP(A2334,'Output - State'!$B$2:$G$52,3,FALSE)</f>
        <v>1.276963518026317</v>
      </c>
      <c r="E2334" s="98">
        <f>SUMIFS(Input!$C$115:$C$3257,Input!$A$115:$A$3257,"="&amp;'Output - County'!A2334,Input!$B$115:$B$3257,"="&amp;'Output - County'!B2334)*VLOOKUP(A2334,'Output - State'!$B$2:$G$52,4,FALSE)</f>
        <v>0.4748335818487554</v>
      </c>
      <c r="F2334" s="98">
        <f>SUMIFS(Input!$C$115:$C$3257,Input!$A$115:$A$3257,"="&amp;'Output - County'!A2334,Input!$B$115:$B$3257,"="&amp;'Output - County'!B2334)*VLOOKUP(A2334,'Output - State'!$B$2:$G$52,5,FALSE)</f>
        <v>22.152132948121253</v>
      </c>
      <c r="G2334" s="99">
        <f>SUMIFS(Input!$D$115:$D$3257,Input!$A$115:$A$3257,"="&amp;'Output - County'!A2334,Input!$B$115:$B$3257,"="&amp;'Output - County'!B2334)*VLOOKUP(A2334,'Output - State'!$B$2:$G$52,6,FALSE)</f>
        <v>5.5723661787120955</v>
      </c>
    </row>
    <row r="2335" spans="1:7" x14ac:dyDescent="0.25">
      <c r="A2335" s="88">
        <v>45</v>
      </c>
      <c r="B2335" s="88">
        <v>35</v>
      </c>
      <c r="C2335" s="97">
        <f>SUMIFS(Input!$C$115:$C$3257,Input!$A$115:$A$3257,"="&amp;'Output - County'!A2335,Input!$B$115:$B$3257,"="&amp;'Output - County'!B2335)*VLOOKUP(A2335,'Output - State'!$B$2:$G$52,2,FALSE)</f>
        <v>34.17705380543191</v>
      </c>
      <c r="D2335" s="98">
        <f>SUMIFS(Input!$C$115:$C$3257,Input!$A$115:$A$3257,"="&amp;'Output - County'!A2335,Input!$B$115:$B$3257,"="&amp;'Output - County'!B2335)*VLOOKUP(A2335,'Output - State'!$B$2:$G$52,3,FALSE)</f>
        <v>3.3117604376331262</v>
      </c>
      <c r="E2335" s="98">
        <f>SUMIFS(Input!$C$115:$C$3257,Input!$A$115:$A$3257,"="&amp;'Output - County'!A2335,Input!$B$115:$B$3257,"="&amp;'Output - County'!B2335)*VLOOKUP(A2335,'Output - State'!$B$2:$G$52,4,FALSE)</f>
        <v>1.2314643673273136</v>
      </c>
      <c r="F2335" s="98">
        <f>SUMIFS(Input!$C$115:$C$3257,Input!$A$115:$A$3257,"="&amp;'Output - County'!A2335,Input!$B$115:$B$3257,"="&amp;'Output - County'!B2335)*VLOOKUP(A2335,'Output - State'!$B$2:$G$52,5,FALSE)</f>
        <v>57.450785767291826</v>
      </c>
      <c r="G2335" s="99">
        <f>SUMIFS(Input!$D$115:$D$3257,Input!$A$115:$A$3257,"="&amp;'Output - County'!A2335,Input!$B$115:$B$3257,"="&amp;'Output - County'!B2335)*VLOOKUP(A2335,'Output - State'!$B$2:$G$52,6,FALSE)</f>
        <v>29.31865865270089</v>
      </c>
    </row>
    <row r="2336" spans="1:7" x14ac:dyDescent="0.25">
      <c r="A2336" s="88">
        <v>45</v>
      </c>
      <c r="B2336" s="88">
        <v>37</v>
      </c>
      <c r="C2336" s="97">
        <f>SUMIFS(Input!$C$115:$C$3257,Input!$A$115:$A$3257,"="&amp;'Output - County'!A2336,Input!$B$115:$B$3257,"="&amp;'Output - County'!B2336)*VLOOKUP(A2336,'Output - State'!$B$2:$G$52,2,FALSE)</f>
        <v>4.6554087766348475</v>
      </c>
      <c r="D2336" s="98">
        <f>SUMIFS(Input!$C$115:$C$3257,Input!$A$115:$A$3257,"="&amp;'Output - County'!A2336,Input!$B$115:$B$3257,"="&amp;'Output - County'!B2336)*VLOOKUP(A2336,'Output - State'!$B$2:$G$52,3,FALSE)</f>
        <v>0.4511096449460173</v>
      </c>
      <c r="E2336" s="98">
        <f>SUMIFS(Input!$C$115:$C$3257,Input!$A$115:$A$3257,"="&amp;'Output - County'!A2336,Input!$B$115:$B$3257,"="&amp;'Output - County'!B2336)*VLOOKUP(A2336,'Output - State'!$B$2:$G$52,4,FALSE)</f>
        <v>0.16774324833281823</v>
      </c>
      <c r="F2336" s="98">
        <f>SUMIFS(Input!$C$115:$C$3257,Input!$A$115:$A$3257,"="&amp;'Output - County'!A2336,Input!$B$115:$B$3257,"="&amp;'Output - County'!B2336)*VLOOKUP(A2336,'Output - State'!$B$2:$G$52,5,FALSE)</f>
        <v>7.8256275045893702</v>
      </c>
      <c r="G2336" s="99">
        <f>SUMIFS(Input!$D$115:$D$3257,Input!$A$115:$A$3257,"="&amp;'Output - County'!A2336,Input!$B$115:$B$3257,"="&amp;'Output - County'!B2336)*VLOOKUP(A2336,'Output - State'!$B$2:$G$52,6,FALSE)</f>
        <v>4.9350040340881627</v>
      </c>
    </row>
    <row r="2337" spans="1:7" x14ac:dyDescent="0.25">
      <c r="A2337" s="88">
        <v>45</v>
      </c>
      <c r="B2337" s="88">
        <v>39</v>
      </c>
      <c r="C2337" s="97">
        <f>SUMIFS(Input!$C$115:$C$3257,Input!$A$115:$A$3257,"="&amp;'Output - County'!A2337,Input!$B$115:$B$3257,"="&amp;'Output - County'!B2337)*VLOOKUP(A2337,'Output - State'!$B$2:$G$52,2,FALSE)</f>
        <v>12.310325648942992</v>
      </c>
      <c r="D2337" s="98">
        <f>SUMIFS(Input!$C$115:$C$3257,Input!$A$115:$A$3257,"="&amp;'Output - County'!A2337,Input!$B$115:$B$3257,"="&amp;'Output - County'!B2337)*VLOOKUP(A2337,'Output - State'!$B$2:$G$52,3,FALSE)</f>
        <v>1.1928719687379892</v>
      </c>
      <c r="E2337" s="98">
        <f>SUMIFS(Input!$C$115:$C$3257,Input!$A$115:$A$3257,"="&amp;'Output - County'!A2337,Input!$B$115:$B$3257,"="&amp;'Output - County'!B2337)*VLOOKUP(A2337,'Output - State'!$B$2:$G$52,4,FALSE)</f>
        <v>0.4435644884188169</v>
      </c>
      <c r="F2337" s="98">
        <f>SUMIFS(Input!$C$115:$C$3257,Input!$A$115:$A$3257,"="&amp;'Output - County'!A2337,Input!$B$115:$B$3257,"="&amp;'Output - County'!B2337)*VLOOKUP(A2337,'Output - State'!$B$2:$G$52,5,FALSE)</f>
        <v>20.693354249002507</v>
      </c>
      <c r="G2337" s="99">
        <f>SUMIFS(Input!$D$115:$D$3257,Input!$A$115:$A$3257,"="&amp;'Output - County'!A2337,Input!$B$115:$B$3257,"="&amp;'Output - County'!B2337)*VLOOKUP(A2337,'Output - State'!$B$2:$G$52,6,FALSE)</f>
        <v>4.0791177255931679</v>
      </c>
    </row>
    <row r="2338" spans="1:7" x14ac:dyDescent="0.25">
      <c r="A2338" s="88">
        <v>45</v>
      </c>
      <c r="B2338" s="88">
        <v>41</v>
      </c>
      <c r="C2338" s="97">
        <f>SUMIFS(Input!$C$115:$C$3257,Input!$A$115:$A$3257,"="&amp;'Output - County'!A2338,Input!$B$115:$B$3257,"="&amp;'Output - County'!B2338)*VLOOKUP(A2338,'Output - State'!$B$2:$G$52,2,FALSE)</f>
        <v>39.524266579723907</v>
      </c>
      <c r="D2338" s="98">
        <f>SUMIFS(Input!$C$115:$C$3257,Input!$A$115:$A$3257,"="&amp;'Output - County'!A2338,Input!$B$115:$B$3257,"="&amp;'Output - County'!B2338)*VLOOKUP(A2338,'Output - State'!$B$2:$G$52,3,FALSE)</f>
        <v>3.8299059693785273</v>
      </c>
      <c r="E2338" s="98">
        <f>SUMIFS(Input!$C$115:$C$3257,Input!$A$115:$A$3257,"="&amp;'Output - County'!A2338,Input!$B$115:$B$3257,"="&amp;'Output - County'!B2338)*VLOOKUP(A2338,'Output - State'!$B$2:$G$52,4,FALSE)</f>
        <v>1.4241346318136998</v>
      </c>
      <c r="F2338" s="98">
        <f>SUMIFS(Input!$C$115:$C$3257,Input!$A$115:$A$3257,"="&amp;'Output - County'!A2338,Input!$B$115:$B$3257,"="&amp;'Output - County'!B2338)*VLOOKUP(A2338,'Output - State'!$B$2:$G$52,5,FALSE)</f>
        <v>66.439318754858789</v>
      </c>
      <c r="G2338" s="99">
        <f>SUMIFS(Input!$D$115:$D$3257,Input!$A$115:$A$3257,"="&amp;'Output - County'!A2338,Input!$B$115:$B$3257,"="&amp;'Output - County'!B2338)*VLOOKUP(A2338,'Output - State'!$B$2:$G$52,6,FALSE)</f>
        <v>25.130278845172192</v>
      </c>
    </row>
    <row r="2339" spans="1:7" x14ac:dyDescent="0.25">
      <c r="A2339" s="88">
        <v>45</v>
      </c>
      <c r="B2339" s="88">
        <v>43</v>
      </c>
      <c r="C2339" s="97">
        <f>SUMIFS(Input!$C$115:$C$3257,Input!$A$115:$A$3257,"="&amp;'Output - County'!A2339,Input!$B$115:$B$3257,"="&amp;'Output - County'!B2339)*VLOOKUP(A2339,'Output - State'!$B$2:$G$52,2,FALSE)</f>
        <v>16.211861377633223</v>
      </c>
      <c r="D2339" s="98">
        <f>SUMIFS(Input!$C$115:$C$3257,Input!$A$115:$A$3257,"="&amp;'Output - County'!A2339,Input!$B$115:$B$3257,"="&amp;'Output - County'!B2339)*VLOOKUP(A2339,'Output - State'!$B$2:$G$52,3,FALSE)</f>
        <v>1.5709312287855843</v>
      </c>
      <c r="E2339" s="98">
        <f>SUMIFS(Input!$C$115:$C$3257,Input!$A$115:$A$3257,"="&amp;'Output - County'!A2339,Input!$B$115:$B$3257,"="&amp;'Output - County'!B2339)*VLOOKUP(A2339,'Output - State'!$B$2:$G$52,4,FALSE)</f>
        <v>0.58414425445391049</v>
      </c>
      <c r="F2339" s="98">
        <f>SUMIFS(Input!$C$115:$C$3257,Input!$A$115:$A$3257,"="&amp;'Output - County'!A2339,Input!$B$115:$B$3257,"="&amp;'Output - County'!B2339)*VLOOKUP(A2339,'Output - State'!$B$2:$G$52,5,FALSE)</f>
        <v>27.251739725657973</v>
      </c>
      <c r="G2339" s="99">
        <f>SUMIFS(Input!$D$115:$D$3257,Input!$A$115:$A$3257,"="&amp;'Output - County'!A2339,Input!$B$115:$B$3257,"="&amp;'Output - County'!B2339)*VLOOKUP(A2339,'Output - State'!$B$2:$G$52,6,FALSE)</f>
        <v>11.32683582731674</v>
      </c>
    </row>
    <row r="2340" spans="1:7" x14ac:dyDescent="0.25">
      <c r="A2340" s="88">
        <v>45</v>
      </c>
      <c r="B2340" s="88">
        <v>45</v>
      </c>
      <c r="C2340" s="97">
        <f>SUMIFS(Input!$C$115:$C$3257,Input!$A$115:$A$3257,"="&amp;'Output - County'!A2340,Input!$B$115:$B$3257,"="&amp;'Output - County'!B2340)*VLOOKUP(A2340,'Output - State'!$B$2:$G$52,2,FALSE)</f>
        <v>111.01143739221106</v>
      </c>
      <c r="D2340" s="98">
        <f>SUMIFS(Input!$C$115:$C$3257,Input!$A$115:$A$3257,"="&amp;'Output - County'!A2340,Input!$B$115:$B$3257,"="&amp;'Output - County'!B2340)*VLOOKUP(A2340,'Output - State'!$B$2:$G$52,3,FALSE)</f>
        <v>10.757021028590831</v>
      </c>
      <c r="E2340" s="98">
        <f>SUMIFS(Input!$C$115:$C$3257,Input!$A$115:$A$3257,"="&amp;'Output - County'!A2340,Input!$B$115:$B$3257,"="&amp;'Output - County'!B2340)*VLOOKUP(A2340,'Output - State'!$B$2:$G$52,4,FALSE)</f>
        <v>3.9999536031560305</v>
      </c>
      <c r="F2340" s="98">
        <f>SUMIFS(Input!$C$115:$C$3257,Input!$A$115:$A$3257,"="&amp;'Output - County'!A2340,Input!$B$115:$B$3257,"="&amp;'Output - County'!B2340)*VLOOKUP(A2340,'Output - State'!$B$2:$G$52,5,FALSE)</f>
        <v>186.60749237330143</v>
      </c>
      <c r="G2340" s="99">
        <f>SUMIFS(Input!$D$115:$D$3257,Input!$A$115:$A$3257,"="&amp;'Output - County'!A2340,Input!$B$115:$B$3257,"="&amp;'Output - County'!B2340)*VLOOKUP(A2340,'Output - State'!$B$2:$G$52,6,FALSE)</f>
        <v>93.783286994664337</v>
      </c>
    </row>
    <row r="2341" spans="1:7" x14ac:dyDescent="0.25">
      <c r="A2341" s="88">
        <v>45</v>
      </c>
      <c r="B2341" s="88">
        <v>47</v>
      </c>
      <c r="C2341" s="97">
        <f>SUMIFS(Input!$C$115:$C$3257,Input!$A$115:$A$3257,"="&amp;'Output - County'!A2341,Input!$B$115:$B$3257,"="&amp;'Output - County'!B2341)*VLOOKUP(A2341,'Output - State'!$B$2:$G$52,2,FALSE)</f>
        <v>14.028677296252567</v>
      </c>
      <c r="D2341" s="98">
        <f>SUMIFS(Input!$C$115:$C$3257,Input!$A$115:$A$3257,"="&amp;'Output - County'!A2341,Input!$B$115:$B$3257,"="&amp;'Output - County'!B2341)*VLOOKUP(A2341,'Output - State'!$B$2:$G$52,3,FALSE)</f>
        <v>1.3593804406472063</v>
      </c>
      <c r="E2341" s="98">
        <f>SUMIFS(Input!$C$115:$C$3257,Input!$A$115:$A$3257,"="&amp;'Output - County'!A2341,Input!$B$115:$B$3257,"="&amp;'Output - County'!B2341)*VLOOKUP(A2341,'Output - State'!$B$2:$G$52,4,FALSE)</f>
        <v>0.50547997230595099</v>
      </c>
      <c r="F2341" s="98">
        <f>SUMIFS(Input!$C$115:$C$3257,Input!$A$115:$A$3257,"="&amp;'Output - County'!A2341,Input!$B$115:$B$3257,"="&amp;'Output - County'!B2341)*VLOOKUP(A2341,'Output - State'!$B$2:$G$52,5,FALSE)</f>
        <v>23.581861050216755</v>
      </c>
      <c r="G2341" s="99">
        <f>SUMIFS(Input!$D$115:$D$3257,Input!$A$115:$A$3257,"="&amp;'Output - County'!A2341,Input!$B$115:$B$3257,"="&amp;'Output - County'!B2341)*VLOOKUP(A2341,'Output - State'!$B$2:$G$52,6,FALSE)</f>
        <v>12.856504974414181</v>
      </c>
    </row>
    <row r="2342" spans="1:7" x14ac:dyDescent="0.25">
      <c r="A2342" s="88">
        <v>45</v>
      </c>
      <c r="B2342" s="88">
        <v>49</v>
      </c>
      <c r="C2342" s="97">
        <f>SUMIFS(Input!$C$115:$C$3257,Input!$A$115:$A$3257,"="&amp;'Output - County'!A2342,Input!$B$115:$B$3257,"="&amp;'Output - County'!B2342)*VLOOKUP(A2342,'Output - State'!$B$2:$G$52,2,FALSE)</f>
        <v>6.4508762403057123</v>
      </c>
      <c r="D2342" s="98">
        <f>SUMIFS(Input!$C$115:$C$3257,Input!$A$115:$A$3257,"="&amp;'Output - County'!A2342,Input!$B$115:$B$3257,"="&amp;'Output - County'!B2342)*VLOOKUP(A2342,'Output - State'!$B$2:$G$52,3,FALSE)</f>
        <v>0.62509064831435379</v>
      </c>
      <c r="E2342" s="98">
        <f>SUMIFS(Input!$C$115:$C$3257,Input!$A$115:$A$3257,"="&amp;'Output - County'!A2342,Input!$B$115:$B$3257,"="&amp;'Output - County'!B2342)*VLOOKUP(A2342,'Output - State'!$B$2:$G$52,4,FALSE)</f>
        <v>0.2324373620148702</v>
      </c>
      <c r="F2342" s="98">
        <f>SUMIFS(Input!$C$115:$C$3257,Input!$A$115:$A$3257,"="&amp;'Output - County'!A2342,Input!$B$115:$B$3257,"="&amp;'Output - County'!B2342)*VLOOKUP(A2342,'Output - State'!$B$2:$G$52,5,FALSE)</f>
        <v>10.843764093972727</v>
      </c>
      <c r="G2342" s="99">
        <f>SUMIFS(Input!$D$115:$D$3257,Input!$A$115:$A$3257,"="&amp;'Output - County'!A2342,Input!$B$115:$B$3257,"="&amp;'Output - County'!B2342)*VLOOKUP(A2342,'Output - State'!$B$2:$G$52,6,FALSE)</f>
        <v>3.5145969689262557</v>
      </c>
    </row>
    <row r="2343" spans="1:7" x14ac:dyDescent="0.25">
      <c r="A2343" s="88">
        <v>45</v>
      </c>
      <c r="B2343" s="88">
        <v>51</v>
      </c>
      <c r="C2343" s="97">
        <f>SUMIFS(Input!$C$115:$C$3257,Input!$A$115:$A$3257,"="&amp;'Output - County'!A2343,Input!$B$115:$B$3257,"="&amp;'Output - County'!B2343)*VLOOKUP(A2343,'Output - State'!$B$2:$G$52,2,FALSE)</f>
        <v>79.725351594002433</v>
      </c>
      <c r="D2343" s="98">
        <f>SUMIFS(Input!$C$115:$C$3257,Input!$A$115:$A$3257,"="&amp;'Output - County'!A2343,Input!$B$115:$B$3257,"="&amp;'Output - County'!B2343)*VLOOKUP(A2343,'Output - State'!$B$2:$G$52,3,FALSE)</f>
        <v>7.725395722771303</v>
      </c>
      <c r="E2343" s="98">
        <f>SUMIFS(Input!$C$115:$C$3257,Input!$A$115:$A$3257,"="&amp;'Output - County'!A2343,Input!$B$115:$B$3257,"="&amp;'Output - County'!B2343)*VLOOKUP(A2343,'Output - State'!$B$2:$G$52,4,FALSE)</f>
        <v>2.8726563213898744</v>
      </c>
      <c r="F2343" s="98">
        <f>SUMIFS(Input!$C$115:$C$3257,Input!$A$115:$A$3257,"="&amp;'Output - County'!A2343,Input!$B$115:$B$3257,"="&amp;'Output - County'!B2343)*VLOOKUP(A2343,'Output - State'!$B$2:$G$52,5,FALSE)</f>
        <v>134.01635263016988</v>
      </c>
      <c r="G2343" s="99">
        <f>SUMIFS(Input!$D$115:$D$3257,Input!$A$115:$A$3257,"="&amp;'Output - County'!A2343,Input!$B$115:$B$3257,"="&amp;'Output - County'!B2343)*VLOOKUP(A2343,'Output - State'!$B$2:$G$52,6,FALSE)</f>
        <v>62.643593643037931</v>
      </c>
    </row>
    <row r="2344" spans="1:7" x14ac:dyDescent="0.25">
      <c r="A2344" s="88">
        <v>45</v>
      </c>
      <c r="B2344" s="88">
        <v>53</v>
      </c>
      <c r="C2344" s="97">
        <f>SUMIFS(Input!$C$115:$C$3257,Input!$A$115:$A$3257,"="&amp;'Output - County'!A2344,Input!$B$115:$B$3257,"="&amp;'Output - County'!B2344)*VLOOKUP(A2344,'Output - State'!$B$2:$G$52,2,FALSE)</f>
        <v>24.63294823194893</v>
      </c>
      <c r="D2344" s="98">
        <f>SUMIFS(Input!$C$115:$C$3257,Input!$A$115:$A$3257,"="&amp;'Output - County'!A2344,Input!$B$115:$B$3257,"="&amp;'Output - County'!B2344)*VLOOKUP(A2344,'Output - State'!$B$2:$G$52,3,FALSE)</f>
        <v>2.3869355117984954</v>
      </c>
      <c r="E2344" s="98">
        <f>SUMIFS(Input!$C$115:$C$3257,Input!$A$115:$A$3257,"="&amp;'Output - County'!A2344,Input!$B$115:$B$3257,"="&amp;'Output - County'!B2344)*VLOOKUP(A2344,'Output - State'!$B$2:$G$52,4,FALSE)</f>
        <v>0.88757205880169365</v>
      </c>
      <c r="F2344" s="98">
        <f>SUMIFS(Input!$C$115:$C$3257,Input!$A$115:$A$3257,"="&amp;'Output - County'!A2344,Input!$B$115:$B$3257,"="&amp;'Output - County'!B2344)*VLOOKUP(A2344,'Output - State'!$B$2:$G$52,5,FALSE)</f>
        <v>41.407379341327747</v>
      </c>
      <c r="G2344" s="99">
        <f>SUMIFS(Input!$D$115:$D$3257,Input!$A$115:$A$3257,"="&amp;'Output - County'!A2344,Input!$B$115:$B$3257,"="&amp;'Output - County'!B2344)*VLOOKUP(A2344,'Output - State'!$B$2:$G$52,6,FALSE)</f>
        <v>5.2992109738732669</v>
      </c>
    </row>
    <row r="2345" spans="1:7" x14ac:dyDescent="0.25">
      <c r="A2345" s="88">
        <v>45</v>
      </c>
      <c r="B2345" s="88">
        <v>55</v>
      </c>
      <c r="C2345" s="97">
        <f>SUMIFS(Input!$C$115:$C$3257,Input!$A$115:$A$3257,"="&amp;'Output - County'!A2345,Input!$B$115:$B$3257,"="&amp;'Output - County'!B2345)*VLOOKUP(A2345,'Output - State'!$B$2:$G$52,2,FALSE)</f>
        <v>18.429659729590011</v>
      </c>
      <c r="D2345" s="98">
        <f>SUMIFS(Input!$C$115:$C$3257,Input!$A$115:$A$3257,"="&amp;'Output - County'!A2345,Input!$B$115:$B$3257,"="&amp;'Output - County'!B2345)*VLOOKUP(A2345,'Output - State'!$B$2:$G$52,3,FALSE)</f>
        <v>1.7858361437168735</v>
      </c>
      <c r="E2345" s="98">
        <f>SUMIFS(Input!$C$115:$C$3257,Input!$A$115:$A$3257,"="&amp;'Output - County'!A2345,Input!$B$115:$B$3257,"="&amp;'Output - County'!B2345)*VLOOKUP(A2345,'Output - State'!$B$2:$G$52,4,FALSE)</f>
        <v>0.6640557547224899</v>
      </c>
      <c r="F2345" s="98">
        <f>SUMIFS(Input!$C$115:$C$3257,Input!$A$115:$A$3257,"="&amp;'Output - County'!A2345,Input!$B$115:$B$3257,"="&amp;'Output - County'!B2345)*VLOOKUP(A2345,'Output - State'!$B$2:$G$52,5,FALSE)</f>
        <v>30.979804137490685</v>
      </c>
      <c r="G2345" s="99">
        <f>SUMIFS(Input!$D$115:$D$3257,Input!$A$115:$A$3257,"="&amp;'Output - County'!A2345,Input!$B$115:$B$3257,"="&amp;'Output - County'!B2345)*VLOOKUP(A2345,'Output - State'!$B$2:$G$52,6,FALSE)</f>
        <v>11.982408318929929</v>
      </c>
    </row>
    <row r="2346" spans="1:7" x14ac:dyDescent="0.25">
      <c r="A2346" s="88">
        <v>45</v>
      </c>
      <c r="B2346" s="88">
        <v>57</v>
      </c>
      <c r="C2346" s="97">
        <f>SUMIFS(Input!$C$115:$C$3257,Input!$A$115:$A$3257,"="&amp;'Output - County'!A2346,Input!$B$115:$B$3257,"="&amp;'Output - County'!B2346)*VLOOKUP(A2346,'Output - State'!$B$2:$G$52,2,FALSE)</f>
        <v>17.022187832675364</v>
      </c>
      <c r="D2346" s="98">
        <f>SUMIFS(Input!$C$115:$C$3257,Input!$A$115:$A$3257,"="&amp;'Output - County'!A2346,Input!$B$115:$B$3257,"="&amp;'Output - County'!B2346)*VLOOKUP(A2346,'Output - State'!$B$2:$G$52,3,FALSE)</f>
        <v>1.6494519553132039</v>
      </c>
      <c r="E2346" s="98">
        <f>SUMIFS(Input!$C$115:$C$3257,Input!$A$115:$A$3257,"="&amp;'Output - County'!A2346,Input!$B$115:$B$3257,"="&amp;'Output - County'!B2346)*VLOOKUP(A2346,'Output - State'!$B$2:$G$52,4,FALSE)</f>
        <v>0.61334186057197959</v>
      </c>
      <c r="F2346" s="98">
        <f>SUMIFS(Input!$C$115:$C$3257,Input!$A$115:$A$3257,"="&amp;'Output - County'!A2346,Input!$B$115:$B$3257,"="&amp;'Output - County'!B2346)*VLOOKUP(A2346,'Output - State'!$B$2:$G$52,5,FALSE)</f>
        <v>28.613878540642549</v>
      </c>
      <c r="G2346" s="99">
        <f>SUMIFS(Input!$D$115:$D$3257,Input!$A$115:$A$3257,"="&amp;'Output - County'!A2346,Input!$B$115:$B$3257,"="&amp;'Output - County'!B2346)*VLOOKUP(A2346,'Output - State'!$B$2:$G$52,6,FALSE)</f>
        <v>17.299829639792449</v>
      </c>
    </row>
    <row r="2347" spans="1:7" x14ac:dyDescent="0.25">
      <c r="A2347" s="88">
        <v>45</v>
      </c>
      <c r="B2347" s="88">
        <v>59</v>
      </c>
      <c r="C2347" s="97">
        <f>SUMIFS(Input!$C$115:$C$3257,Input!$A$115:$A$3257,"="&amp;'Output - County'!A2347,Input!$B$115:$B$3257,"="&amp;'Output - County'!B2347)*VLOOKUP(A2347,'Output - State'!$B$2:$G$52,2,FALSE)</f>
        <v>22.410467107091666</v>
      </c>
      <c r="D2347" s="98">
        <f>SUMIFS(Input!$C$115:$C$3257,Input!$A$115:$A$3257,"="&amp;'Output - County'!A2347,Input!$B$115:$B$3257,"="&amp;'Output - County'!B2347)*VLOOKUP(A2347,'Output - State'!$B$2:$G$52,3,FALSE)</f>
        <v>2.1715768356355185</v>
      </c>
      <c r="E2347" s="98">
        <f>SUMIFS(Input!$C$115:$C$3257,Input!$A$115:$A$3257,"="&amp;'Output - County'!A2347,Input!$B$115:$B$3257,"="&amp;'Output - County'!B2347)*VLOOKUP(A2347,'Output - State'!$B$2:$G$52,4,FALSE)</f>
        <v>0.80749182930326158</v>
      </c>
      <c r="F2347" s="98">
        <f>SUMIFS(Input!$C$115:$C$3257,Input!$A$115:$A$3257,"="&amp;'Output - County'!A2347,Input!$B$115:$B$3257,"="&amp;'Output - County'!B2347)*VLOOKUP(A2347,'Output - State'!$B$2:$G$52,5,FALSE)</f>
        <v>37.671443303572168</v>
      </c>
      <c r="G2347" s="99">
        <f>SUMIFS(Input!$D$115:$D$3257,Input!$A$115:$A$3257,"="&amp;'Output - County'!A2347,Input!$B$115:$B$3257,"="&amp;'Output - County'!B2347)*VLOOKUP(A2347,'Output - State'!$B$2:$G$52,6,FALSE)</f>
        <v>12.182722135811737</v>
      </c>
    </row>
    <row r="2348" spans="1:7" x14ac:dyDescent="0.25">
      <c r="A2348" s="88">
        <v>45</v>
      </c>
      <c r="B2348" s="88">
        <v>61</v>
      </c>
      <c r="C2348" s="97">
        <f>SUMIFS(Input!$C$115:$C$3257,Input!$A$115:$A$3257,"="&amp;'Output - County'!A2348,Input!$B$115:$B$3257,"="&amp;'Output - County'!B2348)*VLOOKUP(A2348,'Output - State'!$B$2:$G$52,2,FALSE)</f>
        <v>8.1422674860704269</v>
      </c>
      <c r="D2348" s="98">
        <f>SUMIFS(Input!$C$115:$C$3257,Input!$A$115:$A$3257,"="&amp;'Output - County'!A2348,Input!$B$115:$B$3257,"="&amp;'Output - County'!B2348)*VLOOKUP(A2348,'Output - State'!$B$2:$G$52,3,FALSE)</f>
        <v>0.78898665421853498</v>
      </c>
      <c r="E2348" s="98">
        <f>SUMIFS(Input!$C$115:$C$3257,Input!$A$115:$A$3257,"="&amp;'Output - County'!A2348,Input!$B$115:$B$3257,"="&amp;'Output - County'!B2348)*VLOOKUP(A2348,'Output - State'!$B$2:$G$52,4,FALSE)</f>
        <v>0.29338141126576139</v>
      </c>
      <c r="F2348" s="98">
        <f>SUMIFS(Input!$C$115:$C$3257,Input!$A$115:$A$3257,"="&amp;'Output - County'!A2348,Input!$B$115:$B$3257,"="&amp;'Output - County'!B2348)*VLOOKUP(A2348,'Output - State'!$B$2:$G$52,5,FALSE)</f>
        <v>13.686951124144926</v>
      </c>
      <c r="G2348" s="99">
        <f>SUMIFS(Input!$D$115:$D$3257,Input!$A$115:$A$3257,"="&amp;'Output - County'!A2348,Input!$B$115:$B$3257,"="&amp;'Output - County'!B2348)*VLOOKUP(A2348,'Output - State'!$B$2:$G$52,6,FALSE)</f>
        <v>3.1503900291411515</v>
      </c>
    </row>
    <row r="2349" spans="1:7" x14ac:dyDescent="0.25">
      <c r="A2349" s="88">
        <v>45</v>
      </c>
      <c r="B2349" s="88">
        <v>63</v>
      </c>
      <c r="C2349" s="97">
        <f>SUMIFS(Input!$C$115:$C$3257,Input!$A$115:$A$3257,"="&amp;'Output - County'!A2349,Input!$B$115:$B$3257,"="&amp;'Output - County'!B2349)*VLOOKUP(A2349,'Output - State'!$B$2:$G$52,2,FALSE)</f>
        <v>75.902750085662817</v>
      </c>
      <c r="D2349" s="98">
        <f>SUMIFS(Input!$C$115:$C$3257,Input!$A$115:$A$3257,"="&amp;'Output - County'!A2349,Input!$B$115:$B$3257,"="&amp;'Output - County'!B2349)*VLOOKUP(A2349,'Output - State'!$B$2:$G$52,3,FALSE)</f>
        <v>7.3549851977381655</v>
      </c>
      <c r="E2349" s="98">
        <f>SUMIFS(Input!$C$115:$C$3257,Input!$A$115:$A$3257,"="&amp;'Output - County'!A2349,Input!$B$115:$B$3257,"="&amp;'Output - County'!B2349)*VLOOKUP(A2349,'Output - State'!$B$2:$G$52,4,FALSE)</f>
        <v>2.7349207057101022</v>
      </c>
      <c r="F2349" s="98">
        <f>SUMIFS(Input!$C$115:$C$3257,Input!$A$115:$A$3257,"="&amp;'Output - County'!A2349,Input!$B$115:$B$3257,"="&amp;'Output - County'!B2349)*VLOOKUP(A2349,'Output - State'!$B$2:$G$52,5,FALSE)</f>
        <v>127.59065363400767</v>
      </c>
      <c r="G2349" s="99">
        <f>SUMIFS(Input!$D$115:$D$3257,Input!$A$115:$A$3257,"="&amp;'Output - County'!A2349,Input!$B$115:$B$3257,"="&amp;'Output - County'!B2349)*VLOOKUP(A2349,'Output - State'!$B$2:$G$52,6,FALSE)</f>
        <v>53.538420148410324</v>
      </c>
    </row>
    <row r="2350" spans="1:7" x14ac:dyDescent="0.25">
      <c r="A2350" s="88">
        <v>45</v>
      </c>
      <c r="B2350" s="88">
        <v>65</v>
      </c>
      <c r="C2350" s="97">
        <f>SUMIFS(Input!$C$115:$C$3257,Input!$A$115:$A$3257,"="&amp;'Output - County'!A2350,Input!$B$115:$B$3257,"="&amp;'Output - County'!B2350)*VLOOKUP(A2350,'Output - State'!$B$2:$G$52,2,FALSE)</f>
        <v>2.084232733483796</v>
      </c>
      <c r="D2350" s="98">
        <f>SUMIFS(Input!$C$115:$C$3257,Input!$A$115:$A$3257,"="&amp;'Output - County'!A2350,Input!$B$115:$B$3257,"="&amp;'Output - County'!B2350)*VLOOKUP(A2350,'Output - State'!$B$2:$G$52,3,FALSE)</f>
        <v>0.20196239116651246</v>
      </c>
      <c r="E2350" s="98">
        <f>SUMIFS(Input!$C$115:$C$3257,Input!$A$115:$A$3257,"="&amp;'Output - County'!A2350,Input!$B$115:$B$3257,"="&amp;'Output - County'!B2350)*VLOOKUP(A2350,'Output - State'!$B$2:$G$52,4,FALSE)</f>
        <v>7.5098876547824892E-2</v>
      </c>
      <c r="F2350" s="98">
        <f>SUMIFS(Input!$C$115:$C$3257,Input!$A$115:$A$3257,"="&amp;'Output - County'!A2350,Input!$B$115:$B$3257,"="&amp;'Output - County'!B2350)*VLOOKUP(A2350,'Output - State'!$B$2:$G$52,5,FALSE)</f>
        <v>3.5035438965053118</v>
      </c>
      <c r="G2350" s="99">
        <f>SUMIFS(Input!$D$115:$D$3257,Input!$A$115:$A$3257,"="&amp;'Output - County'!A2350,Input!$B$115:$B$3257,"="&amp;'Output - County'!B2350)*VLOOKUP(A2350,'Output - State'!$B$2:$G$52,6,FALSE)</f>
        <v>1.7135936516889154</v>
      </c>
    </row>
    <row r="2351" spans="1:7" x14ac:dyDescent="0.25">
      <c r="A2351" s="88">
        <v>45</v>
      </c>
      <c r="B2351" s="88">
        <v>67</v>
      </c>
      <c r="C2351" s="97">
        <f>SUMIFS(Input!$C$115:$C$3257,Input!$A$115:$A$3257,"="&amp;'Output - County'!A2351,Input!$B$115:$B$3257,"="&amp;'Output - County'!B2351)*VLOOKUP(A2351,'Output - State'!$B$2:$G$52,2,FALSE)</f>
        <v>8.9533704388703956</v>
      </c>
      <c r="D2351" s="98">
        <f>SUMIFS(Input!$C$115:$C$3257,Input!$A$115:$A$3257,"="&amp;'Output - County'!A2351,Input!$B$115:$B$3257,"="&amp;'Output - County'!B2351)*VLOOKUP(A2351,'Output - State'!$B$2:$G$52,3,FALSE)</f>
        <v>0.86758262346803827</v>
      </c>
      <c r="E2351" s="98">
        <f>SUMIFS(Input!$C$115:$C$3257,Input!$A$115:$A$3257,"="&amp;'Output - County'!A2351,Input!$B$115:$B$3257,"="&amp;'Output - County'!B2351)*VLOOKUP(A2351,'Output - State'!$B$2:$G$52,4,FALSE)</f>
        <v>0.3226069960775329</v>
      </c>
      <c r="F2351" s="98">
        <f>SUMIFS(Input!$C$115:$C$3257,Input!$A$115:$A$3257,"="&amp;'Output - County'!A2351,Input!$B$115:$B$3257,"="&amp;'Output - County'!B2351)*VLOOKUP(A2351,'Output - State'!$B$2:$G$52,5,FALSE)</f>
        <v>15.050395212737568</v>
      </c>
      <c r="G2351" s="99">
        <f>SUMIFS(Input!$D$115:$D$3257,Input!$A$115:$A$3257,"="&amp;'Output - County'!A2351,Input!$B$115:$B$3257,"="&amp;'Output - County'!B2351)*VLOOKUP(A2351,'Output - State'!$B$2:$G$52,6,FALSE)</f>
        <v>5.6634179136583702</v>
      </c>
    </row>
    <row r="2352" spans="1:7" x14ac:dyDescent="0.25">
      <c r="A2352" s="88">
        <v>45</v>
      </c>
      <c r="B2352" s="88">
        <v>69</v>
      </c>
      <c r="C2352" s="97">
        <f>SUMIFS(Input!$C$115:$C$3257,Input!$A$115:$A$3257,"="&amp;'Output - County'!A2352,Input!$B$115:$B$3257,"="&amp;'Output - County'!B2352)*VLOOKUP(A2352,'Output - State'!$B$2:$G$52,2,FALSE)</f>
        <v>6.3061658826845095</v>
      </c>
      <c r="D2352" s="98">
        <f>SUMIFS(Input!$C$115:$C$3257,Input!$A$115:$A$3257,"="&amp;'Output - County'!A2352,Input!$B$115:$B$3257,"="&amp;'Output - County'!B2352)*VLOOKUP(A2352,'Output - State'!$B$2:$G$52,3,FALSE)</f>
        <v>0.61106819804658163</v>
      </c>
      <c r="E2352" s="98">
        <f>SUMIFS(Input!$C$115:$C$3257,Input!$A$115:$A$3257,"="&amp;'Output - County'!A2352,Input!$B$115:$B$3257,"="&amp;'Output - County'!B2352)*VLOOKUP(A2352,'Output - State'!$B$2:$G$52,4,FALSE)</f>
        <v>0.22722317210815035</v>
      </c>
      <c r="F2352" s="98">
        <f>SUMIFS(Input!$C$115:$C$3257,Input!$A$115:$A$3257,"="&amp;'Output - County'!A2352,Input!$B$115:$B$3257,"="&amp;'Output - County'!B2352)*VLOOKUP(A2352,'Output - State'!$B$2:$G$52,5,FALSE)</f>
        <v>10.600509546599113</v>
      </c>
      <c r="G2352" s="99">
        <f>SUMIFS(Input!$D$115:$D$3257,Input!$A$115:$A$3257,"="&amp;'Output - County'!A2352,Input!$B$115:$B$3257,"="&amp;'Output - County'!B2352)*VLOOKUP(A2352,'Output - State'!$B$2:$G$52,6,FALSE)</f>
        <v>4.8075316051633754</v>
      </c>
    </row>
    <row r="2353" spans="1:7" x14ac:dyDescent="0.25">
      <c r="A2353" s="88">
        <v>45</v>
      </c>
      <c r="B2353" s="88">
        <v>71</v>
      </c>
      <c r="C2353" s="97">
        <f>SUMIFS(Input!$C$115:$C$3257,Input!$A$115:$A$3257,"="&amp;'Output - County'!A2353,Input!$B$115:$B$3257,"="&amp;'Output - County'!B2353)*VLOOKUP(A2353,'Output - State'!$B$2:$G$52,2,FALSE)</f>
        <v>17.537027187755299</v>
      </c>
      <c r="D2353" s="98">
        <f>SUMIFS(Input!$C$115:$C$3257,Input!$A$115:$A$3257,"="&amp;'Output - County'!A2353,Input!$B$115:$B$3257,"="&amp;'Output - County'!B2353)*VLOOKUP(A2353,'Output - State'!$B$2:$G$52,3,FALSE)</f>
        <v>1.699339947929446</v>
      </c>
      <c r="E2353" s="98">
        <f>SUMIFS(Input!$C$115:$C$3257,Input!$A$115:$A$3257,"="&amp;'Output - County'!A2353,Input!$B$115:$B$3257,"="&amp;'Output - County'!B2353)*VLOOKUP(A2353,'Output - State'!$B$2:$G$52,4,FALSE)</f>
        <v>0.63189250347666293</v>
      </c>
      <c r="F2353" s="98">
        <f>SUMIFS(Input!$C$115:$C$3257,Input!$A$115:$A$3257,"="&amp;'Output - County'!A2353,Input!$B$115:$B$3257,"="&amp;'Output - County'!B2353)*VLOOKUP(A2353,'Output - State'!$B$2:$G$52,5,FALSE)</f>
        <v>29.479310817563015</v>
      </c>
      <c r="G2353" s="99">
        <f>SUMIFS(Input!$D$115:$D$3257,Input!$A$115:$A$3257,"="&amp;'Output - County'!A2353,Input!$B$115:$B$3257,"="&amp;'Output - County'!B2353)*VLOOKUP(A2353,'Output - State'!$B$2:$G$52,6,FALSE)</f>
        <v>6.9927732438740016</v>
      </c>
    </row>
    <row r="2354" spans="1:7" x14ac:dyDescent="0.25">
      <c r="A2354" s="88">
        <v>45</v>
      </c>
      <c r="B2354" s="88">
        <v>73</v>
      </c>
      <c r="C2354" s="97">
        <f>SUMIFS(Input!$C$115:$C$3257,Input!$A$115:$A$3257,"="&amp;'Output - County'!A2354,Input!$B$115:$B$3257,"="&amp;'Output - County'!B2354)*VLOOKUP(A2354,'Output - State'!$B$2:$G$52,2,FALSE)</f>
        <v>16.048119486405383</v>
      </c>
      <c r="D2354" s="98">
        <f>SUMIFS(Input!$C$115:$C$3257,Input!$A$115:$A$3257,"="&amp;'Output - County'!A2354,Input!$B$115:$B$3257,"="&amp;'Output - County'!B2354)*VLOOKUP(A2354,'Output - State'!$B$2:$G$52,3,FALSE)</f>
        <v>1.5550646207263079</v>
      </c>
      <c r="E2354" s="98">
        <f>SUMIFS(Input!$C$115:$C$3257,Input!$A$115:$A$3257,"="&amp;'Output - County'!A2354,Input!$B$115:$B$3257,"="&amp;'Output - County'!B2354)*VLOOKUP(A2354,'Output - State'!$B$2:$G$52,4,FALSE)</f>
        <v>0.57824432212990706</v>
      </c>
      <c r="F2354" s="98">
        <f>SUMIFS(Input!$C$115:$C$3257,Input!$A$115:$A$3257,"="&amp;'Output - County'!A2354,Input!$B$115:$B$3257,"="&amp;'Output - County'!B2354)*VLOOKUP(A2354,'Output - State'!$B$2:$G$52,5,FALSE)</f>
        <v>26.976493638981928</v>
      </c>
      <c r="G2354" s="99">
        <f>SUMIFS(Input!$D$115:$D$3257,Input!$A$115:$A$3257,"="&amp;'Output - County'!A2354,Input!$B$115:$B$3257,"="&amp;'Output - County'!B2354)*VLOOKUP(A2354,'Output - State'!$B$2:$G$52,6,FALSE)</f>
        <v>14.258701692586831</v>
      </c>
    </row>
    <row r="2355" spans="1:7" x14ac:dyDescent="0.25">
      <c r="A2355" s="88">
        <v>45</v>
      </c>
      <c r="B2355" s="88">
        <v>75</v>
      </c>
      <c r="C2355" s="97">
        <f>SUMIFS(Input!$C$115:$C$3257,Input!$A$115:$A$3257,"="&amp;'Output - County'!A2355,Input!$B$115:$B$3257,"="&amp;'Output - County'!B2355)*VLOOKUP(A2355,'Output - State'!$B$2:$G$52,2,FALSE)</f>
        <v>34.620612879206071</v>
      </c>
      <c r="D2355" s="98">
        <f>SUMIFS(Input!$C$115:$C$3257,Input!$A$115:$A$3257,"="&amp;'Output - County'!A2355,Input!$B$115:$B$3257,"="&amp;'Output - County'!B2355)*VLOOKUP(A2355,'Output - State'!$B$2:$G$52,3,FALSE)</f>
        <v>3.3547413628071094</v>
      </c>
      <c r="E2355" s="98">
        <f>SUMIFS(Input!$C$115:$C$3257,Input!$A$115:$A$3257,"="&amp;'Output - County'!A2355,Input!$B$115:$B$3257,"="&amp;'Output - County'!B2355)*VLOOKUP(A2355,'Output - State'!$B$2:$G$52,4,FALSE)</f>
        <v>1.2474466458837752</v>
      </c>
      <c r="F2355" s="98">
        <f>SUMIFS(Input!$C$115:$C$3257,Input!$A$115:$A$3257,"="&amp;'Output - County'!A2355,Input!$B$115:$B$3257,"="&amp;'Output - County'!B2355)*VLOOKUP(A2355,'Output - State'!$B$2:$G$52,5,FALSE)</f>
        <v>58.196397646759557</v>
      </c>
      <c r="G2355" s="99">
        <f>SUMIFS(Input!$D$115:$D$3257,Input!$A$115:$A$3257,"="&amp;'Output - County'!A2355,Input!$B$115:$B$3257,"="&amp;'Output - County'!B2355)*VLOOKUP(A2355,'Output - State'!$B$2:$G$52,6,FALSE)</f>
        <v>15.843001880652034</v>
      </c>
    </row>
    <row r="2356" spans="1:7" x14ac:dyDescent="0.25">
      <c r="A2356" s="88">
        <v>45</v>
      </c>
      <c r="B2356" s="88">
        <v>77</v>
      </c>
      <c r="C2356" s="97">
        <f>SUMIFS(Input!$C$115:$C$3257,Input!$A$115:$A$3257,"="&amp;'Output - County'!A2356,Input!$B$115:$B$3257,"="&amp;'Output - County'!B2356)*VLOOKUP(A2356,'Output - State'!$B$2:$G$52,2,FALSE)</f>
        <v>23.275258322156578</v>
      </c>
      <c r="D2356" s="98">
        <f>SUMIFS(Input!$C$115:$C$3257,Input!$A$115:$A$3257,"="&amp;'Output - County'!A2356,Input!$B$115:$B$3257,"="&amp;'Output - County'!B2356)*VLOOKUP(A2356,'Output - State'!$B$2:$G$52,3,FALSE)</f>
        <v>2.2553752036624743</v>
      </c>
      <c r="E2356" s="98">
        <f>SUMIFS(Input!$C$115:$C$3257,Input!$A$115:$A$3257,"="&amp;'Output - County'!A2356,Input!$B$115:$B$3257,"="&amp;'Output - County'!B2356)*VLOOKUP(A2356,'Output - State'!$B$2:$G$52,4,FALSE)</f>
        <v>0.83865190449853411</v>
      </c>
      <c r="F2356" s="98">
        <f>SUMIFS(Input!$C$115:$C$3257,Input!$A$115:$A$3257,"="&amp;'Output - County'!A2356,Input!$B$115:$B$3257,"="&amp;'Output - County'!B2356)*VLOOKUP(A2356,'Output - State'!$B$2:$G$52,5,FALSE)</f>
        <v>39.125136038849249</v>
      </c>
      <c r="G2356" s="99">
        <f>SUMIFS(Input!$D$115:$D$3257,Input!$A$115:$A$3257,"="&amp;'Output - County'!A2356,Input!$B$115:$B$3257,"="&amp;'Output - County'!B2356)*VLOOKUP(A2356,'Output - State'!$B$2:$G$52,6,FALSE)</f>
        <v>22.762933736569014</v>
      </c>
    </row>
    <row r="2357" spans="1:7" x14ac:dyDescent="0.25">
      <c r="A2357" s="88">
        <v>45</v>
      </c>
      <c r="B2357" s="88">
        <v>79</v>
      </c>
      <c r="C2357" s="97">
        <f>SUMIFS(Input!$C$115:$C$3257,Input!$A$115:$A$3257,"="&amp;'Output - County'!A2357,Input!$B$115:$B$3257,"="&amp;'Output - County'!B2357)*VLOOKUP(A2357,'Output - State'!$B$2:$G$52,2,FALSE)</f>
        <v>102.20997371876024</v>
      </c>
      <c r="D2357" s="98">
        <f>SUMIFS(Input!$C$115:$C$3257,Input!$A$115:$A$3257,"="&amp;'Output - County'!A2357,Input!$B$115:$B$3257,"="&amp;'Output - County'!B2357)*VLOOKUP(A2357,'Output - State'!$B$2:$G$52,3,FALSE)</f>
        <v>9.904158188132449</v>
      </c>
      <c r="E2357" s="98">
        <f>SUMIFS(Input!$C$115:$C$3257,Input!$A$115:$A$3257,"="&amp;'Output - County'!A2357,Input!$B$115:$B$3257,"="&amp;'Output - County'!B2357)*VLOOKUP(A2357,'Output - State'!$B$2:$G$52,4,FALSE)</f>
        <v>3.6828200972697558</v>
      </c>
      <c r="F2357" s="98">
        <f>SUMIFS(Input!$C$115:$C$3257,Input!$A$115:$A$3257,"="&amp;'Output - County'!A2357,Input!$B$115:$B$3257,"="&amp;'Output - County'!B2357)*VLOOKUP(A2357,'Output - State'!$B$2:$G$52,5,FALSE)</f>
        <v>171.8124486922203</v>
      </c>
      <c r="G2357" s="99">
        <f>SUMIFS(Input!$D$115:$D$3257,Input!$A$115:$A$3257,"="&amp;'Output - County'!A2357,Input!$B$115:$B$3257,"="&amp;'Output - County'!B2357)*VLOOKUP(A2357,'Output - State'!$B$2:$G$52,6,FALSE)</f>
        <v>75.390836535516584</v>
      </c>
    </row>
    <row r="2358" spans="1:7" x14ac:dyDescent="0.25">
      <c r="A2358" s="88">
        <v>45</v>
      </c>
      <c r="B2358" s="88">
        <v>81</v>
      </c>
      <c r="C2358" s="97">
        <f>SUMIFS(Input!$C$115:$C$3257,Input!$A$115:$A$3257,"="&amp;'Output - County'!A2358,Input!$B$115:$B$3257,"="&amp;'Output - County'!B2358)*VLOOKUP(A2358,'Output - State'!$B$2:$G$52,2,FALSE)</f>
        <v>4.2343074381704273</v>
      </c>
      <c r="D2358" s="98">
        <f>SUMIFS(Input!$C$115:$C$3257,Input!$A$115:$A$3257,"="&amp;'Output - County'!A2358,Input!$B$115:$B$3257,"="&amp;'Output - County'!B2358)*VLOOKUP(A2358,'Output - State'!$B$2:$G$52,3,FALSE)</f>
        <v>0.41030487690193351</v>
      </c>
      <c r="E2358" s="98">
        <f>SUMIFS(Input!$C$115:$C$3257,Input!$A$115:$A$3257,"="&amp;'Output - County'!A2358,Input!$B$115:$B$3257,"="&amp;'Output - County'!B2358)*VLOOKUP(A2358,'Output - State'!$B$2:$G$52,4,FALSE)</f>
        <v>0.15257016476906315</v>
      </c>
      <c r="F2358" s="98">
        <f>SUMIFS(Input!$C$115:$C$3257,Input!$A$115:$A$3257,"="&amp;'Output - County'!A2358,Input!$B$115:$B$3257,"="&amp;'Output - County'!B2358)*VLOOKUP(A2358,'Output - State'!$B$2:$G$52,5,FALSE)</f>
        <v>7.1177665251097935</v>
      </c>
      <c r="G2358" s="99">
        <f>SUMIFS(Input!$D$115:$D$3257,Input!$A$115:$A$3257,"="&amp;'Output - County'!A2358,Input!$B$115:$B$3257,"="&amp;'Output - County'!B2358)*VLOOKUP(A2358,'Output - State'!$B$2:$G$52,6,FALSE)</f>
        <v>3.7149107858080637</v>
      </c>
    </row>
    <row r="2359" spans="1:7" x14ac:dyDescent="0.25">
      <c r="A2359" s="88">
        <v>45</v>
      </c>
      <c r="B2359" s="88">
        <v>83</v>
      </c>
      <c r="C2359" s="97">
        <f>SUMIFS(Input!$C$115:$C$3257,Input!$A$115:$A$3257,"="&amp;'Output - County'!A2359,Input!$B$115:$B$3257,"="&amp;'Output - County'!B2359)*VLOOKUP(A2359,'Output - State'!$B$2:$G$52,2,FALSE)</f>
        <v>87.359138365897763</v>
      </c>
      <c r="D2359" s="98">
        <f>SUMIFS(Input!$C$115:$C$3257,Input!$A$115:$A$3257,"="&amp;'Output - County'!A2359,Input!$B$115:$B$3257,"="&amp;'Output - County'!B2359)*VLOOKUP(A2359,'Output - State'!$B$2:$G$52,3,FALSE)</f>
        <v>8.4651105374073143</v>
      </c>
      <c r="E2359" s="98">
        <f>SUMIFS(Input!$C$115:$C$3257,Input!$A$115:$A$3257,"="&amp;'Output - County'!A2359,Input!$B$115:$B$3257,"="&amp;'Output - County'!B2359)*VLOOKUP(A2359,'Output - State'!$B$2:$G$52,4,FALSE)</f>
        <v>3.1477162036980912</v>
      </c>
      <c r="F2359" s="98">
        <f>SUMIFS(Input!$C$115:$C$3257,Input!$A$115:$A$3257,"="&amp;'Output - County'!A2359,Input!$B$115:$B$3257,"="&amp;'Output - County'!B2359)*VLOOKUP(A2359,'Output - State'!$B$2:$G$52,5,FALSE)</f>
        <v>146.84856019616086</v>
      </c>
      <c r="G2359" s="99">
        <f>SUMIFS(Input!$D$115:$D$3257,Input!$A$115:$A$3257,"="&amp;'Output - County'!A2359,Input!$B$115:$B$3257,"="&amp;'Output - County'!B2359)*VLOOKUP(A2359,'Output - State'!$B$2:$G$52,6,FALSE)</f>
        <v>57.180489546261363</v>
      </c>
    </row>
    <row r="2360" spans="1:7" x14ac:dyDescent="0.25">
      <c r="A2360" s="88">
        <v>45</v>
      </c>
      <c r="B2360" s="88">
        <v>85</v>
      </c>
      <c r="C2360" s="97">
        <f>SUMIFS(Input!$C$115:$C$3257,Input!$A$115:$A$3257,"="&amp;'Output - County'!A2360,Input!$B$115:$B$3257,"="&amp;'Output - County'!B2360)*VLOOKUP(A2360,'Output - State'!$B$2:$G$52,2,FALSE)</f>
        <v>24.269553569691311</v>
      </c>
      <c r="D2360" s="98">
        <f>SUMIFS(Input!$C$115:$C$3257,Input!$A$115:$A$3257,"="&amp;'Output - County'!A2360,Input!$B$115:$B$3257,"="&amp;'Output - County'!B2360)*VLOOKUP(A2360,'Output - State'!$B$2:$G$52,3,FALSE)</f>
        <v>2.3517225273041866</v>
      </c>
      <c r="E2360" s="98">
        <f>SUMIFS(Input!$C$115:$C$3257,Input!$A$115:$A$3257,"="&amp;'Output - County'!A2360,Input!$B$115:$B$3257,"="&amp;'Output - County'!B2360)*VLOOKUP(A2360,'Output - State'!$B$2:$G$52,4,FALSE)</f>
        <v>0.87447825673218704</v>
      </c>
      <c r="F2360" s="98">
        <f>SUMIFS(Input!$C$115:$C$3257,Input!$A$115:$A$3257,"="&amp;'Output - County'!A2360,Input!$B$115:$B$3257,"="&amp;'Output - County'!B2360)*VLOOKUP(A2360,'Output - State'!$B$2:$G$52,5,FALSE)</f>
        <v>40.796521863407236</v>
      </c>
      <c r="G2360" s="99">
        <f>SUMIFS(Input!$D$115:$D$3257,Input!$A$115:$A$3257,"="&amp;'Output - County'!A2360,Input!$B$115:$B$3257,"="&amp;'Output - County'!B2360)*VLOOKUP(A2360,'Output - State'!$B$2:$G$52,6,FALSE)</f>
        <v>19.302967808610525</v>
      </c>
    </row>
    <row r="2361" spans="1:7" x14ac:dyDescent="0.25">
      <c r="A2361" s="88">
        <v>45</v>
      </c>
      <c r="B2361" s="88">
        <v>87</v>
      </c>
      <c r="C2361" s="97">
        <f>SUMIFS(Input!$C$115:$C$3257,Input!$A$115:$A$3257,"="&amp;'Output - County'!A2361,Input!$B$115:$B$3257,"="&amp;'Output - County'!B2361)*VLOOKUP(A2361,'Output - State'!$B$2:$G$52,2,FALSE)</f>
        <v>5.0682137576465349</v>
      </c>
      <c r="D2361" s="98">
        <f>SUMIFS(Input!$C$115:$C$3257,Input!$A$115:$A$3257,"="&amp;'Output - County'!A2361,Input!$B$115:$B$3257,"="&amp;'Output - County'!B2361)*VLOOKUP(A2361,'Output - State'!$B$2:$G$52,3,FALSE)</f>
        <v>0.49111049500042198</v>
      </c>
      <c r="E2361" s="98">
        <f>SUMIFS(Input!$C$115:$C$3257,Input!$A$115:$A$3257,"="&amp;'Output - County'!A2361,Input!$B$115:$B$3257,"="&amp;'Output - County'!B2361)*VLOOKUP(A2361,'Output - State'!$B$2:$G$52,4,FALSE)</f>
        <v>0.18261739833021581</v>
      </c>
      <c r="F2361" s="98">
        <f>SUMIFS(Input!$C$115:$C$3257,Input!$A$115:$A$3257,"="&amp;'Output - County'!A2361,Input!$B$115:$B$3257,"="&amp;'Output - County'!B2361)*VLOOKUP(A2361,'Output - State'!$B$2:$G$52,5,FALSE)</f>
        <v>8.5195425115056231</v>
      </c>
      <c r="G2361" s="99">
        <f>SUMIFS(Input!$D$115:$D$3257,Input!$A$115:$A$3257,"="&amp;'Output - County'!A2361,Input!$B$115:$B$3257,"="&amp;'Output - County'!B2361)*VLOOKUP(A2361,'Output - State'!$B$2:$G$52,6,FALSE)</f>
        <v>4.9714247280666735</v>
      </c>
    </row>
    <row r="2362" spans="1:7" x14ac:dyDescent="0.25">
      <c r="A2362" s="88">
        <v>45</v>
      </c>
      <c r="B2362" s="88">
        <v>89</v>
      </c>
      <c r="C2362" s="97">
        <f>SUMIFS(Input!$C$115:$C$3257,Input!$A$115:$A$3257,"="&amp;'Output - County'!A2362,Input!$B$115:$B$3257,"="&amp;'Output - County'!B2362)*VLOOKUP(A2362,'Output - State'!$B$2:$G$52,2,FALSE)</f>
        <v>7.5062345394018086</v>
      </c>
      <c r="D2362" s="98">
        <f>SUMIFS(Input!$C$115:$C$3257,Input!$A$115:$A$3257,"="&amp;'Output - County'!A2362,Input!$B$115:$B$3257,"="&amp;'Output - County'!B2362)*VLOOKUP(A2362,'Output - State'!$B$2:$G$52,3,FALSE)</f>
        <v>0.72735498866304549</v>
      </c>
      <c r="E2362" s="98">
        <f>SUMIFS(Input!$C$115:$C$3257,Input!$A$115:$A$3257,"="&amp;'Output - County'!A2362,Input!$B$115:$B$3257,"="&amp;'Output - County'!B2362)*VLOOKUP(A2362,'Output - State'!$B$2:$G$52,4,FALSE)</f>
        <v>0.27046393234181415</v>
      </c>
      <c r="F2362" s="98">
        <f>SUMIFS(Input!$C$115:$C$3257,Input!$A$115:$A$3257,"="&amp;'Output - County'!A2362,Input!$B$115:$B$3257,"="&amp;'Output - County'!B2362)*VLOOKUP(A2362,'Output - State'!$B$2:$G$52,5,FALSE)</f>
        <v>12.617795404403203</v>
      </c>
      <c r="G2362" s="99">
        <f>SUMIFS(Input!$D$115:$D$3257,Input!$A$115:$A$3257,"="&amp;'Output - County'!A2362,Input!$B$115:$B$3257,"="&amp;'Output - County'!B2362)*VLOOKUP(A2362,'Output - State'!$B$2:$G$52,6,FALSE)</f>
        <v>5.5723661787120955</v>
      </c>
    </row>
    <row r="2363" spans="1:7" x14ac:dyDescent="0.25">
      <c r="A2363" s="88">
        <v>45</v>
      </c>
      <c r="B2363" s="88">
        <v>91</v>
      </c>
      <c r="C2363" s="97">
        <f>SUMIFS(Input!$C$115:$C$3257,Input!$A$115:$A$3257,"="&amp;'Output - County'!A2363,Input!$B$115:$B$3257,"="&amp;'Output - County'!B2363)*VLOOKUP(A2363,'Output - State'!$B$2:$G$52,2,FALSE)</f>
        <v>59.643678290151833</v>
      </c>
      <c r="D2363" s="98">
        <f>SUMIFS(Input!$C$115:$C$3257,Input!$A$115:$A$3257,"="&amp;'Output - County'!A2363,Input!$B$115:$B$3257,"="&amp;'Output - County'!B2363)*VLOOKUP(A2363,'Output - State'!$B$2:$G$52,3,FALSE)</f>
        <v>5.7794792740399705</v>
      </c>
      <c r="E2363" s="98">
        <f>SUMIFS(Input!$C$115:$C$3257,Input!$A$115:$A$3257,"="&amp;'Output - County'!A2363,Input!$B$115:$B$3257,"="&amp;'Output - County'!B2363)*VLOOKUP(A2363,'Output - State'!$B$2:$G$52,4,FALSE)</f>
        <v>2.1490753699484206</v>
      </c>
      <c r="F2363" s="98">
        <f>SUMIFS(Input!$C$115:$C$3257,Input!$A$115:$A$3257,"="&amp;'Output - County'!A2363,Input!$B$115:$B$3257,"="&amp;'Output - County'!B2363)*VLOOKUP(A2363,'Output - State'!$B$2:$G$52,5,FALSE)</f>
        <v>100.25955435854998</v>
      </c>
      <c r="G2363" s="99">
        <f>SUMIFS(Input!$D$115:$D$3257,Input!$A$115:$A$3257,"="&amp;'Output - County'!A2363,Input!$B$115:$B$3257,"="&amp;'Output - County'!B2363)*VLOOKUP(A2363,'Output - State'!$B$2:$G$52,6,FALSE)</f>
        <v>49.896350750559279</v>
      </c>
    </row>
    <row r="2364" spans="1:7" x14ac:dyDescent="0.25">
      <c r="A2364" s="88">
        <v>46</v>
      </c>
      <c r="B2364" s="88">
        <v>3</v>
      </c>
      <c r="C2364" s="97">
        <f>SUMIFS(Input!$C$115:$C$3257,Input!$A$115:$A$3257,"="&amp;'Output - County'!A2364,Input!$B$115:$B$3257,"="&amp;'Output - County'!B2364)*VLOOKUP(A2364,'Output - State'!$B$2:$G$52,2,FALSE)</f>
        <v>6.9943960190640198</v>
      </c>
      <c r="D2364" s="98">
        <f>SUMIFS(Input!$C$115:$C$3257,Input!$A$115:$A$3257,"="&amp;'Output - County'!A2364,Input!$B$115:$B$3257,"="&amp;'Output - County'!B2364)*VLOOKUP(A2364,'Output - State'!$B$2:$G$52,3,FALSE)</f>
        <v>0</v>
      </c>
      <c r="E2364" s="98">
        <f>SUMIFS(Input!$C$115:$C$3257,Input!$A$115:$A$3257,"="&amp;'Output - County'!A2364,Input!$B$115:$B$3257,"="&amp;'Output - County'!B2364)*VLOOKUP(A2364,'Output - State'!$B$2:$G$52,4,FALSE)</f>
        <v>8.3153693585129798</v>
      </c>
      <c r="F2364" s="98">
        <f>SUMIFS(Input!$C$115:$C$3257,Input!$A$115:$A$3257,"="&amp;'Output - County'!A2364,Input!$B$115:$B$3257,"="&amp;'Output - County'!B2364)*VLOOKUP(A2364,'Output - State'!$B$2:$G$52,5,FALSE)</f>
        <v>22.106653972317797</v>
      </c>
      <c r="G2364" s="99">
        <f>SUMIFS(Input!$D$115:$D$3257,Input!$A$115:$A$3257,"="&amp;'Output - County'!A2364,Input!$B$115:$B$3257,"="&amp;'Output - County'!B2364)*VLOOKUP(A2364,'Output - State'!$B$2:$G$52,6,FALSE)</f>
        <v>0.98988756603230776</v>
      </c>
    </row>
    <row r="2365" spans="1:7" x14ac:dyDescent="0.25">
      <c r="A2365" s="88">
        <v>46</v>
      </c>
      <c r="B2365" s="88">
        <v>5</v>
      </c>
      <c r="C2365" s="97">
        <f>SUMIFS(Input!$C$115:$C$3257,Input!$A$115:$A$3257,"="&amp;'Output - County'!A2365,Input!$B$115:$B$3257,"="&amp;'Output - County'!B2365)*VLOOKUP(A2365,'Output - State'!$B$2:$G$52,2,FALSE)</f>
        <v>5.9015215808968513</v>
      </c>
      <c r="D2365" s="98">
        <f>SUMIFS(Input!$C$115:$C$3257,Input!$A$115:$A$3257,"="&amp;'Output - County'!A2365,Input!$B$115:$B$3257,"="&amp;'Output - County'!B2365)*VLOOKUP(A2365,'Output - State'!$B$2:$G$52,3,FALSE)</f>
        <v>0</v>
      </c>
      <c r="E2365" s="98">
        <f>SUMIFS(Input!$C$115:$C$3257,Input!$A$115:$A$3257,"="&amp;'Output - County'!A2365,Input!$B$115:$B$3257,"="&amp;'Output - County'!B2365)*VLOOKUP(A2365,'Output - State'!$B$2:$G$52,4,FALSE)</f>
        <v>7.0160928246896264</v>
      </c>
      <c r="F2365" s="98">
        <f>SUMIFS(Input!$C$115:$C$3257,Input!$A$115:$A$3257,"="&amp;'Output - County'!A2365,Input!$B$115:$B$3257,"="&amp;'Output - County'!B2365)*VLOOKUP(A2365,'Output - State'!$B$2:$G$52,5,FALSE)</f>
        <v>18.652489098910209</v>
      </c>
      <c r="G2365" s="99">
        <f>SUMIFS(Input!$D$115:$D$3257,Input!$A$115:$A$3257,"="&amp;'Output - County'!A2365,Input!$B$115:$B$3257,"="&amp;'Output - County'!B2365)*VLOOKUP(A2365,'Output - State'!$B$2:$G$52,6,FALSE)</f>
        <v>6.5282907580625311</v>
      </c>
    </row>
    <row r="2366" spans="1:7" x14ac:dyDescent="0.25">
      <c r="A2366" s="88">
        <v>46</v>
      </c>
      <c r="B2366" s="88">
        <v>7</v>
      </c>
      <c r="C2366" s="97">
        <f>SUMIFS(Input!$C$115:$C$3257,Input!$A$115:$A$3257,"="&amp;'Output - County'!A2366,Input!$B$115:$B$3257,"="&amp;'Output - County'!B2366)*VLOOKUP(A2366,'Output - State'!$B$2:$G$52,2,FALSE)</f>
        <v>0.69156040651085404</v>
      </c>
      <c r="D2366" s="98">
        <f>SUMIFS(Input!$C$115:$C$3257,Input!$A$115:$A$3257,"="&amp;'Output - County'!A2366,Input!$B$115:$B$3257,"="&amp;'Output - County'!B2366)*VLOOKUP(A2366,'Output - State'!$B$2:$G$52,3,FALSE)</f>
        <v>0</v>
      </c>
      <c r="E2366" s="98">
        <f>SUMIFS(Input!$C$115:$C$3257,Input!$A$115:$A$3257,"="&amp;'Output - County'!A2366,Input!$B$115:$B$3257,"="&amp;'Output - County'!B2366)*VLOOKUP(A2366,'Output - State'!$B$2:$G$52,4,FALSE)</f>
        <v>0.8221696624250725</v>
      </c>
      <c r="F2366" s="98">
        <f>SUMIFS(Input!$C$115:$C$3257,Input!$A$115:$A$3257,"="&amp;'Output - County'!A2366,Input!$B$115:$B$3257,"="&amp;'Output - County'!B2366)*VLOOKUP(A2366,'Output - State'!$B$2:$G$52,5,FALSE)</f>
        <v>2.1857622253617706</v>
      </c>
      <c r="G2366" s="99">
        <f>SUMIFS(Input!$D$115:$D$3257,Input!$A$115:$A$3257,"="&amp;'Output - County'!A2366,Input!$B$115:$B$3257,"="&amp;'Output - County'!B2366)*VLOOKUP(A2366,'Output - State'!$B$2:$G$52,6,FALSE)</f>
        <v>1.2311504853520099</v>
      </c>
    </row>
    <row r="2367" spans="1:7" x14ac:dyDescent="0.25">
      <c r="A2367" s="88">
        <v>46</v>
      </c>
      <c r="B2367" s="88">
        <v>9</v>
      </c>
      <c r="C2367" s="97">
        <f>SUMIFS(Input!$C$115:$C$3257,Input!$A$115:$A$3257,"="&amp;'Output - County'!A2367,Input!$B$115:$B$3257,"="&amp;'Output - County'!B2367)*VLOOKUP(A2367,'Output - State'!$B$2:$G$52,2,FALSE)</f>
        <v>1.3196509688166387</v>
      </c>
      <c r="D2367" s="98">
        <f>SUMIFS(Input!$C$115:$C$3257,Input!$A$115:$A$3257,"="&amp;'Output - County'!A2367,Input!$B$115:$B$3257,"="&amp;'Output - County'!B2367)*VLOOKUP(A2367,'Output - State'!$B$2:$G$52,3,FALSE)</f>
        <v>0</v>
      </c>
      <c r="E2367" s="98">
        <f>SUMIFS(Input!$C$115:$C$3257,Input!$A$115:$A$3257,"="&amp;'Output - County'!A2367,Input!$B$115:$B$3257,"="&amp;'Output - County'!B2367)*VLOOKUP(A2367,'Output - State'!$B$2:$G$52,4,FALSE)</f>
        <v>1.5688824596320596</v>
      </c>
      <c r="F2367" s="98">
        <f>SUMIFS(Input!$C$115:$C$3257,Input!$A$115:$A$3257,"="&amp;'Output - County'!A2367,Input!$B$115:$B$3257,"="&amp;'Output - County'!B2367)*VLOOKUP(A2367,'Output - State'!$B$2:$G$52,5,FALSE)</f>
        <v>4.1709201555572308</v>
      </c>
      <c r="G2367" s="99">
        <f>SUMIFS(Input!$D$115:$D$3257,Input!$A$115:$A$3257,"="&amp;'Output - County'!A2367,Input!$B$115:$B$3257,"="&amp;'Output - County'!B2367)*VLOOKUP(A2367,'Output - State'!$B$2:$G$52,6,FALSE)</f>
        <v>2.4516570183810922</v>
      </c>
    </row>
    <row r="2368" spans="1:7" x14ac:dyDescent="0.25">
      <c r="A2368" s="88">
        <v>46</v>
      </c>
      <c r="B2368" s="88">
        <v>11</v>
      </c>
      <c r="C2368" s="97">
        <f>SUMIFS(Input!$C$115:$C$3257,Input!$A$115:$A$3257,"="&amp;'Output - County'!A2368,Input!$B$115:$B$3257,"="&amp;'Output - County'!B2368)*VLOOKUP(A2368,'Output - State'!$B$2:$G$52,2,FALSE)</f>
        <v>16.878356768024055</v>
      </c>
      <c r="D2368" s="98">
        <f>SUMIFS(Input!$C$115:$C$3257,Input!$A$115:$A$3257,"="&amp;'Output - County'!A2368,Input!$B$115:$B$3257,"="&amp;'Output - County'!B2368)*VLOOKUP(A2368,'Output - State'!$B$2:$G$52,3,FALSE)</f>
        <v>0</v>
      </c>
      <c r="E2368" s="98">
        <f>SUMIFS(Input!$C$115:$C$3257,Input!$A$115:$A$3257,"="&amp;'Output - County'!A2368,Input!$B$115:$B$3257,"="&amp;'Output - County'!B2368)*VLOOKUP(A2368,'Output - State'!$B$2:$G$52,4,FALSE)</f>
        <v>20.066031478391867</v>
      </c>
      <c r="F2368" s="98">
        <f>SUMIFS(Input!$C$115:$C$3257,Input!$A$115:$A$3257,"="&amp;'Output - County'!A2368,Input!$B$115:$B$3257,"="&amp;'Output - County'!B2368)*VLOOKUP(A2368,'Output - State'!$B$2:$G$52,5,FALSE)</f>
        <v>53.346134773473537</v>
      </c>
      <c r="G2368" s="99">
        <f>SUMIFS(Input!$D$115:$D$3257,Input!$A$115:$A$3257,"="&amp;'Output - County'!A2368,Input!$B$115:$B$3257,"="&amp;'Output - County'!B2368)*VLOOKUP(A2368,'Output - State'!$B$2:$G$52,6,FALSE)</f>
        <v>12.453424217825807</v>
      </c>
    </row>
    <row r="2369" spans="1:7" x14ac:dyDescent="0.25">
      <c r="A2369" s="88">
        <v>46</v>
      </c>
      <c r="B2369" s="88">
        <v>13</v>
      </c>
      <c r="C2369" s="97">
        <f>SUMIFS(Input!$C$115:$C$3257,Input!$A$115:$A$3257,"="&amp;'Output - County'!A2369,Input!$B$115:$B$3257,"="&amp;'Output - County'!B2369)*VLOOKUP(A2369,'Output - State'!$B$2:$G$52,2,FALSE)</f>
        <v>16.00327858742482</v>
      </c>
      <c r="D2369" s="98">
        <f>SUMIFS(Input!$C$115:$C$3257,Input!$A$115:$A$3257,"="&amp;'Output - County'!A2369,Input!$B$115:$B$3257,"="&amp;'Output - County'!B2369)*VLOOKUP(A2369,'Output - State'!$B$2:$G$52,3,FALSE)</f>
        <v>0</v>
      </c>
      <c r="E2369" s="98">
        <f>SUMIFS(Input!$C$115:$C$3257,Input!$A$115:$A$3257,"="&amp;'Output - County'!A2369,Input!$B$115:$B$3257,"="&amp;'Output - County'!B2369)*VLOOKUP(A2369,'Output - State'!$B$2:$G$52,4,FALSE)</f>
        <v>19.025684567890234</v>
      </c>
      <c r="F2369" s="98">
        <f>SUMIFS(Input!$C$115:$C$3257,Input!$A$115:$A$3257,"="&amp;'Output - County'!A2369,Input!$B$115:$B$3257,"="&amp;'Output - County'!B2369)*VLOOKUP(A2369,'Output - State'!$B$2:$G$52,5,FALSE)</f>
        <v>50.580341918092508</v>
      </c>
      <c r="G2369" s="99">
        <f>SUMIFS(Input!$D$115:$D$3257,Input!$A$115:$A$3257,"="&amp;'Output - County'!A2369,Input!$B$115:$B$3257,"="&amp;'Output - County'!B2369)*VLOOKUP(A2369,'Output - State'!$B$2:$G$52,6,FALSE)</f>
        <v>13.872617860882878</v>
      </c>
    </row>
    <row r="2370" spans="1:7" x14ac:dyDescent="0.25">
      <c r="A2370" s="88">
        <v>46</v>
      </c>
      <c r="B2370" s="88">
        <v>15</v>
      </c>
      <c r="C2370" s="97">
        <f>SUMIFS(Input!$C$115:$C$3257,Input!$A$115:$A$3257,"="&amp;'Output - County'!A2370,Input!$B$115:$B$3257,"="&amp;'Output - County'!B2370)*VLOOKUP(A2370,'Output - State'!$B$2:$G$52,2,FALSE)</f>
        <v>7.9275979371642782</v>
      </c>
      <c r="D2370" s="98">
        <f>SUMIFS(Input!$C$115:$C$3257,Input!$A$115:$A$3257,"="&amp;'Output - County'!A2370,Input!$B$115:$B$3257,"="&amp;'Output - County'!B2370)*VLOOKUP(A2370,'Output - State'!$B$2:$G$52,3,FALSE)</f>
        <v>0</v>
      </c>
      <c r="E2370" s="98">
        <f>SUMIFS(Input!$C$115:$C$3257,Input!$A$115:$A$3257,"="&amp;'Output - County'!A2370,Input!$B$115:$B$3257,"="&amp;'Output - County'!B2370)*VLOOKUP(A2370,'Output - State'!$B$2:$G$52,4,FALSE)</f>
        <v>9.4248173528681587</v>
      </c>
      <c r="F2370" s="98">
        <f>SUMIFS(Input!$C$115:$C$3257,Input!$A$115:$A$3257,"="&amp;'Output - County'!A2370,Input!$B$115:$B$3257,"="&amp;'Output - County'!B2370)*VLOOKUP(A2370,'Output - State'!$B$2:$G$52,5,FALSE)</f>
        <v>25.056154091201019</v>
      </c>
      <c r="G2370" s="99">
        <f>SUMIFS(Input!$D$115:$D$3257,Input!$A$115:$A$3257,"="&amp;'Output - County'!A2370,Input!$B$115:$B$3257,"="&amp;'Output - County'!B2370)*VLOOKUP(A2370,'Output - State'!$B$2:$G$52,6,FALSE)</f>
        <v>1.8555956882971216</v>
      </c>
    </row>
    <row r="2371" spans="1:7" x14ac:dyDescent="0.25">
      <c r="A2371" s="88">
        <v>46</v>
      </c>
      <c r="B2371" s="88">
        <v>17</v>
      </c>
      <c r="C2371" s="97">
        <f>SUMIFS(Input!$C$115:$C$3257,Input!$A$115:$A$3257,"="&amp;'Output - County'!A2371,Input!$B$115:$B$3257,"="&amp;'Output - County'!B2371)*VLOOKUP(A2371,'Output - State'!$B$2:$G$52,2,FALSE)</f>
        <v>0.40037099543394072</v>
      </c>
      <c r="D2371" s="98">
        <f>SUMIFS(Input!$C$115:$C$3257,Input!$A$115:$A$3257,"="&amp;'Output - County'!A2371,Input!$B$115:$B$3257,"="&amp;'Output - County'!B2371)*VLOOKUP(A2371,'Output - State'!$B$2:$G$52,3,FALSE)</f>
        <v>0</v>
      </c>
      <c r="E2371" s="98">
        <f>SUMIFS(Input!$C$115:$C$3257,Input!$A$115:$A$3257,"="&amp;'Output - County'!A2371,Input!$B$115:$B$3257,"="&amp;'Output - County'!B2371)*VLOOKUP(A2371,'Output - State'!$B$2:$G$52,4,FALSE)</f>
        <v>0.47598573177648645</v>
      </c>
      <c r="F2371" s="98">
        <f>SUMIFS(Input!$C$115:$C$3257,Input!$A$115:$A$3257,"="&amp;'Output - County'!A2371,Input!$B$115:$B$3257,"="&amp;'Output - County'!B2371)*VLOOKUP(A2371,'Output - State'!$B$2:$G$52,5,FALSE)</f>
        <v>1.2654220653915687</v>
      </c>
      <c r="G2371" s="99">
        <f>SUMIFS(Input!$D$115:$D$3257,Input!$A$115:$A$3257,"="&amp;'Output - County'!A2371,Input!$B$115:$B$3257,"="&amp;'Output - County'!B2371)*VLOOKUP(A2371,'Output - State'!$B$2:$G$52,6,FALSE)</f>
        <v>0.72024077385146401</v>
      </c>
    </row>
    <row r="2372" spans="1:7" x14ac:dyDescent="0.25">
      <c r="A2372" s="88">
        <v>46</v>
      </c>
      <c r="B2372" s="88">
        <v>19</v>
      </c>
      <c r="C2372" s="97">
        <f>SUMIFS(Input!$C$115:$C$3257,Input!$A$115:$A$3257,"="&amp;'Output - County'!A2372,Input!$B$115:$B$3257,"="&amp;'Output - County'!B2372)*VLOOKUP(A2372,'Output - State'!$B$2:$G$52,2,FALSE)</f>
        <v>4.5177580870624308</v>
      </c>
      <c r="D2372" s="98">
        <f>SUMIFS(Input!$C$115:$C$3257,Input!$A$115:$A$3257,"="&amp;'Output - County'!A2372,Input!$B$115:$B$3257,"="&amp;'Output - County'!B2372)*VLOOKUP(A2372,'Output - State'!$B$2:$G$52,3,FALSE)</f>
        <v>0</v>
      </c>
      <c r="E2372" s="98">
        <f>SUMIFS(Input!$C$115:$C$3257,Input!$A$115:$A$3257,"="&amp;'Output - County'!A2372,Input!$B$115:$B$3257,"="&amp;'Output - County'!B2372)*VLOOKUP(A2372,'Output - State'!$B$2:$G$52,4,FALSE)</f>
        <v>5.370989441252755</v>
      </c>
      <c r="F2372" s="98">
        <f>SUMIFS(Input!$C$115:$C$3257,Input!$A$115:$A$3257,"="&amp;'Output - County'!A2372,Input!$B$115:$B$3257,"="&amp;'Output - County'!B2372)*VLOOKUP(A2372,'Output - State'!$B$2:$G$52,5,FALSE)</f>
        <v>14.27893337596494</v>
      </c>
      <c r="G2372" s="99">
        <f>SUMIFS(Input!$D$115:$D$3257,Input!$A$115:$A$3257,"="&amp;'Output - County'!A2372,Input!$B$115:$B$3257,"="&amp;'Output - County'!B2372)*VLOOKUP(A2372,'Output - State'!$B$2:$G$52,6,FALSE)</f>
        <v>3.6544236308719609</v>
      </c>
    </row>
    <row r="2373" spans="1:7" x14ac:dyDescent="0.25">
      <c r="A2373" s="88">
        <v>46</v>
      </c>
      <c r="B2373" s="88">
        <v>21</v>
      </c>
      <c r="C2373" s="97">
        <f>SUMIFS(Input!$C$115:$C$3257,Input!$A$115:$A$3257,"="&amp;'Output - County'!A2373,Input!$B$115:$B$3257,"="&amp;'Output - County'!B2373)*VLOOKUP(A2373,'Output - State'!$B$2:$G$52,2,FALSE)</f>
        <v>0.36676170677491515</v>
      </c>
      <c r="D2373" s="98">
        <f>SUMIFS(Input!$C$115:$C$3257,Input!$A$115:$A$3257,"="&amp;'Output - County'!A2373,Input!$B$115:$B$3257,"="&amp;'Output - County'!B2373)*VLOOKUP(A2373,'Output - State'!$B$2:$G$52,3,FALSE)</f>
        <v>0</v>
      </c>
      <c r="E2373" s="98">
        <f>SUMIFS(Input!$C$115:$C$3257,Input!$A$115:$A$3257,"="&amp;'Output - County'!A2373,Input!$B$115:$B$3257,"="&amp;'Output - County'!B2373)*VLOOKUP(A2373,'Output - State'!$B$2:$G$52,4,FALSE)</f>
        <v>0.43602893660576086</v>
      </c>
      <c r="F2373" s="98">
        <f>SUMIFS(Input!$C$115:$C$3257,Input!$A$115:$A$3257,"="&amp;'Output - County'!A2373,Input!$B$115:$B$3257,"="&amp;'Output - County'!B2373)*VLOOKUP(A2373,'Output - State'!$B$2:$G$52,5,FALSE)</f>
        <v>1.1591957504080128</v>
      </c>
      <c r="G2373" s="99">
        <f>SUMIFS(Input!$D$115:$D$3257,Input!$A$115:$A$3257,"="&amp;'Output - County'!A2373,Input!$B$115:$B$3257,"="&amp;'Output - County'!B2373)*VLOOKUP(A2373,'Output - State'!$B$2:$G$52,6,FALSE)</f>
        <v>0.48607382274704719</v>
      </c>
    </row>
    <row r="2374" spans="1:7" x14ac:dyDescent="0.25">
      <c r="A2374" s="88">
        <v>46</v>
      </c>
      <c r="B2374" s="88">
        <v>23</v>
      </c>
      <c r="C2374" s="97">
        <f>SUMIFS(Input!$C$115:$C$3257,Input!$A$115:$A$3257,"="&amp;'Output - County'!A2374,Input!$B$115:$B$3257,"="&amp;'Output - County'!B2374)*VLOOKUP(A2374,'Output - State'!$B$2:$G$52,2,FALSE)</f>
        <v>1.6139753055742654</v>
      </c>
      <c r="D2374" s="98">
        <f>SUMIFS(Input!$C$115:$C$3257,Input!$A$115:$A$3257,"="&amp;'Output - County'!A2374,Input!$B$115:$B$3257,"="&amp;'Output - County'!B2374)*VLOOKUP(A2374,'Output - State'!$B$2:$G$52,3,FALSE)</f>
        <v>0</v>
      </c>
      <c r="E2374" s="98">
        <f>SUMIFS(Input!$C$115:$C$3257,Input!$A$115:$A$3257,"="&amp;'Output - County'!A2374,Input!$B$115:$B$3257,"="&amp;'Output - County'!B2374)*VLOOKUP(A2374,'Output - State'!$B$2:$G$52,4,FALSE)</f>
        <v>1.9187933832726878</v>
      </c>
      <c r="F2374" s="98">
        <f>SUMIFS(Input!$C$115:$C$3257,Input!$A$115:$A$3257,"="&amp;'Output - County'!A2374,Input!$B$115:$B$3257,"="&amp;'Output - County'!B2374)*VLOOKUP(A2374,'Output - State'!$B$2:$G$52,5,FALSE)</f>
        <v>5.1011686359976451</v>
      </c>
      <c r="G2374" s="99">
        <f>SUMIFS(Input!$D$115:$D$3257,Input!$A$115:$A$3257,"="&amp;'Output - County'!A2374,Input!$B$115:$B$3257,"="&amp;'Output - County'!B2374)*VLOOKUP(A2374,'Output - State'!$B$2:$G$52,6,FALSE)</f>
        <v>3.3102691724306204</v>
      </c>
    </row>
    <row r="2375" spans="1:7" x14ac:dyDescent="0.25">
      <c r="A2375" s="88">
        <v>46</v>
      </c>
      <c r="B2375" s="88">
        <v>25</v>
      </c>
      <c r="C2375" s="97">
        <f>SUMIFS(Input!$C$115:$C$3257,Input!$A$115:$A$3257,"="&amp;'Output - County'!A2375,Input!$B$115:$B$3257,"="&amp;'Output - County'!B2375)*VLOOKUP(A2375,'Output - State'!$B$2:$G$52,2,FALSE)</f>
        <v>1.0544140382461307</v>
      </c>
      <c r="D2375" s="98">
        <f>SUMIFS(Input!$C$115:$C$3257,Input!$A$115:$A$3257,"="&amp;'Output - County'!A2375,Input!$B$115:$B$3257,"="&amp;'Output - County'!B2375)*VLOOKUP(A2375,'Output - State'!$B$2:$G$52,3,FALSE)</f>
        <v>0</v>
      </c>
      <c r="E2375" s="98">
        <f>SUMIFS(Input!$C$115:$C$3257,Input!$A$115:$A$3257,"="&amp;'Output - County'!A2375,Input!$B$115:$B$3257,"="&amp;'Output - County'!B2375)*VLOOKUP(A2375,'Output - State'!$B$2:$G$52,4,FALSE)</f>
        <v>1.2535524383978345</v>
      </c>
      <c r="F2375" s="98">
        <f>SUMIFS(Input!$C$115:$C$3257,Input!$A$115:$A$3257,"="&amp;'Output - County'!A2375,Input!$B$115:$B$3257,"="&amp;'Output - County'!B2375)*VLOOKUP(A2375,'Output - State'!$B$2:$G$52,5,FALSE)</f>
        <v>3.3326060210958328</v>
      </c>
      <c r="G2375" s="99">
        <f>SUMIFS(Input!$D$115:$D$3257,Input!$A$115:$A$3257,"="&amp;'Output - County'!A2375,Input!$B$115:$B$3257,"="&amp;'Output - County'!B2375)*VLOOKUP(A2375,'Output - State'!$B$2:$G$52,6,FALSE)</f>
        <v>1.3233980721507197</v>
      </c>
    </row>
    <row r="2376" spans="1:7" x14ac:dyDescent="0.25">
      <c r="A2376" s="88">
        <v>46</v>
      </c>
      <c r="B2376" s="88">
        <v>27</v>
      </c>
      <c r="C2376" s="97">
        <f>SUMIFS(Input!$C$115:$C$3257,Input!$A$115:$A$3257,"="&amp;'Output - County'!A2376,Input!$B$115:$B$3257,"="&amp;'Output - County'!B2376)*VLOOKUP(A2376,'Output - State'!$B$2:$G$52,2,FALSE)</f>
        <v>6.3614931652503479</v>
      </c>
      <c r="D2376" s="98">
        <f>SUMIFS(Input!$C$115:$C$3257,Input!$A$115:$A$3257,"="&amp;'Output - County'!A2376,Input!$B$115:$B$3257,"="&amp;'Output - County'!B2376)*VLOOKUP(A2376,'Output - State'!$B$2:$G$52,3,FALSE)</f>
        <v>0</v>
      </c>
      <c r="E2376" s="98">
        <f>SUMIFS(Input!$C$115:$C$3257,Input!$A$115:$A$3257,"="&amp;'Output - County'!A2376,Input!$B$115:$B$3257,"="&amp;'Output - County'!B2376)*VLOOKUP(A2376,'Output - State'!$B$2:$G$52,4,FALSE)</f>
        <v>7.5629354123690646</v>
      </c>
      <c r="F2376" s="98">
        <f>SUMIFS(Input!$C$115:$C$3257,Input!$A$115:$A$3257,"="&amp;'Output - County'!A2376,Input!$B$115:$B$3257,"="&amp;'Output - County'!B2376)*VLOOKUP(A2376,'Output - State'!$B$2:$G$52,5,FALSE)</f>
        <v>20.106286199429871</v>
      </c>
      <c r="G2376" s="99">
        <f>SUMIFS(Input!$D$115:$D$3257,Input!$A$115:$A$3257,"="&amp;'Output - County'!A2376,Input!$B$115:$B$3257,"="&amp;'Output - County'!B2376)*VLOOKUP(A2376,'Output - State'!$B$2:$G$52,6,FALSE)</f>
        <v>4.9671777506997525</v>
      </c>
    </row>
    <row r="2377" spans="1:7" x14ac:dyDescent="0.25">
      <c r="A2377" s="88">
        <v>46</v>
      </c>
      <c r="B2377" s="88">
        <v>29</v>
      </c>
      <c r="C2377" s="97">
        <f>SUMIFS(Input!$C$115:$C$3257,Input!$A$115:$A$3257,"="&amp;'Output - County'!A2377,Input!$B$115:$B$3257,"="&amp;'Output - County'!B2377)*VLOOKUP(A2377,'Output - State'!$B$2:$G$52,2,FALSE)</f>
        <v>16.370777777070316</v>
      </c>
      <c r="D2377" s="98">
        <f>SUMIFS(Input!$C$115:$C$3257,Input!$A$115:$A$3257,"="&amp;'Output - County'!A2377,Input!$B$115:$B$3257,"="&amp;'Output - County'!B2377)*VLOOKUP(A2377,'Output - State'!$B$2:$G$52,3,FALSE)</f>
        <v>0</v>
      </c>
      <c r="E2377" s="98">
        <f>SUMIFS(Input!$C$115:$C$3257,Input!$A$115:$A$3257,"="&amp;'Output - County'!A2377,Input!$B$115:$B$3257,"="&amp;'Output - County'!B2377)*VLOOKUP(A2377,'Output - State'!$B$2:$G$52,4,FALSE)</f>
        <v>19.462590269615923</v>
      </c>
      <c r="F2377" s="98">
        <f>SUMIFS(Input!$C$115:$C$3257,Input!$A$115:$A$3257,"="&amp;'Output - County'!A2377,Input!$B$115:$B$3257,"="&amp;'Output - County'!B2377)*VLOOKUP(A2377,'Output - State'!$B$2:$G$52,5,FALSE)</f>
        <v>51.741868574355152</v>
      </c>
      <c r="G2377" s="99">
        <f>SUMIFS(Input!$D$115:$D$3257,Input!$A$115:$A$3257,"="&amp;'Output - County'!A2377,Input!$B$115:$B$3257,"="&amp;'Output - County'!B2377)*VLOOKUP(A2377,'Output - State'!$B$2:$G$52,6,FALSE)</f>
        <v>9.9343555013995051</v>
      </c>
    </row>
    <row r="2378" spans="1:7" x14ac:dyDescent="0.25">
      <c r="A2378" s="88">
        <v>46</v>
      </c>
      <c r="B2378" s="88">
        <v>31</v>
      </c>
      <c r="C2378" s="97">
        <f>SUMIFS(Input!$C$115:$C$3257,Input!$A$115:$A$3257,"="&amp;'Output - County'!A2378,Input!$B$115:$B$3257,"="&amp;'Output - County'!B2378)*VLOOKUP(A2378,'Output - State'!$B$2:$G$52,2,FALSE)</f>
        <v>0.90239066340657559</v>
      </c>
      <c r="D2378" s="98">
        <f>SUMIFS(Input!$C$115:$C$3257,Input!$A$115:$A$3257,"="&amp;'Output - County'!A2378,Input!$B$115:$B$3257,"="&amp;'Output - County'!B2378)*VLOOKUP(A2378,'Output - State'!$B$2:$G$52,3,FALSE)</f>
        <v>0</v>
      </c>
      <c r="E2378" s="98">
        <f>SUMIFS(Input!$C$115:$C$3257,Input!$A$115:$A$3257,"="&amp;'Output - County'!A2378,Input!$B$115:$B$3257,"="&amp;'Output - County'!B2378)*VLOOKUP(A2378,'Output - State'!$B$2:$G$52,4,FALSE)</f>
        <v>1.0728176745278679</v>
      </c>
      <c r="F2378" s="98">
        <f>SUMIFS(Input!$C$115:$C$3257,Input!$A$115:$A$3257,"="&amp;'Output - County'!A2378,Input!$B$115:$B$3257,"="&amp;'Output - County'!B2378)*VLOOKUP(A2378,'Output - State'!$B$2:$G$52,5,FALSE)</f>
        <v>2.8521173364228511</v>
      </c>
      <c r="G2378" s="99">
        <f>SUMIFS(Input!$D$115:$D$3257,Input!$A$115:$A$3257,"="&amp;'Output - County'!A2378,Input!$B$115:$B$3257,"="&amp;'Output - County'!B2378)*VLOOKUP(A2378,'Output - State'!$B$2:$G$52,6,FALSE)</f>
        <v>1.4830573569946404</v>
      </c>
    </row>
    <row r="2379" spans="1:7" x14ac:dyDescent="0.25">
      <c r="A2379" s="88">
        <v>46</v>
      </c>
      <c r="B2379" s="88">
        <v>33</v>
      </c>
      <c r="C2379" s="97">
        <f>SUMIFS(Input!$C$115:$C$3257,Input!$A$115:$A$3257,"="&amp;'Output - County'!A2379,Input!$B$115:$B$3257,"="&amp;'Output - County'!B2379)*VLOOKUP(A2379,'Output - State'!$B$2:$G$52,2,FALSE)</f>
        <v>6.0580976796671138</v>
      </c>
      <c r="D2379" s="98">
        <f>SUMIFS(Input!$C$115:$C$3257,Input!$A$115:$A$3257,"="&amp;'Output - County'!A2379,Input!$B$115:$B$3257,"="&amp;'Output - County'!B2379)*VLOOKUP(A2379,'Output - State'!$B$2:$G$52,3,FALSE)</f>
        <v>0</v>
      </c>
      <c r="E2379" s="98">
        <f>SUMIFS(Input!$C$115:$C$3257,Input!$A$115:$A$3257,"="&amp;'Output - County'!A2379,Input!$B$115:$B$3257,"="&amp;'Output - County'!B2379)*VLOOKUP(A2379,'Output - State'!$B$2:$G$52,4,FALSE)</f>
        <v>7.2022401475522475</v>
      </c>
      <c r="F2379" s="98">
        <f>SUMIFS(Input!$C$115:$C$3257,Input!$A$115:$A$3257,"="&amp;'Output - County'!A2379,Input!$B$115:$B$3257,"="&amp;'Output - County'!B2379)*VLOOKUP(A2379,'Output - State'!$B$2:$G$52,5,FALSE)</f>
        <v>19.147367230834003</v>
      </c>
      <c r="G2379" s="99">
        <f>SUMIFS(Input!$D$115:$D$3257,Input!$A$115:$A$3257,"="&amp;'Output - County'!A2379,Input!$B$115:$B$3257,"="&amp;'Output - County'!B2379)*VLOOKUP(A2379,'Output - State'!$B$2:$G$52,6,FALSE)</f>
        <v>3.1257739988332012</v>
      </c>
    </row>
    <row r="2380" spans="1:7" x14ac:dyDescent="0.25">
      <c r="A2380" s="88">
        <v>46</v>
      </c>
      <c r="B2380" s="88">
        <v>35</v>
      </c>
      <c r="C2380" s="97">
        <f>SUMIFS(Input!$C$115:$C$3257,Input!$A$115:$A$3257,"="&amp;'Output - County'!A2380,Input!$B$115:$B$3257,"="&amp;'Output - County'!B2380)*VLOOKUP(A2380,'Output - State'!$B$2:$G$52,2,FALSE)</f>
        <v>12.730609373565287</v>
      </c>
      <c r="D2380" s="98">
        <f>SUMIFS(Input!$C$115:$C$3257,Input!$A$115:$A$3257,"="&amp;'Output - County'!A2380,Input!$B$115:$B$3257,"="&amp;'Output - County'!B2380)*VLOOKUP(A2380,'Output - State'!$B$2:$G$52,3,FALSE)</f>
        <v>0</v>
      </c>
      <c r="E2380" s="98">
        <f>SUMIFS(Input!$C$115:$C$3257,Input!$A$115:$A$3257,"="&amp;'Output - County'!A2380,Input!$B$115:$B$3257,"="&amp;'Output - County'!B2380)*VLOOKUP(A2380,'Output - State'!$B$2:$G$52,4,FALSE)</f>
        <v>15.134933568475423</v>
      </c>
      <c r="F2380" s="98">
        <f>SUMIFS(Input!$C$115:$C$3257,Input!$A$115:$A$3257,"="&amp;'Output - County'!A2380,Input!$B$115:$B$3257,"="&amp;'Output - County'!B2380)*VLOOKUP(A2380,'Output - State'!$B$2:$G$52,5,FALSE)</f>
        <v>40.236665969596324</v>
      </c>
      <c r="G2380" s="99">
        <f>SUMIFS(Input!$D$115:$D$3257,Input!$A$115:$A$3257,"="&amp;'Output - County'!A2380,Input!$B$115:$B$3257,"="&amp;'Output - County'!B2380)*VLOOKUP(A2380,'Output - State'!$B$2:$G$52,6,FALSE)</f>
        <v>7.0250085331325058</v>
      </c>
    </row>
    <row r="2381" spans="1:7" x14ac:dyDescent="0.25">
      <c r="A2381" s="88">
        <v>46</v>
      </c>
      <c r="B2381" s="88">
        <v>37</v>
      </c>
      <c r="C2381" s="97">
        <f>SUMIFS(Input!$C$115:$C$3257,Input!$A$115:$A$3257,"="&amp;'Output - County'!A2381,Input!$B$115:$B$3257,"="&amp;'Output - County'!B2381)*VLOOKUP(A2381,'Output - State'!$B$2:$G$52,2,FALSE)</f>
        <v>5.0240791862785166</v>
      </c>
      <c r="D2381" s="98">
        <f>SUMIFS(Input!$C$115:$C$3257,Input!$A$115:$A$3257,"="&amp;'Output - County'!A2381,Input!$B$115:$B$3257,"="&amp;'Output - County'!B2381)*VLOOKUP(A2381,'Output - State'!$B$2:$G$52,3,FALSE)</f>
        <v>0</v>
      </c>
      <c r="E2381" s="98">
        <f>SUMIFS(Input!$C$115:$C$3257,Input!$A$115:$A$3257,"="&amp;'Output - County'!A2381,Input!$B$115:$B$3257,"="&amp;'Output - County'!B2381)*VLOOKUP(A2381,'Output - State'!$B$2:$G$52,4,FALSE)</f>
        <v>5.9729351907520032</v>
      </c>
      <c r="F2381" s="98">
        <f>SUMIFS(Input!$C$115:$C$3257,Input!$A$115:$A$3257,"="&amp;'Output - County'!A2381,Input!$B$115:$B$3257,"="&amp;'Output - County'!B2381)*VLOOKUP(A2381,'Output - State'!$B$2:$G$52,5,FALSE)</f>
        <v>15.87922385261877</v>
      </c>
      <c r="G2381" s="99">
        <f>SUMIFS(Input!$D$115:$D$3257,Input!$A$115:$A$3257,"="&amp;'Output - County'!A2381,Input!$B$115:$B$3257,"="&amp;'Output - County'!B2381)*VLOOKUP(A2381,'Output - State'!$B$2:$G$52,6,FALSE)</f>
        <v>1.9549392433111168</v>
      </c>
    </row>
    <row r="2382" spans="1:7" x14ac:dyDescent="0.25">
      <c r="A2382" s="88">
        <v>46</v>
      </c>
      <c r="B2382" s="88">
        <v>39</v>
      </c>
      <c r="C2382" s="97">
        <f>SUMIFS(Input!$C$115:$C$3257,Input!$A$115:$A$3257,"="&amp;'Output - County'!A2382,Input!$B$115:$B$3257,"="&amp;'Output - County'!B2382)*VLOOKUP(A2382,'Output - State'!$B$2:$G$52,2,FALSE)</f>
        <v>5.1934741633153862</v>
      </c>
      <c r="D2382" s="98">
        <f>SUMIFS(Input!$C$115:$C$3257,Input!$A$115:$A$3257,"="&amp;'Output - County'!A2382,Input!$B$115:$B$3257,"="&amp;'Output - County'!B2382)*VLOOKUP(A2382,'Output - State'!$B$2:$G$52,3,FALSE)</f>
        <v>0</v>
      </c>
      <c r="E2382" s="98">
        <f>SUMIFS(Input!$C$115:$C$3257,Input!$A$115:$A$3257,"="&amp;'Output - County'!A2382,Input!$B$115:$B$3257,"="&amp;'Output - County'!B2382)*VLOOKUP(A2382,'Output - State'!$B$2:$G$52,4,FALSE)</f>
        <v>6.1743223866870265</v>
      </c>
      <c r="F2382" s="98">
        <f>SUMIFS(Input!$C$115:$C$3257,Input!$A$115:$A$3257,"="&amp;'Output - County'!A2382,Input!$B$115:$B$3257,"="&amp;'Output - County'!B2382)*VLOOKUP(A2382,'Output - State'!$B$2:$G$52,5,FALSE)</f>
        <v>16.414617635269341</v>
      </c>
      <c r="G2382" s="99">
        <f>SUMIFS(Input!$D$115:$D$3257,Input!$A$115:$A$3257,"="&amp;'Output - County'!A2382,Input!$B$115:$B$3257,"="&amp;'Output - County'!B2382)*VLOOKUP(A2382,'Output - State'!$B$2:$G$52,6,FALSE)</f>
        <v>1.5433730868245659</v>
      </c>
    </row>
    <row r="2383" spans="1:7" x14ac:dyDescent="0.25">
      <c r="A2383" s="88">
        <v>46</v>
      </c>
      <c r="B2383" s="88">
        <v>41</v>
      </c>
      <c r="C2383" s="97">
        <f>SUMIFS(Input!$C$115:$C$3257,Input!$A$115:$A$3257,"="&amp;'Output - County'!A2383,Input!$B$115:$B$3257,"="&amp;'Output - County'!B2383)*VLOOKUP(A2383,'Output - State'!$B$2:$G$52,2,FALSE)</f>
        <v>1.0449496013312813</v>
      </c>
      <c r="D2383" s="98">
        <f>SUMIFS(Input!$C$115:$C$3257,Input!$A$115:$A$3257,"="&amp;'Output - County'!A2383,Input!$B$115:$B$3257,"="&amp;'Output - County'!B2383)*VLOOKUP(A2383,'Output - State'!$B$2:$G$52,3,FALSE)</f>
        <v>0</v>
      </c>
      <c r="E2383" s="98">
        <f>SUMIFS(Input!$C$115:$C$3257,Input!$A$115:$A$3257,"="&amp;'Output - County'!A2383,Input!$B$115:$B$3257,"="&amp;'Output - County'!B2383)*VLOOKUP(A2383,'Output - State'!$B$2:$G$52,4,FALSE)</f>
        <v>1.2423005320855796</v>
      </c>
      <c r="F2383" s="98">
        <f>SUMIFS(Input!$C$115:$C$3257,Input!$A$115:$A$3257,"="&amp;'Output - County'!A2383,Input!$B$115:$B$3257,"="&amp;'Output - County'!B2383)*VLOOKUP(A2383,'Output - State'!$B$2:$G$52,5,FALSE)</f>
        <v>3.3026924972763161</v>
      </c>
      <c r="G2383" s="99">
        <f>SUMIFS(Input!$D$115:$D$3257,Input!$A$115:$A$3257,"="&amp;'Output - County'!A2383,Input!$B$115:$B$3257,"="&amp;'Output - County'!B2383)*VLOOKUP(A2383,'Output - State'!$B$2:$G$52,6,FALSE)</f>
        <v>2.1039545758321094</v>
      </c>
    </row>
    <row r="2384" spans="1:7" x14ac:dyDescent="0.25">
      <c r="A2384" s="88">
        <v>46</v>
      </c>
      <c r="B2384" s="88">
        <v>43</v>
      </c>
      <c r="C2384" s="97">
        <f>SUMIFS(Input!$C$115:$C$3257,Input!$A$115:$A$3257,"="&amp;'Output - County'!A2384,Input!$B$115:$B$3257,"="&amp;'Output - County'!B2384)*VLOOKUP(A2384,'Output - State'!$B$2:$G$52,2,FALSE)</f>
        <v>0.74500279287073778</v>
      </c>
      <c r="D2384" s="98">
        <f>SUMIFS(Input!$C$115:$C$3257,Input!$A$115:$A$3257,"="&amp;'Output - County'!A2384,Input!$B$115:$B$3257,"="&amp;'Output - County'!B2384)*VLOOKUP(A2384,'Output - State'!$B$2:$G$52,3,FALSE)</f>
        <v>0</v>
      </c>
      <c r="E2384" s="98">
        <f>SUMIFS(Input!$C$115:$C$3257,Input!$A$115:$A$3257,"="&amp;'Output - County'!A2384,Input!$B$115:$B$3257,"="&amp;'Output - County'!B2384)*VLOOKUP(A2384,'Output - State'!$B$2:$G$52,4,FALSE)</f>
        <v>0.88570526732527333</v>
      </c>
      <c r="F2384" s="98">
        <f>SUMIFS(Input!$C$115:$C$3257,Input!$A$115:$A$3257,"="&amp;'Output - County'!A2384,Input!$B$115:$B$3257,"="&amp;'Output - County'!B2384)*VLOOKUP(A2384,'Output - State'!$B$2:$G$52,5,FALSE)</f>
        <v>2.3546734994006924</v>
      </c>
      <c r="G2384" s="99">
        <f>SUMIFS(Input!$D$115:$D$3257,Input!$A$115:$A$3257,"="&amp;'Output - County'!A2384,Input!$B$115:$B$3257,"="&amp;'Output - County'!B2384)*VLOOKUP(A2384,'Output - State'!$B$2:$G$52,6,FALSE)</f>
        <v>1.0395593435393051</v>
      </c>
    </row>
    <row r="2385" spans="1:7" x14ac:dyDescent="0.25">
      <c r="A2385" s="88">
        <v>46</v>
      </c>
      <c r="B2385" s="88">
        <v>45</v>
      </c>
      <c r="C2385" s="97">
        <f>SUMIFS(Input!$C$115:$C$3257,Input!$A$115:$A$3257,"="&amp;'Output - County'!A2385,Input!$B$115:$B$3257,"="&amp;'Output - County'!B2385)*VLOOKUP(A2385,'Output - State'!$B$2:$G$52,2,FALSE)</f>
        <v>1.3094737741077556</v>
      </c>
      <c r="D2385" s="98">
        <f>SUMIFS(Input!$C$115:$C$3257,Input!$A$115:$A$3257,"="&amp;'Output - County'!A2385,Input!$B$115:$B$3257,"="&amp;'Output - County'!B2385)*VLOOKUP(A2385,'Output - State'!$B$2:$G$52,3,FALSE)</f>
        <v>0</v>
      </c>
      <c r="E2385" s="98">
        <f>SUMIFS(Input!$C$115:$C$3257,Input!$A$115:$A$3257,"="&amp;'Output - County'!A2385,Input!$B$115:$B$3257,"="&amp;'Output - County'!B2385)*VLOOKUP(A2385,'Output - State'!$B$2:$G$52,4,FALSE)</f>
        <v>1.5567831828957688</v>
      </c>
      <c r="F2385" s="98">
        <f>SUMIFS(Input!$C$115:$C$3257,Input!$A$115:$A$3257,"="&amp;'Output - County'!A2385,Input!$B$115:$B$3257,"="&amp;'Output - County'!B2385)*VLOOKUP(A2385,'Output - State'!$B$2:$G$52,5,FALSE)</f>
        <v>4.1387538725465225</v>
      </c>
      <c r="G2385" s="99">
        <f>SUMIFS(Input!$D$115:$D$3257,Input!$A$115:$A$3257,"="&amp;'Output - County'!A2385,Input!$B$115:$B$3257,"="&amp;'Output - County'!B2385)*VLOOKUP(A2385,'Output - State'!$B$2:$G$52,6,FALSE)</f>
        <v>1.3730698496577174</v>
      </c>
    </row>
    <row r="2386" spans="1:7" x14ac:dyDescent="0.25">
      <c r="A2386" s="88">
        <v>46</v>
      </c>
      <c r="B2386" s="88">
        <v>47</v>
      </c>
      <c r="C2386" s="97">
        <f>SUMIFS(Input!$C$115:$C$3257,Input!$A$115:$A$3257,"="&amp;'Output - County'!A2386,Input!$B$115:$B$3257,"="&amp;'Output - County'!B2386)*VLOOKUP(A2386,'Output - State'!$B$2:$G$52,2,FALSE)</f>
        <v>4.0188642417716087</v>
      </c>
      <c r="D2386" s="98">
        <f>SUMIFS(Input!$C$115:$C$3257,Input!$A$115:$A$3257,"="&amp;'Output - County'!A2386,Input!$B$115:$B$3257,"="&amp;'Output - County'!B2386)*VLOOKUP(A2386,'Output - State'!$B$2:$G$52,3,FALSE)</f>
        <v>0</v>
      </c>
      <c r="E2386" s="98">
        <f>SUMIFS(Input!$C$115:$C$3257,Input!$A$115:$A$3257,"="&amp;'Output - County'!A2386,Input!$B$115:$B$3257,"="&amp;'Output - County'!B2386)*VLOOKUP(A2386,'Output - State'!$B$2:$G$52,4,FALSE)</f>
        <v>4.7778736692869055</v>
      </c>
      <c r="F2386" s="98">
        <f>SUMIFS(Input!$C$115:$C$3257,Input!$A$115:$A$3257,"="&amp;'Output - County'!A2386,Input!$B$115:$B$3257,"="&amp;'Output - County'!B2386)*VLOOKUP(A2386,'Output - State'!$B$2:$G$52,5,FALSE)</f>
        <v>12.70211765424961</v>
      </c>
      <c r="G2386" s="99">
        <f>SUMIFS(Input!$D$115:$D$3257,Input!$A$115:$A$3257,"="&amp;'Output - County'!A2386,Input!$B$115:$B$3257,"="&amp;'Output - County'!B2386)*VLOOKUP(A2386,'Output - State'!$B$2:$G$52,6,FALSE)</f>
        <v>2.3913412885511662</v>
      </c>
    </row>
    <row r="2387" spans="1:7" x14ac:dyDescent="0.25">
      <c r="A2387" s="88">
        <v>46</v>
      </c>
      <c r="B2387" s="88">
        <v>49</v>
      </c>
      <c r="C2387" s="97">
        <f>SUMIFS(Input!$C$115:$C$3257,Input!$A$115:$A$3257,"="&amp;'Output - County'!A2387,Input!$B$115:$B$3257,"="&amp;'Output - County'!B2387)*VLOOKUP(A2387,'Output - State'!$B$2:$G$52,2,FALSE)</f>
        <v>0.57240444491851328</v>
      </c>
      <c r="D2387" s="98">
        <f>SUMIFS(Input!$C$115:$C$3257,Input!$A$115:$A$3257,"="&amp;'Output - County'!A2387,Input!$B$115:$B$3257,"="&amp;'Output - County'!B2387)*VLOOKUP(A2387,'Output - State'!$B$2:$G$52,3,FALSE)</f>
        <v>0</v>
      </c>
      <c r="E2387" s="98">
        <f>SUMIFS(Input!$C$115:$C$3257,Input!$A$115:$A$3257,"="&amp;'Output - County'!A2387,Input!$B$115:$B$3257,"="&amp;'Output - County'!B2387)*VLOOKUP(A2387,'Output - State'!$B$2:$G$52,4,FALSE)</f>
        <v>0.68050970648198728</v>
      </c>
      <c r="F2387" s="98">
        <f>SUMIFS(Input!$C$115:$C$3257,Input!$A$115:$A$3257,"="&amp;'Output - County'!A2387,Input!$B$115:$B$3257,"="&amp;'Output - County'!B2387)*VLOOKUP(A2387,'Output - State'!$B$2:$G$52,5,FALSE)</f>
        <v>1.8091550666477061</v>
      </c>
      <c r="G2387" s="99">
        <f>SUMIFS(Input!$D$115:$D$3257,Input!$A$115:$A$3257,"="&amp;'Output - County'!A2387,Input!$B$115:$B$3257,"="&amp;'Output - County'!B2387)*VLOOKUP(A2387,'Output - State'!$B$2:$G$52,6,FALSE)</f>
        <v>0.82313231297310174</v>
      </c>
    </row>
    <row r="2388" spans="1:7" x14ac:dyDescent="0.25">
      <c r="A2388" s="88">
        <v>46</v>
      </c>
      <c r="B2388" s="88">
        <v>51</v>
      </c>
      <c r="C2388" s="97">
        <f>SUMIFS(Input!$C$115:$C$3257,Input!$A$115:$A$3257,"="&amp;'Output - County'!A2388,Input!$B$115:$B$3257,"="&amp;'Output - County'!B2388)*VLOOKUP(A2388,'Output - State'!$B$2:$G$52,2,FALSE)</f>
        <v>3.5323201220306579</v>
      </c>
      <c r="D2388" s="98">
        <f>SUMIFS(Input!$C$115:$C$3257,Input!$A$115:$A$3257,"="&amp;'Output - County'!A2388,Input!$B$115:$B$3257,"="&amp;'Output - County'!B2388)*VLOOKUP(A2388,'Output - State'!$B$2:$G$52,3,FALSE)</f>
        <v>0</v>
      </c>
      <c r="E2388" s="98">
        <f>SUMIFS(Input!$C$115:$C$3257,Input!$A$115:$A$3257,"="&amp;'Output - County'!A2388,Input!$B$115:$B$3257,"="&amp;'Output - County'!B2388)*VLOOKUP(A2388,'Output - State'!$B$2:$G$52,4,FALSE)</f>
        <v>4.1994400127093678</v>
      </c>
      <c r="F2388" s="98">
        <f>SUMIFS(Input!$C$115:$C$3257,Input!$A$115:$A$3257,"="&amp;'Output - County'!A2388,Input!$B$115:$B$3257,"="&amp;'Output - County'!B2388)*VLOOKUP(A2388,'Output - State'!$B$2:$G$52,5,FALSE)</f>
        <v>11.164334768055745</v>
      </c>
      <c r="G2388" s="99">
        <f>SUMIFS(Input!$D$115:$D$3257,Input!$A$115:$A$3257,"="&amp;'Output - County'!A2388,Input!$B$115:$B$3257,"="&amp;'Output - County'!B2388)*VLOOKUP(A2388,'Output - State'!$B$2:$G$52,6,FALSE)</f>
        <v>2.519068716426303</v>
      </c>
    </row>
    <row r="2389" spans="1:7" x14ac:dyDescent="0.25">
      <c r="A2389" s="88">
        <v>46</v>
      </c>
      <c r="B2389" s="88">
        <v>53</v>
      </c>
      <c r="C2389" s="97">
        <f>SUMIFS(Input!$C$115:$C$3257,Input!$A$115:$A$3257,"="&amp;'Output - County'!A2389,Input!$B$115:$B$3257,"="&amp;'Output - County'!B2389)*VLOOKUP(A2389,'Output - State'!$B$2:$G$52,2,FALSE)</f>
        <v>0.91922574224413367</v>
      </c>
      <c r="D2389" s="98">
        <f>SUMIFS(Input!$C$115:$C$3257,Input!$A$115:$A$3257,"="&amp;'Output - County'!A2389,Input!$B$115:$B$3257,"="&amp;'Output - County'!B2389)*VLOOKUP(A2389,'Output - State'!$B$2:$G$52,3,FALSE)</f>
        <v>0</v>
      </c>
      <c r="E2389" s="98">
        <f>SUMIFS(Input!$C$115:$C$3257,Input!$A$115:$A$3257,"="&amp;'Output - County'!A2389,Input!$B$115:$B$3257,"="&amp;'Output - County'!B2389)*VLOOKUP(A2389,'Output - State'!$B$2:$G$52,4,FALSE)</f>
        <v>1.092832254533407</v>
      </c>
      <c r="F2389" s="98">
        <f>SUMIFS(Input!$C$115:$C$3257,Input!$A$115:$A$3257,"="&amp;'Output - County'!A2389,Input!$B$115:$B$3257,"="&amp;'Output - County'!B2389)*VLOOKUP(A2389,'Output - State'!$B$2:$G$52,5,FALSE)</f>
        <v>2.9053266859426961</v>
      </c>
      <c r="G2389" s="99">
        <f>SUMIFS(Input!$D$115:$D$3257,Input!$A$115:$A$3257,"="&amp;'Output - County'!A2389,Input!$B$115:$B$3257,"="&amp;'Output - County'!B2389)*VLOOKUP(A2389,'Output - State'!$B$2:$G$52,6,FALSE)</f>
        <v>1.486605341102283</v>
      </c>
    </row>
    <row r="2390" spans="1:7" x14ac:dyDescent="0.25">
      <c r="A2390" s="88">
        <v>46</v>
      </c>
      <c r="B2390" s="88">
        <v>55</v>
      </c>
      <c r="C2390" s="97">
        <f>SUMIFS(Input!$C$115:$C$3257,Input!$A$115:$A$3257,"="&amp;'Output - County'!A2390,Input!$B$115:$B$3257,"="&amp;'Output - County'!B2390)*VLOOKUP(A2390,'Output - State'!$B$2:$G$52,2,FALSE)</f>
        <v>0.57172112325150137</v>
      </c>
      <c r="D2390" s="98">
        <f>SUMIFS(Input!$C$115:$C$3257,Input!$A$115:$A$3257,"="&amp;'Output - County'!A2390,Input!$B$115:$B$3257,"="&amp;'Output - County'!B2390)*VLOOKUP(A2390,'Output - State'!$B$2:$G$52,3,FALSE)</f>
        <v>0</v>
      </c>
      <c r="E2390" s="98">
        <f>SUMIFS(Input!$C$115:$C$3257,Input!$A$115:$A$3257,"="&amp;'Output - County'!A2390,Input!$B$115:$B$3257,"="&amp;'Output - County'!B2390)*VLOOKUP(A2390,'Output - State'!$B$2:$G$52,4,FALSE)</f>
        <v>0.67969733154119294</v>
      </c>
      <c r="F2390" s="98">
        <f>SUMIFS(Input!$C$115:$C$3257,Input!$A$115:$A$3257,"="&amp;'Output - County'!A2390,Input!$B$115:$B$3257,"="&amp;'Output - County'!B2390)*VLOOKUP(A2390,'Output - State'!$B$2:$G$52,5,FALSE)</f>
        <v>1.8069953439778361</v>
      </c>
      <c r="G2390" s="99">
        <f>SUMIFS(Input!$D$115:$D$3257,Input!$A$115:$A$3257,"="&amp;'Output - County'!A2390,Input!$B$115:$B$3257,"="&amp;'Output - County'!B2390)*VLOOKUP(A2390,'Output - State'!$B$2:$G$52,6,FALSE)</f>
        <v>0.67411698045210922</v>
      </c>
    </row>
    <row r="2391" spans="1:7" x14ac:dyDescent="0.25">
      <c r="A2391" s="88">
        <v>46</v>
      </c>
      <c r="B2391" s="88">
        <v>57</v>
      </c>
      <c r="C2391" s="97">
        <f>SUMIFS(Input!$C$115:$C$3257,Input!$A$115:$A$3257,"="&amp;'Output - County'!A2391,Input!$B$115:$B$3257,"="&amp;'Output - County'!B2391)*VLOOKUP(A2391,'Output - State'!$B$2:$G$52,2,FALSE)</f>
        <v>2.5734458965823079</v>
      </c>
      <c r="D2391" s="98">
        <f>SUMIFS(Input!$C$115:$C$3257,Input!$A$115:$A$3257,"="&amp;'Output - County'!A2391,Input!$B$115:$B$3257,"="&amp;'Output - County'!B2391)*VLOOKUP(A2391,'Output - State'!$B$2:$G$52,3,FALSE)</f>
        <v>0</v>
      </c>
      <c r="E2391" s="98">
        <f>SUMIFS(Input!$C$115:$C$3257,Input!$A$115:$A$3257,"="&amp;'Output - County'!A2391,Input!$B$115:$B$3257,"="&amp;'Output - County'!B2391)*VLOOKUP(A2391,'Output - State'!$B$2:$G$52,4,FALSE)</f>
        <v>3.0594711960697776</v>
      </c>
      <c r="F2391" s="98">
        <f>SUMIFS(Input!$C$115:$C$3257,Input!$A$115:$A$3257,"="&amp;'Output - County'!A2391,Input!$B$115:$B$3257,"="&amp;'Output - County'!B2391)*VLOOKUP(A2391,'Output - State'!$B$2:$G$52,5,FALSE)</f>
        <v>8.1336941455938891</v>
      </c>
      <c r="G2391" s="99">
        <f>SUMIFS(Input!$D$115:$D$3257,Input!$A$115:$A$3257,"="&amp;'Output - County'!A2391,Input!$B$115:$B$3257,"="&amp;'Output - County'!B2391)*VLOOKUP(A2391,'Output - State'!$B$2:$G$52,6,FALSE)</f>
        <v>2.1536263533391069</v>
      </c>
    </row>
    <row r="2392" spans="1:7" x14ac:dyDescent="0.25">
      <c r="A2392" s="88">
        <v>46</v>
      </c>
      <c r="B2392" s="88">
        <v>59</v>
      </c>
      <c r="C2392" s="97">
        <f>SUMIFS(Input!$C$115:$C$3257,Input!$A$115:$A$3257,"="&amp;'Output - County'!A2392,Input!$B$115:$B$3257,"="&amp;'Output - County'!B2392)*VLOOKUP(A2392,'Output - State'!$B$2:$G$52,2,FALSE)</f>
        <v>0.85279094554014545</v>
      </c>
      <c r="D2392" s="98">
        <f>SUMIFS(Input!$C$115:$C$3257,Input!$A$115:$A$3257,"="&amp;'Output - County'!A2392,Input!$B$115:$B$3257,"="&amp;'Output - County'!B2392)*VLOOKUP(A2392,'Output - State'!$B$2:$G$52,3,FALSE)</f>
        <v>0</v>
      </c>
      <c r="E2392" s="98">
        <f>SUMIFS(Input!$C$115:$C$3257,Input!$A$115:$A$3257,"="&amp;'Output - County'!A2392,Input!$B$115:$B$3257,"="&amp;'Output - County'!B2392)*VLOOKUP(A2392,'Output - State'!$B$2:$G$52,4,FALSE)</f>
        <v>1.0138504709246905</v>
      </c>
      <c r="F2392" s="98">
        <f>SUMIFS(Input!$C$115:$C$3257,Input!$A$115:$A$3257,"="&amp;'Output - County'!A2392,Input!$B$115:$B$3257,"="&amp;'Output - County'!B2392)*VLOOKUP(A2392,'Output - State'!$B$2:$G$52,5,FALSE)</f>
        <v>2.6953512915764959</v>
      </c>
      <c r="G2392" s="99">
        <f>SUMIFS(Input!$D$115:$D$3257,Input!$A$115:$A$3257,"="&amp;'Output - County'!A2392,Input!$B$115:$B$3257,"="&amp;'Output - County'!B2392)*VLOOKUP(A2392,'Output - State'!$B$2:$G$52,6,FALSE)</f>
        <v>1.1495468508762283</v>
      </c>
    </row>
    <row r="2393" spans="1:7" x14ac:dyDescent="0.25">
      <c r="A2393" s="88">
        <v>46</v>
      </c>
      <c r="B2393" s="88">
        <v>61</v>
      </c>
      <c r="C2393" s="97">
        <f>SUMIFS(Input!$C$115:$C$3257,Input!$A$115:$A$3257,"="&amp;'Output - County'!A2393,Input!$B$115:$B$3257,"="&amp;'Output - County'!B2393)*VLOOKUP(A2393,'Output - State'!$B$2:$G$52,2,FALSE)</f>
        <v>7.4379176849090065</v>
      </c>
      <c r="D2393" s="98">
        <f>SUMIFS(Input!$C$115:$C$3257,Input!$A$115:$A$3257,"="&amp;'Output - County'!A2393,Input!$B$115:$B$3257,"="&amp;'Output - County'!B2393)*VLOOKUP(A2393,'Output - State'!$B$2:$G$52,3,FALSE)</f>
        <v>0</v>
      </c>
      <c r="E2393" s="98">
        <f>SUMIFS(Input!$C$115:$C$3257,Input!$A$115:$A$3257,"="&amp;'Output - County'!A2393,Input!$B$115:$B$3257,"="&amp;'Output - County'!B2393)*VLOOKUP(A2393,'Output - State'!$B$2:$G$52,4,FALSE)</f>
        <v>8.8426552685403568</v>
      </c>
      <c r="F2393" s="98">
        <f>SUMIFS(Input!$C$115:$C$3257,Input!$A$115:$A$3257,"="&amp;'Output - County'!A2393,Input!$B$115:$B$3257,"="&amp;'Output - County'!B2393)*VLOOKUP(A2393,'Output - State'!$B$2:$G$52,5,FALSE)</f>
        <v>23.508459070190014</v>
      </c>
      <c r="G2393" s="99">
        <f>SUMIFS(Input!$D$115:$D$3257,Input!$A$115:$A$3257,"="&amp;'Output - County'!A2393,Input!$B$115:$B$3257,"="&amp;'Output - County'!B2393)*VLOOKUP(A2393,'Output - State'!$B$2:$G$52,6,FALSE)</f>
        <v>1.1921226601679404</v>
      </c>
    </row>
    <row r="2394" spans="1:7" x14ac:dyDescent="0.25">
      <c r="A2394" s="88">
        <v>46</v>
      </c>
      <c r="B2394" s="88">
        <v>63</v>
      </c>
      <c r="C2394" s="97">
        <f>SUMIFS(Input!$C$115:$C$3257,Input!$A$115:$A$3257,"="&amp;'Output - County'!A2394,Input!$B$115:$B$3257,"="&amp;'Output - County'!B2394)*VLOOKUP(A2394,'Output - State'!$B$2:$G$52,2,FALSE)</f>
        <v>0.79657751576456781</v>
      </c>
      <c r="D2394" s="98">
        <f>SUMIFS(Input!$C$115:$C$3257,Input!$A$115:$A$3257,"="&amp;'Output - County'!A2394,Input!$B$115:$B$3257,"="&amp;'Output - County'!B2394)*VLOOKUP(A2394,'Output - State'!$B$2:$G$52,3,FALSE)</f>
        <v>0</v>
      </c>
      <c r="E2394" s="98">
        <f>SUMIFS(Input!$C$115:$C$3257,Input!$A$115:$A$3257,"="&amp;'Output - County'!A2394,Input!$B$115:$B$3257,"="&amp;'Output - County'!B2394)*VLOOKUP(A2394,'Output - State'!$B$2:$G$52,4,FALSE)</f>
        <v>0.94702047871110817</v>
      </c>
      <c r="F2394" s="98">
        <f>SUMIFS(Input!$C$115:$C$3257,Input!$A$115:$A$3257,"="&amp;'Output - County'!A2394,Input!$B$115:$B$3257,"="&amp;'Output - County'!B2394)*VLOOKUP(A2394,'Output - State'!$B$2:$G$52,5,FALSE)</f>
        <v>2.5176817919858543</v>
      </c>
      <c r="G2394" s="99">
        <f>SUMIFS(Input!$D$115:$D$3257,Input!$A$115:$A$3257,"="&amp;'Output - County'!A2394,Input!$B$115:$B$3257,"="&amp;'Output - County'!B2394)*VLOOKUP(A2394,'Output - State'!$B$2:$G$52,6,FALSE)</f>
        <v>0.44349801345533507</v>
      </c>
    </row>
    <row r="2395" spans="1:7" x14ac:dyDescent="0.25">
      <c r="A2395" s="88">
        <v>46</v>
      </c>
      <c r="B2395" s="88">
        <v>65</v>
      </c>
      <c r="C2395" s="97">
        <f>SUMIFS(Input!$C$115:$C$3257,Input!$A$115:$A$3257,"="&amp;'Output - County'!A2395,Input!$B$115:$B$3257,"="&amp;'Output - County'!B2395)*VLOOKUP(A2395,'Output - State'!$B$2:$G$52,2,FALSE)</f>
        <v>5.9981015010141094</v>
      </c>
      <c r="D2395" s="98">
        <f>SUMIFS(Input!$C$115:$C$3257,Input!$A$115:$A$3257,"="&amp;'Output - County'!A2395,Input!$B$115:$B$3257,"="&amp;'Output - County'!B2395)*VLOOKUP(A2395,'Output - State'!$B$2:$G$52,3,FALSE)</f>
        <v>0</v>
      </c>
      <c r="E2395" s="98">
        <f>SUMIFS(Input!$C$115:$C$3257,Input!$A$115:$A$3257,"="&amp;'Output - County'!A2395,Input!$B$115:$B$3257,"="&amp;'Output - County'!B2395)*VLOOKUP(A2395,'Output - State'!$B$2:$G$52,4,FALSE)</f>
        <v>7.1309129901766459</v>
      </c>
      <c r="F2395" s="98">
        <f>SUMIFS(Input!$C$115:$C$3257,Input!$A$115:$A$3257,"="&amp;'Output - County'!A2395,Input!$B$115:$B$3257,"="&amp;'Output - County'!B2395)*VLOOKUP(A2395,'Output - State'!$B$2:$G$52,5,FALSE)</f>
        <v>18.95774188541057</v>
      </c>
      <c r="G2395" s="99">
        <f>SUMIFS(Input!$D$115:$D$3257,Input!$A$115:$A$3257,"="&amp;'Output - County'!A2395,Input!$B$115:$B$3257,"="&amp;'Output - County'!B2395)*VLOOKUP(A2395,'Output - State'!$B$2:$G$52,6,FALSE)</f>
        <v>6.2799318705275438</v>
      </c>
    </row>
    <row r="2396" spans="1:7" x14ac:dyDescent="0.25">
      <c r="A2396" s="88">
        <v>46</v>
      </c>
      <c r="B2396" s="88">
        <v>67</v>
      </c>
      <c r="C2396" s="97">
        <f>SUMIFS(Input!$C$115:$C$3257,Input!$A$115:$A$3257,"="&amp;'Output - County'!A2396,Input!$B$115:$B$3257,"="&amp;'Output - County'!B2396)*VLOOKUP(A2396,'Output - State'!$B$2:$G$52,2,FALSE)</f>
        <v>1.7436393620958033</v>
      </c>
      <c r="D2396" s="98">
        <f>SUMIFS(Input!$C$115:$C$3257,Input!$A$115:$A$3257,"="&amp;'Output - County'!A2396,Input!$B$115:$B$3257,"="&amp;'Output - County'!B2396)*VLOOKUP(A2396,'Output - State'!$B$2:$G$52,3,FALSE)</f>
        <v>0</v>
      </c>
      <c r="E2396" s="98">
        <f>SUMIFS(Input!$C$115:$C$3257,Input!$A$115:$A$3257,"="&amp;'Output - County'!A2396,Input!$B$115:$B$3257,"="&amp;'Output - County'!B2396)*VLOOKUP(A2396,'Output - State'!$B$2:$G$52,4,FALSE)</f>
        <v>2.0729460105418505</v>
      </c>
      <c r="F2396" s="98">
        <f>SUMIFS(Input!$C$115:$C$3257,Input!$A$115:$A$3257,"="&amp;'Output - County'!A2396,Input!$B$115:$B$3257,"="&amp;'Output - County'!B2396)*VLOOKUP(A2396,'Output - State'!$B$2:$G$52,5,FALSE)</f>
        <v>5.5109879288080457</v>
      </c>
      <c r="G2396" s="99">
        <f>SUMIFS(Input!$D$115:$D$3257,Input!$A$115:$A$3257,"="&amp;'Output - County'!A2396,Input!$B$115:$B$3257,"="&amp;'Output - County'!B2396)*VLOOKUP(A2396,'Output - State'!$B$2:$G$52,6,FALSE)</f>
        <v>2.5935763826867992</v>
      </c>
    </row>
    <row r="2397" spans="1:7" x14ac:dyDescent="0.25">
      <c r="A2397" s="88">
        <v>46</v>
      </c>
      <c r="B2397" s="88">
        <v>69</v>
      </c>
      <c r="C2397" s="97">
        <f>SUMIFS(Input!$C$115:$C$3257,Input!$A$115:$A$3257,"="&amp;'Output - County'!A2397,Input!$B$115:$B$3257,"="&amp;'Output - County'!B2397)*VLOOKUP(A2397,'Output - State'!$B$2:$G$52,2,FALSE)</f>
        <v>0.42771035709828614</v>
      </c>
      <c r="D2397" s="98">
        <f>SUMIFS(Input!$C$115:$C$3257,Input!$A$115:$A$3257,"="&amp;'Output - County'!A2397,Input!$B$115:$B$3257,"="&amp;'Output - County'!B2397)*VLOOKUP(A2397,'Output - State'!$B$2:$G$52,3,FALSE)</f>
        <v>0</v>
      </c>
      <c r="E2397" s="98">
        <f>SUMIFS(Input!$C$115:$C$3257,Input!$A$115:$A$3257,"="&amp;'Output - County'!A2397,Input!$B$115:$B$3257,"="&amp;'Output - County'!B2397)*VLOOKUP(A2397,'Output - State'!$B$2:$G$52,4,FALSE)</f>
        <v>0.50848845104565132</v>
      </c>
      <c r="F2397" s="98">
        <f>SUMIFS(Input!$C$115:$C$3257,Input!$A$115:$A$3257,"="&amp;'Output - County'!A2397,Input!$B$115:$B$3257,"="&amp;'Output - County'!B2397)*VLOOKUP(A2397,'Output - State'!$B$2:$G$52,5,FALSE)</f>
        <v>1.351831500386445</v>
      </c>
      <c r="G2397" s="99">
        <f>SUMIFS(Input!$D$115:$D$3257,Input!$A$115:$A$3257,"="&amp;'Output - County'!A2397,Input!$B$115:$B$3257,"="&amp;'Output - County'!B2397)*VLOOKUP(A2397,'Output - State'!$B$2:$G$52,6,FALSE)</f>
        <v>0.45059398167062037</v>
      </c>
    </row>
    <row r="2398" spans="1:7" x14ac:dyDescent="0.25">
      <c r="A2398" s="88">
        <v>46</v>
      </c>
      <c r="B2398" s="88">
        <v>71</v>
      </c>
      <c r="C2398" s="97">
        <f>SUMIFS(Input!$C$115:$C$3257,Input!$A$115:$A$3257,"="&amp;'Output - County'!A2398,Input!$B$115:$B$3257,"="&amp;'Output - County'!B2398)*VLOOKUP(A2398,'Output - State'!$B$2:$G$52,2,FALSE)</f>
        <v>11.407878953063834</v>
      </c>
      <c r="D2398" s="98">
        <f>SUMIFS(Input!$C$115:$C$3257,Input!$A$115:$A$3257,"="&amp;'Output - County'!A2398,Input!$B$115:$B$3257,"="&amp;'Output - County'!B2398)*VLOOKUP(A2398,'Output - State'!$B$2:$G$52,3,FALSE)</f>
        <v>0</v>
      </c>
      <c r="E2398" s="98">
        <f>SUMIFS(Input!$C$115:$C$3257,Input!$A$115:$A$3257,"="&amp;'Output - County'!A2398,Input!$B$115:$B$3257,"="&amp;'Output - County'!B2398)*VLOOKUP(A2398,'Output - State'!$B$2:$G$52,4,FALSE)</f>
        <v>13.56239006675894</v>
      </c>
      <c r="F2398" s="98">
        <f>SUMIFS(Input!$C$115:$C$3257,Input!$A$115:$A$3257,"="&amp;'Output - County'!A2398,Input!$B$115:$B$3257,"="&amp;'Output - County'!B2398)*VLOOKUP(A2398,'Output - State'!$B$2:$G$52,5,FALSE)</f>
        <v>36.05601282599622</v>
      </c>
      <c r="G2398" s="99">
        <f>SUMIFS(Input!$D$115:$D$3257,Input!$A$115:$A$3257,"="&amp;'Output - County'!A2398,Input!$B$115:$B$3257,"="&amp;'Output - County'!B2398)*VLOOKUP(A2398,'Output - State'!$B$2:$G$52,6,FALSE)</f>
        <v>1.163738787306799</v>
      </c>
    </row>
    <row r="2399" spans="1:7" x14ac:dyDescent="0.25">
      <c r="A2399" s="88">
        <v>46</v>
      </c>
      <c r="B2399" s="88">
        <v>73</v>
      </c>
      <c r="C2399" s="97">
        <f>SUMIFS(Input!$C$115:$C$3257,Input!$A$115:$A$3257,"="&amp;'Output - County'!A2399,Input!$B$115:$B$3257,"="&amp;'Output - County'!B2399)*VLOOKUP(A2399,'Output - State'!$B$2:$G$52,2,FALSE)</f>
        <v>0.50009625695788185</v>
      </c>
      <c r="D2399" s="98">
        <f>SUMIFS(Input!$C$115:$C$3257,Input!$A$115:$A$3257,"="&amp;'Output - County'!A2399,Input!$B$115:$B$3257,"="&amp;'Output - County'!B2399)*VLOOKUP(A2399,'Output - State'!$B$2:$G$52,3,FALSE)</f>
        <v>0</v>
      </c>
      <c r="E2399" s="98">
        <f>SUMIFS(Input!$C$115:$C$3257,Input!$A$115:$A$3257,"="&amp;'Output - County'!A2399,Input!$B$115:$B$3257,"="&amp;'Output - County'!B2399)*VLOOKUP(A2399,'Output - State'!$B$2:$G$52,4,FALSE)</f>
        <v>0.59454527311295802</v>
      </c>
      <c r="F2399" s="98">
        <f>SUMIFS(Input!$C$115:$C$3257,Input!$A$115:$A$3257,"="&amp;'Output - County'!A2399,Input!$B$115:$B$3257,"="&amp;'Output - County'!B2399)*VLOOKUP(A2399,'Output - State'!$B$2:$G$52,5,FALSE)</f>
        <v>1.5806160925527128</v>
      </c>
      <c r="G2399" s="99">
        <f>SUMIFS(Input!$D$115:$D$3257,Input!$A$115:$A$3257,"="&amp;'Output - County'!A2399,Input!$B$115:$B$3257,"="&amp;'Output - County'!B2399)*VLOOKUP(A2399,'Output - State'!$B$2:$G$52,6,FALSE)</f>
        <v>0.72024077385146401</v>
      </c>
    </row>
    <row r="2400" spans="1:7" x14ac:dyDescent="0.25">
      <c r="A2400" s="88">
        <v>46</v>
      </c>
      <c r="B2400" s="88">
        <v>75</v>
      </c>
      <c r="C2400" s="97">
        <f>SUMIFS(Input!$C$115:$C$3257,Input!$A$115:$A$3257,"="&amp;'Output - County'!A2400,Input!$B$115:$B$3257,"="&amp;'Output - County'!B2400)*VLOOKUP(A2400,'Output - State'!$B$2:$G$52,2,FALSE)</f>
        <v>7.647718420667414</v>
      </c>
      <c r="D2400" s="98">
        <f>SUMIFS(Input!$C$115:$C$3257,Input!$A$115:$A$3257,"="&amp;'Output - County'!A2400,Input!$B$115:$B$3257,"="&amp;'Output - County'!B2400)*VLOOKUP(A2400,'Output - State'!$B$2:$G$52,3,FALSE)</f>
        <v>0</v>
      </c>
      <c r="E2400" s="98">
        <f>SUMIFS(Input!$C$115:$C$3257,Input!$A$115:$A$3257,"="&amp;'Output - County'!A2400,Input!$B$115:$B$3257,"="&amp;'Output - County'!B2400)*VLOOKUP(A2400,'Output - State'!$B$2:$G$52,4,FALSE)</f>
        <v>9.0920793224206218</v>
      </c>
      <c r="F2400" s="98">
        <f>SUMIFS(Input!$C$115:$C$3257,Input!$A$115:$A$3257,"="&amp;'Output - County'!A2400,Input!$B$115:$B$3257,"="&amp;'Output - County'!B2400)*VLOOKUP(A2400,'Output - State'!$B$2:$G$52,5,FALSE)</f>
        <v>24.171560252323172</v>
      </c>
      <c r="G2400" s="99">
        <f>SUMIFS(Input!$D$115:$D$3257,Input!$A$115:$A$3257,"="&amp;'Output - County'!A2400,Input!$B$115:$B$3257,"="&amp;'Output - County'!B2400)*VLOOKUP(A2400,'Output - State'!$B$2:$G$52,6,FALSE)</f>
        <v>0.32925292518924076</v>
      </c>
    </row>
    <row r="2401" spans="1:7" x14ac:dyDescent="0.25">
      <c r="A2401" s="88">
        <v>46</v>
      </c>
      <c r="B2401" s="88">
        <v>77</v>
      </c>
      <c r="C2401" s="97">
        <f>SUMIFS(Input!$C$115:$C$3257,Input!$A$115:$A$3257,"="&amp;'Output - County'!A2401,Input!$B$115:$B$3257,"="&amp;'Output - County'!B2401)*VLOOKUP(A2401,'Output - State'!$B$2:$G$52,2,FALSE)</f>
        <v>1.3483994282243572</v>
      </c>
      <c r="D2401" s="98">
        <f>SUMIFS(Input!$C$115:$C$3257,Input!$A$115:$A$3257,"="&amp;'Output - County'!A2401,Input!$B$115:$B$3257,"="&amp;'Output - County'!B2401)*VLOOKUP(A2401,'Output - State'!$B$2:$G$52,3,FALSE)</f>
        <v>0</v>
      </c>
      <c r="E2401" s="98">
        <f>SUMIFS(Input!$C$115:$C$3257,Input!$A$115:$A$3257,"="&amp;'Output - County'!A2401,Input!$B$115:$B$3257,"="&amp;'Output - County'!B2401)*VLOOKUP(A2401,'Output - State'!$B$2:$G$52,4,FALSE)</f>
        <v>1.6030604012029728</v>
      </c>
      <c r="F2401" s="98">
        <f>SUMIFS(Input!$C$115:$C$3257,Input!$A$115:$A$3257,"="&amp;'Output - County'!A2401,Input!$B$115:$B$3257,"="&amp;'Output - County'!B2401)*VLOOKUP(A2401,'Output - State'!$B$2:$G$52,5,FALSE)</f>
        <v>4.2617832183050997</v>
      </c>
      <c r="G2401" s="99">
        <f>SUMIFS(Input!$D$115:$D$3257,Input!$A$115:$A$3257,"="&amp;'Output - County'!A2401,Input!$B$115:$B$3257,"="&amp;'Output - County'!B2401)*VLOOKUP(A2401,'Output - State'!$B$2:$G$52,6,FALSE)</f>
        <v>1.7491561650678413</v>
      </c>
    </row>
    <row r="2402" spans="1:7" x14ac:dyDescent="0.25">
      <c r="A2402" s="88">
        <v>46</v>
      </c>
      <c r="B2402" s="88">
        <v>79</v>
      </c>
      <c r="C2402" s="97">
        <f>SUMIFS(Input!$C$115:$C$3257,Input!$A$115:$A$3257,"="&amp;'Output - County'!A2402,Input!$B$115:$B$3257,"="&amp;'Output - County'!B2402)*VLOOKUP(A2402,'Output - State'!$B$2:$G$52,2,FALSE)</f>
        <v>2.6684341726209584</v>
      </c>
      <c r="D2402" s="98">
        <f>SUMIFS(Input!$C$115:$C$3257,Input!$A$115:$A$3257,"="&amp;'Output - County'!A2402,Input!$B$115:$B$3257,"="&amp;'Output - County'!B2402)*VLOOKUP(A2402,'Output - State'!$B$2:$G$52,3,FALSE)</f>
        <v>0</v>
      </c>
      <c r="E2402" s="98">
        <f>SUMIFS(Input!$C$115:$C$3257,Input!$A$115:$A$3257,"="&amp;'Output - County'!A2402,Input!$B$115:$B$3257,"="&amp;'Output - County'!B2402)*VLOOKUP(A2402,'Output - State'!$B$2:$G$52,4,FALSE)</f>
        <v>3.1723991169133936</v>
      </c>
      <c r="F2402" s="98">
        <f>SUMIFS(Input!$C$115:$C$3257,Input!$A$115:$A$3257,"="&amp;'Output - County'!A2402,Input!$B$115:$B$3257,"="&amp;'Output - County'!B2402)*VLOOKUP(A2402,'Output - State'!$B$2:$G$52,5,FALSE)</f>
        <v>8.4339163440639222</v>
      </c>
      <c r="G2402" s="99">
        <f>SUMIFS(Input!$D$115:$D$3257,Input!$A$115:$A$3257,"="&amp;'Output - County'!A2402,Input!$B$115:$B$3257,"="&amp;'Output - County'!B2402)*VLOOKUP(A2402,'Output - State'!$B$2:$G$52,6,FALSE)</f>
        <v>4.6478591810119108</v>
      </c>
    </row>
    <row r="2403" spans="1:7" x14ac:dyDescent="0.25">
      <c r="A2403" s="88">
        <v>46</v>
      </c>
      <c r="B2403" s="88">
        <v>81</v>
      </c>
      <c r="C2403" s="97">
        <f>SUMIFS(Input!$C$115:$C$3257,Input!$A$115:$A$3257,"="&amp;'Output - County'!A2403,Input!$B$115:$B$3257,"="&amp;'Output - County'!B2403)*VLOOKUP(A2403,'Output - State'!$B$2:$G$52,2,FALSE)</f>
        <v>17.497601723444411</v>
      </c>
      <c r="D2403" s="98">
        <f>SUMIFS(Input!$C$115:$C$3257,Input!$A$115:$A$3257,"="&amp;'Output - County'!A2403,Input!$B$115:$B$3257,"="&amp;'Output - County'!B2403)*VLOOKUP(A2403,'Output - State'!$B$2:$G$52,3,FALSE)</f>
        <v>0</v>
      </c>
      <c r="E2403" s="98">
        <f>SUMIFS(Input!$C$115:$C$3257,Input!$A$115:$A$3257,"="&amp;'Output - County'!A2403,Input!$B$115:$B$3257,"="&amp;'Output - County'!B2403)*VLOOKUP(A2403,'Output - State'!$B$2:$G$52,4,FALSE)</f>
        <v>20.802228072591184</v>
      </c>
      <c r="F2403" s="98">
        <f>SUMIFS(Input!$C$115:$C$3257,Input!$A$115:$A$3257,"="&amp;'Output - County'!A2403,Input!$B$115:$B$3257,"="&amp;'Output - County'!B2403)*VLOOKUP(A2403,'Output - State'!$B$2:$G$52,5,FALSE)</f>
        <v>55.303335068719768</v>
      </c>
      <c r="G2403" s="99">
        <f>SUMIFS(Input!$D$115:$D$3257,Input!$A$115:$A$3257,"="&amp;'Output - County'!A2403,Input!$B$115:$B$3257,"="&amp;'Output - County'!B2403)*VLOOKUP(A2403,'Output - State'!$B$2:$G$52,6,FALSE)</f>
        <v>9.1183191566416877</v>
      </c>
    </row>
    <row r="2404" spans="1:7" x14ac:dyDescent="0.25">
      <c r="A2404" s="88">
        <v>46</v>
      </c>
      <c r="B2404" s="88">
        <v>83</v>
      </c>
      <c r="C2404" s="97">
        <f>SUMIFS(Input!$C$115:$C$3257,Input!$A$115:$A$3257,"="&amp;'Output - County'!A2404,Input!$B$115:$B$3257,"="&amp;'Output - County'!B2404)*VLOOKUP(A2404,'Output - State'!$B$2:$G$52,2,FALSE)</f>
        <v>38.611501311131541</v>
      </c>
      <c r="D2404" s="98">
        <f>SUMIFS(Input!$C$115:$C$3257,Input!$A$115:$A$3257,"="&amp;'Output - County'!A2404,Input!$B$115:$B$3257,"="&amp;'Output - County'!B2404)*VLOOKUP(A2404,'Output - State'!$B$2:$G$52,3,FALSE)</f>
        <v>0</v>
      </c>
      <c r="E2404" s="98">
        <f>SUMIFS(Input!$C$115:$C$3257,Input!$A$115:$A$3257,"="&amp;'Output - County'!A2404,Input!$B$115:$B$3257,"="&amp;'Output - County'!B2404)*VLOOKUP(A2404,'Output - State'!$B$2:$G$52,4,FALSE)</f>
        <v>45.903734077060733</v>
      </c>
      <c r="F2404" s="98">
        <f>SUMIFS(Input!$C$115:$C$3257,Input!$A$115:$A$3257,"="&amp;'Output - County'!A2404,Input!$B$115:$B$3257,"="&amp;'Output - County'!B2404)*VLOOKUP(A2404,'Output - State'!$B$2:$G$52,5,FALSE)</f>
        <v>122.03642694957149</v>
      </c>
      <c r="G2404" s="99">
        <f>SUMIFS(Input!$D$115:$D$3257,Input!$A$115:$A$3257,"="&amp;'Output - County'!A2404,Input!$B$115:$B$3257,"="&amp;'Output - County'!B2404)*VLOOKUP(A2404,'Output - State'!$B$2:$G$52,6,FALSE)</f>
        <v>20.86214655293896</v>
      </c>
    </row>
    <row r="2405" spans="1:7" x14ac:dyDescent="0.25">
      <c r="A2405" s="88">
        <v>46</v>
      </c>
      <c r="B2405" s="88">
        <v>85</v>
      </c>
      <c r="C2405" s="97">
        <f>SUMIFS(Input!$C$115:$C$3257,Input!$A$115:$A$3257,"="&amp;'Output - County'!A2405,Input!$B$115:$B$3257,"="&amp;'Output - County'!B2405)*VLOOKUP(A2405,'Output - State'!$B$2:$G$52,2,FALSE)</f>
        <v>14.409298583564389</v>
      </c>
      <c r="D2405" s="98">
        <f>SUMIFS(Input!$C$115:$C$3257,Input!$A$115:$A$3257,"="&amp;'Output - County'!A2405,Input!$B$115:$B$3257,"="&amp;'Output - County'!B2405)*VLOOKUP(A2405,'Output - State'!$B$2:$G$52,3,FALSE)</f>
        <v>0</v>
      </c>
      <c r="E2405" s="98">
        <f>SUMIFS(Input!$C$115:$C$3257,Input!$A$115:$A$3257,"="&amp;'Output - County'!A2405,Input!$B$115:$B$3257,"="&amp;'Output - County'!B2405)*VLOOKUP(A2405,'Output - State'!$B$2:$G$52,4,FALSE)</f>
        <v>17.130662832481391</v>
      </c>
      <c r="F2405" s="98">
        <f>SUMIFS(Input!$C$115:$C$3257,Input!$A$115:$A$3257,"="&amp;'Output - County'!A2405,Input!$B$115:$B$3257,"="&amp;'Output - County'!B2405)*VLOOKUP(A2405,'Output - State'!$B$2:$G$52,5,FALSE)</f>
        <v>45.542370907001299</v>
      </c>
      <c r="G2405" s="99">
        <f>SUMIFS(Input!$D$115:$D$3257,Input!$A$115:$A$3257,"="&amp;'Output - County'!A2405,Input!$B$115:$B$3257,"="&amp;'Output - County'!B2405)*VLOOKUP(A2405,'Output - State'!$B$2:$G$52,6,FALSE)</f>
        <v>1.3482339609042184</v>
      </c>
    </row>
    <row r="2406" spans="1:7" x14ac:dyDescent="0.25">
      <c r="A2406" s="88">
        <v>46</v>
      </c>
      <c r="B2406" s="88">
        <v>87</v>
      </c>
      <c r="C2406" s="97">
        <f>SUMIFS(Input!$C$115:$C$3257,Input!$A$115:$A$3257,"="&amp;'Output - County'!A2406,Input!$B$115:$B$3257,"="&amp;'Output - County'!B2406)*VLOOKUP(A2406,'Output - State'!$B$2:$G$52,2,FALSE)</f>
        <v>10.033695832744312</v>
      </c>
      <c r="D2406" s="98">
        <f>SUMIFS(Input!$C$115:$C$3257,Input!$A$115:$A$3257,"="&amp;'Output - County'!A2406,Input!$B$115:$B$3257,"="&amp;'Output - County'!B2406)*VLOOKUP(A2406,'Output - State'!$B$2:$G$52,3,FALSE)</f>
        <v>0</v>
      </c>
      <c r="E2406" s="98">
        <f>SUMIFS(Input!$C$115:$C$3257,Input!$A$115:$A$3257,"="&amp;'Output - County'!A2406,Input!$B$115:$B$3257,"="&amp;'Output - County'!B2406)*VLOOKUP(A2406,'Output - State'!$B$2:$G$52,4,FALSE)</f>
        <v>11.928676422214714</v>
      </c>
      <c r="F2406" s="98">
        <f>SUMIFS(Input!$C$115:$C$3257,Input!$A$115:$A$3257,"="&amp;'Output - County'!A2406,Input!$B$115:$B$3257,"="&amp;'Output - County'!B2406)*VLOOKUP(A2406,'Output - State'!$B$2:$G$52,5,FALSE)</f>
        <v>31.712737058838723</v>
      </c>
      <c r="G2406" s="99">
        <f>SUMIFS(Input!$D$115:$D$3257,Input!$A$115:$A$3257,"="&amp;'Output - County'!A2406,Input!$B$115:$B$3257,"="&amp;'Output - County'!B2406)*VLOOKUP(A2406,'Output - State'!$B$2:$G$52,6,FALSE)</f>
        <v>1.9868711002799009</v>
      </c>
    </row>
    <row r="2407" spans="1:7" x14ac:dyDescent="0.25">
      <c r="A2407" s="88">
        <v>46</v>
      </c>
      <c r="B2407" s="88">
        <v>89</v>
      </c>
      <c r="C2407" s="97">
        <f>SUMIFS(Input!$C$115:$C$3257,Input!$A$115:$A$3257,"="&amp;'Output - County'!A2407,Input!$B$115:$B$3257,"="&amp;'Output - County'!B2407)*VLOOKUP(A2407,'Output - State'!$B$2:$G$52,2,FALSE)</f>
        <v>0.47638869508862347</v>
      </c>
      <c r="D2407" s="98">
        <f>SUMIFS(Input!$C$115:$C$3257,Input!$A$115:$A$3257,"="&amp;'Output - County'!A2407,Input!$B$115:$B$3257,"="&amp;'Output - County'!B2407)*VLOOKUP(A2407,'Output - State'!$B$2:$G$52,3,FALSE)</f>
        <v>0</v>
      </c>
      <c r="E2407" s="98">
        <f>SUMIFS(Input!$C$115:$C$3257,Input!$A$115:$A$3257,"="&amp;'Output - County'!A2407,Input!$B$115:$B$3257,"="&amp;'Output - County'!B2407)*VLOOKUP(A2407,'Output - State'!$B$2:$G$52,4,FALSE)</f>
        <v>0.56636026142712237</v>
      </c>
      <c r="F2407" s="98">
        <f>SUMIFS(Input!$C$115:$C$3257,Input!$A$115:$A$3257,"="&amp;'Output - County'!A2407,Input!$B$115:$B$3257,"="&amp;'Output - County'!B2407)*VLOOKUP(A2407,'Output - State'!$B$2:$G$52,5,FALSE)</f>
        <v>1.5056854101403172</v>
      </c>
      <c r="G2407" s="99">
        <f>SUMIFS(Input!$D$115:$D$3257,Input!$A$115:$A$3257,"="&amp;'Output - County'!A2407,Input!$B$115:$B$3257,"="&amp;'Output - County'!B2407)*VLOOKUP(A2407,'Output - State'!$B$2:$G$52,6,FALSE)</f>
        <v>0.85151618583424316</v>
      </c>
    </row>
    <row r="2408" spans="1:7" x14ac:dyDescent="0.25">
      <c r="A2408" s="88">
        <v>46</v>
      </c>
      <c r="B2408" s="88">
        <v>91</v>
      </c>
      <c r="C2408" s="97">
        <f>SUMIFS(Input!$C$115:$C$3257,Input!$A$115:$A$3257,"="&amp;'Output - County'!A2408,Input!$B$115:$B$3257,"="&amp;'Output - County'!B2408)*VLOOKUP(A2408,'Output - State'!$B$2:$G$52,2,FALSE)</f>
        <v>0.74859898594580632</v>
      </c>
      <c r="D2408" s="98">
        <f>SUMIFS(Input!$C$115:$C$3257,Input!$A$115:$A$3257,"="&amp;'Output - County'!A2408,Input!$B$115:$B$3257,"="&amp;'Output - County'!B2408)*VLOOKUP(A2408,'Output - State'!$B$2:$G$52,3,FALSE)</f>
        <v>0</v>
      </c>
      <c r="E2408" s="98">
        <f>SUMIFS(Input!$C$115:$C$3257,Input!$A$115:$A$3257,"="&amp;'Output - County'!A2408,Input!$B$115:$B$3257,"="&amp;'Output - County'!B2408)*VLOOKUP(A2408,'Output - State'!$B$2:$G$52,4,FALSE)</f>
        <v>0.88998064344384253</v>
      </c>
      <c r="F2408" s="98">
        <f>SUMIFS(Input!$C$115:$C$3257,Input!$A$115:$A$3257,"="&amp;'Output - County'!A2408,Input!$B$115:$B$3257,"="&amp;'Output - County'!B2408)*VLOOKUP(A2408,'Output - State'!$B$2:$G$52,5,FALSE)</f>
        <v>2.366039712539254</v>
      </c>
      <c r="G2408" s="99">
        <f>SUMIFS(Input!$D$115:$D$3257,Input!$A$115:$A$3257,"="&amp;'Output - County'!A2408,Input!$B$115:$B$3257,"="&amp;'Output - County'!B2408)*VLOOKUP(A2408,'Output - State'!$B$2:$G$52,6,FALSE)</f>
        <v>1.7456081809601987</v>
      </c>
    </row>
    <row r="2409" spans="1:7" x14ac:dyDescent="0.25">
      <c r="A2409" s="88">
        <v>46</v>
      </c>
      <c r="B2409" s="88">
        <v>93</v>
      </c>
      <c r="C2409" s="97">
        <f>SUMIFS(Input!$C$115:$C$3257,Input!$A$115:$A$3257,"="&amp;'Output - County'!A2409,Input!$B$115:$B$3257,"="&amp;'Output - County'!B2409)*VLOOKUP(A2409,'Output - State'!$B$2:$G$52,2,FALSE)</f>
        <v>19.498748290418096</v>
      </c>
      <c r="D2409" s="98">
        <f>SUMIFS(Input!$C$115:$C$3257,Input!$A$115:$A$3257,"="&amp;'Output - County'!A2409,Input!$B$115:$B$3257,"="&amp;'Output - County'!B2409)*VLOOKUP(A2409,'Output - State'!$B$2:$G$52,3,FALSE)</f>
        <v>0</v>
      </c>
      <c r="E2409" s="98">
        <f>SUMIFS(Input!$C$115:$C$3257,Input!$A$115:$A$3257,"="&amp;'Output - County'!A2409,Input!$B$115:$B$3257,"="&amp;'Output - County'!B2409)*VLOOKUP(A2409,'Output - State'!$B$2:$G$52,4,FALSE)</f>
        <v>23.181314529742231</v>
      </c>
      <c r="F2409" s="98">
        <f>SUMIFS(Input!$C$115:$C$3257,Input!$A$115:$A$3257,"="&amp;'Output - County'!A2409,Input!$B$115:$B$3257,"="&amp;'Output - County'!B2409)*VLOOKUP(A2409,'Output - State'!$B$2:$G$52,5,FALSE)</f>
        <v>61.628206377607832</v>
      </c>
      <c r="G2409" s="99">
        <f>SUMIFS(Input!$D$115:$D$3257,Input!$A$115:$A$3257,"="&amp;'Output - County'!A2409,Input!$B$115:$B$3257,"="&amp;'Output - County'!B2409)*VLOOKUP(A2409,'Output - State'!$B$2:$G$52,6,FALSE)</f>
        <v>10.005315183552359</v>
      </c>
    </row>
    <row r="2410" spans="1:7" x14ac:dyDescent="0.25">
      <c r="A2410" s="88">
        <v>46</v>
      </c>
      <c r="B2410" s="88">
        <v>95</v>
      </c>
      <c r="C2410" s="97">
        <f>SUMIFS(Input!$C$115:$C$3257,Input!$A$115:$A$3257,"="&amp;'Output - County'!A2410,Input!$B$115:$B$3257,"="&amp;'Output - County'!B2410)*VLOOKUP(A2410,'Output - State'!$B$2:$G$52,2,FALSE)</f>
        <v>0.50467587495555544</v>
      </c>
      <c r="D2410" s="98">
        <f>SUMIFS(Input!$C$115:$C$3257,Input!$A$115:$A$3257,"="&amp;'Output - County'!A2410,Input!$B$115:$B$3257,"="&amp;'Output - County'!B2410)*VLOOKUP(A2410,'Output - State'!$B$2:$G$52,3,FALSE)</f>
        <v>0</v>
      </c>
      <c r="E2410" s="98">
        <f>SUMIFS(Input!$C$115:$C$3257,Input!$A$115:$A$3257,"="&amp;'Output - County'!A2410,Input!$B$115:$B$3257,"="&amp;'Output - County'!B2410)*VLOOKUP(A2410,'Output - State'!$B$2:$G$52,4,FALSE)</f>
        <v>0.59998980543108171</v>
      </c>
      <c r="F2410" s="98">
        <f>SUMIFS(Input!$C$115:$C$3257,Input!$A$115:$A$3257,"="&amp;'Output - County'!A2410,Input!$B$115:$B$3257,"="&amp;'Output - County'!B2410)*VLOOKUP(A2410,'Output - State'!$B$2:$G$52,5,FALSE)</f>
        <v>1.595090541829538</v>
      </c>
      <c r="G2410" s="99">
        <f>SUMIFS(Input!$D$115:$D$3257,Input!$A$115:$A$3257,"="&amp;'Output - County'!A2410,Input!$B$115:$B$3257,"="&amp;'Output - County'!B2410)*VLOOKUP(A2410,'Output - State'!$B$2:$G$52,6,FALSE)</f>
        <v>0.72024077385146401</v>
      </c>
    </row>
    <row r="2411" spans="1:7" x14ac:dyDescent="0.25">
      <c r="A2411" s="88">
        <v>46</v>
      </c>
      <c r="B2411" s="88">
        <v>97</v>
      </c>
      <c r="C2411" s="97">
        <f>SUMIFS(Input!$C$115:$C$3257,Input!$A$115:$A$3257,"="&amp;'Output - County'!A2411,Input!$B$115:$B$3257,"="&amp;'Output - County'!B2411)*VLOOKUP(A2411,'Output - State'!$B$2:$G$52,2,FALSE)</f>
        <v>0.61522445968623951</v>
      </c>
      <c r="D2411" s="98">
        <f>SUMIFS(Input!$C$115:$C$3257,Input!$A$115:$A$3257,"="&amp;'Output - County'!A2411,Input!$B$115:$B$3257,"="&amp;'Output - County'!B2411)*VLOOKUP(A2411,'Output - State'!$B$2:$G$52,3,FALSE)</f>
        <v>0</v>
      </c>
      <c r="E2411" s="98">
        <f>SUMIFS(Input!$C$115:$C$3257,Input!$A$115:$A$3257,"="&amp;'Output - County'!A2411,Input!$B$115:$B$3257,"="&amp;'Output - County'!B2411)*VLOOKUP(A2411,'Output - State'!$B$2:$G$52,4,FALSE)</f>
        <v>0.73141678091130613</v>
      </c>
      <c r="F2411" s="98">
        <f>SUMIFS(Input!$C$115:$C$3257,Input!$A$115:$A$3257,"="&amp;'Output - County'!A2411,Input!$B$115:$B$3257,"="&amp;'Output - County'!B2411)*VLOOKUP(A2411,'Output - State'!$B$2:$G$52,5,FALSE)</f>
        <v>1.9444930210585765</v>
      </c>
      <c r="G2411" s="99">
        <f>SUMIFS(Input!$D$115:$D$3257,Input!$A$115:$A$3257,"="&amp;'Output - County'!A2411,Input!$B$115:$B$3257,"="&amp;'Output - County'!B2411)*VLOOKUP(A2411,'Output - State'!$B$2:$G$52,6,FALSE)</f>
        <v>0.78055650368138962</v>
      </c>
    </row>
    <row r="2412" spans="1:7" x14ac:dyDescent="0.25">
      <c r="A2412" s="88">
        <v>46</v>
      </c>
      <c r="B2412" s="88">
        <v>99</v>
      </c>
      <c r="C2412" s="97">
        <f>SUMIFS(Input!$C$115:$C$3257,Input!$A$115:$A$3257,"="&amp;'Output - County'!A2412,Input!$B$115:$B$3257,"="&amp;'Output - County'!B2412)*VLOOKUP(A2412,'Output - State'!$B$2:$G$52,2,FALSE)</f>
        <v>104.06895390081291</v>
      </c>
      <c r="D2412" s="98">
        <f>SUMIFS(Input!$C$115:$C$3257,Input!$A$115:$A$3257,"="&amp;'Output - County'!A2412,Input!$B$115:$B$3257,"="&amp;'Output - County'!B2412)*VLOOKUP(A2412,'Output - State'!$B$2:$G$52,3,FALSE)</f>
        <v>0</v>
      </c>
      <c r="E2412" s="98">
        <f>SUMIFS(Input!$C$115:$C$3257,Input!$A$115:$A$3257,"="&amp;'Output - County'!A2412,Input!$B$115:$B$3257,"="&amp;'Output - County'!B2412)*VLOOKUP(A2412,'Output - State'!$B$2:$G$52,4,FALSE)</f>
        <v>123.72359072615427</v>
      </c>
      <c r="F2412" s="98">
        <f>SUMIFS(Input!$C$115:$C$3257,Input!$A$115:$A$3257,"="&amp;'Output - County'!A2412,Input!$B$115:$B$3257,"="&amp;'Output - County'!B2412)*VLOOKUP(A2412,'Output - State'!$B$2:$G$52,5,FALSE)</f>
        <v>328.92280432445813</v>
      </c>
      <c r="G2412" s="99">
        <f>SUMIFS(Input!$D$115:$D$3257,Input!$A$115:$A$3257,"="&amp;'Output - County'!A2412,Input!$B$115:$B$3257,"="&amp;'Output - County'!B2412)*VLOOKUP(A2412,'Output - State'!$B$2:$G$52,6,FALSE)</f>
        <v>67.766496455975187</v>
      </c>
    </row>
    <row r="2413" spans="1:7" x14ac:dyDescent="0.25">
      <c r="A2413" s="88">
        <v>46</v>
      </c>
      <c r="B2413" s="88">
        <v>101</v>
      </c>
      <c r="C2413" s="97">
        <f>SUMIFS(Input!$C$115:$C$3257,Input!$A$115:$A$3257,"="&amp;'Output - County'!A2413,Input!$B$115:$B$3257,"="&amp;'Output - County'!B2413)*VLOOKUP(A2413,'Output - State'!$B$2:$G$52,2,FALSE)</f>
        <v>12.529067451697095</v>
      </c>
      <c r="D2413" s="98">
        <f>SUMIFS(Input!$C$115:$C$3257,Input!$A$115:$A$3257,"="&amp;'Output - County'!A2413,Input!$B$115:$B$3257,"="&amp;'Output - County'!B2413)*VLOOKUP(A2413,'Output - State'!$B$2:$G$52,3,FALSE)</f>
        <v>0</v>
      </c>
      <c r="E2413" s="98">
        <f>SUMIFS(Input!$C$115:$C$3257,Input!$A$115:$A$3257,"="&amp;'Output - County'!A2413,Input!$B$115:$B$3257,"="&amp;'Output - County'!B2413)*VLOOKUP(A2413,'Output - State'!$B$2:$G$52,4,FALSE)</f>
        <v>14.895328101900363</v>
      </c>
      <c r="F2413" s="98">
        <f>SUMIFS(Input!$C$115:$C$3257,Input!$A$115:$A$3257,"="&amp;'Output - County'!A2413,Input!$B$115:$B$3257,"="&amp;'Output - County'!B2413)*VLOOKUP(A2413,'Output - State'!$B$2:$G$52,5,FALSE)</f>
        <v>39.599667790552374</v>
      </c>
      <c r="G2413" s="99">
        <f>SUMIFS(Input!$D$115:$D$3257,Input!$A$115:$A$3257,"="&amp;'Output - County'!A2413,Input!$B$115:$B$3257,"="&amp;'Output - County'!B2413)*VLOOKUP(A2413,'Output - State'!$B$2:$G$52,6,FALSE)</f>
        <v>2.306189669967742</v>
      </c>
    </row>
    <row r="2414" spans="1:7" x14ac:dyDescent="0.25">
      <c r="A2414" s="88">
        <v>46</v>
      </c>
      <c r="B2414" s="88">
        <v>103</v>
      </c>
      <c r="C2414" s="97">
        <f>SUMIFS(Input!$C$115:$C$3257,Input!$A$115:$A$3257,"="&amp;'Output - County'!A2414,Input!$B$115:$B$3257,"="&amp;'Output - County'!B2414)*VLOOKUP(A2414,'Output - State'!$B$2:$G$52,2,FALSE)</f>
        <v>78.522954330664589</v>
      </c>
      <c r="D2414" s="98">
        <f>SUMIFS(Input!$C$115:$C$3257,Input!$A$115:$A$3257,"="&amp;'Output - County'!A2414,Input!$B$115:$B$3257,"="&amp;'Output - County'!B2414)*VLOOKUP(A2414,'Output - State'!$B$2:$G$52,3,FALSE)</f>
        <v>0</v>
      </c>
      <c r="E2414" s="98">
        <f>SUMIFS(Input!$C$115:$C$3257,Input!$A$115:$A$3257,"="&amp;'Output - County'!A2414,Input!$B$115:$B$3257,"="&amp;'Output - County'!B2414)*VLOOKUP(A2414,'Output - State'!$B$2:$G$52,4,FALSE)</f>
        <v>93.352930918043569</v>
      </c>
      <c r="F2414" s="98">
        <f>SUMIFS(Input!$C$115:$C$3257,Input!$A$115:$A$3257,"="&amp;'Output - County'!A2414,Input!$B$115:$B$3257,"="&amp;'Output - County'!B2414)*VLOOKUP(A2414,'Output - State'!$B$2:$G$52,5,FALSE)</f>
        <v>248.18151210494489</v>
      </c>
      <c r="G2414" s="99">
        <f>SUMIFS(Input!$D$115:$D$3257,Input!$A$115:$A$3257,"="&amp;'Output - County'!A2414,Input!$B$115:$B$3257,"="&amp;'Output - County'!B2414)*VLOOKUP(A2414,'Output - State'!$B$2:$G$52,6,FALSE)</f>
        <v>39.73742200559802</v>
      </c>
    </row>
    <row r="2415" spans="1:7" x14ac:dyDescent="0.25">
      <c r="A2415" s="88">
        <v>46</v>
      </c>
      <c r="B2415" s="88">
        <v>105</v>
      </c>
      <c r="C2415" s="97">
        <f>SUMIFS(Input!$C$115:$C$3257,Input!$A$115:$A$3257,"="&amp;'Output - County'!A2415,Input!$B$115:$B$3257,"="&amp;'Output - County'!B2415)*VLOOKUP(A2415,'Output - State'!$B$2:$G$52,2,FALSE)</f>
        <v>0.70144301638283135</v>
      </c>
      <c r="D2415" s="98">
        <f>SUMIFS(Input!$C$115:$C$3257,Input!$A$115:$A$3257,"="&amp;'Output - County'!A2415,Input!$B$115:$B$3257,"="&amp;'Output - County'!B2415)*VLOOKUP(A2415,'Output - State'!$B$2:$G$52,3,FALSE)</f>
        <v>0</v>
      </c>
      <c r="E2415" s="98">
        <f>SUMIFS(Input!$C$115:$C$3257,Input!$A$115:$A$3257,"="&amp;'Output - County'!A2415,Input!$B$115:$B$3257,"="&amp;'Output - County'!B2415)*VLOOKUP(A2415,'Output - State'!$B$2:$G$52,4,FALSE)</f>
        <v>0.83391871853908062</v>
      </c>
      <c r="F2415" s="98">
        <f>SUMIFS(Input!$C$115:$C$3257,Input!$A$115:$A$3257,"="&amp;'Output - County'!A2415,Input!$B$115:$B$3257,"="&amp;'Output - County'!B2415)*VLOOKUP(A2415,'Output - State'!$B$2:$G$52,5,FALSE)</f>
        <v>2.2169974365490908</v>
      </c>
      <c r="G2415" s="99">
        <f>SUMIFS(Input!$D$115:$D$3257,Input!$A$115:$A$3257,"="&amp;'Output - County'!A2415,Input!$B$115:$B$3257,"="&amp;'Output - County'!B2415)*VLOOKUP(A2415,'Output - State'!$B$2:$G$52,6,FALSE)</f>
        <v>1.03246337532402</v>
      </c>
    </row>
    <row r="2416" spans="1:7" x14ac:dyDescent="0.25">
      <c r="A2416" s="88">
        <v>46</v>
      </c>
      <c r="B2416" s="88">
        <v>107</v>
      </c>
      <c r="C2416" s="97">
        <f>SUMIFS(Input!$C$115:$C$3257,Input!$A$115:$A$3257,"="&amp;'Output - County'!A2416,Input!$B$115:$B$3257,"="&amp;'Output - County'!B2416)*VLOOKUP(A2416,'Output - State'!$B$2:$G$52,2,FALSE)</f>
        <v>0.62916287607246191</v>
      </c>
      <c r="D2416" s="98">
        <f>SUMIFS(Input!$C$115:$C$3257,Input!$A$115:$A$3257,"="&amp;'Output - County'!A2416,Input!$B$115:$B$3257,"="&amp;'Output - County'!B2416)*VLOOKUP(A2416,'Output - State'!$B$2:$G$52,3,FALSE)</f>
        <v>0</v>
      </c>
      <c r="E2416" s="98">
        <f>SUMIFS(Input!$C$115:$C$3257,Input!$A$115:$A$3257,"="&amp;'Output - County'!A2416,Input!$B$115:$B$3257,"="&amp;'Output - County'!B2416)*VLOOKUP(A2416,'Output - State'!$B$2:$G$52,4,FALSE)</f>
        <v>0.74798762994648826</v>
      </c>
      <c r="F2416" s="98">
        <f>SUMIFS(Input!$C$115:$C$3257,Input!$A$115:$A$3257,"="&amp;'Output - County'!A2416,Input!$B$115:$B$3257,"="&amp;'Output - County'!B2416)*VLOOKUP(A2416,'Output - State'!$B$2:$G$52,5,FALSE)</f>
        <v>1.9885471105228354</v>
      </c>
      <c r="G2416" s="99">
        <f>SUMIFS(Input!$D$115:$D$3257,Input!$A$115:$A$3257,"="&amp;'Output - County'!A2416,Input!$B$115:$B$3257,"="&amp;'Output - County'!B2416)*VLOOKUP(A2416,'Output - State'!$B$2:$G$52,6,FALSE)</f>
        <v>0.7841044877890323</v>
      </c>
    </row>
    <row r="2417" spans="1:7" x14ac:dyDescent="0.25">
      <c r="A2417" s="88">
        <v>46</v>
      </c>
      <c r="B2417" s="88">
        <v>109</v>
      </c>
      <c r="C2417" s="97">
        <f>SUMIFS(Input!$C$115:$C$3257,Input!$A$115:$A$3257,"="&amp;'Output - County'!A2417,Input!$B$115:$B$3257,"="&amp;'Output - County'!B2417)*VLOOKUP(A2417,'Output - State'!$B$2:$G$52,2,FALSE)</f>
        <v>9.1446725014988886</v>
      </c>
      <c r="D2417" s="98">
        <f>SUMIFS(Input!$C$115:$C$3257,Input!$A$115:$A$3257,"="&amp;'Output - County'!A2417,Input!$B$115:$B$3257,"="&amp;'Output - County'!B2417)*VLOOKUP(A2417,'Output - State'!$B$2:$G$52,3,FALSE)</f>
        <v>0</v>
      </c>
      <c r="E2417" s="98">
        <f>SUMIFS(Input!$C$115:$C$3257,Input!$A$115:$A$3257,"="&amp;'Output - County'!A2417,Input!$B$115:$B$3257,"="&amp;'Output - County'!B2417)*VLOOKUP(A2417,'Output - State'!$B$2:$G$52,4,FALSE)</f>
        <v>10.871750656574324</v>
      </c>
      <c r="F2417" s="98">
        <f>SUMIFS(Input!$C$115:$C$3257,Input!$A$115:$A$3257,"="&amp;'Output - County'!A2417,Input!$B$115:$B$3257,"="&amp;'Output - County'!B2417)*VLOOKUP(A2417,'Output - State'!$B$2:$G$52,5,FALSE)</f>
        <v>28.902868829531656</v>
      </c>
      <c r="G2417" s="99">
        <f>SUMIFS(Input!$D$115:$D$3257,Input!$A$115:$A$3257,"="&amp;'Output - County'!A2417,Input!$B$115:$B$3257,"="&amp;'Output - County'!B2417)*VLOOKUP(A2417,'Output - State'!$B$2:$G$52,6,FALSE)</f>
        <v>3.6899034719483876</v>
      </c>
    </row>
    <row r="2418" spans="1:7" x14ac:dyDescent="0.25">
      <c r="A2418" s="88">
        <v>46</v>
      </c>
      <c r="B2418" s="88">
        <v>111</v>
      </c>
      <c r="C2418" s="97">
        <f>SUMIFS(Input!$C$115:$C$3257,Input!$A$115:$A$3257,"="&amp;'Output - County'!A2418,Input!$B$115:$B$3257,"="&amp;'Output - County'!B2418)*VLOOKUP(A2418,'Output - State'!$B$2:$G$52,2,FALSE)</f>
        <v>2.7539110325240541</v>
      </c>
      <c r="D2418" s="98">
        <f>SUMIFS(Input!$C$115:$C$3257,Input!$A$115:$A$3257,"="&amp;'Output - County'!A2418,Input!$B$115:$B$3257,"="&amp;'Output - County'!B2418)*VLOOKUP(A2418,'Output - State'!$B$2:$G$52,3,FALSE)</f>
        <v>0</v>
      </c>
      <c r="E2418" s="98">
        <f>SUMIFS(Input!$C$115:$C$3257,Input!$A$115:$A$3257,"="&amp;'Output - County'!A2418,Input!$B$115:$B$3257,"="&amp;'Output - County'!B2418)*VLOOKUP(A2418,'Output - State'!$B$2:$G$52,4,FALSE)</f>
        <v>3.2740192796497931</v>
      </c>
      <c r="F2418" s="98">
        <f>SUMIFS(Input!$C$115:$C$3257,Input!$A$115:$A$3257,"="&amp;'Output - County'!A2418,Input!$B$115:$B$3257,"="&amp;'Output - County'!B2418)*VLOOKUP(A2418,'Output - State'!$B$2:$G$52,5,FALSE)</f>
        <v>8.7040765350750799</v>
      </c>
      <c r="G2418" s="99">
        <f>SUMIFS(Input!$D$115:$D$3257,Input!$A$115:$A$3257,"="&amp;'Output - County'!A2418,Input!$B$115:$B$3257,"="&amp;'Output - County'!B2418)*VLOOKUP(A2418,'Output - State'!$B$2:$G$52,6,FALSE)</f>
        <v>0.85151618583424316</v>
      </c>
    </row>
    <row r="2419" spans="1:7" x14ac:dyDescent="0.25">
      <c r="A2419" s="88">
        <v>46</v>
      </c>
      <c r="B2419" s="88">
        <v>113</v>
      </c>
      <c r="C2419" s="97">
        <f>SUMIFS(Input!$C$115:$C$3257,Input!$A$115:$A$3257,"="&amp;'Output - County'!A2419,Input!$B$115:$B$3257,"="&amp;'Output - County'!B2419)*VLOOKUP(A2419,'Output - State'!$B$2:$G$52,2,FALSE)</f>
        <v>0</v>
      </c>
      <c r="D2419" s="98">
        <f>SUMIFS(Input!$C$115:$C$3257,Input!$A$115:$A$3257,"="&amp;'Output - County'!A2419,Input!$B$115:$B$3257,"="&amp;'Output - County'!B2419)*VLOOKUP(A2419,'Output - State'!$B$2:$G$52,3,FALSE)</f>
        <v>0</v>
      </c>
      <c r="E2419" s="98">
        <f>SUMIFS(Input!$C$115:$C$3257,Input!$A$115:$A$3257,"="&amp;'Output - County'!A2419,Input!$B$115:$B$3257,"="&amp;'Output - County'!B2419)*VLOOKUP(A2419,'Output - State'!$B$2:$G$52,4,FALSE)</f>
        <v>0</v>
      </c>
      <c r="F2419" s="98">
        <f>SUMIFS(Input!$C$115:$C$3257,Input!$A$115:$A$3257,"="&amp;'Output - County'!A2419,Input!$B$115:$B$3257,"="&amp;'Output - County'!B2419)*VLOOKUP(A2419,'Output - State'!$B$2:$G$52,5,FALSE)</f>
        <v>0</v>
      </c>
      <c r="G2419" s="99">
        <f>SUMIFS(Input!$D$115:$D$3257,Input!$A$115:$A$3257,"="&amp;'Output - County'!A2419,Input!$B$115:$B$3257,"="&amp;'Output - County'!B2419)*VLOOKUP(A2419,'Output - State'!$B$2:$G$52,6,FALSE)</f>
        <v>0</v>
      </c>
    </row>
    <row r="2420" spans="1:7" x14ac:dyDescent="0.25">
      <c r="A2420" s="88">
        <v>46</v>
      </c>
      <c r="B2420" s="88">
        <v>115</v>
      </c>
      <c r="C2420" s="97">
        <f>SUMIFS(Input!$C$115:$C$3257,Input!$A$115:$A$3257,"="&amp;'Output - County'!A2420,Input!$B$115:$B$3257,"="&amp;'Output - County'!B2420)*VLOOKUP(A2420,'Output - State'!$B$2:$G$52,2,FALSE)</f>
        <v>2.1072788151116901</v>
      </c>
      <c r="D2420" s="98">
        <f>SUMIFS(Input!$C$115:$C$3257,Input!$A$115:$A$3257,"="&amp;'Output - County'!A2420,Input!$B$115:$B$3257,"="&amp;'Output - County'!B2420)*VLOOKUP(A2420,'Output - State'!$B$2:$G$52,3,FALSE)</f>
        <v>0</v>
      </c>
      <c r="E2420" s="98">
        <f>SUMIFS(Input!$C$115:$C$3257,Input!$A$115:$A$3257,"="&amp;'Output - County'!A2420,Input!$B$115:$B$3257,"="&amp;'Output - County'!B2420)*VLOOKUP(A2420,'Output - State'!$B$2:$G$52,4,FALSE)</f>
        <v>2.505263019317594</v>
      </c>
      <c r="F2420" s="98">
        <f>SUMIFS(Input!$C$115:$C$3257,Input!$A$115:$A$3257,"="&amp;'Output - County'!A2420,Input!$B$115:$B$3257,"="&amp;'Output - County'!B2420)*VLOOKUP(A2420,'Output - State'!$B$2:$G$52,5,FALSE)</f>
        <v>6.6603154099221156</v>
      </c>
      <c r="G2420" s="99">
        <f>SUMIFS(Input!$D$115:$D$3257,Input!$A$115:$A$3257,"="&amp;'Output - County'!A2420,Input!$B$115:$B$3257,"="&amp;'Output - County'!B2420)*VLOOKUP(A2420,'Output - State'!$B$2:$G$52,6,FALSE)</f>
        <v>2.2990937017524566</v>
      </c>
    </row>
    <row r="2421" spans="1:7" x14ac:dyDescent="0.25">
      <c r="A2421" s="88">
        <v>46</v>
      </c>
      <c r="B2421" s="88">
        <v>117</v>
      </c>
      <c r="C2421" s="97">
        <f>SUMIFS(Input!$C$115:$C$3257,Input!$A$115:$A$3257,"="&amp;'Output - County'!A2421,Input!$B$115:$B$3257,"="&amp;'Output - County'!B2421)*VLOOKUP(A2421,'Output - State'!$B$2:$G$52,2,FALSE)</f>
        <v>2.4933530465556015</v>
      </c>
      <c r="D2421" s="98">
        <f>SUMIFS(Input!$C$115:$C$3257,Input!$A$115:$A$3257,"="&amp;'Output - County'!A2421,Input!$B$115:$B$3257,"="&amp;'Output - County'!B2421)*VLOOKUP(A2421,'Output - State'!$B$2:$G$52,3,FALSE)</f>
        <v>0</v>
      </c>
      <c r="E2421" s="98">
        <f>SUMIFS(Input!$C$115:$C$3257,Input!$A$115:$A$3257,"="&amp;'Output - County'!A2421,Input!$B$115:$B$3257,"="&amp;'Output - County'!B2421)*VLOOKUP(A2421,'Output - State'!$B$2:$G$52,4,FALSE)</f>
        <v>2.9642518763268311</v>
      </c>
      <c r="F2421" s="98">
        <f>SUMIFS(Input!$C$115:$C$3257,Input!$A$115:$A$3257,"="&amp;'Output - County'!A2421,Input!$B$115:$B$3257,"="&amp;'Output - County'!B2421)*VLOOKUP(A2421,'Output - State'!$B$2:$G$52,5,FALSE)</f>
        <v>7.8805507839124491</v>
      </c>
      <c r="G2421" s="99">
        <f>SUMIFS(Input!$D$115:$D$3257,Input!$A$115:$A$3257,"="&amp;'Output - County'!A2421,Input!$B$115:$B$3257,"="&amp;'Output - County'!B2421)*VLOOKUP(A2421,'Output - State'!$B$2:$G$52,6,FALSE)</f>
        <v>1.0714912005080894</v>
      </c>
    </row>
    <row r="2422" spans="1:7" x14ac:dyDescent="0.25">
      <c r="A2422" s="88">
        <v>46</v>
      </c>
      <c r="B2422" s="88">
        <v>119</v>
      </c>
      <c r="C2422" s="97">
        <f>SUMIFS(Input!$C$115:$C$3257,Input!$A$115:$A$3257,"="&amp;'Output - County'!A2422,Input!$B$115:$B$3257,"="&amp;'Output - County'!B2422)*VLOOKUP(A2422,'Output - State'!$B$2:$G$52,2,FALSE)</f>
        <v>0.53278716480859645</v>
      </c>
      <c r="D2422" s="98">
        <f>SUMIFS(Input!$C$115:$C$3257,Input!$A$115:$A$3257,"="&amp;'Output - County'!A2422,Input!$B$115:$B$3257,"="&amp;'Output - County'!B2422)*VLOOKUP(A2422,'Output - State'!$B$2:$G$52,3,FALSE)</f>
        <v>0</v>
      </c>
      <c r="E2422" s="98">
        <f>SUMIFS(Input!$C$115:$C$3257,Input!$A$115:$A$3257,"="&amp;'Output - County'!A2422,Input!$B$115:$B$3257,"="&amp;'Output - County'!B2422)*VLOOKUP(A2422,'Output - State'!$B$2:$G$52,4,FALSE)</f>
        <v>0.63341024053872019</v>
      </c>
      <c r="F2422" s="98">
        <f>SUMIFS(Input!$C$115:$C$3257,Input!$A$115:$A$3257,"="&amp;'Output - County'!A2422,Input!$B$115:$B$3257,"="&amp;'Output - County'!B2422)*VLOOKUP(A2422,'Output - State'!$B$2:$G$52,5,FALSE)</f>
        <v>1.6839397513685577</v>
      </c>
      <c r="G2422" s="99">
        <f>SUMIFS(Input!$D$115:$D$3257,Input!$A$115:$A$3257,"="&amp;'Output - County'!A2422,Input!$B$115:$B$3257,"="&amp;'Output - County'!B2422)*VLOOKUP(A2422,'Output - State'!$B$2:$G$52,6,FALSE)</f>
        <v>0.48962180685468987</v>
      </c>
    </row>
    <row r="2423" spans="1:7" x14ac:dyDescent="0.25">
      <c r="A2423" s="88">
        <v>46</v>
      </c>
      <c r="B2423" s="88">
        <v>121</v>
      </c>
      <c r="C2423" s="97">
        <f>SUMIFS(Input!$C$115:$C$3257,Input!$A$115:$A$3257,"="&amp;'Output - County'!A2423,Input!$B$115:$B$3257,"="&amp;'Output - County'!B2423)*VLOOKUP(A2423,'Output - State'!$B$2:$G$52,2,FALSE)</f>
        <v>1.8322620468880746</v>
      </c>
      <c r="D2423" s="98">
        <f>SUMIFS(Input!$C$115:$C$3257,Input!$A$115:$A$3257,"="&amp;'Output - County'!A2423,Input!$B$115:$B$3257,"="&amp;'Output - County'!B2423)*VLOOKUP(A2423,'Output - State'!$B$2:$G$52,3,FALSE)</f>
        <v>0</v>
      </c>
      <c r="E2423" s="98">
        <f>SUMIFS(Input!$C$115:$C$3257,Input!$A$115:$A$3257,"="&amp;'Output - County'!A2423,Input!$B$115:$B$3257,"="&amp;'Output - County'!B2423)*VLOOKUP(A2423,'Output - State'!$B$2:$G$52,4,FALSE)</f>
        <v>2.1783061239215078</v>
      </c>
      <c r="F2423" s="98">
        <f>SUMIFS(Input!$C$115:$C$3257,Input!$A$115:$A$3257,"="&amp;'Output - County'!A2423,Input!$B$115:$B$3257,"="&amp;'Output - County'!B2423)*VLOOKUP(A2423,'Output - State'!$B$2:$G$52,5,FALSE)</f>
        <v>5.7910908885862229</v>
      </c>
      <c r="G2423" s="99">
        <f>SUMIFS(Input!$D$115:$D$3257,Input!$A$115:$A$3257,"="&amp;'Output - County'!A2423,Input!$B$115:$B$3257,"="&amp;'Output - County'!B2423)*VLOOKUP(A2423,'Output - State'!$B$2:$G$52,6,FALSE)</f>
        <v>3.6189437897955341</v>
      </c>
    </row>
    <row r="2424" spans="1:7" x14ac:dyDescent="0.25">
      <c r="A2424" s="88">
        <v>46</v>
      </c>
      <c r="B2424" s="88">
        <v>123</v>
      </c>
      <c r="C2424" s="97">
        <f>SUMIFS(Input!$C$115:$C$3257,Input!$A$115:$A$3257,"="&amp;'Output - County'!A2424,Input!$B$115:$B$3257,"="&amp;'Output - County'!B2424)*VLOOKUP(A2424,'Output - State'!$B$2:$G$52,2,FALSE)</f>
        <v>1.2487620790549747</v>
      </c>
      <c r="D2424" s="98">
        <f>SUMIFS(Input!$C$115:$C$3257,Input!$A$115:$A$3257,"="&amp;'Output - County'!A2424,Input!$B$115:$B$3257,"="&amp;'Output - County'!B2424)*VLOOKUP(A2424,'Output - State'!$B$2:$G$52,3,FALSE)</f>
        <v>0</v>
      </c>
      <c r="E2424" s="98">
        <f>SUMIFS(Input!$C$115:$C$3257,Input!$A$115:$A$3257,"="&amp;'Output - County'!A2424,Input!$B$115:$B$3257,"="&amp;'Output - County'!B2424)*VLOOKUP(A2424,'Output - State'!$B$2:$G$52,4,FALSE)</f>
        <v>1.48460537549549</v>
      </c>
      <c r="F2424" s="98">
        <f>SUMIFS(Input!$C$115:$C$3257,Input!$A$115:$A$3257,"="&amp;'Output - County'!A2424,Input!$B$115:$B$3257,"="&amp;'Output - County'!B2424)*VLOOKUP(A2424,'Output - State'!$B$2:$G$52,5,FALSE)</f>
        <v>3.9468670490171465</v>
      </c>
      <c r="G2424" s="99">
        <f>SUMIFS(Input!$D$115:$D$3257,Input!$A$115:$A$3257,"="&amp;'Output - County'!A2424,Input!$B$115:$B$3257,"="&amp;'Output - County'!B2424)*VLOOKUP(A2424,'Output - State'!$B$2:$G$52,6,FALSE)</f>
        <v>1.9478432750958312</v>
      </c>
    </row>
    <row r="2425" spans="1:7" x14ac:dyDescent="0.25">
      <c r="A2425" s="88">
        <v>46</v>
      </c>
      <c r="B2425" s="88">
        <v>125</v>
      </c>
      <c r="C2425" s="97">
        <f>SUMIFS(Input!$C$115:$C$3257,Input!$A$115:$A$3257,"="&amp;'Output - County'!A2425,Input!$B$115:$B$3257,"="&amp;'Output - County'!B2425)*VLOOKUP(A2425,'Output - State'!$B$2:$G$52,2,FALSE)</f>
        <v>1.6423862791781443</v>
      </c>
      <c r="D2425" s="98">
        <f>SUMIFS(Input!$C$115:$C$3257,Input!$A$115:$A$3257,"="&amp;'Output - County'!A2425,Input!$B$115:$B$3257,"="&amp;'Output - County'!B2425)*VLOOKUP(A2425,'Output - State'!$B$2:$G$52,3,FALSE)</f>
        <v>0</v>
      </c>
      <c r="E2425" s="98">
        <f>SUMIFS(Input!$C$115:$C$3257,Input!$A$115:$A$3257,"="&amp;'Output - County'!A2425,Input!$B$115:$B$3257,"="&amp;'Output - County'!B2425)*VLOOKUP(A2425,'Output - State'!$B$2:$G$52,4,FALSE)</f>
        <v>1.9525701009059611</v>
      </c>
      <c r="F2425" s="98">
        <f>SUMIFS(Input!$C$115:$C$3257,Input!$A$115:$A$3257,"="&amp;'Output - County'!A2425,Input!$B$115:$B$3257,"="&amp;'Output - County'!B2425)*VLOOKUP(A2425,'Output - State'!$B$2:$G$52,5,FALSE)</f>
        <v>5.1909650331083785</v>
      </c>
      <c r="G2425" s="99">
        <f>SUMIFS(Input!$D$115:$D$3257,Input!$A$115:$A$3257,"="&amp;'Output - County'!A2425,Input!$B$115:$B$3257,"="&amp;'Output - County'!B2425)*VLOOKUP(A2425,'Output - State'!$B$2:$G$52,6,FALSE)</f>
        <v>2.9874026186351363</v>
      </c>
    </row>
    <row r="2426" spans="1:7" x14ac:dyDescent="0.25">
      <c r="A2426" s="88">
        <v>46</v>
      </c>
      <c r="B2426" s="88">
        <v>127</v>
      </c>
      <c r="C2426" s="97">
        <f>SUMIFS(Input!$C$115:$C$3257,Input!$A$115:$A$3257,"="&amp;'Output - County'!A2426,Input!$B$115:$B$3257,"="&amp;'Output - County'!B2426)*VLOOKUP(A2426,'Output - State'!$B$2:$G$52,2,FALSE)</f>
        <v>24.106582448653104</v>
      </c>
      <c r="D2426" s="98">
        <f>SUMIFS(Input!$C$115:$C$3257,Input!$A$115:$A$3257,"="&amp;'Output - County'!A2426,Input!$B$115:$B$3257,"="&amp;'Output - County'!B2426)*VLOOKUP(A2426,'Output - State'!$B$2:$G$52,3,FALSE)</f>
        <v>0</v>
      </c>
      <c r="E2426" s="98">
        <f>SUMIFS(Input!$C$115:$C$3257,Input!$A$115:$A$3257,"="&amp;'Output - County'!A2426,Input!$B$115:$B$3257,"="&amp;'Output - County'!B2426)*VLOOKUP(A2426,'Output - State'!$B$2:$G$52,4,FALSE)</f>
        <v>28.659391959739427</v>
      </c>
      <c r="F2426" s="98">
        <f>SUMIFS(Input!$C$115:$C$3257,Input!$A$115:$A$3257,"="&amp;'Output - County'!A2426,Input!$B$115:$B$3257,"="&amp;'Output - County'!B2426)*VLOOKUP(A2426,'Output - State'!$B$2:$G$52,5,FALSE)</f>
        <v>76.191836320820414</v>
      </c>
      <c r="G2426" s="99">
        <f>SUMIFS(Input!$D$115:$D$3257,Input!$A$115:$A$3257,"="&amp;'Output - County'!A2426,Input!$B$115:$B$3257,"="&amp;'Output - County'!B2426)*VLOOKUP(A2426,'Output - State'!$B$2:$G$52,6,FALSE)</f>
        <v>5.5348552079225808</v>
      </c>
    </row>
    <row r="2427" spans="1:7" x14ac:dyDescent="0.25">
      <c r="A2427" s="88">
        <v>46</v>
      </c>
      <c r="B2427" s="88">
        <v>129</v>
      </c>
      <c r="C2427" s="97">
        <f>SUMIFS(Input!$C$115:$C$3257,Input!$A$115:$A$3257,"="&amp;'Output - County'!A2427,Input!$B$115:$B$3257,"="&amp;'Output - County'!B2427)*VLOOKUP(A2427,'Output - State'!$B$2:$G$52,2,FALSE)</f>
        <v>0.97845408148475133</v>
      </c>
      <c r="D2427" s="98">
        <f>SUMIFS(Input!$C$115:$C$3257,Input!$A$115:$A$3257,"="&amp;'Output - County'!A2427,Input!$B$115:$B$3257,"="&amp;'Output - County'!B2427)*VLOOKUP(A2427,'Output - State'!$B$2:$G$52,3,FALSE)</f>
        <v>0</v>
      </c>
      <c r="E2427" s="98">
        <f>SUMIFS(Input!$C$115:$C$3257,Input!$A$115:$A$3257,"="&amp;'Output - County'!A2427,Input!$B$115:$B$3257,"="&amp;'Output - County'!B2427)*VLOOKUP(A2427,'Output - State'!$B$2:$G$52,4,FALSE)</f>
        <v>1.1632465570599817</v>
      </c>
      <c r="F2427" s="98">
        <f>SUMIFS(Input!$C$115:$C$3257,Input!$A$115:$A$3257,"="&amp;'Output - County'!A2427,Input!$B$115:$B$3257,"="&amp;'Output - County'!B2427)*VLOOKUP(A2427,'Output - State'!$B$2:$G$52,5,FALSE)</f>
        <v>3.0925251799053814</v>
      </c>
      <c r="G2427" s="99">
        <f>SUMIFS(Input!$D$115:$D$3257,Input!$A$115:$A$3257,"="&amp;'Output - County'!A2427,Input!$B$115:$B$3257,"="&amp;'Output - County'!B2427)*VLOOKUP(A2427,'Output - State'!$B$2:$G$52,6,FALSE)</f>
        <v>1.9442952909881888</v>
      </c>
    </row>
    <row r="2428" spans="1:7" x14ac:dyDescent="0.25">
      <c r="A2428" s="88">
        <v>46</v>
      </c>
      <c r="B2428" s="88">
        <v>135</v>
      </c>
      <c r="C2428" s="97">
        <f>SUMIFS(Input!$C$115:$C$3257,Input!$A$115:$A$3257,"="&amp;'Output - County'!A2428,Input!$B$115:$B$3257,"="&amp;'Output - County'!B2428)*VLOOKUP(A2428,'Output - State'!$B$2:$G$52,2,FALSE)</f>
        <v>8.772824739926925</v>
      </c>
      <c r="D2428" s="98">
        <f>SUMIFS(Input!$C$115:$C$3257,Input!$A$115:$A$3257,"="&amp;'Output - County'!A2428,Input!$B$115:$B$3257,"="&amp;'Output - County'!B2428)*VLOOKUP(A2428,'Output - State'!$B$2:$G$52,3,FALSE)</f>
        <v>0</v>
      </c>
      <c r="E2428" s="98">
        <f>SUMIFS(Input!$C$115:$C$3257,Input!$A$115:$A$3257,"="&amp;'Output - County'!A2428,Input!$B$115:$B$3257,"="&amp;'Output - County'!B2428)*VLOOKUP(A2428,'Output - State'!$B$2:$G$52,4,FALSE)</f>
        <v>10.429675104349457</v>
      </c>
      <c r="F2428" s="98">
        <f>SUMIFS(Input!$C$115:$C$3257,Input!$A$115:$A$3257,"="&amp;'Output - County'!A2428,Input!$B$115:$B$3257,"="&amp;'Output - County'!B2428)*VLOOKUP(A2428,'Output - State'!$B$2:$G$52,5,FALSE)</f>
        <v>27.727597973685494</v>
      </c>
      <c r="G2428" s="99">
        <f>SUMIFS(Input!$D$115:$D$3257,Input!$A$115:$A$3257,"="&amp;'Output - County'!A2428,Input!$B$115:$B$3257,"="&amp;'Output - County'!B2428)*VLOOKUP(A2428,'Output - State'!$B$2:$G$52,6,FALSE)</f>
        <v>8.0894037654253097</v>
      </c>
    </row>
    <row r="2429" spans="1:7" x14ac:dyDescent="0.25">
      <c r="A2429" s="88">
        <v>46</v>
      </c>
      <c r="B2429" s="88">
        <v>137</v>
      </c>
      <c r="C2429" s="97">
        <f>SUMIFS(Input!$C$115:$C$3257,Input!$A$115:$A$3257,"="&amp;'Output - County'!A2429,Input!$B$115:$B$3257,"="&amp;'Output - County'!B2429)*VLOOKUP(A2429,'Output - State'!$B$2:$G$52,2,FALSE)</f>
        <v>0.56628586282935112</v>
      </c>
      <c r="D2429" s="98">
        <f>SUMIFS(Input!$C$115:$C$3257,Input!$A$115:$A$3257,"="&amp;'Output - County'!A2429,Input!$B$115:$B$3257,"="&amp;'Output - County'!B2429)*VLOOKUP(A2429,'Output - State'!$B$2:$G$52,3,FALSE)</f>
        <v>0</v>
      </c>
      <c r="E2429" s="98">
        <f>SUMIFS(Input!$C$115:$C$3257,Input!$A$115:$A$3257,"="&amp;'Output - County'!A2429,Input!$B$115:$B$3257,"="&amp;'Output - County'!B2429)*VLOOKUP(A2429,'Output - State'!$B$2:$G$52,4,FALSE)</f>
        <v>0.67323555873812335</v>
      </c>
      <c r="F2429" s="98">
        <f>SUMIFS(Input!$C$115:$C$3257,Input!$A$115:$A$3257,"="&amp;'Output - County'!A2429,Input!$B$115:$B$3257,"="&amp;'Output - County'!B2429)*VLOOKUP(A2429,'Output - State'!$B$2:$G$52,5,FALSE)</f>
        <v>1.7898165309574678</v>
      </c>
      <c r="G2429" s="99">
        <f>SUMIFS(Input!$D$115:$D$3257,Input!$A$115:$A$3257,"="&amp;'Output - County'!A2429,Input!$B$115:$B$3257,"="&amp;'Output - County'!B2429)*VLOOKUP(A2429,'Output - State'!$B$2:$G$52,6,FALSE)</f>
        <v>0.97214764549409438</v>
      </c>
    </row>
    <row r="2430" spans="1:7" x14ac:dyDescent="0.25">
      <c r="A2430" s="88">
        <v>47</v>
      </c>
      <c r="B2430" s="88">
        <v>1</v>
      </c>
      <c r="C2430" s="97">
        <f>SUMIFS(Input!$C$115:$C$3257,Input!$A$115:$A$3257,"="&amp;'Output - County'!A2430,Input!$B$115:$B$3257,"="&amp;'Output - County'!B2430)*VLOOKUP(A2430,'Output - State'!$B$2:$G$52,2,FALSE)</f>
        <v>25.442418232178209</v>
      </c>
      <c r="D2430" s="98">
        <f>SUMIFS(Input!$C$115:$C$3257,Input!$A$115:$A$3257,"="&amp;'Output - County'!A2430,Input!$B$115:$B$3257,"="&amp;'Output - County'!B2430)*VLOOKUP(A2430,'Output - State'!$B$2:$G$52,3,FALSE)</f>
        <v>2.0284716595464212</v>
      </c>
      <c r="E2430" s="98">
        <f>SUMIFS(Input!$C$115:$C$3257,Input!$A$115:$A$3257,"="&amp;'Output - County'!A2430,Input!$B$115:$B$3257,"="&amp;'Output - County'!B2430)*VLOOKUP(A2430,'Output - State'!$B$2:$G$52,4,FALSE)</f>
        <v>24.320377828339154</v>
      </c>
      <c r="F2430" s="98">
        <f>SUMIFS(Input!$C$115:$C$3257,Input!$A$115:$A$3257,"="&amp;'Output - County'!A2430,Input!$B$115:$B$3257,"="&amp;'Output - County'!B2430)*VLOOKUP(A2430,'Output - State'!$B$2:$G$52,5,FALSE)</f>
        <v>79.739603024827531</v>
      </c>
      <c r="G2430" s="99">
        <f>SUMIFS(Input!$D$115:$D$3257,Input!$A$115:$A$3257,"="&amp;'Output - County'!A2430,Input!$B$115:$B$3257,"="&amp;'Output - County'!B2430)*VLOOKUP(A2430,'Output - State'!$B$2:$G$52,6,FALSE)</f>
        <v>16.749185967536228</v>
      </c>
    </row>
    <row r="2431" spans="1:7" x14ac:dyDescent="0.25">
      <c r="A2431" s="88">
        <v>47</v>
      </c>
      <c r="B2431" s="88">
        <v>3</v>
      </c>
      <c r="C2431" s="97">
        <f>SUMIFS(Input!$C$115:$C$3257,Input!$A$115:$A$3257,"="&amp;'Output - County'!A2431,Input!$B$115:$B$3257,"="&amp;'Output - County'!B2431)*VLOOKUP(A2431,'Output - State'!$B$2:$G$52,2,FALSE)</f>
        <v>11.581809364993795</v>
      </c>
      <c r="D2431" s="98">
        <f>SUMIFS(Input!$C$115:$C$3257,Input!$A$115:$A$3257,"="&amp;'Output - County'!A2431,Input!$B$115:$B$3257,"="&amp;'Output - County'!B2431)*VLOOKUP(A2431,'Output - State'!$B$2:$G$52,3,FALSE)</f>
        <v>0.92339383185856461</v>
      </c>
      <c r="E2431" s="98">
        <f>SUMIFS(Input!$C$115:$C$3257,Input!$A$115:$A$3257,"="&amp;'Output - County'!A2431,Input!$B$115:$B$3257,"="&amp;'Output - County'!B2431)*VLOOKUP(A2431,'Output - State'!$B$2:$G$52,4,FALSE)</f>
        <v>11.071038024844654</v>
      </c>
      <c r="F2431" s="98">
        <f>SUMIFS(Input!$C$115:$C$3257,Input!$A$115:$A$3257,"="&amp;'Output - County'!A2431,Input!$B$115:$B$3257,"="&amp;'Output - County'!B2431)*VLOOKUP(A2431,'Output - State'!$B$2:$G$52,5,FALSE)</f>
        <v>36.2987854631603</v>
      </c>
      <c r="G2431" s="99">
        <f>SUMIFS(Input!$D$115:$D$3257,Input!$A$115:$A$3257,"="&amp;'Output - County'!A2431,Input!$B$115:$B$3257,"="&amp;'Output - County'!B2431)*VLOOKUP(A2431,'Output - State'!$B$2:$G$52,6,FALSE)</f>
        <v>10.778309711743496</v>
      </c>
    </row>
    <row r="2432" spans="1:7" x14ac:dyDescent="0.25">
      <c r="A2432" s="88">
        <v>47</v>
      </c>
      <c r="B2432" s="88">
        <v>5</v>
      </c>
      <c r="C2432" s="97">
        <f>SUMIFS(Input!$C$115:$C$3257,Input!$A$115:$A$3257,"="&amp;'Output - County'!A2432,Input!$B$115:$B$3257,"="&amp;'Output - County'!B2432)*VLOOKUP(A2432,'Output - State'!$B$2:$G$52,2,FALSE)</f>
        <v>6.6683545759281202</v>
      </c>
      <c r="D2432" s="98">
        <f>SUMIFS(Input!$C$115:$C$3257,Input!$A$115:$A$3257,"="&amp;'Output - County'!A2432,Input!$B$115:$B$3257,"="&amp;'Output - County'!B2432)*VLOOKUP(A2432,'Output - State'!$B$2:$G$52,3,FALSE)</f>
        <v>0.53165419063700492</v>
      </c>
      <c r="E2432" s="98">
        <f>SUMIFS(Input!$C$115:$C$3257,Input!$A$115:$A$3257,"="&amp;'Output - County'!A2432,Input!$B$115:$B$3257,"="&amp;'Output - County'!B2432)*VLOOKUP(A2432,'Output - State'!$B$2:$G$52,4,FALSE)</f>
        <v>6.3742723392068728</v>
      </c>
      <c r="F2432" s="98">
        <f>SUMIFS(Input!$C$115:$C$3257,Input!$A$115:$A$3257,"="&amp;'Output - County'!A2432,Input!$B$115:$B$3257,"="&amp;'Output - County'!B2432)*VLOOKUP(A2432,'Output - State'!$B$2:$G$52,5,FALSE)</f>
        <v>20.899426377670117</v>
      </c>
      <c r="G2432" s="99">
        <f>SUMIFS(Input!$D$115:$D$3257,Input!$A$115:$A$3257,"="&amp;'Output - County'!A2432,Input!$B$115:$B$3257,"="&amp;'Output - County'!B2432)*VLOOKUP(A2432,'Output - State'!$B$2:$G$52,6,FALSE)</f>
        <v>3.5561836523471411</v>
      </c>
    </row>
    <row r="2433" spans="1:7" x14ac:dyDescent="0.25">
      <c r="A2433" s="88">
        <v>47</v>
      </c>
      <c r="B2433" s="88">
        <v>7</v>
      </c>
      <c r="C2433" s="97">
        <f>SUMIFS(Input!$C$115:$C$3257,Input!$A$115:$A$3257,"="&amp;'Output - County'!A2433,Input!$B$115:$B$3257,"="&amp;'Output - County'!B2433)*VLOOKUP(A2433,'Output - State'!$B$2:$G$52,2,FALSE)</f>
        <v>2.7177045147321266</v>
      </c>
      <c r="D2433" s="98">
        <f>SUMIFS(Input!$C$115:$C$3257,Input!$A$115:$A$3257,"="&amp;'Output - County'!A2433,Input!$B$115:$B$3257,"="&amp;'Output - County'!B2433)*VLOOKUP(A2433,'Output - State'!$B$2:$G$52,3,FALSE)</f>
        <v>0.21667698946097821</v>
      </c>
      <c r="E2433" s="98">
        <f>SUMIFS(Input!$C$115:$C$3257,Input!$A$115:$A$3257,"="&amp;'Output - County'!A2433,Input!$B$115:$B$3257,"="&amp;'Output - County'!B2433)*VLOOKUP(A2433,'Output - State'!$B$2:$G$52,4,FALSE)</f>
        <v>2.5978505667544702</v>
      </c>
      <c r="F2433" s="98">
        <f>SUMIFS(Input!$C$115:$C$3257,Input!$A$115:$A$3257,"="&amp;'Output - County'!A2433,Input!$B$115:$B$3257,"="&amp;'Output - County'!B2433)*VLOOKUP(A2433,'Output - State'!$B$2:$G$52,5,FALSE)</f>
        <v>8.5176132695373976</v>
      </c>
      <c r="G2433" s="99">
        <f>SUMIFS(Input!$D$115:$D$3257,Input!$A$115:$A$3257,"="&amp;'Output - County'!A2433,Input!$B$115:$B$3257,"="&amp;'Output - County'!B2433)*VLOOKUP(A2433,'Output - State'!$B$2:$G$52,6,FALSE)</f>
        <v>3.2708108901217536</v>
      </c>
    </row>
    <row r="2434" spans="1:7" x14ac:dyDescent="0.25">
      <c r="A2434" s="88">
        <v>47</v>
      </c>
      <c r="B2434" s="88">
        <v>9</v>
      </c>
      <c r="C2434" s="97">
        <f>SUMIFS(Input!$C$115:$C$3257,Input!$A$115:$A$3257,"="&amp;'Output - County'!A2434,Input!$B$115:$B$3257,"="&amp;'Output - County'!B2434)*VLOOKUP(A2434,'Output - State'!$B$2:$G$52,2,FALSE)</f>
        <v>32.89053047086653</v>
      </c>
      <c r="D2434" s="98">
        <f>SUMIFS(Input!$C$115:$C$3257,Input!$A$115:$A$3257,"="&amp;'Output - County'!A2434,Input!$B$115:$B$3257,"="&amp;'Output - County'!B2434)*VLOOKUP(A2434,'Output - State'!$B$2:$G$52,3,FALSE)</f>
        <v>2.6222943243350989</v>
      </c>
      <c r="E2434" s="98">
        <f>SUMIFS(Input!$C$115:$C$3257,Input!$A$115:$A$3257,"="&amp;'Output - County'!A2434,Input!$B$115:$B$3257,"="&amp;'Output - County'!B2434)*VLOOKUP(A2434,'Output - State'!$B$2:$G$52,4,FALSE)</f>
        <v>31.440019605301991</v>
      </c>
      <c r="F2434" s="98">
        <f>SUMIFS(Input!$C$115:$C$3257,Input!$A$115:$A$3257,"="&amp;'Output - County'!A2434,Input!$B$115:$B$3257,"="&amp;'Output - County'!B2434)*VLOOKUP(A2434,'Output - State'!$B$2:$G$52,5,FALSE)</f>
        <v>103.08288383161111</v>
      </c>
      <c r="G2434" s="99">
        <f>SUMIFS(Input!$D$115:$D$3257,Input!$A$115:$A$3257,"="&amp;'Output - County'!A2434,Input!$B$115:$B$3257,"="&amp;'Output - County'!B2434)*VLOOKUP(A2434,'Output - State'!$B$2:$G$52,6,FALSE)</f>
        <v>28.756793731942935</v>
      </c>
    </row>
    <row r="2435" spans="1:7" x14ac:dyDescent="0.25">
      <c r="A2435" s="88">
        <v>47</v>
      </c>
      <c r="B2435" s="88">
        <v>11</v>
      </c>
      <c r="C2435" s="97">
        <f>SUMIFS(Input!$C$115:$C$3257,Input!$A$115:$A$3257,"="&amp;'Output - County'!A2435,Input!$B$115:$B$3257,"="&amp;'Output - County'!B2435)*VLOOKUP(A2435,'Output - State'!$B$2:$G$52,2,FALSE)</f>
        <v>31.873968322455056</v>
      </c>
      <c r="D2435" s="98">
        <f>SUMIFS(Input!$C$115:$C$3257,Input!$A$115:$A$3257,"="&amp;'Output - County'!A2435,Input!$B$115:$B$3257,"="&amp;'Output - County'!B2435)*VLOOKUP(A2435,'Output - State'!$B$2:$G$52,3,FALSE)</f>
        <v>2.5412459157521323</v>
      </c>
      <c r="E2435" s="98">
        <f>SUMIFS(Input!$C$115:$C$3257,Input!$A$115:$A$3257,"="&amp;'Output - County'!A2435,Input!$B$115:$B$3257,"="&amp;'Output - County'!B2435)*VLOOKUP(A2435,'Output - State'!$B$2:$G$52,4,FALSE)</f>
        <v>30.468289036700352</v>
      </c>
      <c r="F2435" s="98">
        <f>SUMIFS(Input!$C$115:$C$3257,Input!$A$115:$A$3257,"="&amp;'Output - County'!A2435,Input!$B$115:$B$3257,"="&amp;'Output - County'!B2435)*VLOOKUP(A2435,'Output - State'!$B$2:$G$52,5,FALSE)</f>
        <v>99.896855623731241</v>
      </c>
      <c r="G2435" s="99">
        <f>SUMIFS(Input!$D$115:$D$3257,Input!$A$115:$A$3257,"="&amp;'Output - County'!A2435,Input!$B$115:$B$3257,"="&amp;'Output - County'!B2435)*VLOOKUP(A2435,'Output - State'!$B$2:$G$52,6,FALSE)</f>
        <v>23.488373506243462</v>
      </c>
    </row>
    <row r="2436" spans="1:7" x14ac:dyDescent="0.25">
      <c r="A2436" s="88">
        <v>47</v>
      </c>
      <c r="B2436" s="88">
        <v>13</v>
      </c>
      <c r="C2436" s="97">
        <f>SUMIFS(Input!$C$115:$C$3257,Input!$A$115:$A$3257,"="&amp;'Output - County'!A2436,Input!$B$115:$B$3257,"="&amp;'Output - County'!B2436)*VLOOKUP(A2436,'Output - State'!$B$2:$G$52,2,FALSE)</f>
        <v>16.272619819059752</v>
      </c>
      <c r="D2436" s="98">
        <f>SUMIFS(Input!$C$115:$C$3257,Input!$A$115:$A$3257,"="&amp;'Output - County'!A2436,Input!$B$115:$B$3257,"="&amp;'Output - County'!B2436)*VLOOKUP(A2436,'Output - State'!$B$2:$G$52,3,FALSE)</f>
        <v>1.2973824983266988</v>
      </c>
      <c r="E2436" s="98">
        <f>SUMIFS(Input!$C$115:$C$3257,Input!$A$115:$A$3257,"="&amp;'Output - County'!A2436,Input!$B$115:$B$3257,"="&amp;'Output - County'!B2436)*VLOOKUP(A2436,'Output - State'!$B$2:$G$52,4,FALSE)</f>
        <v>15.554978251081563</v>
      </c>
      <c r="F2436" s="98">
        <f>SUMIFS(Input!$C$115:$C$3257,Input!$A$115:$A$3257,"="&amp;'Output - County'!A2436,Input!$B$115:$B$3257,"="&amp;'Output - County'!B2436)*VLOOKUP(A2436,'Output - State'!$B$2:$G$52,5,FALSE)</f>
        <v>51.000350387474782</v>
      </c>
      <c r="G2436" s="99">
        <f>SUMIFS(Input!$D$115:$D$3257,Input!$A$115:$A$3257,"="&amp;'Output - County'!A2436,Input!$B$115:$B$3257,"="&amp;'Output - County'!B2436)*VLOOKUP(A2436,'Output - State'!$B$2:$G$52,6,FALSE)</f>
        <v>8.736796874284952</v>
      </c>
    </row>
    <row r="2437" spans="1:7" x14ac:dyDescent="0.25">
      <c r="A2437" s="88">
        <v>47</v>
      </c>
      <c r="B2437" s="88">
        <v>15</v>
      </c>
      <c r="C2437" s="97">
        <f>SUMIFS(Input!$C$115:$C$3257,Input!$A$115:$A$3257,"="&amp;'Output - County'!A2437,Input!$B$115:$B$3257,"="&amp;'Output - County'!B2437)*VLOOKUP(A2437,'Output - State'!$B$2:$G$52,2,FALSE)</f>
        <v>3.3373661717928287</v>
      </c>
      <c r="D2437" s="98">
        <f>SUMIFS(Input!$C$115:$C$3257,Input!$A$115:$A$3257,"="&amp;'Output - County'!A2437,Input!$B$115:$B$3257,"="&amp;'Output - County'!B2437)*VLOOKUP(A2437,'Output - State'!$B$2:$G$52,3,FALSE)</f>
        <v>0.26608133846525112</v>
      </c>
      <c r="E2437" s="98">
        <f>SUMIFS(Input!$C$115:$C$3257,Input!$A$115:$A$3257,"="&amp;'Output - County'!A2437,Input!$B$115:$B$3257,"="&amp;'Output - County'!B2437)*VLOOKUP(A2437,'Output - State'!$B$2:$G$52,4,FALSE)</f>
        <v>3.1901844199253437</v>
      </c>
      <c r="F2437" s="98">
        <f>SUMIFS(Input!$C$115:$C$3257,Input!$A$115:$A$3257,"="&amp;'Output - County'!A2437,Input!$B$115:$B$3257,"="&amp;'Output - County'!B2437)*VLOOKUP(A2437,'Output - State'!$B$2:$G$52,5,FALSE)</f>
        <v>10.459707534823631</v>
      </c>
      <c r="G2437" s="99">
        <f>SUMIFS(Input!$D$115:$D$3257,Input!$A$115:$A$3257,"="&amp;'Output - County'!A2437,Input!$B$115:$B$3257,"="&amp;'Output - County'!B2437)*VLOOKUP(A2437,'Output - State'!$B$2:$G$52,6,FALSE)</f>
        <v>3.161052135419681</v>
      </c>
    </row>
    <row r="2438" spans="1:7" x14ac:dyDescent="0.25">
      <c r="A2438" s="88">
        <v>47</v>
      </c>
      <c r="B2438" s="88">
        <v>17</v>
      </c>
      <c r="C2438" s="97">
        <f>SUMIFS(Input!$C$115:$C$3257,Input!$A$115:$A$3257,"="&amp;'Output - County'!A2438,Input!$B$115:$B$3257,"="&amp;'Output - County'!B2438)*VLOOKUP(A2438,'Output - State'!$B$2:$G$52,2,FALSE)</f>
        <v>7.252843692136179</v>
      </c>
      <c r="D2438" s="98">
        <f>SUMIFS(Input!$C$115:$C$3257,Input!$A$115:$A$3257,"="&amp;'Output - County'!A2438,Input!$B$115:$B$3257,"="&amp;'Output - County'!B2438)*VLOOKUP(A2438,'Output - State'!$B$2:$G$52,3,FALSE)</f>
        <v>0.57825430532429012</v>
      </c>
      <c r="E2438" s="98">
        <f>SUMIFS(Input!$C$115:$C$3257,Input!$A$115:$A$3257,"="&amp;'Output - County'!A2438,Input!$B$115:$B$3257,"="&amp;'Output - County'!B2438)*VLOOKUP(A2438,'Output - State'!$B$2:$G$52,4,FALSE)</f>
        <v>6.9329848017177538</v>
      </c>
      <c r="F2438" s="98">
        <f>SUMIFS(Input!$C$115:$C$3257,Input!$A$115:$A$3257,"="&amp;'Output - County'!A2438,Input!$B$115:$B$3257,"="&amp;'Output - County'!B2438)*VLOOKUP(A2438,'Output - State'!$B$2:$G$52,5,FALSE)</f>
        <v>22.731285663742892</v>
      </c>
      <c r="G2438" s="99">
        <f>SUMIFS(Input!$D$115:$D$3257,Input!$A$115:$A$3257,"="&amp;'Output - County'!A2438,Input!$B$115:$B$3257,"="&amp;'Output - County'!B2438)*VLOOKUP(A2438,'Output - State'!$B$2:$G$52,6,FALSE)</f>
        <v>6.1464902633160472</v>
      </c>
    </row>
    <row r="2439" spans="1:7" x14ac:dyDescent="0.25">
      <c r="A2439" s="88">
        <v>47</v>
      </c>
      <c r="B2439" s="88">
        <v>19</v>
      </c>
      <c r="C2439" s="97">
        <f>SUMIFS(Input!$C$115:$C$3257,Input!$A$115:$A$3257,"="&amp;'Output - County'!A2439,Input!$B$115:$B$3257,"="&amp;'Output - County'!B2439)*VLOOKUP(A2439,'Output - State'!$B$2:$G$52,2,FALSE)</f>
        <v>12.592194481916135</v>
      </c>
      <c r="D2439" s="98">
        <f>SUMIFS(Input!$C$115:$C$3257,Input!$A$115:$A$3257,"="&amp;'Output - County'!A2439,Input!$B$115:$B$3257,"="&amp;'Output - County'!B2439)*VLOOKUP(A2439,'Output - State'!$B$2:$G$52,3,FALSE)</f>
        <v>1.0039497584297392</v>
      </c>
      <c r="E2439" s="98">
        <f>SUMIFS(Input!$C$115:$C$3257,Input!$A$115:$A$3257,"="&amp;'Output - County'!A2439,Input!$B$115:$B$3257,"="&amp;'Output - County'!B2439)*VLOOKUP(A2439,'Output - State'!$B$2:$G$52,4,FALSE)</f>
        <v>12.036863976271054</v>
      </c>
      <c r="F2439" s="98">
        <f>SUMIFS(Input!$C$115:$C$3257,Input!$A$115:$A$3257,"="&amp;'Output - County'!A2439,Input!$B$115:$B$3257,"="&amp;'Output - County'!B2439)*VLOOKUP(A2439,'Output - State'!$B$2:$G$52,5,FALSE)</f>
        <v>39.465454110391462</v>
      </c>
      <c r="G2439" s="99">
        <f>SUMIFS(Input!$D$115:$D$3257,Input!$A$115:$A$3257,"="&amp;'Output - County'!A2439,Input!$B$115:$B$3257,"="&amp;'Output - County'!B2439)*VLOOKUP(A2439,'Output - State'!$B$2:$G$52,6,FALSE)</f>
        <v>12.38078753039375</v>
      </c>
    </row>
    <row r="2440" spans="1:7" x14ac:dyDescent="0.25">
      <c r="A2440" s="88">
        <v>47</v>
      </c>
      <c r="B2440" s="88">
        <v>21</v>
      </c>
      <c r="C2440" s="97">
        <f>SUMIFS(Input!$C$115:$C$3257,Input!$A$115:$A$3257,"="&amp;'Output - County'!A2440,Input!$B$115:$B$3257,"="&amp;'Output - County'!B2440)*VLOOKUP(A2440,'Output - State'!$B$2:$G$52,2,FALSE)</f>
        <v>14.070208215889865</v>
      </c>
      <c r="D2440" s="98">
        <f>SUMIFS(Input!$C$115:$C$3257,Input!$A$115:$A$3257,"="&amp;'Output - County'!A2440,Input!$B$115:$B$3257,"="&amp;'Output - County'!B2440)*VLOOKUP(A2440,'Output - State'!$B$2:$G$52,3,FALSE)</f>
        <v>1.1217887525232428</v>
      </c>
      <c r="E2440" s="98">
        <f>SUMIFS(Input!$C$115:$C$3257,Input!$A$115:$A$3257,"="&amp;'Output - County'!A2440,Input!$B$115:$B$3257,"="&amp;'Output - County'!B2440)*VLOOKUP(A2440,'Output - State'!$B$2:$G$52,4,FALSE)</f>
        <v>13.4496955757553</v>
      </c>
      <c r="F2440" s="98">
        <f>SUMIFS(Input!$C$115:$C$3257,Input!$A$115:$A$3257,"="&amp;'Output - County'!A2440,Input!$B$115:$B$3257,"="&amp;'Output - County'!B2440)*VLOOKUP(A2440,'Output - State'!$B$2:$G$52,5,FALSE)</f>
        <v>44.097727164658373</v>
      </c>
      <c r="G2440" s="99">
        <f>SUMIFS(Input!$D$115:$D$3257,Input!$A$115:$A$3257,"="&amp;'Output - County'!A2440,Input!$B$115:$B$3257,"="&amp;'Output - County'!B2440)*VLOOKUP(A2440,'Output - State'!$B$2:$G$52,6,FALSE)</f>
        <v>8.8904591308678533</v>
      </c>
    </row>
    <row r="2441" spans="1:7" x14ac:dyDescent="0.25">
      <c r="A2441" s="88">
        <v>47</v>
      </c>
      <c r="B2441" s="88">
        <v>23</v>
      </c>
      <c r="C2441" s="97">
        <f>SUMIFS(Input!$C$115:$C$3257,Input!$A$115:$A$3257,"="&amp;'Output - County'!A2441,Input!$B$115:$B$3257,"="&amp;'Output - County'!B2441)*VLOOKUP(A2441,'Output - State'!$B$2:$G$52,2,FALSE)</f>
        <v>4.3817004114284721</v>
      </c>
      <c r="D2441" s="98">
        <f>SUMIFS(Input!$C$115:$C$3257,Input!$A$115:$A$3257,"="&amp;'Output - County'!A2441,Input!$B$115:$B$3257,"="&amp;'Output - County'!B2441)*VLOOKUP(A2441,'Output - State'!$B$2:$G$52,3,FALSE)</f>
        <v>0.34934395874226631</v>
      </c>
      <c r="E2441" s="98">
        <f>SUMIFS(Input!$C$115:$C$3257,Input!$A$115:$A$3257,"="&amp;'Output - County'!A2441,Input!$B$115:$B$3257,"="&amp;'Output - County'!B2441)*VLOOKUP(A2441,'Output - State'!$B$2:$G$52,4,FALSE)</f>
        <v>4.1884622980433655</v>
      </c>
      <c r="F2441" s="98">
        <f>SUMIFS(Input!$C$115:$C$3257,Input!$A$115:$A$3257,"="&amp;'Output - County'!A2441,Input!$B$115:$B$3257,"="&amp;'Output - County'!B2441)*VLOOKUP(A2441,'Output - State'!$B$2:$G$52,5,FALSE)</f>
        <v>13.732776821471068</v>
      </c>
      <c r="G2441" s="99">
        <f>SUMIFS(Input!$D$115:$D$3257,Input!$A$115:$A$3257,"="&amp;'Output - County'!A2441,Input!$B$115:$B$3257,"="&amp;'Output - County'!B2441)*VLOOKUP(A2441,'Output - State'!$B$2:$G$52,6,FALSE)</f>
        <v>3.7757011617512859</v>
      </c>
    </row>
    <row r="2442" spans="1:7" x14ac:dyDescent="0.25">
      <c r="A2442" s="88">
        <v>47</v>
      </c>
      <c r="B2442" s="88">
        <v>25</v>
      </c>
      <c r="C2442" s="97">
        <f>SUMIFS(Input!$C$115:$C$3257,Input!$A$115:$A$3257,"="&amp;'Output - County'!A2442,Input!$B$115:$B$3257,"="&amp;'Output - County'!B2442)*VLOOKUP(A2442,'Output - State'!$B$2:$G$52,2,FALSE)</f>
        <v>7.3142241112283992</v>
      </c>
      <c r="D2442" s="98">
        <f>SUMIFS(Input!$C$115:$C$3257,Input!$A$115:$A$3257,"="&amp;'Output - County'!A2442,Input!$B$115:$B$3257,"="&amp;'Output - County'!B2442)*VLOOKUP(A2442,'Output - State'!$B$2:$G$52,3,FALSE)</f>
        <v>0.58314803985233044</v>
      </c>
      <c r="E2442" s="98">
        <f>SUMIFS(Input!$C$115:$C$3257,Input!$A$115:$A$3257,"="&amp;'Output - County'!A2442,Input!$B$115:$B$3257,"="&amp;'Output - County'!B2442)*VLOOKUP(A2442,'Output - State'!$B$2:$G$52,4,FALSE)</f>
        <v>6.9916582725318053</v>
      </c>
      <c r="F2442" s="98">
        <f>SUMIFS(Input!$C$115:$C$3257,Input!$A$115:$A$3257,"="&amp;'Output - County'!A2442,Input!$B$115:$B$3257,"="&amp;'Output - County'!B2442)*VLOOKUP(A2442,'Output - State'!$B$2:$G$52,5,FALSE)</f>
        <v>22.92365928983638</v>
      </c>
      <c r="G2442" s="99">
        <f>SUMIFS(Input!$D$115:$D$3257,Input!$A$115:$A$3257,"="&amp;'Output - County'!A2442,Input!$B$115:$B$3257,"="&amp;'Output - County'!B2442)*VLOOKUP(A2442,'Output - State'!$B$2:$G$52,6,FALSE)</f>
        <v>7.0026085499922104</v>
      </c>
    </row>
    <row r="2443" spans="1:7" x14ac:dyDescent="0.25">
      <c r="A2443" s="88">
        <v>47</v>
      </c>
      <c r="B2443" s="88">
        <v>27</v>
      </c>
      <c r="C2443" s="97">
        <f>SUMIFS(Input!$C$115:$C$3257,Input!$A$115:$A$3257,"="&amp;'Output - County'!A2443,Input!$B$115:$B$3257,"="&amp;'Output - County'!B2443)*VLOOKUP(A2443,'Output - State'!$B$2:$G$52,2,FALSE)</f>
        <v>1.6313447529039997</v>
      </c>
      <c r="D2443" s="98">
        <f>SUMIFS(Input!$C$115:$C$3257,Input!$A$115:$A$3257,"="&amp;'Output - County'!A2443,Input!$B$115:$B$3257,"="&amp;'Output - County'!B2443)*VLOOKUP(A2443,'Output - State'!$B$2:$G$52,3,FALSE)</f>
        <v>0.13006376076430909</v>
      </c>
      <c r="E2443" s="98">
        <f>SUMIFS(Input!$C$115:$C$3257,Input!$A$115:$A$3257,"="&amp;'Output - County'!A2443,Input!$B$115:$B$3257,"="&amp;'Output - County'!B2443)*VLOOKUP(A2443,'Output - State'!$B$2:$G$52,4,FALSE)</f>
        <v>1.5594005411295822</v>
      </c>
      <c r="F2443" s="98">
        <f>SUMIFS(Input!$C$115:$C$3257,Input!$A$115:$A$3257,"="&amp;'Output - County'!A2443,Input!$B$115:$B$3257,"="&amp;'Output - County'!B2443)*VLOOKUP(A2443,'Output - State'!$B$2:$G$52,5,FALSE)</f>
        <v>5.1128309347842791</v>
      </c>
      <c r="G2443" s="99">
        <f>SUMIFS(Input!$D$115:$D$3257,Input!$A$115:$A$3257,"="&amp;'Output - County'!A2443,Input!$B$115:$B$3257,"="&amp;'Output - County'!B2443)*VLOOKUP(A2443,'Output - State'!$B$2:$G$52,6,FALSE)</f>
        <v>1.68589447222383</v>
      </c>
    </row>
    <row r="2444" spans="1:7" x14ac:dyDescent="0.25">
      <c r="A2444" s="88">
        <v>47</v>
      </c>
      <c r="B2444" s="88">
        <v>29</v>
      </c>
      <c r="C2444" s="97">
        <f>SUMIFS(Input!$C$115:$C$3257,Input!$A$115:$A$3257,"="&amp;'Output - County'!A2444,Input!$B$115:$B$3257,"="&amp;'Output - County'!B2444)*VLOOKUP(A2444,'Output - State'!$B$2:$G$52,2,FALSE)</f>
        <v>13.235811471841586</v>
      </c>
      <c r="D2444" s="98">
        <f>SUMIFS(Input!$C$115:$C$3257,Input!$A$115:$A$3257,"="&amp;'Output - County'!A2444,Input!$B$115:$B$3257,"="&amp;'Output - County'!B2444)*VLOOKUP(A2444,'Output - State'!$B$2:$G$52,3,FALSE)</f>
        <v>1.0552640168367939</v>
      </c>
      <c r="E2444" s="98">
        <f>SUMIFS(Input!$C$115:$C$3257,Input!$A$115:$A$3257,"="&amp;'Output - County'!A2444,Input!$B$115:$B$3257,"="&amp;'Output - County'!B2444)*VLOOKUP(A2444,'Output - State'!$B$2:$G$52,4,FALSE)</f>
        <v>12.652096704106974</v>
      </c>
      <c r="F2444" s="98">
        <f>SUMIFS(Input!$C$115:$C$3257,Input!$A$115:$A$3257,"="&amp;'Output - County'!A2444,Input!$B$115:$B$3257,"="&amp;'Output - County'!B2444)*VLOOKUP(A2444,'Output - State'!$B$2:$G$52,5,FALSE)</f>
        <v>41.482627274056419</v>
      </c>
      <c r="G2444" s="99">
        <f>SUMIFS(Input!$D$115:$D$3257,Input!$A$115:$A$3257,"="&amp;'Output - County'!A2444,Input!$B$115:$B$3257,"="&amp;'Output - County'!B2444)*VLOOKUP(A2444,'Output - State'!$B$2:$G$52,6,FALSE)</f>
        <v>7.8806785876087879</v>
      </c>
    </row>
    <row r="2445" spans="1:7" x14ac:dyDescent="0.25">
      <c r="A2445" s="88">
        <v>47</v>
      </c>
      <c r="B2445" s="88">
        <v>31</v>
      </c>
      <c r="C2445" s="97">
        <f>SUMIFS(Input!$C$115:$C$3257,Input!$A$115:$A$3257,"="&amp;'Output - County'!A2445,Input!$B$115:$B$3257,"="&amp;'Output - County'!B2445)*VLOOKUP(A2445,'Output - State'!$B$2:$G$52,2,FALSE)</f>
        <v>24.728241639134527</v>
      </c>
      <c r="D2445" s="98">
        <f>SUMIFS(Input!$C$115:$C$3257,Input!$A$115:$A$3257,"="&amp;'Output - County'!A2445,Input!$B$115:$B$3257,"="&amp;'Output - County'!B2445)*VLOOKUP(A2445,'Output - State'!$B$2:$G$52,3,FALSE)</f>
        <v>1.9715318291545008</v>
      </c>
      <c r="E2445" s="98">
        <f>SUMIFS(Input!$C$115:$C$3257,Input!$A$115:$A$3257,"="&amp;'Output - County'!A2445,Input!$B$115:$B$3257,"="&amp;'Output - County'!B2445)*VLOOKUP(A2445,'Output - State'!$B$2:$G$52,4,FALSE)</f>
        <v>23.637697258415539</v>
      </c>
      <c r="F2445" s="98">
        <f>SUMIFS(Input!$C$115:$C$3257,Input!$A$115:$A$3257,"="&amp;'Output - County'!A2445,Input!$B$115:$B$3257,"="&amp;'Output - County'!B2445)*VLOOKUP(A2445,'Output - State'!$B$2:$G$52,5,FALSE)</f>
        <v>77.501287566790523</v>
      </c>
      <c r="G2445" s="99">
        <f>SUMIFS(Input!$D$115:$D$3257,Input!$A$115:$A$3257,"="&amp;'Output - County'!A2445,Input!$B$115:$B$3257,"="&amp;'Output - County'!B2445)*VLOOKUP(A2445,'Output - State'!$B$2:$G$52,6,FALSE)</f>
        <v>12.271028775691677</v>
      </c>
    </row>
    <row r="2446" spans="1:7" x14ac:dyDescent="0.25">
      <c r="A2446" s="88">
        <v>47</v>
      </c>
      <c r="B2446" s="88">
        <v>33</v>
      </c>
      <c r="C2446" s="97">
        <f>SUMIFS(Input!$C$115:$C$3257,Input!$A$115:$A$3257,"="&amp;'Output - County'!A2446,Input!$B$115:$B$3257,"="&amp;'Output - County'!B2446)*VLOOKUP(A2446,'Output - State'!$B$2:$G$52,2,FALSE)</f>
        <v>5.1180755960361912</v>
      </c>
      <c r="D2446" s="98">
        <f>SUMIFS(Input!$C$115:$C$3257,Input!$A$115:$A$3257,"="&amp;'Output - County'!A2446,Input!$B$115:$B$3257,"="&amp;'Output - County'!B2446)*VLOOKUP(A2446,'Output - State'!$B$2:$G$52,3,FALSE)</f>
        <v>0.40805363716744253</v>
      </c>
      <c r="E2446" s="98">
        <f>SUMIFS(Input!$C$115:$C$3257,Input!$A$115:$A$3257,"="&amp;'Output - County'!A2446,Input!$B$115:$B$3257,"="&amp;'Output - County'!B2446)*VLOOKUP(A2446,'Output - State'!$B$2:$G$52,4,FALSE)</f>
        <v>4.8923624756775217</v>
      </c>
      <c r="F2446" s="98">
        <f>SUMIFS(Input!$C$115:$C$3257,Input!$A$115:$A$3257,"="&amp;'Output - County'!A2446,Input!$B$115:$B$3257,"="&amp;'Output - County'!B2446)*VLOOKUP(A2446,'Output - State'!$B$2:$G$52,5,FALSE)</f>
        <v>16.040665339068422</v>
      </c>
      <c r="G2446" s="99">
        <f>SUMIFS(Input!$D$115:$D$3257,Input!$A$115:$A$3257,"="&amp;'Output - County'!A2446,Input!$B$115:$B$3257,"="&amp;'Output - County'!B2446)*VLOOKUP(A2446,'Output - State'!$B$2:$G$52,6,FALSE)</f>
        <v>3.1391003844792671</v>
      </c>
    </row>
    <row r="2447" spans="1:7" x14ac:dyDescent="0.25">
      <c r="A2447" s="88">
        <v>47</v>
      </c>
      <c r="B2447" s="88">
        <v>35</v>
      </c>
      <c r="C2447" s="97">
        <f>SUMIFS(Input!$C$115:$C$3257,Input!$A$115:$A$3257,"="&amp;'Output - County'!A2447,Input!$B$115:$B$3257,"="&amp;'Output - County'!B2447)*VLOOKUP(A2447,'Output - State'!$B$2:$G$52,2,FALSE)</f>
        <v>23.59708273456501</v>
      </c>
      <c r="D2447" s="98">
        <f>SUMIFS(Input!$C$115:$C$3257,Input!$A$115:$A$3257,"="&amp;'Output - County'!A2447,Input!$B$115:$B$3257,"="&amp;'Output - County'!B2447)*VLOOKUP(A2447,'Output - State'!$B$2:$G$52,3,FALSE)</f>
        <v>1.8813468569783556</v>
      </c>
      <c r="E2447" s="98">
        <f>SUMIFS(Input!$C$115:$C$3257,Input!$A$115:$A$3257,"="&amp;'Output - County'!A2447,Input!$B$115:$B$3257,"="&amp;'Output - County'!B2447)*VLOOKUP(A2447,'Output - State'!$B$2:$G$52,4,FALSE)</f>
        <v>22.556423784645368</v>
      </c>
      <c r="F2447" s="98">
        <f>SUMIFS(Input!$C$115:$C$3257,Input!$A$115:$A$3257,"="&amp;'Output - County'!A2447,Input!$B$115:$B$3257,"="&amp;'Output - County'!B2447)*VLOOKUP(A2447,'Output - State'!$B$2:$G$52,5,FALSE)</f>
        <v>73.956099323076558</v>
      </c>
      <c r="G2447" s="99">
        <f>SUMIFS(Input!$D$115:$D$3257,Input!$A$115:$A$3257,"="&amp;'Output - County'!A2447,Input!$B$115:$B$3257,"="&amp;'Output - County'!B2447)*VLOOKUP(A2447,'Output - State'!$B$2:$G$52,6,FALSE)</f>
        <v>13.105195311427428</v>
      </c>
    </row>
    <row r="2448" spans="1:7" x14ac:dyDescent="0.25">
      <c r="A2448" s="88">
        <v>47</v>
      </c>
      <c r="B2448" s="88">
        <v>37</v>
      </c>
      <c r="C2448" s="97">
        <f>SUMIFS(Input!$C$115:$C$3257,Input!$A$115:$A$3257,"="&amp;'Output - County'!A2448,Input!$B$115:$B$3257,"="&amp;'Output - County'!B2448)*VLOOKUP(A2448,'Output - State'!$B$2:$G$52,2,FALSE)</f>
        <v>252.95687650159616</v>
      </c>
      <c r="D2448" s="98">
        <f>SUMIFS(Input!$C$115:$C$3257,Input!$A$115:$A$3257,"="&amp;'Output - County'!A2448,Input!$B$115:$B$3257,"="&amp;'Output - County'!B2448)*VLOOKUP(A2448,'Output - State'!$B$2:$G$52,3,FALSE)</f>
        <v>20.167731321306178</v>
      </c>
      <c r="E2448" s="98">
        <f>SUMIFS(Input!$C$115:$C$3257,Input!$A$115:$A$3257,"="&amp;'Output - County'!A2448,Input!$B$115:$B$3257,"="&amp;'Output - County'!B2448)*VLOOKUP(A2448,'Output - State'!$B$2:$G$52,4,FALSE)</f>
        <v>241.80118236617207</v>
      </c>
      <c r="F2448" s="98">
        <f>SUMIFS(Input!$C$115:$C$3257,Input!$A$115:$A$3257,"="&amp;'Output - County'!A2448,Input!$B$115:$B$3257,"="&amp;'Output - County'!B2448)*VLOOKUP(A2448,'Output - State'!$B$2:$G$52,5,FALSE)</f>
        <v>792.79731708548059</v>
      </c>
      <c r="G2448" s="99">
        <f>SUMIFS(Input!$D$115:$D$3257,Input!$A$115:$A$3257,"="&amp;'Output - County'!A2448,Input!$B$115:$B$3257,"="&amp;'Output - County'!B2448)*VLOOKUP(A2448,'Output - State'!$B$2:$G$52,6,FALSE)</f>
        <v>151.68659899826386</v>
      </c>
    </row>
    <row r="2449" spans="1:7" x14ac:dyDescent="0.25">
      <c r="A2449" s="88">
        <v>47</v>
      </c>
      <c r="B2449" s="88">
        <v>39</v>
      </c>
      <c r="C2449" s="97">
        <f>SUMIFS(Input!$C$115:$C$3257,Input!$A$115:$A$3257,"="&amp;'Output - County'!A2449,Input!$B$115:$B$3257,"="&amp;'Output - County'!B2449)*VLOOKUP(A2449,'Output - State'!$B$2:$G$52,2,FALSE)</f>
        <v>4.5381242272951914</v>
      </c>
      <c r="D2449" s="98">
        <f>SUMIFS(Input!$C$115:$C$3257,Input!$A$115:$A$3257,"="&amp;'Output - County'!A2449,Input!$B$115:$B$3257,"="&amp;'Output - County'!B2449)*VLOOKUP(A2449,'Output - State'!$B$2:$G$52,3,FALSE)</f>
        <v>0.36181530774958837</v>
      </c>
      <c r="E2449" s="98">
        <f>SUMIFS(Input!$C$115:$C$3257,Input!$A$115:$A$3257,"="&amp;'Output - County'!A2449,Input!$B$115:$B$3257,"="&amp;'Output - County'!B2449)*VLOOKUP(A2449,'Output - State'!$B$2:$G$52,4,FALSE)</f>
        <v>4.3379876406626332</v>
      </c>
      <c r="F2449" s="98">
        <f>SUMIFS(Input!$C$115:$C$3257,Input!$A$115:$A$3257,"="&amp;'Output - County'!A2449,Input!$B$115:$B$3257,"="&amp;'Output - County'!B2449)*VLOOKUP(A2449,'Output - State'!$B$2:$G$52,5,FALSE)</f>
        <v>14.223027900083773</v>
      </c>
      <c r="G2449" s="99">
        <f>SUMIFS(Input!$D$115:$D$3257,Input!$A$115:$A$3257,"="&amp;'Output - County'!A2449,Input!$B$115:$B$3257,"="&amp;'Output - County'!B2449)*VLOOKUP(A2449,'Output - State'!$B$2:$G$52,6,FALSE)</f>
        <v>2.5683548600284909</v>
      </c>
    </row>
    <row r="2450" spans="1:7" x14ac:dyDescent="0.25">
      <c r="A2450" s="88">
        <v>47</v>
      </c>
      <c r="B2450" s="88">
        <v>41</v>
      </c>
      <c r="C2450" s="97">
        <f>SUMIFS(Input!$C$115:$C$3257,Input!$A$115:$A$3257,"="&amp;'Output - County'!A2450,Input!$B$115:$B$3257,"="&amp;'Output - County'!B2450)*VLOOKUP(A2450,'Output - State'!$B$2:$G$52,2,FALSE)</f>
        <v>4.4241294085815701</v>
      </c>
      <c r="D2450" s="98">
        <f>SUMIFS(Input!$C$115:$C$3257,Input!$A$115:$A$3257,"="&amp;'Output - County'!A2450,Input!$B$115:$B$3257,"="&amp;'Output - County'!B2450)*VLOOKUP(A2450,'Output - State'!$B$2:$G$52,3,FALSE)</f>
        <v>0.35272673539040678</v>
      </c>
      <c r="E2450" s="98">
        <f>SUMIFS(Input!$C$115:$C$3257,Input!$A$115:$A$3257,"="&amp;'Output - County'!A2450,Input!$B$115:$B$3257,"="&amp;'Output - County'!B2450)*VLOOKUP(A2450,'Output - State'!$B$2:$G$52,4,FALSE)</f>
        <v>4.2290201267931415</v>
      </c>
      <c r="F2450" s="98">
        <f>SUMIFS(Input!$C$115:$C$3257,Input!$A$115:$A$3257,"="&amp;'Output - County'!A2450,Input!$B$115:$B$3257,"="&amp;'Output - County'!B2450)*VLOOKUP(A2450,'Output - State'!$B$2:$G$52,5,FALSE)</f>
        <v>13.865754408697843</v>
      </c>
      <c r="G2450" s="99">
        <f>SUMIFS(Input!$D$115:$D$3257,Input!$A$115:$A$3257,"="&amp;'Output - County'!A2450,Input!$B$115:$B$3257,"="&amp;'Output - County'!B2450)*VLOOKUP(A2450,'Output - State'!$B$2:$G$52,6,FALSE)</f>
        <v>4.4123019390233047</v>
      </c>
    </row>
    <row r="2451" spans="1:7" x14ac:dyDescent="0.25">
      <c r="A2451" s="88">
        <v>47</v>
      </c>
      <c r="B2451" s="88">
        <v>43</v>
      </c>
      <c r="C2451" s="97">
        <f>SUMIFS(Input!$C$115:$C$3257,Input!$A$115:$A$3257,"="&amp;'Output - County'!A2451,Input!$B$115:$B$3257,"="&amp;'Output - County'!B2451)*VLOOKUP(A2451,'Output - State'!$B$2:$G$52,2,FALSE)</f>
        <v>18.836848006211593</v>
      </c>
      <c r="D2451" s="98">
        <f>SUMIFS(Input!$C$115:$C$3257,Input!$A$115:$A$3257,"="&amp;'Output - County'!A2451,Input!$B$115:$B$3257,"="&amp;'Output - County'!B2451)*VLOOKUP(A2451,'Output - State'!$B$2:$G$52,3,FALSE)</f>
        <v>1.5018231359571685</v>
      </c>
      <c r="E2451" s="98">
        <f>SUMIFS(Input!$C$115:$C$3257,Input!$A$115:$A$3257,"="&amp;'Output - County'!A2451,Input!$B$115:$B$3257,"="&amp;'Output - County'!B2451)*VLOOKUP(A2451,'Output - State'!$B$2:$G$52,4,FALSE)</f>
        <v>18.006120975822114</v>
      </c>
      <c r="F2451" s="98">
        <f>SUMIFS(Input!$C$115:$C$3257,Input!$A$115:$A$3257,"="&amp;'Output - County'!A2451,Input!$B$115:$B$3257,"="&amp;'Output - County'!B2451)*VLOOKUP(A2451,'Output - State'!$B$2:$G$52,5,FALSE)</f>
        <v>59.036950361684681</v>
      </c>
      <c r="G2451" s="99">
        <f>SUMIFS(Input!$D$115:$D$3257,Input!$A$115:$A$3257,"="&amp;'Output - County'!A2451,Input!$B$115:$B$3257,"="&amp;'Output - County'!B2451)*VLOOKUP(A2451,'Output - State'!$B$2:$G$52,6,FALSE)</f>
        <v>11.722235002181318</v>
      </c>
    </row>
    <row r="2452" spans="1:7" x14ac:dyDescent="0.25">
      <c r="A2452" s="88">
        <v>47</v>
      </c>
      <c r="B2452" s="88">
        <v>45</v>
      </c>
      <c r="C2452" s="97">
        <f>SUMIFS(Input!$C$115:$C$3257,Input!$A$115:$A$3257,"="&amp;'Output - County'!A2452,Input!$B$115:$B$3257,"="&amp;'Output - County'!B2452)*VLOOKUP(A2452,'Output - State'!$B$2:$G$52,2,FALSE)</f>
        <v>12.696423903688174</v>
      </c>
      <c r="D2452" s="98">
        <f>SUMIFS(Input!$C$115:$C$3257,Input!$A$115:$A$3257,"="&amp;'Output - County'!A2452,Input!$B$115:$B$3257,"="&amp;'Output - County'!B2452)*VLOOKUP(A2452,'Output - State'!$B$2:$G$52,3,FALSE)</f>
        <v>1.0122597557824315</v>
      </c>
      <c r="E2452" s="98">
        <f>SUMIFS(Input!$C$115:$C$3257,Input!$A$115:$A$3257,"="&amp;'Output - County'!A2452,Input!$B$115:$B$3257,"="&amp;'Output - County'!B2452)*VLOOKUP(A2452,'Output - State'!$B$2:$G$52,4,FALSE)</f>
        <v>12.136496758626599</v>
      </c>
      <c r="F2452" s="98">
        <f>SUMIFS(Input!$C$115:$C$3257,Input!$A$115:$A$3257,"="&amp;'Output - County'!A2452,Input!$B$115:$B$3257,"="&amp;'Output - County'!B2452)*VLOOKUP(A2452,'Output - State'!$B$2:$G$52,5,FALSE)</f>
        <v>39.792121671617949</v>
      </c>
      <c r="G2452" s="99">
        <f>SUMIFS(Input!$D$115:$D$3257,Input!$A$115:$A$3257,"="&amp;'Output - County'!A2452,Input!$B$115:$B$3257,"="&amp;'Output - County'!B2452)*VLOOKUP(A2452,'Output - State'!$B$2:$G$52,6,FALSE)</f>
        <v>8.1880031007745906</v>
      </c>
    </row>
    <row r="2453" spans="1:7" x14ac:dyDescent="0.25">
      <c r="A2453" s="88">
        <v>47</v>
      </c>
      <c r="B2453" s="88">
        <v>47</v>
      </c>
      <c r="C2453" s="97">
        <f>SUMIFS(Input!$C$115:$C$3257,Input!$A$115:$A$3257,"="&amp;'Output - County'!A2453,Input!$B$115:$B$3257,"="&amp;'Output - County'!B2453)*VLOOKUP(A2453,'Output - State'!$B$2:$G$52,2,FALSE)</f>
        <v>16.804293719521073</v>
      </c>
      <c r="D2453" s="98">
        <f>SUMIFS(Input!$C$115:$C$3257,Input!$A$115:$A$3257,"="&amp;'Output - County'!A2453,Input!$B$115:$B$3257,"="&amp;'Output - County'!B2453)*VLOOKUP(A2453,'Output - State'!$B$2:$G$52,3,FALSE)</f>
        <v>1.3397717645263356</v>
      </c>
      <c r="E2453" s="98">
        <f>SUMIFS(Input!$C$115:$C$3257,Input!$A$115:$A$3257,"="&amp;'Output - County'!A2453,Input!$B$115:$B$3257,"="&amp;'Output - County'!B2453)*VLOOKUP(A2453,'Output - State'!$B$2:$G$52,4,FALSE)</f>
        <v>16.063204710637688</v>
      </c>
      <c r="F2453" s="98">
        <f>SUMIFS(Input!$C$115:$C$3257,Input!$A$115:$A$3257,"="&amp;'Output - County'!A2453,Input!$B$115:$B$3257,"="&amp;'Output - County'!B2453)*VLOOKUP(A2453,'Output - State'!$B$2:$G$52,5,FALSE)</f>
        <v>52.666680426332015</v>
      </c>
      <c r="G2453" s="99">
        <f>SUMIFS(Input!$D$115:$D$3257,Input!$A$115:$A$3257,"="&amp;'Output - County'!A2453,Input!$B$115:$B$3257,"="&amp;'Output - County'!B2453)*VLOOKUP(A2453,'Output - State'!$B$2:$G$52,6,FALSE)</f>
        <v>8.9124108818082668</v>
      </c>
    </row>
    <row r="2454" spans="1:7" x14ac:dyDescent="0.25">
      <c r="A2454" s="88">
        <v>47</v>
      </c>
      <c r="B2454" s="88">
        <v>49</v>
      </c>
      <c r="C2454" s="97">
        <f>SUMIFS(Input!$C$115:$C$3257,Input!$A$115:$A$3257,"="&amp;'Output - County'!A2454,Input!$B$115:$B$3257,"="&amp;'Output - County'!B2454)*VLOOKUP(A2454,'Output - State'!$B$2:$G$52,2,FALSE)</f>
        <v>3.8926941170198734</v>
      </c>
      <c r="D2454" s="98">
        <f>SUMIFS(Input!$C$115:$C$3257,Input!$A$115:$A$3257,"="&amp;'Output - County'!A2454,Input!$B$115:$B$3257,"="&amp;'Output - County'!B2454)*VLOOKUP(A2454,'Output - State'!$B$2:$G$52,3,FALSE)</f>
        <v>0.31035649298741486</v>
      </c>
      <c r="E2454" s="98">
        <f>SUMIFS(Input!$C$115:$C$3257,Input!$A$115:$A$3257,"="&amp;'Output - County'!A2454,Input!$B$115:$B$3257,"="&amp;'Output - County'!B2454)*VLOOKUP(A2454,'Output - State'!$B$2:$G$52,4,FALSE)</f>
        <v>3.7210217532050698</v>
      </c>
      <c r="F2454" s="98">
        <f>SUMIFS(Input!$C$115:$C$3257,Input!$A$115:$A$3257,"="&amp;'Output - County'!A2454,Input!$B$115:$B$3257,"="&amp;'Output - County'!B2454)*VLOOKUP(A2454,'Output - State'!$B$2:$G$52,5,FALSE)</f>
        <v>12.200172198870096</v>
      </c>
      <c r="G2454" s="99">
        <f>SUMIFS(Input!$D$115:$D$3257,Input!$A$115:$A$3257,"="&amp;'Output - County'!A2454,Input!$B$115:$B$3257,"="&amp;'Output - County'!B2454)*VLOOKUP(A2454,'Output - State'!$B$2:$G$52,6,FALSE)</f>
        <v>4.0171704220958455</v>
      </c>
    </row>
    <row r="2455" spans="1:7" x14ac:dyDescent="0.25">
      <c r="A2455" s="88">
        <v>47</v>
      </c>
      <c r="B2455" s="88">
        <v>51</v>
      </c>
      <c r="C2455" s="97">
        <f>SUMIFS(Input!$C$115:$C$3257,Input!$A$115:$A$3257,"="&amp;'Output - County'!A2455,Input!$B$115:$B$3257,"="&amp;'Output - County'!B2455)*VLOOKUP(A2455,'Output - State'!$B$2:$G$52,2,FALSE)</f>
        <v>9.7036241483293342</v>
      </c>
      <c r="D2455" s="98">
        <f>SUMIFS(Input!$C$115:$C$3257,Input!$A$115:$A$3257,"="&amp;'Output - County'!A2455,Input!$B$115:$B$3257,"="&amp;'Output - County'!B2455)*VLOOKUP(A2455,'Output - State'!$B$2:$G$52,3,FALSE)</f>
        <v>0.77364998877668234</v>
      </c>
      <c r="E2455" s="98">
        <f>SUMIFS(Input!$C$115:$C$3257,Input!$A$115:$A$3257,"="&amp;'Output - County'!A2455,Input!$B$115:$B$3257,"="&amp;'Output - County'!B2455)*VLOOKUP(A2455,'Output - State'!$B$2:$G$52,4,FALSE)</f>
        <v>9.2756829731338311</v>
      </c>
      <c r="F2455" s="98">
        <f>SUMIFS(Input!$C$115:$C$3257,Input!$A$115:$A$3257,"="&amp;'Output - County'!A2455,Input!$B$115:$B$3257,"="&amp;'Output - County'!B2455)*VLOOKUP(A2455,'Output - State'!$B$2:$G$52,5,FALSE)</f>
        <v>30.41232678548209</v>
      </c>
      <c r="G2455" s="99">
        <f>SUMIFS(Input!$D$115:$D$3257,Input!$A$115:$A$3257,"="&amp;'Output - County'!A2455,Input!$B$115:$B$3257,"="&amp;'Output - County'!B2455)*VLOOKUP(A2455,'Output - State'!$B$2:$G$52,6,FALSE)</f>
        <v>9.197783644033656</v>
      </c>
    </row>
    <row r="2456" spans="1:7" x14ac:dyDescent="0.25">
      <c r="A2456" s="88">
        <v>47</v>
      </c>
      <c r="B2456" s="88">
        <v>53</v>
      </c>
      <c r="C2456" s="97">
        <f>SUMIFS(Input!$C$115:$C$3257,Input!$A$115:$A$3257,"="&amp;'Output - County'!A2456,Input!$B$115:$B$3257,"="&amp;'Output - County'!B2456)*VLOOKUP(A2456,'Output - State'!$B$2:$G$52,2,FALSE)</f>
        <v>11.183518788707461</v>
      </c>
      <c r="D2456" s="98">
        <f>SUMIFS(Input!$C$115:$C$3257,Input!$A$115:$A$3257,"="&amp;'Output - County'!A2456,Input!$B$115:$B$3257,"="&amp;'Output - County'!B2456)*VLOOKUP(A2456,'Output - State'!$B$2:$G$52,3,FALSE)</f>
        <v>0.89163894366796703</v>
      </c>
      <c r="E2456" s="98">
        <f>SUMIFS(Input!$C$115:$C$3257,Input!$A$115:$A$3257,"="&amp;'Output - County'!A2456,Input!$B$115:$B$3257,"="&amp;'Output - County'!B2456)*VLOOKUP(A2456,'Output - State'!$B$2:$G$52,4,FALSE)</f>
        <v>10.690312528849956</v>
      </c>
      <c r="F2456" s="98">
        <f>SUMIFS(Input!$C$115:$C$3257,Input!$A$115:$A$3257,"="&amp;'Output - County'!A2456,Input!$B$115:$B$3257,"="&amp;'Output - County'!B2456)*VLOOKUP(A2456,'Output - State'!$B$2:$G$52,5,FALSE)</f>
        <v>35.050494826956772</v>
      </c>
      <c r="G2456" s="99">
        <f>SUMIFS(Input!$D$115:$D$3257,Input!$A$115:$A$3257,"="&amp;'Output - County'!A2456,Input!$B$115:$B$3257,"="&amp;'Output - County'!B2456)*VLOOKUP(A2456,'Output - State'!$B$2:$G$52,6,FALSE)</f>
        <v>10.80026146268391</v>
      </c>
    </row>
    <row r="2457" spans="1:7" x14ac:dyDescent="0.25">
      <c r="A2457" s="88">
        <v>47</v>
      </c>
      <c r="B2457" s="88">
        <v>55</v>
      </c>
      <c r="C2457" s="97">
        <f>SUMIFS(Input!$C$115:$C$3257,Input!$A$115:$A$3257,"="&amp;'Output - County'!A2457,Input!$B$115:$B$3257,"="&amp;'Output - County'!B2457)*VLOOKUP(A2457,'Output - State'!$B$2:$G$52,2,FALSE)</f>
        <v>12.911678304113554</v>
      </c>
      <c r="D2457" s="98">
        <f>SUMIFS(Input!$C$115:$C$3257,Input!$A$115:$A$3257,"="&amp;'Output - County'!A2457,Input!$B$115:$B$3257,"="&amp;'Output - County'!B2457)*VLOOKUP(A2457,'Output - State'!$B$2:$G$52,3,FALSE)</f>
        <v>1.0294215462565504</v>
      </c>
      <c r="E2457" s="98">
        <f>SUMIFS(Input!$C$115:$C$3257,Input!$A$115:$A$3257,"="&amp;'Output - County'!A2457,Input!$B$115:$B$3257,"="&amp;'Output - County'!B2457)*VLOOKUP(A2457,'Output - State'!$B$2:$G$52,4,FALSE)</f>
        <v>12.34225818821181</v>
      </c>
      <c r="F2457" s="98">
        <f>SUMIFS(Input!$C$115:$C$3257,Input!$A$115:$A$3257,"="&amp;'Output - County'!A2457,Input!$B$115:$B$3257,"="&amp;'Output - County'!B2457)*VLOOKUP(A2457,'Output - State'!$B$2:$G$52,5,FALSE)</f>
        <v>40.466754887793854</v>
      </c>
      <c r="G2457" s="99">
        <f>SUMIFS(Input!$D$115:$D$3257,Input!$A$115:$A$3257,"="&amp;'Output - County'!A2457,Input!$B$115:$B$3257,"="&amp;'Output - County'!B2457)*VLOOKUP(A2457,'Output - State'!$B$2:$G$52,6,FALSE)</f>
        <v>6.453814776481849</v>
      </c>
    </row>
    <row r="2458" spans="1:7" x14ac:dyDescent="0.25">
      <c r="A2458" s="88">
        <v>47</v>
      </c>
      <c r="B2458" s="88">
        <v>57</v>
      </c>
      <c r="C2458" s="97">
        <f>SUMIFS(Input!$C$115:$C$3257,Input!$A$115:$A$3257,"="&amp;'Output - County'!A2458,Input!$B$115:$B$3257,"="&amp;'Output - County'!B2458)*VLOOKUP(A2458,'Output - State'!$B$2:$G$52,2,FALSE)</f>
        <v>6.2147239940530428</v>
      </c>
      <c r="D2458" s="98">
        <f>SUMIFS(Input!$C$115:$C$3257,Input!$A$115:$A$3257,"="&amp;'Output - County'!A2458,Input!$B$115:$B$3257,"="&amp;'Output - County'!B2458)*VLOOKUP(A2458,'Output - State'!$B$2:$G$52,3,FALSE)</f>
        <v>0.49548715765924511</v>
      </c>
      <c r="E2458" s="98">
        <f>SUMIFS(Input!$C$115:$C$3257,Input!$A$115:$A$3257,"="&amp;'Output - County'!A2458,Input!$B$115:$B$3257,"="&amp;'Output - County'!B2458)*VLOOKUP(A2458,'Output - State'!$B$2:$G$52,4,FALSE)</f>
        <v>5.9406473966006725</v>
      </c>
      <c r="F2458" s="98">
        <f>SUMIFS(Input!$C$115:$C$3257,Input!$A$115:$A$3257,"="&amp;'Output - County'!A2458,Input!$B$115:$B$3257,"="&amp;'Output - County'!B2458)*VLOOKUP(A2458,'Output - State'!$B$2:$G$52,5,FALSE)</f>
        <v>19.477693498800477</v>
      </c>
      <c r="G2458" s="99">
        <f>SUMIFS(Input!$D$115:$D$3257,Input!$A$115:$A$3257,"="&amp;'Output - County'!A2458,Input!$B$115:$B$3257,"="&amp;'Output - County'!B2458)*VLOOKUP(A2458,'Output - State'!$B$2:$G$52,6,FALSE)</f>
        <v>5.0708544672357387</v>
      </c>
    </row>
    <row r="2459" spans="1:7" x14ac:dyDescent="0.25">
      <c r="A2459" s="88">
        <v>47</v>
      </c>
      <c r="B2459" s="88">
        <v>59</v>
      </c>
      <c r="C2459" s="97">
        <f>SUMIFS(Input!$C$115:$C$3257,Input!$A$115:$A$3257,"="&amp;'Output - County'!A2459,Input!$B$115:$B$3257,"="&amp;'Output - County'!B2459)*VLOOKUP(A2459,'Output - State'!$B$2:$G$52,2,FALSE)</f>
        <v>28.935666534351338</v>
      </c>
      <c r="D2459" s="98">
        <f>SUMIFS(Input!$C$115:$C$3257,Input!$A$115:$A$3257,"="&amp;'Output - County'!A2459,Input!$B$115:$B$3257,"="&amp;'Output - County'!B2459)*VLOOKUP(A2459,'Output - State'!$B$2:$G$52,3,FALSE)</f>
        <v>2.3069811595496441</v>
      </c>
      <c r="E2459" s="98">
        <f>SUMIFS(Input!$C$115:$C$3257,Input!$A$115:$A$3257,"="&amp;'Output - County'!A2459,Input!$B$115:$B$3257,"="&amp;'Output - County'!B2459)*VLOOKUP(A2459,'Output - State'!$B$2:$G$52,4,FALSE)</f>
        <v>27.659569794360902</v>
      </c>
      <c r="F2459" s="98">
        <f>SUMIFS(Input!$C$115:$C$3257,Input!$A$115:$A$3257,"="&amp;'Output - County'!A2459,Input!$B$115:$B$3257,"="&amp;'Output - County'!B2459)*VLOOKUP(A2459,'Output - State'!$B$2:$G$52,5,FALSE)</f>
        <v>90.687863930708815</v>
      </c>
      <c r="G2459" s="99">
        <f>SUMIFS(Input!$D$115:$D$3257,Input!$A$115:$A$3257,"="&amp;'Output - County'!A2459,Input!$B$115:$B$3257,"="&amp;'Output - County'!B2459)*VLOOKUP(A2459,'Output - State'!$B$2:$G$52,6,FALSE)</f>
        <v>15.190611650766801</v>
      </c>
    </row>
    <row r="2460" spans="1:7" x14ac:dyDescent="0.25">
      <c r="A2460" s="88">
        <v>47</v>
      </c>
      <c r="B2460" s="88">
        <v>61</v>
      </c>
      <c r="C2460" s="97">
        <f>SUMIFS(Input!$C$115:$C$3257,Input!$A$115:$A$3257,"="&amp;'Output - County'!A2460,Input!$B$115:$B$3257,"="&amp;'Output - County'!B2460)*VLOOKUP(A2460,'Output - State'!$B$2:$G$52,2,FALSE)</f>
        <v>5.3756706452433498</v>
      </c>
      <c r="D2460" s="98">
        <f>SUMIFS(Input!$C$115:$C$3257,Input!$A$115:$A$3257,"="&amp;'Output - County'!A2460,Input!$B$115:$B$3257,"="&amp;'Output - County'!B2460)*VLOOKUP(A2460,'Output - State'!$B$2:$G$52,3,FALSE)</f>
        <v>0.42859116045582735</v>
      </c>
      <c r="E2460" s="98">
        <f>SUMIFS(Input!$C$115:$C$3257,Input!$A$115:$A$3257,"="&amp;'Output - County'!A2460,Input!$B$115:$B$3257,"="&amp;'Output - County'!B2460)*VLOOKUP(A2460,'Output - State'!$B$2:$G$52,4,FALSE)</f>
        <v>5.1385972819077059</v>
      </c>
      <c r="F2460" s="98">
        <f>SUMIFS(Input!$C$115:$C$3257,Input!$A$115:$A$3257,"="&amp;'Output - County'!A2460,Input!$B$115:$B$3257,"="&amp;'Output - County'!B2460)*VLOOKUP(A2460,'Output - State'!$B$2:$G$52,5,FALSE)</f>
        <v>16.847999248034714</v>
      </c>
      <c r="G2460" s="99">
        <f>SUMIFS(Input!$D$115:$D$3257,Input!$A$115:$A$3257,"="&amp;'Output - County'!A2460,Input!$B$115:$B$3257,"="&amp;'Output - County'!B2460)*VLOOKUP(A2460,'Output - State'!$B$2:$G$52,6,FALSE)</f>
        <v>2.9195828750751223</v>
      </c>
    </row>
    <row r="2461" spans="1:7" x14ac:dyDescent="0.25">
      <c r="A2461" s="88">
        <v>47</v>
      </c>
      <c r="B2461" s="88">
        <v>63</v>
      </c>
      <c r="C2461" s="97">
        <f>SUMIFS(Input!$C$115:$C$3257,Input!$A$115:$A$3257,"="&amp;'Output - County'!A2461,Input!$B$115:$B$3257,"="&amp;'Output - County'!B2461)*VLOOKUP(A2461,'Output - State'!$B$2:$G$52,2,FALSE)</f>
        <v>20.836905955349323</v>
      </c>
      <c r="D2461" s="98">
        <f>SUMIFS(Input!$C$115:$C$3257,Input!$A$115:$A$3257,"="&amp;'Output - County'!A2461,Input!$B$115:$B$3257,"="&amp;'Output - County'!B2461)*VLOOKUP(A2461,'Output - State'!$B$2:$G$52,3,FALSE)</f>
        <v>1.6612836412539989</v>
      </c>
      <c r="E2461" s="98">
        <f>SUMIFS(Input!$C$115:$C$3257,Input!$A$115:$A$3257,"="&amp;'Output - County'!A2461,Input!$B$115:$B$3257,"="&amp;'Output - County'!B2461)*VLOOKUP(A2461,'Output - State'!$B$2:$G$52,4,FALSE)</f>
        <v>19.917974029950543</v>
      </c>
      <c r="F2461" s="98">
        <f>SUMIFS(Input!$C$115:$C$3257,Input!$A$115:$A$3257,"="&amp;'Output - County'!A2461,Input!$B$115:$B$3257,"="&amp;'Output - County'!B2461)*VLOOKUP(A2461,'Output - State'!$B$2:$G$52,5,FALSE)</f>
        <v>65.305372861287594</v>
      </c>
      <c r="G2461" s="99">
        <f>SUMIFS(Input!$D$115:$D$3257,Input!$A$115:$A$3257,"="&amp;'Output - County'!A2461,Input!$B$115:$B$3257,"="&amp;'Output - County'!B2461)*VLOOKUP(A2461,'Output - State'!$B$2:$G$52,6,FALSE)</f>
        <v>14.180831107507736</v>
      </c>
    </row>
    <row r="2462" spans="1:7" x14ac:dyDescent="0.25">
      <c r="A2462" s="88">
        <v>47</v>
      </c>
      <c r="B2462" s="88">
        <v>65</v>
      </c>
      <c r="C2462" s="97">
        <f>SUMIFS(Input!$C$115:$C$3257,Input!$A$115:$A$3257,"="&amp;'Output - County'!A2462,Input!$B$115:$B$3257,"="&amp;'Output - County'!B2462)*VLOOKUP(A2462,'Output - State'!$B$2:$G$52,2,FALSE)</f>
        <v>107.21004832300144</v>
      </c>
      <c r="D2462" s="98">
        <f>SUMIFS(Input!$C$115:$C$3257,Input!$A$115:$A$3257,"="&amp;'Output - County'!A2462,Input!$B$115:$B$3257,"="&amp;'Output - County'!B2462)*VLOOKUP(A2462,'Output - State'!$B$2:$G$52,3,FALSE)</f>
        <v>8.5476365751571155</v>
      </c>
      <c r="E2462" s="98">
        <f>SUMIFS(Input!$C$115:$C$3257,Input!$A$115:$A$3257,"="&amp;'Output - County'!A2462,Input!$B$115:$B$3257,"="&amp;'Output - County'!B2462)*VLOOKUP(A2462,'Output - State'!$B$2:$G$52,4,FALSE)</f>
        <v>102.48195978919203</v>
      </c>
      <c r="F2462" s="98">
        <f>SUMIFS(Input!$C$115:$C$3257,Input!$A$115:$A$3257,"="&amp;'Output - County'!A2462,Input!$B$115:$B$3257,"="&amp;'Output - County'!B2462)*VLOOKUP(A2462,'Output - State'!$B$2:$G$52,5,FALSE)</f>
        <v>336.00920382389347</v>
      </c>
      <c r="G2462" s="99">
        <f>SUMIFS(Input!$D$115:$D$3257,Input!$A$115:$A$3257,"="&amp;'Output - County'!A2462,Input!$B$115:$B$3257,"="&amp;'Output - County'!B2462)*VLOOKUP(A2462,'Output - State'!$B$2:$G$52,6,FALSE)</f>
        <v>79.904373423108609</v>
      </c>
    </row>
    <row r="2463" spans="1:7" x14ac:dyDescent="0.25">
      <c r="A2463" s="88">
        <v>47</v>
      </c>
      <c r="B2463" s="88">
        <v>67</v>
      </c>
      <c r="C2463" s="97">
        <f>SUMIFS(Input!$C$115:$C$3257,Input!$A$115:$A$3257,"="&amp;'Output - County'!A2463,Input!$B$115:$B$3257,"="&amp;'Output - County'!B2463)*VLOOKUP(A2463,'Output - State'!$B$2:$G$52,2,FALSE)</f>
        <v>1.0269552579773522</v>
      </c>
      <c r="D2463" s="98">
        <f>SUMIFS(Input!$C$115:$C$3257,Input!$A$115:$A$3257,"="&amp;'Output - County'!A2463,Input!$B$115:$B$3257,"="&amp;'Output - County'!B2463)*VLOOKUP(A2463,'Output - State'!$B$2:$G$52,3,FALSE)</f>
        <v>8.1877029825513453E-2</v>
      </c>
      <c r="E2463" s="98">
        <f>SUMIFS(Input!$C$115:$C$3257,Input!$A$115:$A$3257,"="&amp;'Output - County'!A2463,Input!$B$115:$B$3257,"="&amp;'Output - County'!B2463)*VLOOKUP(A2463,'Output - State'!$B$2:$G$52,4,FALSE)</f>
        <v>0.98166532987892163</v>
      </c>
      <c r="F2463" s="98">
        <f>SUMIFS(Input!$C$115:$C$3257,Input!$A$115:$A$3257,"="&amp;'Output - County'!A2463,Input!$B$115:$B$3257,"="&amp;'Output - County'!B2463)*VLOOKUP(A2463,'Output - State'!$B$2:$G$52,5,FALSE)</f>
        <v>3.2186014650055781</v>
      </c>
      <c r="G2463" s="99">
        <f>SUMIFS(Input!$D$115:$D$3257,Input!$A$115:$A$3257,"="&amp;'Output - County'!A2463,Input!$B$115:$B$3257,"="&amp;'Output - County'!B2463)*VLOOKUP(A2463,'Output - State'!$B$2:$G$52,6,FALSE)</f>
        <v>1.440034861691188</v>
      </c>
    </row>
    <row r="2464" spans="1:7" x14ac:dyDescent="0.25">
      <c r="A2464" s="88">
        <v>47</v>
      </c>
      <c r="B2464" s="88">
        <v>69</v>
      </c>
      <c r="C2464" s="97">
        <f>SUMIFS(Input!$C$115:$C$3257,Input!$A$115:$A$3257,"="&amp;'Output - County'!A2464,Input!$B$115:$B$3257,"="&amp;'Output - County'!B2464)*VLOOKUP(A2464,'Output - State'!$B$2:$G$52,2,FALSE)</f>
        <v>6.4497506987295257</v>
      </c>
      <c r="D2464" s="98">
        <f>SUMIFS(Input!$C$115:$C$3257,Input!$A$115:$A$3257,"="&amp;'Output - County'!A2464,Input!$B$115:$B$3257,"="&amp;'Output - County'!B2464)*VLOOKUP(A2464,'Output - State'!$B$2:$G$52,3,FALSE)</f>
        <v>0.51422535327108643</v>
      </c>
      <c r="E2464" s="98">
        <f>SUMIFS(Input!$C$115:$C$3257,Input!$A$115:$A$3257,"="&amp;'Output - County'!A2464,Input!$B$115:$B$3257,"="&amp;'Output - County'!B2464)*VLOOKUP(A2464,'Output - State'!$B$2:$G$52,4,FALSE)</f>
        <v>6.1653091486920024</v>
      </c>
      <c r="F2464" s="98">
        <f>SUMIFS(Input!$C$115:$C$3257,Input!$A$115:$A$3257,"="&amp;'Output - County'!A2464,Input!$B$115:$B$3257,"="&amp;'Output - County'!B2464)*VLOOKUP(A2464,'Output - State'!$B$2:$G$52,5,FALSE)</f>
        <v>20.214295497875924</v>
      </c>
      <c r="G2464" s="99">
        <f>SUMIFS(Input!$D$115:$D$3257,Input!$A$115:$A$3257,"="&amp;'Output - County'!A2464,Input!$B$115:$B$3257,"="&amp;'Output - County'!B2464)*VLOOKUP(A2464,'Output - State'!$B$2:$G$52,6,FALSE)</f>
        <v>5.5537929879248562</v>
      </c>
    </row>
    <row r="2465" spans="1:7" x14ac:dyDescent="0.25">
      <c r="A2465" s="88">
        <v>47</v>
      </c>
      <c r="B2465" s="88">
        <v>71</v>
      </c>
      <c r="C2465" s="97">
        <f>SUMIFS(Input!$C$115:$C$3257,Input!$A$115:$A$3257,"="&amp;'Output - County'!A2465,Input!$B$115:$B$3257,"="&amp;'Output - County'!B2465)*VLOOKUP(A2465,'Output - State'!$B$2:$G$52,2,FALSE)</f>
        <v>7.4210481473640719</v>
      </c>
      <c r="D2465" s="98">
        <f>SUMIFS(Input!$C$115:$C$3257,Input!$A$115:$A$3257,"="&amp;'Output - County'!A2465,Input!$B$115:$B$3257,"="&amp;'Output - County'!B2465)*VLOOKUP(A2465,'Output - State'!$B$2:$G$52,3,FALSE)</f>
        <v>0.59166490046998654</v>
      </c>
      <c r="E2465" s="98">
        <f>SUMIFS(Input!$C$115:$C$3257,Input!$A$115:$A$3257,"="&amp;'Output - County'!A2465,Input!$B$115:$B$3257,"="&amp;'Output - County'!B2465)*VLOOKUP(A2465,'Output - State'!$B$2:$G$52,4,FALSE)</f>
        <v>7.093771243722645</v>
      </c>
      <c r="F2465" s="98">
        <f>SUMIFS(Input!$C$115:$C$3257,Input!$A$115:$A$3257,"="&amp;'Output - County'!A2465,Input!$B$115:$B$3257,"="&amp;'Output - County'!B2465)*VLOOKUP(A2465,'Output - State'!$B$2:$G$52,5,FALSE)</f>
        <v>23.258458684973871</v>
      </c>
      <c r="G2465" s="99">
        <f>SUMIFS(Input!$D$115:$D$3257,Input!$A$115:$A$3257,"="&amp;'Output - County'!A2465,Input!$B$115:$B$3257,"="&amp;'Output - County'!B2465)*VLOOKUP(A2465,'Output - State'!$B$2:$G$52,6,FALSE)</f>
        <v>5.6415999916865145</v>
      </c>
    </row>
    <row r="2466" spans="1:7" x14ac:dyDescent="0.25">
      <c r="A2466" s="88">
        <v>47</v>
      </c>
      <c r="B2466" s="88">
        <v>73</v>
      </c>
      <c r="C2466" s="97">
        <f>SUMIFS(Input!$C$115:$C$3257,Input!$A$115:$A$3257,"="&amp;'Output - County'!A2466,Input!$B$115:$B$3257,"="&amp;'Output - County'!B2466)*VLOOKUP(A2466,'Output - State'!$B$2:$G$52,2,FALSE)</f>
        <v>11.66844239550422</v>
      </c>
      <c r="D2466" s="98">
        <f>SUMIFS(Input!$C$115:$C$3257,Input!$A$115:$A$3257,"="&amp;'Output - County'!A2466,Input!$B$115:$B$3257,"="&amp;'Output - County'!B2466)*VLOOKUP(A2466,'Output - State'!$B$2:$G$52,3,FALSE)</f>
        <v>0.93030090513938823</v>
      </c>
      <c r="E2466" s="98">
        <f>SUMIFS(Input!$C$115:$C$3257,Input!$A$115:$A$3257,"="&amp;'Output - County'!A2466,Input!$B$115:$B$3257,"="&amp;'Output - County'!B2466)*VLOOKUP(A2466,'Output - State'!$B$2:$G$52,4,FALSE)</f>
        <v>11.153850437375583</v>
      </c>
      <c r="F2466" s="98">
        <f>SUMIFS(Input!$C$115:$C$3257,Input!$A$115:$A$3257,"="&amp;'Output - County'!A2466,Input!$B$115:$B$3257,"="&amp;'Output - County'!B2466)*VLOOKUP(A2466,'Output - State'!$B$2:$G$52,5,FALSE)</f>
        <v>36.570303814863287</v>
      </c>
      <c r="G2466" s="99">
        <f>SUMIFS(Input!$D$115:$D$3257,Input!$A$115:$A$3257,"="&amp;'Output - County'!A2466,Input!$B$115:$B$3257,"="&amp;'Output - County'!B2466)*VLOOKUP(A2466,'Output - State'!$B$2:$G$52,6,FALSE)</f>
        <v>12.446642783214996</v>
      </c>
    </row>
    <row r="2467" spans="1:7" x14ac:dyDescent="0.25">
      <c r="A2467" s="88">
        <v>47</v>
      </c>
      <c r="B2467" s="88">
        <v>75</v>
      </c>
      <c r="C2467" s="97">
        <f>SUMIFS(Input!$C$115:$C$3257,Input!$A$115:$A$3257,"="&amp;'Output - County'!A2467,Input!$B$115:$B$3257,"="&amp;'Output - County'!B2467)*VLOOKUP(A2467,'Output - State'!$B$2:$G$52,2,FALSE)</f>
        <v>12.775405881799728</v>
      </c>
      <c r="D2467" s="98">
        <f>SUMIFS(Input!$C$115:$C$3257,Input!$A$115:$A$3257,"="&amp;'Output - County'!A2467,Input!$B$115:$B$3257,"="&amp;'Output - County'!B2467)*VLOOKUP(A2467,'Output - State'!$B$2:$G$52,3,FALSE)</f>
        <v>1.0185568263970313</v>
      </c>
      <c r="E2467" s="98">
        <f>SUMIFS(Input!$C$115:$C$3257,Input!$A$115:$A$3257,"="&amp;'Output - County'!A2467,Input!$B$115:$B$3257,"="&amp;'Output - County'!B2467)*VLOOKUP(A2467,'Output - State'!$B$2:$G$52,4,FALSE)</f>
        <v>12.211995539118822</v>
      </c>
      <c r="F2467" s="98">
        <f>SUMIFS(Input!$C$115:$C$3257,Input!$A$115:$A$3257,"="&amp;'Output - County'!A2467,Input!$B$115:$B$3257,"="&amp;'Output - County'!B2467)*VLOOKUP(A2467,'Output - State'!$B$2:$G$52,5,FALSE)</f>
        <v>40.039660703610018</v>
      </c>
      <c r="G2467" s="99">
        <f>SUMIFS(Input!$D$115:$D$3257,Input!$A$115:$A$3257,"="&amp;'Output - County'!A2467,Input!$B$115:$B$3257,"="&amp;'Output - County'!B2467)*VLOOKUP(A2467,'Output - State'!$B$2:$G$52,6,FALSE)</f>
        <v>3.7976529126917002</v>
      </c>
    </row>
    <row r="2468" spans="1:7" x14ac:dyDescent="0.25">
      <c r="A2468" s="88">
        <v>47</v>
      </c>
      <c r="B2468" s="88">
        <v>77</v>
      </c>
      <c r="C2468" s="97">
        <f>SUMIFS(Input!$C$115:$C$3257,Input!$A$115:$A$3257,"="&amp;'Output - County'!A2468,Input!$B$115:$B$3257,"="&amp;'Output - County'!B2468)*VLOOKUP(A2468,'Output - State'!$B$2:$G$52,2,FALSE)</f>
        <v>14.999711689313999</v>
      </c>
      <c r="D2468" s="98">
        <f>SUMIFS(Input!$C$115:$C$3257,Input!$A$115:$A$3257,"="&amp;'Output - County'!A2468,Input!$B$115:$B$3257,"="&amp;'Output - County'!B2468)*VLOOKUP(A2468,'Output - State'!$B$2:$G$52,3,FALSE)</f>
        <v>1.1958961520669769</v>
      </c>
      <c r="E2468" s="98">
        <f>SUMIFS(Input!$C$115:$C$3257,Input!$A$115:$A$3257,"="&amp;'Output - County'!A2468,Input!$B$115:$B$3257,"="&amp;'Output - County'!B2468)*VLOOKUP(A2468,'Output - State'!$B$2:$G$52,4,FALSE)</f>
        <v>14.3382068587684</v>
      </c>
      <c r="F2468" s="98">
        <f>SUMIFS(Input!$C$115:$C$3257,Input!$A$115:$A$3257,"="&amp;'Output - County'!A2468,Input!$B$115:$B$3257,"="&amp;'Output - County'!B2468)*VLOOKUP(A2468,'Output - State'!$B$2:$G$52,5,FALSE)</f>
        <v>47.010902999779979</v>
      </c>
      <c r="G2468" s="99">
        <f>SUMIFS(Input!$D$115:$D$3257,Input!$A$115:$A$3257,"="&amp;'Output - County'!A2468,Input!$B$115:$B$3257,"="&amp;'Output - County'!B2468)*VLOOKUP(A2468,'Output - State'!$B$2:$G$52,6,FALSE)</f>
        <v>6.1464902633160472</v>
      </c>
    </row>
    <row r="2469" spans="1:7" x14ac:dyDescent="0.25">
      <c r="A2469" s="88">
        <v>47</v>
      </c>
      <c r="B2469" s="88">
        <v>79</v>
      </c>
      <c r="C2469" s="97">
        <f>SUMIFS(Input!$C$115:$C$3257,Input!$A$115:$A$3257,"="&amp;'Output - County'!A2469,Input!$B$115:$B$3257,"="&amp;'Output - County'!B2469)*VLOOKUP(A2469,'Output - State'!$B$2:$G$52,2,FALSE)</f>
        <v>8.6205130677551107</v>
      </c>
      <c r="D2469" s="98">
        <f>SUMIFS(Input!$C$115:$C$3257,Input!$A$115:$A$3257,"="&amp;'Output - County'!A2469,Input!$B$115:$B$3257,"="&amp;'Output - County'!B2469)*VLOOKUP(A2469,'Output - State'!$B$2:$G$52,3,FALSE)</f>
        <v>0.68729577075243864</v>
      </c>
      <c r="E2469" s="98">
        <f>SUMIFS(Input!$C$115:$C$3257,Input!$A$115:$A$3257,"="&amp;'Output - County'!A2469,Input!$B$115:$B$3257,"="&amp;'Output - County'!B2469)*VLOOKUP(A2469,'Output - State'!$B$2:$G$52,4,FALSE)</f>
        <v>8.2403383581195921</v>
      </c>
      <c r="F2469" s="98">
        <f>SUMIFS(Input!$C$115:$C$3257,Input!$A$115:$A$3257,"="&amp;'Output - County'!A2469,Input!$B$115:$B$3257,"="&amp;'Output - County'!B2469)*VLOOKUP(A2469,'Output - State'!$B$2:$G$52,5,FALSE)</f>
        <v>27.017726209049918</v>
      </c>
      <c r="G2469" s="99">
        <f>SUMIFS(Input!$D$115:$D$3257,Input!$A$115:$A$3257,"="&amp;'Output - County'!A2469,Input!$B$115:$B$3257,"="&amp;'Output - County'!B2469)*VLOOKUP(A2469,'Output - State'!$B$2:$G$52,6,FALSE)</f>
        <v>7.0904155537538678</v>
      </c>
    </row>
    <row r="2470" spans="1:7" x14ac:dyDescent="0.25">
      <c r="A2470" s="88">
        <v>47</v>
      </c>
      <c r="B2470" s="88">
        <v>81</v>
      </c>
      <c r="C2470" s="97">
        <f>SUMIFS(Input!$C$115:$C$3257,Input!$A$115:$A$3257,"="&amp;'Output - County'!A2470,Input!$B$115:$B$3257,"="&amp;'Output - County'!B2470)*VLOOKUP(A2470,'Output - State'!$B$2:$G$52,2,FALSE)</f>
        <v>10.193161053739097</v>
      </c>
      <c r="D2470" s="98">
        <f>SUMIFS(Input!$C$115:$C$3257,Input!$A$115:$A$3257,"="&amp;'Output - County'!A2470,Input!$B$115:$B$3257,"="&amp;'Output - County'!B2470)*VLOOKUP(A2470,'Output - State'!$B$2:$G$52,3,FALSE)</f>
        <v>0.81267975905495926</v>
      </c>
      <c r="E2470" s="98">
        <f>SUMIFS(Input!$C$115:$C$3257,Input!$A$115:$A$3257,"="&amp;'Output - County'!A2470,Input!$B$115:$B$3257,"="&amp;'Output - County'!B2470)*VLOOKUP(A2470,'Output - State'!$B$2:$G$52,4,FALSE)</f>
        <v>9.7436307284074868</v>
      </c>
      <c r="F2470" s="98">
        <f>SUMIFS(Input!$C$115:$C$3257,Input!$A$115:$A$3257,"="&amp;'Output - County'!A2470,Input!$B$115:$B$3257,"="&amp;'Output - County'!B2470)*VLOOKUP(A2470,'Output - State'!$B$2:$G$52,5,FALSE)</f>
        <v>31.946594406867504</v>
      </c>
      <c r="G2470" s="99">
        <f>SUMIFS(Input!$D$115:$D$3257,Input!$A$115:$A$3257,"="&amp;'Output - County'!A2470,Input!$B$115:$B$3257,"="&amp;'Output - County'!B2470)*VLOOKUP(A2470,'Output - State'!$B$2:$G$52,6,FALSE)</f>
        <v>5.4879377351036132</v>
      </c>
    </row>
    <row r="2471" spans="1:7" x14ac:dyDescent="0.25">
      <c r="A2471" s="88">
        <v>47</v>
      </c>
      <c r="B2471" s="88">
        <v>83</v>
      </c>
      <c r="C2471" s="97">
        <f>SUMIFS(Input!$C$115:$C$3257,Input!$A$115:$A$3257,"="&amp;'Output - County'!A2471,Input!$B$115:$B$3257,"="&amp;'Output - County'!B2471)*VLOOKUP(A2471,'Output - State'!$B$2:$G$52,2,FALSE)</f>
        <v>1.5520397796883805</v>
      </c>
      <c r="D2471" s="98">
        <f>SUMIFS(Input!$C$115:$C$3257,Input!$A$115:$A$3257,"="&amp;'Output - County'!A2471,Input!$B$115:$B$3257,"="&amp;'Output - County'!B2471)*VLOOKUP(A2471,'Output - State'!$B$2:$G$52,3,FALSE)</f>
        <v>0.12374093841460355</v>
      </c>
      <c r="E2471" s="98">
        <f>SUMIFS(Input!$C$115:$C$3257,Input!$A$115:$A$3257,"="&amp;'Output - County'!A2471,Input!$B$115:$B$3257,"="&amp;'Output - County'!B2471)*VLOOKUP(A2471,'Output - State'!$B$2:$G$52,4,FALSE)</f>
        <v>1.4835930099951862</v>
      </c>
      <c r="F2471" s="98">
        <f>SUMIFS(Input!$C$115:$C$3257,Input!$A$115:$A$3257,"="&amp;'Output - County'!A2471,Input!$B$115:$B$3257,"="&amp;'Output - County'!B2471)*VLOOKUP(A2471,'Output - State'!$B$2:$G$52,5,FALSE)</f>
        <v>4.8642795972345274</v>
      </c>
      <c r="G2471" s="99">
        <f>SUMIFS(Input!$D$115:$D$3257,Input!$A$115:$A$3257,"="&amp;'Output - County'!A2471,Input!$B$115:$B$3257,"="&amp;'Output - County'!B2471)*VLOOKUP(A2471,'Output - State'!$B$2:$G$52,6,FALSE)</f>
        <v>1.8066291023961094</v>
      </c>
    </row>
    <row r="2472" spans="1:7" x14ac:dyDescent="0.25">
      <c r="A2472" s="88">
        <v>47</v>
      </c>
      <c r="B2472" s="88">
        <v>85</v>
      </c>
      <c r="C2472" s="97">
        <f>SUMIFS(Input!$C$115:$C$3257,Input!$A$115:$A$3257,"="&amp;'Output - County'!A2472,Input!$B$115:$B$3257,"="&amp;'Output - County'!B2472)*VLOOKUP(A2472,'Output - State'!$B$2:$G$52,2,FALSE)</f>
        <v>8.836101027262977</v>
      </c>
      <c r="D2472" s="98">
        <f>SUMIFS(Input!$C$115:$C$3257,Input!$A$115:$A$3257,"="&amp;'Output - County'!A2472,Input!$B$115:$B$3257,"="&amp;'Output - County'!B2472)*VLOOKUP(A2472,'Output - State'!$B$2:$G$52,3,FALSE)</f>
        <v>0.704484155205928</v>
      </c>
      <c r="E2472" s="98">
        <f>SUMIFS(Input!$C$115:$C$3257,Input!$A$115:$A$3257,"="&amp;'Output - County'!A2472,Input!$B$115:$B$3257,"="&amp;'Output - County'!B2472)*VLOOKUP(A2472,'Output - State'!$B$2:$G$52,4,FALSE)</f>
        <v>8.4464186364415905</v>
      </c>
      <c r="F2472" s="98">
        <f>SUMIFS(Input!$C$115:$C$3257,Input!$A$115:$A$3257,"="&amp;'Output - County'!A2472,Input!$B$115:$B$3257,"="&amp;'Output - County'!B2472)*VLOOKUP(A2472,'Output - State'!$B$2:$G$52,5,FALSE)</f>
        <v>27.693404839564202</v>
      </c>
      <c r="G2472" s="99">
        <f>SUMIFS(Input!$D$115:$D$3257,Input!$A$115:$A$3257,"="&amp;'Output - County'!A2472,Input!$B$115:$B$3257,"="&amp;'Output - County'!B2472)*VLOOKUP(A2472,'Output - State'!$B$2:$G$52,6,FALSE)</f>
        <v>4.0830256749170886</v>
      </c>
    </row>
    <row r="2473" spans="1:7" x14ac:dyDescent="0.25">
      <c r="A2473" s="88">
        <v>47</v>
      </c>
      <c r="B2473" s="88">
        <v>87</v>
      </c>
      <c r="C2473" s="97">
        <f>SUMIFS(Input!$C$115:$C$3257,Input!$A$115:$A$3257,"="&amp;'Output - County'!A2473,Input!$B$115:$B$3257,"="&amp;'Output - County'!B2473)*VLOOKUP(A2473,'Output - State'!$B$2:$G$52,2,FALSE)</f>
        <v>2.3931548472451749</v>
      </c>
      <c r="D2473" s="98">
        <f>SUMIFS(Input!$C$115:$C$3257,Input!$A$115:$A$3257,"="&amp;'Output - County'!A2473,Input!$B$115:$B$3257,"="&amp;'Output - County'!B2473)*VLOOKUP(A2473,'Output - State'!$B$2:$G$52,3,FALSE)</f>
        <v>0.19080131221187682</v>
      </c>
      <c r="E2473" s="98">
        <f>SUMIFS(Input!$C$115:$C$3257,Input!$A$115:$A$3257,"="&amp;'Output - County'!A2473,Input!$B$115:$B$3257,"="&amp;'Output - County'!B2473)*VLOOKUP(A2473,'Output - State'!$B$2:$G$52,4,FALSE)</f>
        <v>2.2876139192269314</v>
      </c>
      <c r="F2473" s="98">
        <f>SUMIFS(Input!$C$115:$C$3257,Input!$A$115:$A$3257,"="&amp;'Output - County'!A2473,Input!$B$115:$B$3257,"="&amp;'Output - County'!B2473)*VLOOKUP(A2473,'Output - State'!$B$2:$G$52,5,FALSE)</f>
        <v>7.5004355228671393</v>
      </c>
      <c r="G2473" s="99">
        <f>SUMIFS(Input!$D$115:$D$3257,Input!$A$115:$A$3257,"="&amp;'Output - County'!A2473,Input!$B$115:$B$3257,"="&amp;'Output - County'!B2473)*VLOOKUP(A2473,'Output - State'!$B$2:$G$52,6,FALSE)</f>
        <v>2.5903066109689052</v>
      </c>
    </row>
    <row r="2474" spans="1:7" x14ac:dyDescent="0.25">
      <c r="A2474" s="88">
        <v>47</v>
      </c>
      <c r="B2474" s="88">
        <v>89</v>
      </c>
      <c r="C2474" s="97">
        <f>SUMIFS(Input!$C$115:$C$3257,Input!$A$115:$A$3257,"="&amp;'Output - County'!A2474,Input!$B$115:$B$3257,"="&amp;'Output - County'!B2474)*VLOOKUP(A2474,'Output - State'!$B$2:$G$52,2,FALSE)</f>
        <v>24.537771538191233</v>
      </c>
      <c r="D2474" s="98">
        <f>SUMIFS(Input!$C$115:$C$3257,Input!$A$115:$A$3257,"="&amp;'Output - County'!A2474,Input!$B$115:$B$3257,"="&amp;'Output - County'!B2474)*VLOOKUP(A2474,'Output - State'!$B$2:$G$52,3,FALSE)</f>
        <v>1.9563460398860195</v>
      </c>
      <c r="E2474" s="98">
        <f>SUMIFS(Input!$C$115:$C$3257,Input!$A$115:$A$3257,"="&amp;'Output - County'!A2474,Input!$B$115:$B$3257,"="&amp;'Output - County'!B2474)*VLOOKUP(A2474,'Output - State'!$B$2:$G$52,4,FALSE)</f>
        <v>23.455627111715248</v>
      </c>
      <c r="F2474" s="98">
        <f>SUMIFS(Input!$C$115:$C$3257,Input!$A$115:$A$3257,"="&amp;'Output - County'!A2474,Input!$B$115:$B$3257,"="&amp;'Output - County'!B2474)*VLOOKUP(A2474,'Output - State'!$B$2:$G$52,5,FALSE)</f>
        <v>76.904331330212813</v>
      </c>
      <c r="G2474" s="99">
        <f>SUMIFS(Input!$D$115:$D$3257,Input!$A$115:$A$3257,"="&amp;'Output - County'!A2474,Input!$B$115:$B$3257,"="&amp;'Output - County'!B2474)*VLOOKUP(A2474,'Output - State'!$B$2:$G$52,6,FALSE)</f>
        <v>11.853945507823804</v>
      </c>
    </row>
    <row r="2475" spans="1:7" x14ac:dyDescent="0.25">
      <c r="A2475" s="88">
        <v>47</v>
      </c>
      <c r="B2475" s="88">
        <v>91</v>
      </c>
      <c r="C2475" s="97">
        <f>SUMIFS(Input!$C$115:$C$3257,Input!$A$115:$A$3257,"="&amp;'Output - County'!A2475,Input!$B$115:$B$3257,"="&amp;'Output - County'!B2475)*VLOOKUP(A2475,'Output - State'!$B$2:$G$52,2,FALSE)</f>
        <v>3.4608699680098618</v>
      </c>
      <c r="D2475" s="98">
        <f>SUMIFS(Input!$C$115:$C$3257,Input!$A$115:$A$3257,"="&amp;'Output - County'!A2475,Input!$B$115:$B$3257,"="&amp;'Output - County'!B2475)*VLOOKUP(A2475,'Output - State'!$B$2:$G$52,3,FALSE)</f>
        <v>0.27592804203668275</v>
      </c>
      <c r="E2475" s="98">
        <f>SUMIFS(Input!$C$115:$C$3257,Input!$A$115:$A$3257,"="&amp;'Output - County'!A2475,Input!$B$115:$B$3257,"="&amp;'Output - County'!B2475)*VLOOKUP(A2475,'Output - State'!$B$2:$G$52,4,FALSE)</f>
        <v>3.3082415542677697</v>
      </c>
      <c r="F2475" s="98">
        <f>SUMIFS(Input!$C$115:$C$3257,Input!$A$115:$A$3257,"="&amp;'Output - County'!A2475,Input!$B$115:$B$3257,"="&amp;'Output - County'!B2475)*VLOOKUP(A2475,'Output - State'!$B$2:$G$52,5,FALSE)</f>
        <v>10.846783306966625</v>
      </c>
      <c r="G2475" s="99">
        <f>SUMIFS(Input!$D$115:$D$3257,Input!$A$115:$A$3257,"="&amp;'Output - County'!A2475,Input!$B$115:$B$3257,"="&amp;'Output - County'!B2475)*VLOOKUP(A2475,'Output - State'!$B$2:$G$52,6,FALSE)</f>
        <v>3.9074116673937724</v>
      </c>
    </row>
    <row r="2476" spans="1:7" x14ac:dyDescent="0.25">
      <c r="A2476" s="88">
        <v>47</v>
      </c>
      <c r="B2476" s="88">
        <v>93</v>
      </c>
      <c r="C2476" s="97">
        <f>SUMIFS(Input!$C$115:$C$3257,Input!$A$115:$A$3257,"="&amp;'Output - County'!A2476,Input!$B$115:$B$3257,"="&amp;'Output - County'!B2476)*VLOOKUP(A2476,'Output - State'!$B$2:$G$52,2,FALSE)</f>
        <v>157.80432823791583</v>
      </c>
      <c r="D2476" s="98">
        <f>SUMIFS(Input!$C$115:$C$3257,Input!$A$115:$A$3257,"="&amp;'Output - County'!A2476,Input!$B$115:$B$3257,"="&amp;'Output - County'!B2476)*VLOOKUP(A2476,'Output - State'!$B$2:$G$52,3,FALSE)</f>
        <v>12.581414418363968</v>
      </c>
      <c r="E2476" s="98">
        <f>SUMIFS(Input!$C$115:$C$3257,Input!$A$115:$A$3257,"="&amp;'Output - County'!A2476,Input!$B$115:$B$3257,"="&amp;'Output - County'!B2476)*VLOOKUP(A2476,'Output - State'!$B$2:$G$52,4,FALSE)</f>
        <v>150.84497278012043</v>
      </c>
      <c r="F2476" s="98">
        <f>SUMIFS(Input!$C$115:$C$3257,Input!$A$115:$A$3257,"="&amp;'Output - County'!A2476,Input!$B$115:$B$3257,"="&amp;'Output - County'!B2476)*VLOOKUP(A2476,'Output - State'!$B$2:$G$52,5,FALSE)</f>
        <v>494.57777065296256</v>
      </c>
      <c r="G2476" s="99">
        <f>SUMIFS(Input!$D$115:$D$3257,Input!$A$115:$A$3257,"="&amp;'Output - County'!A2476,Input!$B$115:$B$3257,"="&amp;'Output - County'!B2476)*VLOOKUP(A2476,'Output - State'!$B$2:$G$52,6,FALSE)</f>
        <v>102.29515938233135</v>
      </c>
    </row>
    <row r="2477" spans="1:7" x14ac:dyDescent="0.25">
      <c r="A2477" s="88">
        <v>47</v>
      </c>
      <c r="B2477" s="88">
        <v>95</v>
      </c>
      <c r="C2477" s="97">
        <f>SUMIFS(Input!$C$115:$C$3257,Input!$A$115:$A$3257,"="&amp;'Output - County'!A2477,Input!$B$115:$B$3257,"="&amp;'Output - County'!B2477)*VLOOKUP(A2477,'Output - State'!$B$2:$G$52,2,FALSE)</f>
        <v>1.0971916535094437</v>
      </c>
      <c r="D2477" s="98">
        <f>SUMIFS(Input!$C$115:$C$3257,Input!$A$115:$A$3257,"="&amp;'Output - County'!A2477,Input!$B$115:$B$3257,"="&amp;'Output - County'!B2477)*VLOOKUP(A2477,'Output - State'!$B$2:$G$52,3,FALSE)</f>
        <v>8.7476833134514501E-2</v>
      </c>
      <c r="E2477" s="98">
        <f>SUMIFS(Input!$C$115:$C$3257,Input!$A$115:$A$3257,"="&amp;'Output - County'!A2477,Input!$B$115:$B$3257,"="&amp;'Output - County'!B2477)*VLOOKUP(A2477,'Output - State'!$B$2:$G$52,4,FALSE)</f>
        <v>1.0488042182130788</v>
      </c>
      <c r="F2477" s="98">
        <f>SUMIFS(Input!$C$115:$C$3257,Input!$A$115:$A$3257,"="&amp;'Output - County'!A2477,Input!$B$115:$B$3257,"="&amp;'Output - County'!B2477)*VLOOKUP(A2477,'Output - State'!$B$2:$G$52,5,FALSE)</f>
        <v>3.4387307878755387</v>
      </c>
      <c r="G2477" s="99">
        <f>SUMIFS(Input!$D$115:$D$3257,Input!$A$115:$A$3257,"="&amp;'Output - County'!A2477,Input!$B$115:$B$3257,"="&amp;'Output - County'!B2477)*VLOOKUP(A2477,'Output - State'!$B$2:$G$52,6,FALSE)</f>
        <v>1.6266247446847109</v>
      </c>
    </row>
    <row r="2478" spans="1:7" x14ac:dyDescent="0.25">
      <c r="A2478" s="88">
        <v>47</v>
      </c>
      <c r="B2478" s="88">
        <v>97</v>
      </c>
      <c r="C2478" s="97">
        <f>SUMIFS(Input!$C$115:$C$3257,Input!$A$115:$A$3257,"="&amp;'Output - County'!A2478,Input!$B$115:$B$3257,"="&amp;'Output - County'!B2478)*VLOOKUP(A2478,'Output - State'!$B$2:$G$52,2,FALSE)</f>
        <v>5.7326603266621374</v>
      </c>
      <c r="D2478" s="98">
        <f>SUMIFS(Input!$C$115:$C$3257,Input!$A$115:$A$3257,"="&amp;'Output - County'!A2478,Input!$B$115:$B$3257,"="&amp;'Output - County'!B2478)*VLOOKUP(A2478,'Output - State'!$B$2:$G$52,3,FALSE)</f>
        <v>0.45705321327251508</v>
      </c>
      <c r="E2478" s="98">
        <f>SUMIFS(Input!$C$115:$C$3257,Input!$A$115:$A$3257,"="&amp;'Output - County'!A2478,Input!$B$115:$B$3257,"="&amp;'Output - County'!B2478)*VLOOKUP(A2478,'Output - State'!$B$2:$G$52,4,FALSE)</f>
        <v>5.4798433008078531</v>
      </c>
      <c r="F2478" s="98">
        <f>SUMIFS(Input!$C$115:$C$3257,Input!$A$115:$A$3257,"="&amp;'Output - County'!A2478,Input!$B$115:$B$3257,"="&amp;'Output - County'!B2478)*VLOOKUP(A2478,'Output - State'!$B$2:$G$52,5,FALSE)</f>
        <v>17.966847905443043</v>
      </c>
      <c r="G2478" s="99">
        <f>SUMIFS(Input!$D$115:$D$3257,Input!$A$115:$A$3257,"="&amp;'Output - County'!A2478,Input!$B$115:$B$3257,"="&amp;'Output - County'!B2478)*VLOOKUP(A2478,'Output - State'!$B$2:$G$52,6,FALSE)</f>
        <v>5.7074552445077575</v>
      </c>
    </row>
    <row r="2479" spans="1:7" x14ac:dyDescent="0.25">
      <c r="A2479" s="88">
        <v>47</v>
      </c>
      <c r="B2479" s="88">
        <v>99</v>
      </c>
      <c r="C2479" s="97">
        <f>SUMIFS(Input!$C$115:$C$3257,Input!$A$115:$A$3257,"="&amp;'Output - County'!A2479,Input!$B$115:$B$3257,"="&amp;'Output - County'!B2479)*VLOOKUP(A2479,'Output - State'!$B$2:$G$52,2,FALSE)</f>
        <v>10.179263322731627</v>
      </c>
      <c r="D2479" s="98">
        <f>SUMIFS(Input!$C$115:$C$3257,Input!$A$115:$A$3257,"="&amp;'Output - County'!A2479,Input!$B$115:$B$3257,"="&amp;'Output - County'!B2479)*VLOOKUP(A2479,'Output - State'!$B$2:$G$52,3,FALSE)</f>
        <v>0.8115717215554028</v>
      </c>
      <c r="E2479" s="98">
        <f>SUMIFS(Input!$C$115:$C$3257,Input!$A$115:$A$3257,"="&amp;'Output - County'!A2479,Input!$B$115:$B$3257,"="&amp;'Output - County'!B2479)*VLOOKUP(A2479,'Output - State'!$B$2:$G$52,4,FALSE)</f>
        <v>9.7303459035935145</v>
      </c>
      <c r="F2479" s="98">
        <f>SUMIFS(Input!$C$115:$C$3257,Input!$A$115:$A$3257,"="&amp;'Output - County'!A2479,Input!$B$115:$B$3257,"="&amp;'Output - County'!B2479)*VLOOKUP(A2479,'Output - State'!$B$2:$G$52,5,FALSE)</f>
        <v>31.903037244047191</v>
      </c>
      <c r="G2479" s="99">
        <f>SUMIFS(Input!$D$115:$D$3257,Input!$A$115:$A$3257,"="&amp;'Output - County'!A2479,Input!$B$115:$B$3257,"="&amp;'Output - County'!B2479)*VLOOKUP(A2479,'Output - State'!$B$2:$G$52,6,FALSE)</f>
        <v>9.6148669119015295</v>
      </c>
    </row>
    <row r="2480" spans="1:7" x14ac:dyDescent="0.25">
      <c r="A2480" s="88">
        <v>47</v>
      </c>
      <c r="B2480" s="88">
        <v>101</v>
      </c>
      <c r="C2480" s="97">
        <f>SUMIFS(Input!$C$115:$C$3257,Input!$A$115:$A$3257,"="&amp;'Output - County'!A2480,Input!$B$115:$B$3257,"="&amp;'Output - County'!B2480)*VLOOKUP(A2480,'Output - State'!$B$2:$G$52,2,FALSE)</f>
        <v>2.236060803822955</v>
      </c>
      <c r="D2480" s="98">
        <f>SUMIFS(Input!$C$115:$C$3257,Input!$A$115:$A$3257,"="&amp;'Output - County'!A2480,Input!$B$115:$B$3257,"="&amp;'Output - County'!B2480)*VLOOKUP(A2480,'Output - State'!$B$2:$G$52,3,FALSE)</f>
        <v>0.17827652734050389</v>
      </c>
      <c r="E2480" s="98">
        <f>SUMIFS(Input!$C$115:$C$3257,Input!$A$115:$A$3257,"="&amp;'Output - County'!A2480,Input!$B$115:$B$3257,"="&amp;'Output - County'!B2480)*VLOOKUP(A2480,'Output - State'!$B$2:$G$52,4,FALSE)</f>
        <v>2.1374479068713197</v>
      </c>
      <c r="F2480" s="98">
        <f>SUMIFS(Input!$C$115:$C$3257,Input!$A$115:$A$3257,"="&amp;'Output - County'!A2480,Input!$B$115:$B$3257,"="&amp;'Output - County'!B2480)*VLOOKUP(A2480,'Output - State'!$B$2:$G$52,5,FALSE)</f>
        <v>7.0080838703732802</v>
      </c>
      <c r="G2480" s="99">
        <f>SUMIFS(Input!$D$115:$D$3257,Input!$A$115:$A$3257,"="&amp;'Output - County'!A2480,Input!$B$115:$B$3257,"="&amp;'Output - County'!B2480)*VLOOKUP(A2480,'Output - State'!$B$2:$G$52,6,FALSE)</f>
        <v>2.6561618637901487</v>
      </c>
    </row>
    <row r="2481" spans="1:7" x14ac:dyDescent="0.25">
      <c r="A2481" s="88">
        <v>47</v>
      </c>
      <c r="B2481" s="88">
        <v>103</v>
      </c>
      <c r="C2481" s="97">
        <f>SUMIFS(Input!$C$115:$C$3257,Input!$A$115:$A$3257,"="&amp;'Output - County'!A2481,Input!$B$115:$B$3257,"="&amp;'Output - County'!B2481)*VLOOKUP(A2481,'Output - State'!$B$2:$G$52,2,FALSE)</f>
        <v>8.554313081030827</v>
      </c>
      <c r="D2481" s="98">
        <f>SUMIFS(Input!$C$115:$C$3257,Input!$A$115:$A$3257,"="&amp;'Output - County'!A2481,Input!$B$115:$B$3257,"="&amp;'Output - County'!B2481)*VLOOKUP(A2481,'Output - State'!$B$2:$G$52,3,FALSE)</f>
        <v>0.68201778201303787</v>
      </c>
      <c r="E2481" s="98">
        <f>SUMIFS(Input!$C$115:$C$3257,Input!$A$115:$A$3257,"="&amp;'Output - County'!A2481,Input!$B$115:$B$3257,"="&amp;'Output - County'!B2481)*VLOOKUP(A2481,'Output - State'!$B$2:$G$52,4,FALSE)</f>
        <v>8.1770578682434607</v>
      </c>
      <c r="F2481" s="98">
        <f>SUMIFS(Input!$C$115:$C$3257,Input!$A$115:$A$3257,"="&amp;'Output - County'!A2481,Input!$B$115:$B$3257,"="&amp;'Output - County'!B2481)*VLOOKUP(A2481,'Output - State'!$B$2:$G$52,5,FALSE)</f>
        <v>26.810247477528755</v>
      </c>
      <c r="G2481" s="99">
        <f>SUMIFS(Input!$D$115:$D$3257,Input!$A$115:$A$3257,"="&amp;'Output - County'!A2481,Input!$B$115:$B$3257,"="&amp;'Output - County'!B2481)*VLOOKUP(A2481,'Output - State'!$B$2:$G$52,6,FALSE)</f>
        <v>7.5074988216217431</v>
      </c>
    </row>
    <row r="2482" spans="1:7" x14ac:dyDescent="0.25">
      <c r="A2482" s="88">
        <v>47</v>
      </c>
      <c r="B2482" s="88">
        <v>105</v>
      </c>
      <c r="C2482" s="97">
        <f>SUMIFS(Input!$C$115:$C$3257,Input!$A$115:$A$3257,"="&amp;'Output - County'!A2482,Input!$B$115:$B$3257,"="&amp;'Output - County'!B2482)*VLOOKUP(A2482,'Output - State'!$B$2:$G$52,2,FALSE)</f>
        <v>24.181292787293554</v>
      </c>
      <c r="D2482" s="98">
        <f>SUMIFS(Input!$C$115:$C$3257,Input!$A$115:$A$3257,"="&amp;'Output - County'!A2482,Input!$B$115:$B$3257,"="&amp;'Output - County'!B2482)*VLOOKUP(A2482,'Output - State'!$B$2:$G$52,3,FALSE)</f>
        <v>1.9279247225085738</v>
      </c>
      <c r="E2482" s="98">
        <f>SUMIFS(Input!$C$115:$C$3257,Input!$A$115:$A$3257,"="&amp;'Output - County'!A2482,Input!$B$115:$B$3257,"="&amp;'Output - County'!B2482)*VLOOKUP(A2482,'Output - State'!$B$2:$G$52,4,FALSE)</f>
        <v>23.114869490702599</v>
      </c>
      <c r="F2482" s="98">
        <f>SUMIFS(Input!$C$115:$C$3257,Input!$A$115:$A$3257,"="&amp;'Output - County'!A2482,Input!$B$115:$B$3257,"="&amp;'Output - County'!B2482)*VLOOKUP(A2482,'Output - State'!$B$2:$G$52,5,FALSE)</f>
        <v>75.787083990594112</v>
      </c>
      <c r="G2482" s="99">
        <f>SUMIFS(Input!$D$115:$D$3257,Input!$A$115:$A$3257,"="&amp;'Output - County'!A2482,Input!$B$115:$B$3257,"="&amp;'Output - County'!B2482)*VLOOKUP(A2482,'Output - State'!$B$2:$G$52,6,FALSE)</f>
        <v>11.656379749360076</v>
      </c>
    </row>
    <row r="2483" spans="1:7" x14ac:dyDescent="0.25">
      <c r="A2483" s="88">
        <v>47</v>
      </c>
      <c r="B2483" s="88">
        <v>107</v>
      </c>
      <c r="C2483" s="97">
        <f>SUMIFS(Input!$C$115:$C$3257,Input!$A$115:$A$3257,"="&amp;'Output - County'!A2483,Input!$B$115:$B$3257,"="&amp;'Output - County'!B2483)*VLOOKUP(A2483,'Output - State'!$B$2:$G$52,2,FALSE)</f>
        <v>23.090717438626111</v>
      </c>
      <c r="D2483" s="98">
        <f>SUMIFS(Input!$C$115:$C$3257,Input!$A$115:$A$3257,"="&amp;'Output - County'!A2483,Input!$B$115:$B$3257,"="&amp;'Output - County'!B2483)*VLOOKUP(A2483,'Output - State'!$B$2:$G$52,3,FALSE)</f>
        <v>1.8409753937464992</v>
      </c>
      <c r="E2483" s="98">
        <f>SUMIFS(Input!$C$115:$C$3257,Input!$A$115:$A$3257,"="&amp;'Output - County'!A2483,Input!$B$115:$B$3257,"="&amp;'Output - County'!B2483)*VLOOKUP(A2483,'Output - State'!$B$2:$G$52,4,FALSE)</f>
        <v>22.072389790548947</v>
      </c>
      <c r="F2483" s="98">
        <f>SUMIFS(Input!$C$115:$C$3257,Input!$A$115:$A$3257,"="&amp;'Output - County'!A2483,Input!$B$115:$B$3257,"="&amp;'Output - County'!B2483)*VLOOKUP(A2483,'Output - State'!$B$2:$G$52,5,FALSE)</f>
        <v>72.369089498961245</v>
      </c>
      <c r="G2483" s="99">
        <f>SUMIFS(Input!$D$115:$D$3257,Input!$A$115:$A$3257,"="&amp;'Output - County'!A2483,Input!$B$115:$B$3257,"="&amp;'Output - County'!B2483)*VLOOKUP(A2483,'Output - State'!$B$2:$G$52,6,FALSE)</f>
        <v>11.700283251240903</v>
      </c>
    </row>
    <row r="2484" spans="1:7" x14ac:dyDescent="0.25">
      <c r="A2484" s="88">
        <v>47</v>
      </c>
      <c r="B2484" s="88">
        <v>109</v>
      </c>
      <c r="C2484" s="97">
        <f>SUMIFS(Input!$C$115:$C$3257,Input!$A$115:$A$3257,"="&amp;'Output - County'!A2484,Input!$B$115:$B$3257,"="&amp;'Output - County'!B2484)*VLOOKUP(A2484,'Output - State'!$B$2:$G$52,2,FALSE)</f>
        <v>7.557673961629221</v>
      </c>
      <c r="D2484" s="98">
        <f>SUMIFS(Input!$C$115:$C$3257,Input!$A$115:$A$3257,"="&amp;'Output - County'!A2484,Input!$B$115:$B$3257,"="&amp;'Output - County'!B2484)*VLOOKUP(A2484,'Output - State'!$B$2:$G$52,3,FALSE)</f>
        <v>0.60255779554270394</v>
      </c>
      <c r="E2484" s="98">
        <f>SUMIFS(Input!$C$115:$C$3257,Input!$A$115:$A$3257,"="&amp;'Output - County'!A2484,Input!$B$115:$B$3257,"="&amp;'Output - County'!B2484)*VLOOKUP(A2484,'Output - State'!$B$2:$G$52,4,FALSE)</f>
        <v>7.2243716997685423</v>
      </c>
      <c r="F2484" s="98">
        <f>SUMIFS(Input!$C$115:$C$3257,Input!$A$115:$A$3257,"="&amp;'Output - County'!A2484,Input!$B$115:$B$3257,"="&amp;'Output - County'!B2484)*VLOOKUP(A2484,'Output - State'!$B$2:$G$52,5,FALSE)</f>
        <v>23.686660442095686</v>
      </c>
      <c r="G2484" s="99">
        <f>SUMIFS(Input!$D$115:$D$3257,Input!$A$115:$A$3257,"="&amp;'Output - County'!A2484,Input!$B$115:$B$3257,"="&amp;'Output - County'!B2484)*VLOOKUP(A2484,'Output - State'!$B$2:$G$52,6,FALSE)</f>
        <v>5.6635517426269288</v>
      </c>
    </row>
    <row r="2485" spans="1:7" x14ac:dyDescent="0.25">
      <c r="A2485" s="88">
        <v>47</v>
      </c>
      <c r="B2485" s="88">
        <v>111</v>
      </c>
      <c r="C2485" s="97">
        <f>SUMIFS(Input!$C$115:$C$3257,Input!$A$115:$A$3257,"="&amp;'Output - County'!A2485,Input!$B$115:$B$3257,"="&amp;'Output - County'!B2485)*VLOOKUP(A2485,'Output - State'!$B$2:$G$52,2,FALSE)</f>
        <v>4.3332090399347605</v>
      </c>
      <c r="D2485" s="98">
        <f>SUMIFS(Input!$C$115:$C$3257,Input!$A$115:$A$3257,"="&amp;'Output - County'!A2485,Input!$B$115:$B$3257,"="&amp;'Output - County'!B2485)*VLOOKUP(A2485,'Output - State'!$B$2:$G$52,3,FALSE)</f>
        <v>0.34547784146088595</v>
      </c>
      <c r="E2485" s="98">
        <f>SUMIFS(Input!$C$115:$C$3257,Input!$A$115:$A$3257,"="&amp;'Output - County'!A2485,Input!$B$115:$B$3257,"="&amp;'Output - County'!B2485)*VLOOKUP(A2485,'Output - State'!$B$2:$G$52,4,FALSE)</f>
        <v>4.1421094527525089</v>
      </c>
      <c r="F2485" s="98">
        <f>SUMIFS(Input!$C$115:$C$3257,Input!$A$115:$A$3257,"="&amp;'Output - County'!A2485,Input!$B$115:$B$3257,"="&amp;'Output - County'!B2485)*VLOOKUP(A2485,'Output - State'!$B$2:$G$52,5,FALSE)</f>
        <v>13.580799022908366</v>
      </c>
      <c r="G2485" s="99">
        <f>SUMIFS(Input!$D$115:$D$3257,Input!$A$115:$A$3257,"="&amp;'Output - County'!A2485,Input!$B$115:$B$3257,"="&amp;'Output - County'!B2485)*VLOOKUP(A2485,'Output - State'!$B$2:$G$52,6,FALSE)</f>
        <v>5.3342754785207118</v>
      </c>
    </row>
    <row r="2486" spans="1:7" x14ac:dyDescent="0.25">
      <c r="A2486" s="88">
        <v>47</v>
      </c>
      <c r="B2486" s="88">
        <v>113</v>
      </c>
      <c r="C2486" s="97">
        <f>SUMIFS(Input!$C$115:$C$3257,Input!$A$115:$A$3257,"="&amp;'Output - County'!A2486,Input!$B$115:$B$3257,"="&amp;'Output - County'!B2486)*VLOOKUP(A2486,'Output - State'!$B$2:$G$52,2,FALSE)</f>
        <v>36.585929188157543</v>
      </c>
      <c r="D2486" s="98">
        <f>SUMIFS(Input!$C$115:$C$3257,Input!$A$115:$A$3257,"="&amp;'Output - County'!A2486,Input!$B$115:$B$3257,"="&amp;'Output - County'!B2486)*VLOOKUP(A2486,'Output - State'!$B$2:$G$52,3,FALSE)</f>
        <v>2.9169208610244635</v>
      </c>
      <c r="E2486" s="98">
        <f>SUMIFS(Input!$C$115:$C$3257,Input!$A$115:$A$3257,"="&amp;'Output - County'!A2486,Input!$B$115:$B$3257,"="&amp;'Output - County'!B2486)*VLOOKUP(A2486,'Output - State'!$B$2:$G$52,4,FALSE)</f>
        <v>34.972446916681143</v>
      </c>
      <c r="F2486" s="98">
        <f>SUMIFS(Input!$C$115:$C$3257,Input!$A$115:$A$3257,"="&amp;'Output - County'!A2486,Input!$B$115:$B$3257,"="&amp;'Output - County'!B2486)*VLOOKUP(A2486,'Output - State'!$B$2:$G$52,5,FALSE)</f>
        <v>114.66470848547044</v>
      </c>
      <c r="G2486" s="99">
        <f>SUMIFS(Input!$D$115:$D$3257,Input!$A$115:$A$3257,"="&amp;'Output - County'!A2486,Input!$B$115:$B$3257,"="&amp;'Output - County'!B2486)*VLOOKUP(A2486,'Output - State'!$B$2:$G$52,6,FALSE)</f>
        <v>21.424908917844505</v>
      </c>
    </row>
    <row r="2487" spans="1:7" x14ac:dyDescent="0.25">
      <c r="A2487" s="88">
        <v>47</v>
      </c>
      <c r="B2487" s="88">
        <v>115</v>
      </c>
      <c r="C2487" s="97">
        <f>SUMIFS(Input!$C$115:$C$3257,Input!$A$115:$A$3257,"="&amp;'Output - County'!A2487,Input!$B$115:$B$3257,"="&amp;'Output - County'!B2487)*VLOOKUP(A2487,'Output - State'!$B$2:$G$52,2,FALSE)</f>
        <v>20.581428039685576</v>
      </c>
      <c r="D2487" s="98">
        <f>SUMIFS(Input!$C$115:$C$3257,Input!$A$115:$A$3257,"="&amp;'Output - County'!A2487,Input!$B$115:$B$3257,"="&amp;'Output - County'!B2487)*VLOOKUP(A2487,'Output - State'!$B$2:$G$52,3,FALSE)</f>
        <v>1.6409149126671669</v>
      </c>
      <c r="E2487" s="98">
        <f>SUMIFS(Input!$C$115:$C$3257,Input!$A$115:$A$3257,"="&amp;'Output - County'!A2487,Input!$B$115:$B$3257,"="&amp;'Output - County'!B2487)*VLOOKUP(A2487,'Output - State'!$B$2:$G$52,4,FALSE)</f>
        <v>19.67376298919811</v>
      </c>
      <c r="F2487" s="98">
        <f>SUMIFS(Input!$C$115:$C$3257,Input!$A$115:$A$3257,"="&amp;'Output - County'!A2487,Input!$B$115:$B$3257,"="&amp;'Output - County'!B2487)*VLOOKUP(A2487,'Output - State'!$B$2:$G$52,5,FALSE)</f>
        <v>64.504674303833951</v>
      </c>
      <c r="G2487" s="99">
        <f>SUMIFS(Input!$D$115:$D$3257,Input!$A$115:$A$3257,"="&amp;'Output - County'!A2487,Input!$B$115:$B$3257,"="&amp;'Output - County'!B2487)*VLOOKUP(A2487,'Output - State'!$B$2:$G$52,6,FALSE)</f>
        <v>6.2782007689585342</v>
      </c>
    </row>
    <row r="2488" spans="1:7" x14ac:dyDescent="0.25">
      <c r="A2488" s="88">
        <v>47</v>
      </c>
      <c r="B2488" s="88">
        <v>117</v>
      </c>
      <c r="C2488" s="97">
        <f>SUMIFS(Input!$C$115:$C$3257,Input!$A$115:$A$3257,"="&amp;'Output - County'!A2488,Input!$B$115:$B$3257,"="&amp;'Output - County'!B2488)*VLOOKUP(A2488,'Output - State'!$B$2:$G$52,2,FALSE)</f>
        <v>10.773278951181821</v>
      </c>
      <c r="D2488" s="98">
        <f>SUMIFS(Input!$C$115:$C$3257,Input!$A$115:$A$3257,"="&amp;'Output - County'!A2488,Input!$B$115:$B$3257,"="&amp;'Output - County'!B2488)*VLOOKUP(A2488,'Output - State'!$B$2:$G$52,3,FALSE)</f>
        <v>0.85893136546358007</v>
      </c>
      <c r="E2488" s="98">
        <f>SUMIFS(Input!$C$115:$C$3257,Input!$A$115:$A$3257,"="&amp;'Output - County'!A2488,Input!$B$115:$B$3257,"="&amp;'Output - County'!B2488)*VLOOKUP(A2488,'Output - State'!$B$2:$G$52,4,FALSE)</f>
        <v>10.298164748013566</v>
      </c>
      <c r="F2488" s="98">
        <f>SUMIFS(Input!$C$115:$C$3257,Input!$A$115:$A$3257,"="&amp;'Output - County'!A2488,Input!$B$115:$B$3257,"="&amp;'Output - County'!B2488)*VLOOKUP(A2488,'Output - State'!$B$2:$G$52,5,FALSE)</f>
        <v>33.764753766860075</v>
      </c>
      <c r="G2488" s="99">
        <f>SUMIFS(Input!$D$115:$D$3257,Input!$A$115:$A$3257,"="&amp;'Output - County'!A2488,Input!$B$115:$B$3257,"="&amp;'Output - County'!B2488)*VLOOKUP(A2488,'Output - State'!$B$2:$G$52,6,FALSE)</f>
        <v>7.4196918178600848</v>
      </c>
    </row>
    <row r="2489" spans="1:7" x14ac:dyDescent="0.25">
      <c r="A2489" s="88">
        <v>47</v>
      </c>
      <c r="B2489" s="88">
        <v>119</v>
      </c>
      <c r="C2489" s="97">
        <f>SUMIFS(Input!$C$115:$C$3257,Input!$A$115:$A$3257,"="&amp;'Output - County'!A2489,Input!$B$115:$B$3257,"="&amp;'Output - County'!B2489)*VLOOKUP(A2489,'Output - State'!$B$2:$G$52,2,FALSE)</f>
        <v>35.637504998046616</v>
      </c>
      <c r="D2489" s="98">
        <f>SUMIFS(Input!$C$115:$C$3257,Input!$A$115:$A$3257,"="&amp;'Output - County'!A2489,Input!$B$115:$B$3257,"="&amp;'Output - County'!B2489)*VLOOKUP(A2489,'Output - State'!$B$2:$G$52,3,FALSE)</f>
        <v>2.841304951667424</v>
      </c>
      <c r="E2489" s="98">
        <f>SUMIFS(Input!$C$115:$C$3257,Input!$A$115:$A$3257,"="&amp;'Output - County'!A2489,Input!$B$115:$B$3257,"="&amp;'Output - County'!B2489)*VLOOKUP(A2489,'Output - State'!$B$2:$G$52,4,FALSE)</f>
        <v>34.065849342718558</v>
      </c>
      <c r="F2489" s="98">
        <f>SUMIFS(Input!$C$115:$C$3257,Input!$A$115:$A$3257,"="&amp;'Output - County'!A2489,Input!$B$115:$B$3257,"="&amp;'Output - County'!B2489)*VLOOKUP(A2489,'Output - State'!$B$2:$G$52,5,FALSE)</f>
        <v>111.6922328454411</v>
      </c>
      <c r="G2489" s="99">
        <f>SUMIFS(Input!$D$115:$D$3257,Input!$A$115:$A$3257,"="&amp;'Output - County'!A2489,Input!$B$115:$B$3257,"="&amp;'Output - County'!B2489)*VLOOKUP(A2489,'Output - State'!$B$2:$G$52,6,FALSE)</f>
        <v>20.700501136810828</v>
      </c>
    </row>
    <row r="2490" spans="1:7" x14ac:dyDescent="0.25">
      <c r="A2490" s="88">
        <v>47</v>
      </c>
      <c r="B2490" s="88">
        <v>121</v>
      </c>
      <c r="C2490" s="97">
        <f>SUMIFS(Input!$C$115:$C$3257,Input!$A$115:$A$3257,"="&amp;'Output - County'!A2490,Input!$B$115:$B$3257,"="&amp;'Output - County'!B2490)*VLOOKUP(A2490,'Output - State'!$B$2:$G$52,2,FALSE)</f>
        <v>3.0438530614928374</v>
      </c>
      <c r="D2490" s="98">
        <f>SUMIFS(Input!$C$115:$C$3257,Input!$A$115:$A$3257,"="&amp;'Output - County'!A2490,Input!$B$115:$B$3257,"="&amp;'Output - County'!B2490)*VLOOKUP(A2490,'Output - State'!$B$2:$G$52,3,FALSE)</f>
        <v>0.24268014206498725</v>
      </c>
      <c r="E2490" s="98">
        <f>SUMIFS(Input!$C$115:$C$3257,Input!$A$115:$A$3257,"="&amp;'Output - County'!A2490,Input!$B$115:$B$3257,"="&amp;'Output - County'!B2490)*VLOOKUP(A2490,'Output - State'!$B$2:$G$52,4,FALSE)</f>
        <v>2.9096155811095992</v>
      </c>
      <c r="F2490" s="98">
        <f>SUMIFS(Input!$C$115:$C$3257,Input!$A$115:$A$3257,"="&amp;'Output - County'!A2490,Input!$B$115:$B$3257,"="&amp;'Output - County'!B2490)*VLOOKUP(A2490,'Output - State'!$B$2:$G$52,5,FALSE)</f>
        <v>9.5398020964206562</v>
      </c>
      <c r="G2490" s="99">
        <f>SUMIFS(Input!$D$115:$D$3257,Input!$A$115:$A$3257,"="&amp;'Output - County'!A2490,Input!$B$115:$B$3257,"="&amp;'Output - County'!B2490)*VLOOKUP(A2490,'Output - State'!$B$2:$G$52,6,FALSE)</f>
        <v>2.7000653656709774</v>
      </c>
    </row>
    <row r="2491" spans="1:7" x14ac:dyDescent="0.25">
      <c r="A2491" s="88">
        <v>47</v>
      </c>
      <c r="B2491" s="88">
        <v>123</v>
      </c>
      <c r="C2491" s="97">
        <f>SUMIFS(Input!$C$115:$C$3257,Input!$A$115:$A$3257,"="&amp;'Output - County'!A2491,Input!$B$115:$B$3257,"="&amp;'Output - County'!B2491)*VLOOKUP(A2491,'Output - State'!$B$2:$G$52,2,FALSE)</f>
        <v>13.05652245930057</v>
      </c>
      <c r="D2491" s="98">
        <f>SUMIFS(Input!$C$115:$C$3257,Input!$A$115:$A$3257,"="&amp;'Output - County'!A2491,Input!$B$115:$B$3257,"="&amp;'Output - County'!B2491)*VLOOKUP(A2491,'Output - State'!$B$2:$G$52,3,FALSE)</f>
        <v>1.0409696727422713</v>
      </c>
      <c r="E2491" s="98">
        <f>SUMIFS(Input!$C$115:$C$3257,Input!$A$115:$A$3257,"="&amp;'Output - County'!A2491,Input!$B$115:$B$3257,"="&amp;'Output - County'!B2491)*VLOOKUP(A2491,'Output - State'!$B$2:$G$52,4,FALSE)</f>
        <v>12.48071454673199</v>
      </c>
      <c r="F2491" s="98">
        <f>SUMIFS(Input!$C$115:$C$3257,Input!$A$115:$A$3257,"="&amp;'Output - County'!A2491,Input!$B$115:$B$3257,"="&amp;'Output - County'!B2491)*VLOOKUP(A2491,'Output - State'!$B$2:$G$52,5,FALSE)</f>
        <v>40.920713915181892</v>
      </c>
      <c r="G2491" s="99">
        <f>SUMIFS(Input!$D$115:$D$3257,Input!$A$115:$A$3257,"="&amp;'Output - County'!A2491,Input!$B$115:$B$3257,"="&amp;'Output - County'!B2491)*VLOOKUP(A2491,'Output - State'!$B$2:$G$52,6,FALSE)</f>
        <v>10.163660685411891</v>
      </c>
    </row>
    <row r="2492" spans="1:7" x14ac:dyDescent="0.25">
      <c r="A2492" s="88">
        <v>47</v>
      </c>
      <c r="B2492" s="88">
        <v>125</v>
      </c>
      <c r="C2492" s="97">
        <f>SUMIFS(Input!$C$115:$C$3257,Input!$A$115:$A$3257,"="&amp;'Output - County'!A2492,Input!$B$115:$B$3257,"="&amp;'Output - County'!B2492)*VLOOKUP(A2492,'Output - State'!$B$2:$G$52,2,FALSE)</f>
        <v>50.961109246843627</v>
      </c>
      <c r="D2492" s="98">
        <f>SUMIFS(Input!$C$115:$C$3257,Input!$A$115:$A$3257,"="&amp;'Output - County'!A2492,Input!$B$115:$B$3257,"="&amp;'Output - County'!B2492)*VLOOKUP(A2492,'Output - State'!$B$2:$G$52,3,FALSE)</f>
        <v>4.063024391114304</v>
      </c>
      <c r="E2492" s="98">
        <f>SUMIFS(Input!$C$115:$C$3257,Input!$A$115:$A$3257,"="&amp;'Output - County'!A2492,Input!$B$115:$B$3257,"="&amp;'Output - County'!B2492)*VLOOKUP(A2492,'Output - State'!$B$2:$G$52,4,FALSE)</f>
        <v>48.713664720242143</v>
      </c>
      <c r="F2492" s="98">
        <f>SUMIFS(Input!$C$115:$C$3257,Input!$A$115:$A$3257,"="&amp;'Output - County'!A2492,Input!$B$115:$B$3257,"="&amp;'Output - County'!B2492)*VLOOKUP(A2492,'Output - State'!$B$2:$G$52,5,FALSE)</f>
        <v>159.71825413626487</v>
      </c>
      <c r="G2492" s="99">
        <f>SUMIFS(Input!$D$115:$D$3257,Input!$A$115:$A$3257,"="&amp;'Output - County'!A2492,Input!$B$115:$B$3257,"="&amp;'Output - County'!B2492)*VLOOKUP(A2492,'Output - State'!$B$2:$G$52,6,FALSE)</f>
        <v>45.001089427849628</v>
      </c>
    </row>
    <row r="2493" spans="1:7" x14ac:dyDescent="0.25">
      <c r="A2493" s="88">
        <v>47</v>
      </c>
      <c r="B2493" s="88">
        <v>127</v>
      </c>
      <c r="C2493" s="97">
        <f>SUMIFS(Input!$C$115:$C$3257,Input!$A$115:$A$3257,"="&amp;'Output - County'!A2493,Input!$B$115:$B$3257,"="&amp;'Output - County'!B2493)*VLOOKUP(A2493,'Output - State'!$B$2:$G$52,2,FALSE)</f>
        <v>1.4967922595243988</v>
      </c>
      <c r="D2493" s="98">
        <f>SUMIFS(Input!$C$115:$C$3257,Input!$A$115:$A$3257,"="&amp;'Output - County'!A2493,Input!$B$115:$B$3257,"="&amp;'Output - County'!B2493)*VLOOKUP(A2493,'Output - State'!$B$2:$G$52,3,FALSE)</f>
        <v>0.11933616730007489</v>
      </c>
      <c r="E2493" s="98">
        <f>SUMIFS(Input!$C$115:$C$3257,Input!$A$115:$A$3257,"="&amp;'Output - County'!A2493,Input!$B$115:$B$3257,"="&amp;'Output - County'!B2493)*VLOOKUP(A2493,'Output - State'!$B$2:$G$52,4,FALSE)</f>
        <v>1.4307819700930333</v>
      </c>
      <c r="F2493" s="98">
        <f>SUMIFS(Input!$C$115:$C$3257,Input!$A$115:$A$3257,"="&amp;'Output - County'!A2493,Input!$B$115:$B$3257,"="&amp;'Output - County'!B2493)*VLOOKUP(A2493,'Output - State'!$B$2:$G$52,5,FALSE)</f>
        <v>4.6911272150285663</v>
      </c>
      <c r="G2493" s="99">
        <f>SUMIFS(Input!$D$115:$D$3257,Input!$A$115:$A$3257,"="&amp;'Output - County'!A2493,Input!$B$115:$B$3257,"="&amp;'Output - County'!B2493)*VLOOKUP(A2493,'Output - State'!$B$2:$G$52,6,FALSE)</f>
        <v>1.4180831107507736</v>
      </c>
    </row>
    <row r="2494" spans="1:7" x14ac:dyDescent="0.25">
      <c r="A2494" s="88">
        <v>47</v>
      </c>
      <c r="B2494" s="88">
        <v>129</v>
      </c>
      <c r="C2494" s="97">
        <f>SUMIFS(Input!$C$115:$C$3257,Input!$A$115:$A$3257,"="&amp;'Output - County'!A2494,Input!$B$115:$B$3257,"="&amp;'Output - County'!B2494)*VLOOKUP(A2494,'Output - State'!$B$2:$G$52,2,FALSE)</f>
        <v>3.9998890849623301</v>
      </c>
      <c r="D2494" s="98">
        <f>SUMIFS(Input!$C$115:$C$3257,Input!$A$115:$A$3257,"="&amp;'Output - County'!A2494,Input!$B$115:$B$3257,"="&amp;'Output - County'!B2494)*VLOOKUP(A2494,'Output - State'!$B$2:$G$52,3,FALSE)</f>
        <v>0.31890292723485802</v>
      </c>
      <c r="E2494" s="98">
        <f>SUMIFS(Input!$C$115:$C$3257,Input!$A$115:$A$3257,"="&amp;'Output - County'!A2494,Input!$B$115:$B$3257,"="&amp;'Output - County'!B2494)*VLOOKUP(A2494,'Output - State'!$B$2:$G$52,4,FALSE)</f>
        <v>3.8234892976761379</v>
      </c>
      <c r="F2494" s="98">
        <f>SUMIFS(Input!$C$115:$C$3257,Input!$A$115:$A$3257,"="&amp;'Output - County'!A2494,Input!$B$115:$B$3257,"="&amp;'Output - County'!B2494)*VLOOKUP(A2494,'Output - State'!$B$2:$G$52,5,FALSE)</f>
        <v>12.53613413896508</v>
      </c>
      <c r="G2494" s="99">
        <f>SUMIFS(Input!$D$115:$D$3257,Input!$A$115:$A$3257,"="&amp;'Output - County'!A2494,Input!$B$115:$B$3257,"="&amp;'Output - County'!B2494)*VLOOKUP(A2494,'Output - State'!$B$2:$G$52,6,FALSE)</f>
        <v>4.7196264521891074</v>
      </c>
    </row>
    <row r="2495" spans="1:7" x14ac:dyDescent="0.25">
      <c r="A2495" s="88">
        <v>47</v>
      </c>
      <c r="B2495" s="88">
        <v>131</v>
      </c>
      <c r="C2495" s="97">
        <f>SUMIFS(Input!$C$115:$C$3257,Input!$A$115:$A$3257,"="&amp;'Output - County'!A2495,Input!$B$115:$B$3257,"="&amp;'Output - County'!B2495)*VLOOKUP(A2495,'Output - State'!$B$2:$G$52,2,FALSE)</f>
        <v>9.1622645317885976</v>
      </c>
      <c r="D2495" s="98">
        <f>SUMIFS(Input!$C$115:$C$3257,Input!$A$115:$A$3257,"="&amp;'Output - County'!A2495,Input!$B$115:$B$3257,"="&amp;'Output - County'!B2495)*VLOOKUP(A2495,'Output - State'!$B$2:$G$52,3,FALSE)</f>
        <v>0.73048850036175872</v>
      </c>
      <c r="E2495" s="98">
        <f>SUMIFS(Input!$C$115:$C$3257,Input!$A$115:$A$3257,"="&amp;'Output - County'!A2495,Input!$B$115:$B$3257,"="&amp;'Output - County'!B2495)*VLOOKUP(A2495,'Output - State'!$B$2:$G$52,4,FALSE)</f>
        <v>8.7581979489066999</v>
      </c>
      <c r="F2495" s="98">
        <f>SUMIFS(Input!$C$115:$C$3257,Input!$A$115:$A$3257,"="&amp;'Output - County'!A2495,Input!$B$115:$B$3257,"="&amp;'Output - County'!B2495)*VLOOKUP(A2495,'Output - State'!$B$2:$G$52,5,FALSE)</f>
        <v>28.715640545884202</v>
      </c>
      <c r="G2495" s="99">
        <f>SUMIFS(Input!$D$115:$D$3257,Input!$A$115:$A$3257,"="&amp;'Output - County'!A2495,Input!$B$115:$B$3257,"="&amp;'Output - County'!B2495)*VLOOKUP(A2495,'Output - State'!$B$2:$G$52,6,FALSE)</f>
        <v>6.651380534945579</v>
      </c>
    </row>
    <row r="2496" spans="1:7" x14ac:dyDescent="0.25">
      <c r="A2496" s="88">
        <v>47</v>
      </c>
      <c r="B2496" s="88">
        <v>133</v>
      </c>
      <c r="C2496" s="97">
        <f>SUMIFS(Input!$C$115:$C$3257,Input!$A$115:$A$3257,"="&amp;'Output - County'!A2496,Input!$B$115:$B$3257,"="&amp;'Output - County'!B2496)*VLOOKUP(A2496,'Output - State'!$B$2:$G$52,2,FALSE)</f>
        <v>5.5132461231117738</v>
      </c>
      <c r="D2496" s="98">
        <f>SUMIFS(Input!$C$115:$C$3257,Input!$A$115:$A$3257,"="&amp;'Output - County'!A2496,Input!$B$115:$B$3257,"="&amp;'Output - County'!B2496)*VLOOKUP(A2496,'Output - State'!$B$2:$G$52,3,FALSE)</f>
        <v>0.43955977025376325</v>
      </c>
      <c r="E2496" s="98">
        <f>SUMIFS(Input!$C$115:$C$3257,Input!$A$115:$A$3257,"="&amp;'Output - County'!A2496,Input!$B$115:$B$3257,"="&amp;'Output - County'!B2496)*VLOOKUP(A2496,'Output - State'!$B$2:$G$52,4,FALSE)</f>
        <v>5.2701055202811586</v>
      </c>
      <c r="F2496" s="98">
        <f>SUMIFS(Input!$C$115:$C$3257,Input!$A$115:$A$3257,"="&amp;'Output - County'!A2496,Input!$B$115:$B$3257,"="&amp;'Output - County'!B2496)*VLOOKUP(A2496,'Output - State'!$B$2:$G$52,5,FALSE)</f>
        <v>17.279177365266687</v>
      </c>
      <c r="G2496" s="99">
        <f>SUMIFS(Input!$D$115:$D$3257,Input!$A$115:$A$3257,"="&amp;'Output - County'!A2496,Input!$B$115:$B$3257,"="&amp;'Output - County'!B2496)*VLOOKUP(A2496,'Output - State'!$B$2:$G$52,6,FALSE)</f>
        <v>4.8513369578315935</v>
      </c>
    </row>
    <row r="2497" spans="1:7" x14ac:dyDescent="0.25">
      <c r="A2497" s="88">
        <v>47</v>
      </c>
      <c r="B2497" s="88">
        <v>135</v>
      </c>
      <c r="C2497" s="97">
        <f>SUMIFS(Input!$C$115:$C$3257,Input!$A$115:$A$3257,"="&amp;'Output - County'!A2497,Input!$B$115:$B$3257,"="&amp;'Output - County'!B2497)*VLOOKUP(A2497,'Output - State'!$B$2:$G$52,2,FALSE)</f>
        <v>1.9061448332001381</v>
      </c>
      <c r="D2497" s="98">
        <f>SUMIFS(Input!$C$115:$C$3257,Input!$A$115:$A$3257,"="&amp;'Output - County'!A2497,Input!$B$115:$B$3257,"="&amp;'Output - County'!B2497)*VLOOKUP(A2497,'Output - State'!$B$2:$G$52,3,FALSE)</f>
        <v>0.15197300578319636</v>
      </c>
      <c r="E2497" s="98">
        <f>SUMIFS(Input!$C$115:$C$3257,Input!$A$115:$A$3257,"="&amp;'Output - County'!A2497,Input!$B$115:$B$3257,"="&amp;'Output - County'!B2497)*VLOOKUP(A2497,'Output - State'!$B$2:$G$52,4,FALSE)</f>
        <v>1.8220816164531306</v>
      </c>
      <c r="F2497" s="98">
        <f>SUMIFS(Input!$C$115:$C$3257,Input!$A$115:$A$3257,"="&amp;'Output - County'!A2497,Input!$B$115:$B$3257,"="&amp;'Output - County'!B2497)*VLOOKUP(A2497,'Output - State'!$B$2:$G$52,5,FALSE)</f>
        <v>5.9740874833576019</v>
      </c>
      <c r="G2497" s="99">
        <f>SUMIFS(Input!$D$115:$D$3257,Input!$A$115:$A$3257,"="&amp;'Output - County'!A2497,Input!$B$115:$B$3257,"="&amp;'Output - County'!B2497)*VLOOKUP(A2497,'Output - State'!$B$2:$G$52,6,FALSE)</f>
        <v>1.7671159507033636</v>
      </c>
    </row>
    <row r="2498" spans="1:7" x14ac:dyDescent="0.25">
      <c r="A2498" s="88">
        <v>47</v>
      </c>
      <c r="B2498" s="88">
        <v>137</v>
      </c>
      <c r="C2498" s="97">
        <f>SUMIFS(Input!$C$115:$C$3257,Input!$A$115:$A$3257,"="&amp;'Output - County'!A2498,Input!$B$115:$B$3257,"="&amp;'Output - County'!B2498)*VLOOKUP(A2498,'Output - State'!$B$2:$G$52,2,FALSE)</f>
        <v>1.0935263054554876</v>
      </c>
      <c r="D2498" s="98">
        <f>SUMIFS(Input!$C$115:$C$3257,Input!$A$115:$A$3257,"="&amp;'Output - County'!A2498,Input!$B$115:$B$3257,"="&amp;'Output - County'!B2498)*VLOOKUP(A2498,'Output - State'!$B$2:$G$52,3,FALSE)</f>
        <v>8.7184602475385578E-2</v>
      </c>
      <c r="E2498" s="98">
        <f>SUMIFS(Input!$C$115:$C$3257,Input!$A$115:$A$3257,"="&amp;'Output - County'!A2498,Input!$B$115:$B$3257,"="&amp;'Output - County'!B2498)*VLOOKUP(A2498,'Output - State'!$B$2:$G$52,4,FALSE)</f>
        <v>1.0453005162956315</v>
      </c>
      <c r="F2498" s="98">
        <f>SUMIFS(Input!$C$115:$C$3257,Input!$A$115:$A$3257,"="&amp;'Output - County'!A2498,Input!$B$115:$B$3257,"="&amp;'Output - County'!B2498)*VLOOKUP(A2498,'Output - State'!$B$2:$G$52,5,FALSE)</f>
        <v>3.4272431456198738</v>
      </c>
      <c r="G2498" s="99">
        <f>SUMIFS(Input!$D$115:$D$3257,Input!$A$115:$A$3257,"="&amp;'Output - County'!A2498,Input!$B$115:$B$3257,"="&amp;'Output - County'!B2498)*VLOOKUP(A2498,'Output - State'!$B$2:$G$52,6,FALSE)</f>
        <v>1.1085634224909298</v>
      </c>
    </row>
    <row r="2499" spans="1:7" x14ac:dyDescent="0.25">
      <c r="A2499" s="88">
        <v>47</v>
      </c>
      <c r="B2499" s="88">
        <v>139</v>
      </c>
      <c r="C2499" s="97">
        <f>SUMIFS(Input!$C$115:$C$3257,Input!$A$115:$A$3257,"="&amp;'Output - County'!A2499,Input!$B$115:$B$3257,"="&amp;'Output - County'!B2499)*VLOOKUP(A2499,'Output - State'!$B$2:$G$52,2,FALSE)</f>
        <v>4.7586011209381702</v>
      </c>
      <c r="D2499" s="98">
        <f>SUMIFS(Input!$C$115:$C$3257,Input!$A$115:$A$3257,"="&amp;'Output - County'!A2499,Input!$B$115:$B$3257,"="&amp;'Output - County'!B2499)*VLOOKUP(A2499,'Output - State'!$B$2:$G$52,3,FALSE)</f>
        <v>0.37939347686300928</v>
      </c>
      <c r="E2499" s="98">
        <f>SUMIFS(Input!$C$115:$C$3257,Input!$A$115:$A$3257,"="&amp;'Output - County'!A2499,Input!$B$115:$B$3257,"="&amp;'Output - County'!B2499)*VLOOKUP(A2499,'Output - State'!$B$2:$G$52,4,FALSE)</f>
        <v>4.5487412454058385</v>
      </c>
      <c r="F2499" s="98">
        <f>SUMIFS(Input!$C$115:$C$3257,Input!$A$115:$A$3257,"="&amp;'Output - County'!A2499,Input!$B$115:$B$3257,"="&amp;'Output - County'!B2499)*VLOOKUP(A2499,'Output - State'!$B$2:$G$52,5,FALSE)</f>
        <v>14.914029039000789</v>
      </c>
      <c r="G2499" s="99">
        <f>SUMIFS(Input!$D$115:$D$3257,Input!$A$115:$A$3257,"="&amp;'Output - County'!A2499,Input!$B$115:$B$3257,"="&amp;'Output - County'!B2499)*VLOOKUP(A2499,'Output - State'!$B$2:$G$52,6,FALSE)</f>
        <v>3.7098459089300424</v>
      </c>
    </row>
    <row r="2500" spans="1:7" x14ac:dyDescent="0.25">
      <c r="A2500" s="88">
        <v>47</v>
      </c>
      <c r="B2500" s="88">
        <v>141</v>
      </c>
      <c r="C2500" s="97">
        <f>SUMIFS(Input!$C$115:$C$3257,Input!$A$115:$A$3257,"="&amp;'Output - County'!A2500,Input!$B$115:$B$3257,"="&amp;'Output - County'!B2500)*VLOOKUP(A2500,'Output - State'!$B$2:$G$52,2,FALSE)</f>
        <v>33.304090987612177</v>
      </c>
      <c r="D2500" s="98">
        <f>SUMIFS(Input!$C$115:$C$3257,Input!$A$115:$A$3257,"="&amp;'Output - County'!A2500,Input!$B$115:$B$3257,"="&amp;'Output - County'!B2500)*VLOOKUP(A2500,'Output - State'!$B$2:$G$52,3,FALSE)</f>
        <v>2.6552666534616174</v>
      </c>
      <c r="E2500" s="98">
        <f>SUMIFS(Input!$C$115:$C$3257,Input!$A$115:$A$3257,"="&amp;'Output - County'!A2500,Input!$B$115:$B$3257,"="&amp;'Output - County'!B2500)*VLOOKUP(A2500,'Output - State'!$B$2:$G$52,4,FALSE)</f>
        <v>31.835341619520616</v>
      </c>
      <c r="F2500" s="98">
        <f>SUMIFS(Input!$C$115:$C$3257,Input!$A$115:$A$3257,"="&amp;'Output - County'!A2500,Input!$B$115:$B$3257,"="&amp;'Output - County'!B2500)*VLOOKUP(A2500,'Output - State'!$B$2:$G$52,5,FALSE)</f>
        <v>104.37903230032596</v>
      </c>
      <c r="G2500" s="99">
        <f>SUMIFS(Input!$D$115:$D$3257,Input!$A$115:$A$3257,"="&amp;'Output - County'!A2500,Input!$B$115:$B$3257,"="&amp;'Output - County'!B2500)*VLOOKUP(A2500,'Output - State'!$B$2:$G$52,6,FALSE)</f>
        <v>17.254076239165759</v>
      </c>
    </row>
    <row r="2501" spans="1:7" x14ac:dyDescent="0.25">
      <c r="A2501" s="88">
        <v>47</v>
      </c>
      <c r="B2501" s="88">
        <v>143</v>
      </c>
      <c r="C2501" s="97">
        <f>SUMIFS(Input!$C$115:$C$3257,Input!$A$115:$A$3257,"="&amp;'Output - County'!A2501,Input!$B$115:$B$3257,"="&amp;'Output - County'!B2501)*VLOOKUP(A2501,'Output - State'!$B$2:$G$52,2,FALSE)</f>
        <v>8.2695078535970108</v>
      </c>
      <c r="D2501" s="98">
        <f>SUMIFS(Input!$C$115:$C$3257,Input!$A$115:$A$3257,"="&amp;'Output - County'!A2501,Input!$B$115:$B$3257,"="&amp;'Output - County'!B2501)*VLOOKUP(A2501,'Output - State'!$B$2:$G$52,3,FALSE)</f>
        <v>0.65931084719779687</v>
      </c>
      <c r="E2501" s="98">
        <f>SUMIFS(Input!$C$115:$C$3257,Input!$A$115:$A$3257,"="&amp;'Output - County'!A2501,Input!$B$115:$B$3257,"="&amp;'Output - County'!B2501)*VLOOKUP(A2501,'Output - State'!$B$2:$G$52,4,FALSE)</f>
        <v>7.9048128844739489</v>
      </c>
      <c r="F2501" s="98">
        <f>SUMIFS(Input!$C$115:$C$3257,Input!$A$115:$A$3257,"="&amp;'Output - County'!A2501,Input!$B$115:$B$3257,"="&amp;'Output - County'!B2501)*VLOOKUP(A2501,'Output - State'!$B$2:$G$52,5,FALSE)</f>
        <v>25.917633592805895</v>
      </c>
      <c r="G2501" s="99">
        <f>SUMIFS(Input!$D$115:$D$3257,Input!$A$115:$A$3257,"="&amp;'Output - County'!A2501,Input!$B$115:$B$3257,"="&amp;'Output - County'!B2501)*VLOOKUP(A2501,'Output - State'!$B$2:$G$52,6,FALSE)</f>
        <v>7.2221260593963548</v>
      </c>
    </row>
    <row r="2502" spans="1:7" x14ac:dyDescent="0.25">
      <c r="A2502" s="88">
        <v>47</v>
      </c>
      <c r="B2502" s="88">
        <v>145</v>
      </c>
      <c r="C2502" s="97">
        <f>SUMIFS(Input!$C$115:$C$3257,Input!$A$115:$A$3257,"="&amp;'Output - County'!A2502,Input!$B$115:$B$3257,"="&amp;'Output - County'!B2502)*VLOOKUP(A2502,'Output - State'!$B$2:$G$52,2,FALSE)</f>
        <v>21.338508952885608</v>
      </c>
      <c r="D2502" s="98">
        <f>SUMIFS(Input!$C$115:$C$3257,Input!$A$115:$A$3257,"="&amp;'Output - County'!A2502,Input!$B$115:$B$3257,"="&amp;'Output - County'!B2502)*VLOOKUP(A2502,'Output - State'!$B$2:$G$52,3,FALSE)</f>
        <v>1.7012754162323309</v>
      </c>
      <c r="E2502" s="98">
        <f>SUMIFS(Input!$C$115:$C$3257,Input!$A$115:$A$3257,"="&amp;'Output - County'!A2502,Input!$B$115:$B$3257,"="&amp;'Output - County'!B2502)*VLOOKUP(A2502,'Output - State'!$B$2:$G$52,4,FALSE)</f>
        <v>20.397455748574323</v>
      </c>
      <c r="F2502" s="98">
        <f>SUMIFS(Input!$C$115:$C$3257,Input!$A$115:$A$3257,"="&amp;'Output - County'!A2502,Input!$B$115:$B$3257,"="&amp;'Output - County'!B2502)*VLOOKUP(A2502,'Output - State'!$B$2:$G$52,5,FALSE)</f>
        <v>66.877457068637824</v>
      </c>
      <c r="G2502" s="99">
        <f>SUMIFS(Input!$D$115:$D$3257,Input!$A$115:$A$3257,"="&amp;'Output - County'!A2502,Input!$B$115:$B$3257,"="&amp;'Output - County'!B2502)*VLOOKUP(A2502,'Output - State'!$B$2:$G$52,6,FALSE)</f>
        <v>11.700283251240903</v>
      </c>
    </row>
    <row r="2503" spans="1:7" x14ac:dyDescent="0.25">
      <c r="A2503" s="88">
        <v>47</v>
      </c>
      <c r="B2503" s="88">
        <v>147</v>
      </c>
      <c r="C2503" s="97">
        <f>SUMIFS(Input!$C$115:$C$3257,Input!$A$115:$A$3257,"="&amp;'Output - County'!A2503,Input!$B$115:$B$3257,"="&amp;'Output - County'!B2503)*VLOOKUP(A2503,'Output - State'!$B$2:$G$52,2,FALSE)</f>
        <v>29.676951557352982</v>
      </c>
      <c r="D2503" s="98">
        <f>SUMIFS(Input!$C$115:$C$3257,Input!$A$115:$A$3257,"="&amp;'Output - County'!A2503,Input!$B$115:$B$3257,"="&amp;'Output - County'!B2503)*VLOOKUP(A2503,'Output - State'!$B$2:$G$52,3,FALSE)</f>
        <v>2.3660822892882978</v>
      </c>
      <c r="E2503" s="98">
        <f>SUMIFS(Input!$C$115:$C$3257,Input!$A$115:$A$3257,"="&amp;'Output - County'!A2503,Input!$B$115:$B$3257,"="&amp;'Output - County'!B2503)*VLOOKUP(A2503,'Output - State'!$B$2:$G$52,4,FALSE)</f>
        <v>28.368163280772809</v>
      </c>
      <c r="F2503" s="98">
        <f>SUMIFS(Input!$C$115:$C$3257,Input!$A$115:$A$3257,"="&amp;'Output - County'!A2503,Input!$B$115:$B$3257,"="&amp;'Output - County'!B2503)*VLOOKUP(A2503,'Output - State'!$B$2:$G$52,5,FALSE)</f>
        <v>93.011140473173725</v>
      </c>
      <c r="G2503" s="99">
        <f>SUMIFS(Input!$D$115:$D$3257,Input!$A$115:$A$3257,"="&amp;'Output - County'!A2503,Input!$B$115:$B$3257,"="&amp;'Output - County'!B2503)*VLOOKUP(A2503,'Output - State'!$B$2:$G$52,6,FALSE)</f>
        <v>15.62964666957509</v>
      </c>
    </row>
    <row r="2504" spans="1:7" x14ac:dyDescent="0.25">
      <c r="A2504" s="88">
        <v>47</v>
      </c>
      <c r="B2504" s="88">
        <v>149</v>
      </c>
      <c r="C2504" s="97">
        <f>SUMIFS(Input!$C$115:$C$3257,Input!$A$115:$A$3257,"="&amp;'Output - County'!A2504,Input!$B$115:$B$3257,"="&amp;'Output - County'!B2504)*VLOOKUP(A2504,'Output - State'!$B$2:$G$52,2,FALSE)</f>
        <v>98.084319692902014</v>
      </c>
      <c r="D2504" s="98">
        <f>SUMIFS(Input!$C$115:$C$3257,Input!$A$115:$A$3257,"="&amp;'Output - County'!A2504,Input!$B$115:$B$3257,"="&amp;'Output - County'!B2504)*VLOOKUP(A2504,'Output - State'!$B$2:$G$52,3,FALSE)</f>
        <v>7.8200610070668164</v>
      </c>
      <c r="E2504" s="98">
        <f>SUMIFS(Input!$C$115:$C$3257,Input!$A$115:$A$3257,"="&amp;'Output - County'!A2504,Input!$B$115:$B$3257,"="&amp;'Output - County'!B2504)*VLOOKUP(A2504,'Output - State'!$B$2:$G$52,4,FALSE)</f>
        <v>93.75868646597425</v>
      </c>
      <c r="F2504" s="98">
        <f>SUMIFS(Input!$C$115:$C$3257,Input!$A$115:$A$3257,"="&amp;'Output - County'!A2504,Input!$B$115:$B$3257,"="&amp;'Output - County'!B2504)*VLOOKUP(A2504,'Output - State'!$B$2:$G$52,5,FALSE)</f>
        <v>307.40807119428757</v>
      </c>
      <c r="G2504" s="99">
        <f>SUMIFS(Input!$D$115:$D$3257,Input!$A$115:$A$3257,"="&amp;'Output - County'!A2504,Input!$B$115:$B$3257,"="&amp;'Output - County'!B2504)*VLOOKUP(A2504,'Output - State'!$B$2:$G$52,6,FALSE)</f>
        <v>71.343190556346968</v>
      </c>
    </row>
    <row r="2505" spans="1:7" x14ac:dyDescent="0.25">
      <c r="A2505" s="88">
        <v>47</v>
      </c>
      <c r="B2505" s="88">
        <v>151</v>
      </c>
      <c r="C2505" s="97">
        <f>SUMIFS(Input!$C$115:$C$3257,Input!$A$115:$A$3257,"="&amp;'Output - County'!A2505,Input!$B$115:$B$3257,"="&amp;'Output - County'!B2505)*VLOOKUP(A2505,'Output - State'!$B$2:$G$52,2,FALSE)</f>
        <v>4.756383426363584</v>
      </c>
      <c r="D2505" s="98">
        <f>SUMIFS(Input!$C$115:$C$3257,Input!$A$115:$A$3257,"="&amp;'Output - County'!A2505,Input!$B$115:$B$3257,"="&amp;'Output - County'!B2505)*VLOOKUP(A2505,'Output - State'!$B$2:$G$52,3,FALSE)</f>
        <v>0.37921666463733855</v>
      </c>
      <c r="E2505" s="98">
        <f>SUMIFS(Input!$C$115:$C$3257,Input!$A$115:$A$3257,"="&amp;'Output - County'!A2505,Input!$B$115:$B$3257,"="&amp;'Output - County'!B2505)*VLOOKUP(A2505,'Output - State'!$B$2:$G$52,4,FALSE)</f>
        <v>4.5466213537560121</v>
      </c>
      <c r="F2505" s="98">
        <f>SUMIFS(Input!$C$115:$C$3257,Input!$A$115:$A$3257,"="&amp;'Output - County'!A2505,Input!$B$115:$B$3257,"="&amp;'Output - County'!B2505)*VLOOKUP(A2505,'Output - State'!$B$2:$G$52,5,FALSE)</f>
        <v>14.907078517104875</v>
      </c>
      <c r="G2505" s="99">
        <f>SUMIFS(Input!$D$115:$D$3257,Input!$A$115:$A$3257,"="&amp;'Output - County'!A2505,Input!$B$115:$B$3257,"="&amp;'Output - County'!B2505)*VLOOKUP(A2505,'Output - State'!$B$2:$G$52,6,FALSE)</f>
        <v>4.82938520689118</v>
      </c>
    </row>
    <row r="2506" spans="1:7" x14ac:dyDescent="0.25">
      <c r="A2506" s="88">
        <v>47</v>
      </c>
      <c r="B2506" s="88">
        <v>153</v>
      </c>
      <c r="C2506" s="97">
        <f>SUMIFS(Input!$C$115:$C$3257,Input!$A$115:$A$3257,"="&amp;'Output - County'!A2506,Input!$B$115:$B$3257,"="&amp;'Output - County'!B2506)*VLOOKUP(A2506,'Output - State'!$B$2:$G$52,2,FALSE)</f>
        <v>4.0719686297133801</v>
      </c>
      <c r="D2506" s="98">
        <f>SUMIFS(Input!$C$115:$C$3257,Input!$A$115:$A$3257,"="&amp;'Output - County'!A2506,Input!$B$115:$B$3257,"="&amp;'Output - County'!B2506)*VLOOKUP(A2506,'Output - State'!$B$2:$G$52,3,FALSE)</f>
        <v>0.32464968103892816</v>
      </c>
      <c r="E2506" s="98">
        <f>SUMIFS(Input!$C$115:$C$3257,Input!$A$115:$A$3257,"="&amp;'Output - County'!A2506,Input!$B$115:$B$3257,"="&amp;'Output - County'!B2506)*VLOOKUP(A2506,'Output - State'!$B$2:$G$52,4,FALSE)</f>
        <v>3.8923900501927804</v>
      </c>
      <c r="F2506" s="98">
        <f>SUMIFS(Input!$C$115:$C$3257,Input!$A$115:$A$3257,"="&amp;'Output - County'!A2506,Input!$B$115:$B$3257,"="&amp;'Output - County'!B2506)*VLOOKUP(A2506,'Output - State'!$B$2:$G$52,5,FALSE)</f>
        <v>12.762040113476173</v>
      </c>
      <c r="G2506" s="99">
        <f>SUMIFS(Input!$D$115:$D$3257,Input!$A$115:$A$3257,"="&amp;'Output - County'!A2506,Input!$B$115:$B$3257,"="&amp;'Output - County'!B2506)*VLOOKUP(A2506,'Output - State'!$B$2:$G$52,6,FALSE)</f>
        <v>3.2708108901217536</v>
      </c>
    </row>
    <row r="2507" spans="1:7" x14ac:dyDescent="0.25">
      <c r="A2507" s="88">
        <v>47</v>
      </c>
      <c r="B2507" s="88">
        <v>155</v>
      </c>
      <c r="C2507" s="97">
        <f>SUMIFS(Input!$C$115:$C$3257,Input!$A$115:$A$3257,"="&amp;'Output - County'!A2507,Input!$B$115:$B$3257,"="&amp;'Output - County'!B2507)*VLOOKUP(A2507,'Output - State'!$B$2:$G$52,2,FALSE)</f>
        <v>35.159173678647043</v>
      </c>
      <c r="D2507" s="98">
        <f>SUMIFS(Input!$C$115:$C$3257,Input!$A$115:$A$3257,"="&amp;'Output - County'!A2507,Input!$B$115:$B$3257,"="&amp;'Output - County'!B2507)*VLOOKUP(A2507,'Output - State'!$B$2:$G$52,3,FALSE)</f>
        <v>2.8031685797069819</v>
      </c>
      <c r="E2507" s="98">
        <f>SUMIFS(Input!$C$115:$C$3257,Input!$A$115:$A$3257,"="&amp;'Output - County'!A2507,Input!$B$115:$B$3257,"="&amp;'Output - County'!B2507)*VLOOKUP(A2507,'Output - State'!$B$2:$G$52,4,FALSE)</f>
        <v>33.608612994004957</v>
      </c>
      <c r="F2507" s="98">
        <f>SUMIFS(Input!$C$115:$C$3257,Input!$A$115:$A$3257,"="&amp;'Output - County'!A2507,Input!$B$115:$B$3257,"="&amp;'Output - County'!B2507)*VLOOKUP(A2507,'Output - State'!$B$2:$G$52,5,FALSE)</f>
        <v>110.19308488021254</v>
      </c>
      <c r="G2507" s="99">
        <f>SUMIFS(Input!$D$115:$D$3257,Input!$A$115:$A$3257,"="&amp;'Output - County'!A2507,Input!$B$115:$B$3257,"="&amp;'Output - County'!B2507)*VLOOKUP(A2507,'Output - State'!$B$2:$G$52,6,FALSE)</f>
        <v>21.490764170665749</v>
      </c>
    </row>
    <row r="2508" spans="1:7" x14ac:dyDescent="0.25">
      <c r="A2508" s="88">
        <v>47</v>
      </c>
      <c r="B2508" s="88">
        <v>157</v>
      </c>
      <c r="C2508" s="97">
        <f>SUMIFS(Input!$C$115:$C$3257,Input!$A$115:$A$3257,"="&amp;'Output - County'!A2508,Input!$B$115:$B$3257,"="&amp;'Output - County'!B2508)*VLOOKUP(A2508,'Output - State'!$B$2:$G$52,2,FALSE)</f>
        <v>279.20810795286883</v>
      </c>
      <c r="D2508" s="98">
        <f>SUMIFS(Input!$C$115:$C$3257,Input!$A$115:$A$3257,"="&amp;'Output - County'!A2508,Input!$B$115:$B$3257,"="&amp;'Output - County'!B2508)*VLOOKUP(A2508,'Output - State'!$B$2:$G$52,3,FALSE)</f>
        <v>22.260687994730901</v>
      </c>
      <c r="E2508" s="98">
        <f>SUMIFS(Input!$C$115:$C$3257,Input!$A$115:$A$3257,"="&amp;'Output - County'!A2508,Input!$B$115:$B$3257,"="&amp;'Output - County'!B2508)*VLOOKUP(A2508,'Output - State'!$B$2:$G$52,4,FALSE)</f>
        <v>266.89470380458107</v>
      </c>
      <c r="F2508" s="98">
        <f>SUMIFS(Input!$C$115:$C$3257,Input!$A$115:$A$3257,"="&amp;'Output - County'!A2508,Input!$B$115:$B$3257,"="&amp;'Output - County'!B2508)*VLOOKUP(A2508,'Output - State'!$B$2:$G$52,5,FALSE)</f>
        <v>875.07183815242468</v>
      </c>
      <c r="G2508" s="99">
        <f>SUMIFS(Input!$D$115:$D$3257,Input!$A$115:$A$3257,"="&amp;'Output - County'!A2508,Input!$B$115:$B$3257,"="&amp;'Output - County'!B2508)*VLOOKUP(A2508,'Output - State'!$B$2:$G$52,6,FALSE)</f>
        <v>205.46838880227929</v>
      </c>
    </row>
    <row r="2509" spans="1:7" x14ac:dyDescent="0.25">
      <c r="A2509" s="88">
        <v>47</v>
      </c>
      <c r="B2509" s="88">
        <v>159</v>
      </c>
      <c r="C2509" s="97">
        <f>SUMIFS(Input!$C$115:$C$3257,Input!$A$115:$A$3257,"="&amp;'Output - County'!A2509,Input!$B$115:$B$3257,"="&amp;'Output - County'!B2509)*VLOOKUP(A2509,'Output - State'!$B$2:$G$52,2,FALSE)</f>
        <v>11.385482404433956</v>
      </c>
      <c r="D2509" s="98">
        <f>SUMIFS(Input!$C$115:$C$3257,Input!$A$115:$A$3257,"="&amp;'Output - County'!A2509,Input!$B$115:$B$3257,"="&amp;'Output - County'!B2509)*VLOOKUP(A2509,'Output - State'!$B$2:$G$52,3,FALSE)</f>
        <v>0.90774108722296054</v>
      </c>
      <c r="E2509" s="98">
        <f>SUMIFS(Input!$C$115:$C$3257,Input!$A$115:$A$3257,"="&amp;'Output - County'!A2509,Input!$B$115:$B$3257,"="&amp;'Output - County'!B2509)*VLOOKUP(A2509,'Output - State'!$B$2:$G$52,4,FALSE)</f>
        <v>10.883369312887632</v>
      </c>
      <c r="F2509" s="98">
        <f>SUMIFS(Input!$C$115:$C$3257,Input!$A$115:$A$3257,"="&amp;'Output - County'!A2509,Input!$B$115:$B$3257,"="&amp;'Output - County'!B2509)*VLOOKUP(A2509,'Output - State'!$B$2:$G$52,5,FALSE)</f>
        <v>35.683473123144097</v>
      </c>
      <c r="G2509" s="99">
        <f>SUMIFS(Input!$D$115:$D$3257,Input!$A$115:$A$3257,"="&amp;'Output - County'!A2509,Input!$B$115:$B$3257,"="&amp;'Output - County'!B2509)*VLOOKUP(A2509,'Output - State'!$B$2:$G$52,6,FALSE)</f>
        <v>4.3903501880828903</v>
      </c>
    </row>
    <row r="2510" spans="1:7" x14ac:dyDescent="0.25">
      <c r="A2510" s="88">
        <v>47</v>
      </c>
      <c r="B2510" s="88">
        <v>161</v>
      </c>
      <c r="C2510" s="97">
        <f>SUMIFS(Input!$C$115:$C$3257,Input!$A$115:$A$3257,"="&amp;'Output - County'!A2510,Input!$B$115:$B$3257,"="&amp;'Output - County'!B2510)*VLOOKUP(A2510,'Output - State'!$B$2:$G$52,2,FALSE)</f>
        <v>3.6328026150265234</v>
      </c>
      <c r="D2510" s="98">
        <f>SUMIFS(Input!$C$115:$C$3257,Input!$A$115:$A$3257,"="&amp;'Output - County'!A2510,Input!$B$115:$B$3257,"="&amp;'Output - County'!B2510)*VLOOKUP(A2510,'Output - State'!$B$2:$G$52,3,FALSE)</f>
        <v>0.28963587824318782</v>
      </c>
      <c r="E2510" s="98">
        <f>SUMIFS(Input!$C$115:$C$3257,Input!$A$115:$A$3257,"="&amp;'Output - County'!A2510,Input!$B$115:$B$3257,"="&amp;'Output - County'!B2510)*VLOOKUP(A2510,'Output - State'!$B$2:$G$52,4,FALSE)</f>
        <v>3.4725917704427074</v>
      </c>
      <c r="F2510" s="98">
        <f>SUMIFS(Input!$C$115:$C$3257,Input!$A$115:$A$3257,"="&amp;'Output - County'!A2510,Input!$B$115:$B$3257,"="&amp;'Output - County'!B2510)*VLOOKUP(A2510,'Output - State'!$B$2:$G$52,5,FALSE)</f>
        <v>11.385640930287073</v>
      </c>
      <c r="G2510" s="99">
        <f>SUMIFS(Input!$D$115:$D$3257,Input!$A$115:$A$3257,"="&amp;'Output - County'!A2510,Input!$B$115:$B$3257,"="&amp;'Output - County'!B2510)*VLOOKUP(A2510,'Output - State'!$B$2:$G$52,6,FALSE)</f>
        <v>2.9854381278963658</v>
      </c>
    </row>
    <row r="2511" spans="1:7" x14ac:dyDescent="0.25">
      <c r="A2511" s="88">
        <v>47</v>
      </c>
      <c r="B2511" s="88">
        <v>163</v>
      </c>
      <c r="C2511" s="97">
        <f>SUMIFS(Input!$C$115:$C$3257,Input!$A$115:$A$3257,"="&amp;'Output - County'!A2511,Input!$B$115:$B$3257,"="&amp;'Output - County'!B2511)*VLOOKUP(A2511,'Output - State'!$B$2:$G$52,2,FALSE)</f>
        <v>45.512698223618457</v>
      </c>
      <c r="D2511" s="98">
        <f>SUMIFS(Input!$C$115:$C$3257,Input!$A$115:$A$3257,"="&amp;'Output - County'!A2511,Input!$B$115:$B$3257,"="&amp;'Output - County'!B2511)*VLOOKUP(A2511,'Output - State'!$B$2:$G$52,3,FALSE)</f>
        <v>3.6286337899805385</v>
      </c>
      <c r="E2511" s="98">
        <f>SUMIFS(Input!$C$115:$C$3257,Input!$A$115:$A$3257,"="&amp;'Output - County'!A2511,Input!$B$115:$B$3257,"="&amp;'Output - County'!B2511)*VLOOKUP(A2511,'Output - State'!$B$2:$G$52,4,FALSE)</f>
        <v>43.505534996105474</v>
      </c>
      <c r="F2511" s="98">
        <f>SUMIFS(Input!$C$115:$C$3257,Input!$A$115:$A$3257,"="&amp;'Output - County'!A2511,Input!$B$115:$B$3257,"="&amp;'Output - County'!B2511)*VLOOKUP(A2511,'Output - State'!$B$2:$G$52,5,FALSE)</f>
        <v>142.64227778278305</v>
      </c>
      <c r="G2511" s="99">
        <f>SUMIFS(Input!$D$115:$D$3257,Input!$A$115:$A$3257,"="&amp;'Output - County'!A2511,Input!$B$115:$B$3257,"="&amp;'Output - County'!B2511)*VLOOKUP(A2511,'Output - State'!$B$2:$G$52,6,FALSE)</f>
        <v>34.683766485854832</v>
      </c>
    </row>
    <row r="2512" spans="1:7" x14ac:dyDescent="0.25">
      <c r="A2512" s="88">
        <v>47</v>
      </c>
      <c r="B2512" s="88">
        <v>165</v>
      </c>
      <c r="C2512" s="97">
        <f>SUMIFS(Input!$C$115:$C$3257,Input!$A$115:$A$3257,"="&amp;'Output - County'!A2512,Input!$B$115:$B$3257,"="&amp;'Output - County'!B2512)*VLOOKUP(A2512,'Output - State'!$B$2:$G$52,2,FALSE)</f>
        <v>44.247665956037117</v>
      </c>
      <c r="D2512" s="98">
        <f>SUMIFS(Input!$C$115:$C$3257,Input!$A$115:$A$3257,"="&amp;'Output - County'!A2512,Input!$B$115:$B$3257,"="&amp;'Output - County'!B2512)*VLOOKUP(A2512,'Output - State'!$B$2:$G$52,3,FALSE)</f>
        <v>3.5277753700071166</v>
      </c>
      <c r="E2512" s="98">
        <f>SUMIFS(Input!$C$115:$C$3257,Input!$A$115:$A$3257,"="&amp;'Output - County'!A2512,Input!$B$115:$B$3257,"="&amp;'Output - County'!B2512)*VLOOKUP(A2512,'Output - State'!$B$2:$G$52,4,FALSE)</f>
        <v>42.296292131222941</v>
      </c>
      <c r="F2512" s="98">
        <f>SUMIFS(Input!$C$115:$C$3257,Input!$A$115:$A$3257,"="&amp;'Output - County'!A2512,Input!$B$115:$B$3257,"="&amp;'Output - County'!B2512)*VLOOKUP(A2512,'Output - State'!$B$2:$G$52,5,FALSE)</f>
        <v>138.67751429568048</v>
      </c>
      <c r="G2512" s="99">
        <f>SUMIFS(Input!$D$115:$D$3257,Input!$A$115:$A$3257,"="&amp;'Output - County'!A2512,Input!$B$115:$B$3257,"="&amp;'Output - County'!B2512)*VLOOKUP(A2512,'Output - State'!$B$2:$G$52,6,FALSE)</f>
        <v>41.049774258575027</v>
      </c>
    </row>
    <row r="2513" spans="1:7" x14ac:dyDescent="0.25">
      <c r="A2513" s="88">
        <v>47</v>
      </c>
      <c r="B2513" s="88">
        <v>167</v>
      </c>
      <c r="C2513" s="97">
        <f>SUMIFS(Input!$C$115:$C$3257,Input!$A$115:$A$3257,"="&amp;'Output - County'!A2513,Input!$B$115:$B$3257,"="&amp;'Output - County'!B2513)*VLOOKUP(A2513,'Output - State'!$B$2:$G$52,2,FALSE)</f>
        <v>10.456844120759937</v>
      </c>
      <c r="D2513" s="98">
        <f>SUMIFS(Input!$C$115:$C$3257,Input!$A$115:$A$3257,"="&amp;'Output - County'!A2513,Input!$B$115:$B$3257,"="&amp;'Output - County'!B2513)*VLOOKUP(A2513,'Output - State'!$B$2:$G$52,3,FALSE)</f>
        <v>0.83370266747793209</v>
      </c>
      <c r="E2513" s="98">
        <f>SUMIFS(Input!$C$115:$C$3257,Input!$A$115:$A$3257,"="&amp;'Output - County'!A2513,Input!$B$115:$B$3257,"="&amp;'Output - County'!B2513)*VLOOKUP(A2513,'Output - State'!$B$2:$G$52,4,FALSE)</f>
        <v>9.9956850637446628</v>
      </c>
      <c r="F2513" s="98">
        <f>SUMIFS(Input!$C$115:$C$3257,Input!$A$115:$A$3257,"="&amp;'Output - County'!A2513,Input!$B$115:$B$3257,"="&amp;'Output - County'!B2513)*VLOOKUP(A2513,'Output - State'!$B$2:$G$52,5,FALSE)</f>
        <v>32.773008896902823</v>
      </c>
      <c r="G2513" s="99">
        <f>SUMIFS(Input!$D$115:$D$3257,Input!$A$115:$A$3257,"="&amp;'Output - County'!A2513,Input!$B$115:$B$3257,"="&amp;'Output - County'!B2513)*VLOOKUP(A2513,'Output - State'!$B$2:$G$52,6,FALSE)</f>
        <v>13.522278579295303</v>
      </c>
    </row>
    <row r="2514" spans="1:7" x14ac:dyDescent="0.25">
      <c r="A2514" s="88">
        <v>47</v>
      </c>
      <c r="B2514" s="88">
        <v>169</v>
      </c>
      <c r="C2514" s="97">
        <f>SUMIFS(Input!$C$115:$C$3257,Input!$A$115:$A$3257,"="&amp;'Output - County'!A2514,Input!$B$115:$B$3257,"="&amp;'Output - County'!B2514)*VLOOKUP(A2514,'Output - State'!$B$2:$G$52,2,FALSE)</f>
        <v>2.3548023589350353</v>
      </c>
      <c r="D2514" s="98">
        <f>SUMIFS(Input!$C$115:$C$3257,Input!$A$115:$A$3257,"="&amp;'Output - County'!A2514,Input!$B$115:$B$3257,"="&amp;'Output - County'!B2514)*VLOOKUP(A2514,'Output - State'!$B$2:$G$52,3,FALSE)</f>
        <v>0.18774354722663614</v>
      </c>
      <c r="E2514" s="98">
        <f>SUMIFS(Input!$C$115:$C$3257,Input!$A$115:$A$3257,"="&amp;'Output - County'!A2514,Input!$B$115:$B$3257,"="&amp;'Output - County'!B2514)*VLOOKUP(A2514,'Output - State'!$B$2:$G$52,4,FALSE)</f>
        <v>2.2509528205118783</v>
      </c>
      <c r="F2514" s="98">
        <f>SUMIFS(Input!$C$115:$C$3257,Input!$A$115:$A$3257,"="&amp;'Output - County'!A2514,Input!$B$115:$B$3257,"="&amp;'Output - County'!B2514)*VLOOKUP(A2514,'Output - State'!$B$2:$G$52,5,FALSE)</f>
        <v>7.380234205328974</v>
      </c>
      <c r="G2514" s="99">
        <f>SUMIFS(Input!$D$115:$D$3257,Input!$A$115:$A$3257,"="&amp;'Output - County'!A2514,Input!$B$115:$B$3257,"="&amp;'Output - County'!B2514)*VLOOKUP(A2514,'Output - State'!$B$2:$G$52,6,FALSE)</f>
        <v>2.41469260344559</v>
      </c>
    </row>
    <row r="2515" spans="1:7" x14ac:dyDescent="0.25">
      <c r="A2515" s="88">
        <v>47</v>
      </c>
      <c r="B2515" s="88">
        <v>171</v>
      </c>
      <c r="C2515" s="97">
        <f>SUMIFS(Input!$C$115:$C$3257,Input!$A$115:$A$3257,"="&amp;'Output - County'!A2515,Input!$B$115:$B$3257,"="&amp;'Output - County'!B2515)*VLOOKUP(A2515,'Output - State'!$B$2:$G$52,2,FALSE)</f>
        <v>6.0920494462042036</v>
      </c>
      <c r="D2515" s="98">
        <f>SUMIFS(Input!$C$115:$C$3257,Input!$A$115:$A$3257,"="&amp;'Output - County'!A2515,Input!$B$115:$B$3257,"="&amp;'Output - County'!B2515)*VLOOKUP(A2515,'Output - State'!$B$2:$G$52,3,FALSE)</f>
        <v>0.48570656835408543</v>
      </c>
      <c r="E2515" s="98">
        <f>SUMIFS(Input!$C$115:$C$3257,Input!$A$115:$A$3257,"="&amp;'Output - County'!A2515,Input!$B$115:$B$3257,"="&amp;'Output - County'!B2515)*VLOOKUP(A2515,'Output - State'!$B$2:$G$52,4,FALSE)</f>
        <v>5.8233829398034374</v>
      </c>
      <c r="F2515" s="98">
        <f>SUMIFS(Input!$C$115:$C$3257,Input!$A$115:$A$3257,"="&amp;'Output - County'!A2515,Input!$B$115:$B$3257,"="&amp;'Output - County'!B2515)*VLOOKUP(A2515,'Output - State'!$B$2:$G$52,5,FALSE)</f>
        <v>19.093216690918084</v>
      </c>
      <c r="G2515" s="99">
        <f>SUMIFS(Input!$D$115:$D$3257,Input!$A$115:$A$3257,"="&amp;'Output - County'!A2515,Input!$B$115:$B$3257,"="&amp;'Output - County'!B2515)*VLOOKUP(A2515,'Output - State'!$B$2:$G$52,6,FALSE)</f>
        <v>3.9074116673937724</v>
      </c>
    </row>
    <row r="2516" spans="1:7" x14ac:dyDescent="0.25">
      <c r="A2516" s="88">
        <v>47</v>
      </c>
      <c r="B2516" s="88">
        <v>173</v>
      </c>
      <c r="C2516" s="97">
        <f>SUMIFS(Input!$C$115:$C$3257,Input!$A$115:$A$3257,"="&amp;'Output - County'!A2516,Input!$B$115:$B$3257,"="&amp;'Output - County'!B2516)*VLOOKUP(A2516,'Output - State'!$B$2:$G$52,2,FALSE)</f>
        <v>3.6866053888632813</v>
      </c>
      <c r="D2516" s="98">
        <f>SUMIFS(Input!$C$115:$C$3257,Input!$A$115:$A$3257,"="&amp;'Output - County'!A2516,Input!$B$115:$B$3257,"="&amp;'Output - County'!B2516)*VLOOKUP(A2516,'Output - State'!$B$2:$G$52,3,FALSE)</f>
        <v>0.29392546270551767</v>
      </c>
      <c r="E2516" s="98">
        <f>SUMIFS(Input!$C$115:$C$3257,Input!$A$115:$A$3257,"="&amp;'Output - County'!A2516,Input!$B$115:$B$3257,"="&amp;'Output - County'!B2516)*VLOOKUP(A2516,'Output - State'!$B$2:$G$52,4,FALSE)</f>
        <v>3.5240217790205759</v>
      </c>
      <c r="F2516" s="98">
        <f>SUMIFS(Input!$C$115:$C$3257,Input!$A$115:$A$3257,"="&amp;'Output - County'!A2516,Input!$B$115:$B$3257,"="&amp;'Output - County'!B2516)*VLOOKUP(A2516,'Output - State'!$B$2:$G$52,5,FALSE)</f>
        <v>11.55426530349825</v>
      </c>
      <c r="G2516" s="99">
        <f>SUMIFS(Input!$D$115:$D$3257,Input!$A$115:$A$3257,"="&amp;'Output - County'!A2516,Input!$B$115:$B$3257,"="&amp;'Output - County'!B2516)*VLOOKUP(A2516,'Output - State'!$B$2:$G$52,6,FALSE)</f>
        <v>4.3244949352616473</v>
      </c>
    </row>
    <row r="2517" spans="1:7" x14ac:dyDescent="0.25">
      <c r="A2517" s="88">
        <v>47</v>
      </c>
      <c r="B2517" s="88">
        <v>175</v>
      </c>
      <c r="C2517" s="97">
        <f>SUMIFS(Input!$C$115:$C$3257,Input!$A$115:$A$3257,"="&amp;'Output - County'!A2517,Input!$B$115:$B$3257,"="&amp;'Output - County'!B2517)*VLOOKUP(A2517,'Output - State'!$B$2:$G$52,2,FALSE)</f>
        <v>1.6470421820013799</v>
      </c>
      <c r="D2517" s="98">
        <f>SUMIFS(Input!$C$115:$C$3257,Input!$A$115:$A$3257,"="&amp;'Output - County'!A2517,Input!$B$115:$B$3257,"="&amp;'Output - County'!B2517)*VLOOKUP(A2517,'Output - State'!$B$2:$G$52,3,FALSE)</f>
        <v>0.13131528448981342</v>
      </c>
      <c r="E2517" s="98">
        <f>SUMIFS(Input!$C$115:$C$3257,Input!$A$115:$A$3257,"="&amp;'Output - County'!A2517,Input!$B$115:$B$3257,"="&amp;'Output - County'!B2517)*VLOOKUP(A2517,'Output - State'!$B$2:$G$52,4,FALSE)</f>
        <v>1.5744056952426064</v>
      </c>
      <c r="F2517" s="98">
        <f>SUMIFS(Input!$C$115:$C$3257,Input!$A$115:$A$3257,"="&amp;'Output - County'!A2517,Input!$B$115:$B$3257,"="&amp;'Output - County'!B2517)*VLOOKUP(A2517,'Output - State'!$B$2:$G$52,5,FALSE)</f>
        <v>5.1620285681740317</v>
      </c>
      <c r="G2517" s="99">
        <f>SUMIFS(Input!$D$115:$D$3257,Input!$A$115:$A$3257,"="&amp;'Output - County'!A2517,Input!$B$115:$B$3257,"="&amp;'Output - County'!B2517)*VLOOKUP(A2517,'Output - State'!$B$2:$G$52,6,FALSE)</f>
        <v>1.2644208541678725</v>
      </c>
    </row>
    <row r="2518" spans="1:7" x14ac:dyDescent="0.25">
      <c r="A2518" s="88">
        <v>47</v>
      </c>
      <c r="B2518" s="88">
        <v>177</v>
      </c>
      <c r="C2518" s="97">
        <f>SUMIFS(Input!$C$115:$C$3257,Input!$A$115:$A$3257,"="&amp;'Output - County'!A2518,Input!$B$115:$B$3257,"="&amp;'Output - County'!B2518)*VLOOKUP(A2518,'Output - State'!$B$2:$G$52,2,FALSE)</f>
        <v>9.2780334922632139</v>
      </c>
      <c r="D2518" s="98">
        <f>SUMIFS(Input!$C$115:$C$3257,Input!$A$115:$A$3257,"="&amp;'Output - County'!A2518,Input!$B$115:$B$3257,"="&amp;'Output - County'!B2518)*VLOOKUP(A2518,'Output - State'!$B$2:$G$52,3,FALSE)</f>
        <v>0.73971852139336414</v>
      </c>
      <c r="E2518" s="98">
        <f>SUMIFS(Input!$C$115:$C$3257,Input!$A$115:$A$3257,"="&amp;'Output - County'!A2518,Input!$B$115:$B$3257,"="&amp;'Output - County'!B2518)*VLOOKUP(A2518,'Output - State'!$B$2:$G$52,4,FALSE)</f>
        <v>8.8688613628103266</v>
      </c>
      <c r="F2518" s="98">
        <f>SUMIFS(Input!$C$115:$C$3257,Input!$A$115:$A$3257,"="&amp;'Output - County'!A2518,Input!$B$115:$B$3257,"="&amp;'Output - County'!B2518)*VLOOKUP(A2518,'Output - State'!$B$2:$G$52,5,FALSE)</f>
        <v>29.078474411226743</v>
      </c>
      <c r="G2518" s="99">
        <f>SUMIFS(Input!$D$115:$D$3257,Input!$A$115:$A$3257,"="&amp;'Output - County'!A2518,Input!$B$115:$B$3257,"="&amp;'Output - County'!B2518)*VLOOKUP(A2518,'Output - State'!$B$2:$G$52,6,FALSE)</f>
        <v>8.9563143836890973</v>
      </c>
    </row>
    <row r="2519" spans="1:7" x14ac:dyDescent="0.25">
      <c r="A2519" s="88">
        <v>47</v>
      </c>
      <c r="B2519" s="88">
        <v>179</v>
      </c>
      <c r="C2519" s="97">
        <f>SUMIFS(Input!$C$115:$C$3257,Input!$A$115:$A$3257,"="&amp;'Output - County'!A2519,Input!$B$115:$B$3257,"="&amp;'Output - County'!B2519)*VLOOKUP(A2519,'Output - State'!$B$2:$G$52,2,FALSE)</f>
        <v>34.356690320570792</v>
      </c>
      <c r="D2519" s="98">
        <f>SUMIFS(Input!$C$115:$C$3257,Input!$A$115:$A$3257,"="&amp;'Output - County'!A2519,Input!$B$115:$B$3257,"="&amp;'Output - County'!B2519)*VLOOKUP(A2519,'Output - State'!$B$2:$G$52,3,FALSE)</f>
        <v>2.7391882326243859</v>
      </c>
      <c r="E2519" s="98">
        <f>SUMIFS(Input!$C$115:$C$3257,Input!$A$115:$A$3257,"="&amp;'Output - County'!A2519,Input!$B$115:$B$3257,"="&amp;'Output - County'!B2519)*VLOOKUP(A2519,'Output - State'!$B$2:$G$52,4,FALSE)</f>
        <v>32.841520090678443</v>
      </c>
      <c r="F2519" s="98">
        <f>SUMIFS(Input!$C$115:$C$3257,Input!$A$115:$A$3257,"="&amp;'Output - County'!A2519,Input!$B$115:$B$3257,"="&amp;'Output - County'!B2519)*VLOOKUP(A2519,'Output - State'!$B$2:$G$52,5,FALSE)</f>
        <v>107.67800538489553</v>
      </c>
      <c r="G2519" s="99">
        <f>SUMIFS(Input!$D$115:$D$3257,Input!$A$115:$A$3257,"="&amp;'Output - County'!A2519,Input!$B$115:$B$3257,"="&amp;'Output - County'!B2519)*VLOOKUP(A2519,'Output - State'!$B$2:$G$52,6,FALSE)</f>
        <v>28.317758713134644</v>
      </c>
    </row>
    <row r="2520" spans="1:7" x14ac:dyDescent="0.25">
      <c r="A2520" s="88">
        <v>47</v>
      </c>
      <c r="B2520" s="88">
        <v>181</v>
      </c>
      <c r="C2520" s="97">
        <f>SUMIFS(Input!$C$115:$C$3257,Input!$A$115:$A$3257,"="&amp;'Output - County'!A2520,Input!$B$115:$B$3257,"="&amp;'Output - County'!B2520)*VLOOKUP(A2520,'Output - State'!$B$2:$G$52,2,FALSE)</f>
        <v>3.2658942367395283</v>
      </c>
      <c r="D2520" s="98">
        <f>SUMIFS(Input!$C$115:$C$3257,Input!$A$115:$A$3257,"="&amp;'Output - County'!A2520,Input!$B$115:$B$3257,"="&amp;'Output - County'!B2520)*VLOOKUP(A2520,'Output - State'!$B$2:$G$52,3,FALSE)</f>
        <v>0.26038302813226549</v>
      </c>
      <c r="E2520" s="98">
        <f>SUMIFS(Input!$C$115:$C$3257,Input!$A$115:$A$3257,"="&amp;'Output - County'!A2520,Input!$B$115:$B$3257,"="&amp;'Output - County'!B2520)*VLOOKUP(A2520,'Output - State'!$B$2:$G$52,4,FALSE)</f>
        <v>3.121864480808064</v>
      </c>
      <c r="F2520" s="98">
        <f>SUMIFS(Input!$C$115:$C$3257,Input!$A$115:$A$3257,"="&amp;'Output - County'!A2520,Input!$B$115:$B$3257,"="&amp;'Output - County'!B2520)*VLOOKUP(A2520,'Output - State'!$B$2:$G$52,5,FALSE)</f>
        <v>10.235705882285803</v>
      </c>
      <c r="G2520" s="99">
        <f>SUMIFS(Input!$D$115:$D$3257,Input!$A$115:$A$3257,"="&amp;'Output - County'!A2520,Input!$B$115:$B$3257,"="&amp;'Output - County'!B2520)*VLOOKUP(A2520,'Output - State'!$B$2:$G$52,6,FALSE)</f>
        <v>3.6439906561087989</v>
      </c>
    </row>
    <row r="2521" spans="1:7" x14ac:dyDescent="0.25">
      <c r="A2521" s="88">
        <v>47</v>
      </c>
      <c r="B2521" s="88">
        <v>183</v>
      </c>
      <c r="C2521" s="97">
        <f>SUMIFS(Input!$C$115:$C$3257,Input!$A$115:$A$3257,"="&amp;'Output - County'!A2521,Input!$B$115:$B$3257,"="&amp;'Output - County'!B2521)*VLOOKUP(A2521,'Output - State'!$B$2:$G$52,2,FALSE)</f>
        <v>7.9588445384301352</v>
      </c>
      <c r="D2521" s="98">
        <f>SUMIFS(Input!$C$115:$C$3257,Input!$A$115:$A$3257,"="&amp;'Output - County'!A2521,Input!$B$115:$B$3257,"="&amp;'Output - County'!B2521)*VLOOKUP(A2521,'Output - State'!$B$2:$G$52,3,FALSE)</f>
        <v>0.634542300248917</v>
      </c>
      <c r="E2521" s="98">
        <f>SUMIFS(Input!$C$115:$C$3257,Input!$A$115:$A$3257,"="&amp;'Output - County'!A2521,Input!$B$115:$B$3257,"="&amp;'Output - County'!B2521)*VLOOKUP(A2521,'Output - State'!$B$2:$G$52,4,FALSE)</f>
        <v>7.6078501848864128</v>
      </c>
      <c r="F2521" s="98">
        <f>SUMIFS(Input!$C$115:$C$3257,Input!$A$115:$A$3257,"="&amp;'Output - County'!A2521,Input!$B$115:$B$3257,"="&amp;'Output - County'!B2521)*VLOOKUP(A2521,'Output - State'!$B$2:$G$52,5,FALSE)</f>
        <v>24.94397734677921</v>
      </c>
      <c r="G2521" s="99">
        <f>SUMIFS(Input!$D$115:$D$3257,Input!$A$115:$A$3257,"="&amp;'Output - County'!A2521,Input!$B$115:$B$3257,"="&amp;'Output - County'!B2521)*VLOOKUP(A2521,'Output - State'!$B$2:$G$52,6,FALSE)</f>
        <v>7.3318848140984274</v>
      </c>
    </row>
    <row r="2522" spans="1:7" x14ac:dyDescent="0.25">
      <c r="A2522" s="88">
        <v>47</v>
      </c>
      <c r="B2522" s="88">
        <v>185</v>
      </c>
      <c r="C2522" s="97">
        <f>SUMIFS(Input!$C$115:$C$3257,Input!$A$115:$A$3257,"="&amp;'Output - County'!A2522,Input!$B$115:$B$3257,"="&amp;'Output - County'!B2522)*VLOOKUP(A2522,'Output - State'!$B$2:$G$52,2,FALSE)</f>
        <v>6.7518935529135486</v>
      </c>
      <c r="D2522" s="98">
        <f>SUMIFS(Input!$C$115:$C$3257,Input!$A$115:$A$3257,"="&amp;'Output - County'!A2522,Input!$B$115:$B$3257,"="&amp;'Output - County'!B2522)*VLOOKUP(A2522,'Output - State'!$B$2:$G$52,3,FALSE)</f>
        <v>0.53831458139609256</v>
      </c>
      <c r="E2522" s="98">
        <f>SUMIFS(Input!$C$115:$C$3257,Input!$A$115:$A$3257,"="&amp;'Output - County'!A2522,Input!$B$115:$B$3257,"="&amp;'Output - County'!B2522)*VLOOKUP(A2522,'Output - State'!$B$2:$G$52,4,FALSE)</f>
        <v>6.4541271495923489</v>
      </c>
      <c r="F2522" s="98">
        <f>SUMIFS(Input!$C$115:$C$3257,Input!$A$115:$A$3257,"="&amp;'Output - County'!A2522,Input!$B$115:$B$3257,"="&amp;'Output - County'!B2522)*VLOOKUP(A2522,'Output - State'!$B$2:$G$52,5,FALSE)</f>
        <v>21.161247592977922</v>
      </c>
      <c r="G2522" s="99">
        <f>SUMIFS(Input!$D$115:$D$3257,Input!$A$115:$A$3257,"="&amp;'Output - County'!A2522,Input!$B$115:$B$3257,"="&amp;'Output - County'!B2522)*VLOOKUP(A2522,'Output - State'!$B$2:$G$52,6,FALSE)</f>
        <v>5.9489245048523172</v>
      </c>
    </row>
    <row r="2523" spans="1:7" x14ac:dyDescent="0.25">
      <c r="A2523" s="88">
        <v>47</v>
      </c>
      <c r="B2523" s="88">
        <v>187</v>
      </c>
      <c r="C2523" s="97">
        <f>SUMIFS(Input!$C$115:$C$3257,Input!$A$115:$A$3257,"="&amp;'Output - County'!A2523,Input!$B$115:$B$3257,"="&amp;'Output - County'!B2523)*VLOOKUP(A2523,'Output - State'!$B$2:$G$52,2,FALSE)</f>
        <v>77.755583640215505</v>
      </c>
      <c r="D2523" s="98">
        <f>SUMIFS(Input!$C$115:$C$3257,Input!$A$115:$A$3257,"="&amp;'Output - County'!A2523,Input!$B$115:$B$3257,"="&amp;'Output - County'!B2523)*VLOOKUP(A2523,'Output - State'!$B$2:$G$52,3,FALSE)</f>
        <v>6.1992927066259114</v>
      </c>
      <c r="E2523" s="98">
        <f>SUMIFS(Input!$C$115:$C$3257,Input!$A$115:$A$3257,"="&amp;'Output - County'!A2523,Input!$B$115:$B$3257,"="&amp;'Output - County'!B2523)*VLOOKUP(A2523,'Output - State'!$B$2:$G$52,4,FALSE)</f>
        <v>74.326471451576694</v>
      </c>
      <c r="F2523" s="98">
        <f>SUMIFS(Input!$C$115:$C$3257,Input!$A$115:$A$3257,"="&amp;'Output - County'!A2523,Input!$B$115:$B$3257,"="&amp;'Output - County'!B2523)*VLOOKUP(A2523,'Output - State'!$B$2:$G$52,5,FALSE)</f>
        <v>243.69536401193491</v>
      </c>
      <c r="G2523" s="99">
        <f>SUMIFS(Input!$D$115:$D$3257,Input!$A$115:$A$3257,"="&amp;'Output - County'!A2523,Input!$B$115:$B$3257,"="&amp;'Output - County'!B2523)*VLOOKUP(A2523,'Output - State'!$B$2:$G$52,6,FALSE)</f>
        <v>50.928062181761533</v>
      </c>
    </row>
    <row r="2524" spans="1:7" x14ac:dyDescent="0.25">
      <c r="A2524" s="88">
        <v>47</v>
      </c>
      <c r="B2524" s="88">
        <v>189</v>
      </c>
      <c r="C2524" s="97">
        <f>SUMIFS(Input!$C$115:$C$3257,Input!$A$115:$A$3257,"="&amp;'Output - County'!A2524,Input!$B$115:$B$3257,"="&amp;'Output - County'!B2524)*VLOOKUP(A2524,'Output - State'!$B$2:$G$52,2,FALSE)</f>
        <v>50.299914003748007</v>
      </c>
      <c r="D2524" s="98">
        <f>SUMIFS(Input!$C$115:$C$3257,Input!$A$115:$A$3257,"="&amp;'Output - County'!A2524,Input!$B$115:$B$3257,"="&amp;'Output - County'!B2524)*VLOOKUP(A2524,'Output - State'!$B$2:$G$52,3,FALSE)</f>
        <v>4.0103086547480942</v>
      </c>
      <c r="E2524" s="98">
        <f>SUMIFS(Input!$C$115:$C$3257,Input!$A$115:$A$3257,"="&amp;'Output - County'!A2524,Input!$B$115:$B$3257,"="&amp;'Output - County'!B2524)*VLOOKUP(A2524,'Output - State'!$B$2:$G$52,4,FALSE)</f>
        <v>48.081628960762011</v>
      </c>
      <c r="F2524" s="98">
        <f>SUMIFS(Input!$C$115:$C$3257,Input!$A$115:$A$3257,"="&amp;'Output - County'!A2524,Input!$B$115:$B$3257,"="&amp;'Output - County'!B2524)*VLOOKUP(A2524,'Output - State'!$B$2:$G$52,5,FALSE)</f>
        <v>157.64598861003958</v>
      </c>
      <c r="G2524" s="99">
        <f>SUMIFS(Input!$D$115:$D$3257,Input!$A$115:$A$3257,"="&amp;'Output - County'!A2524,Input!$B$115:$B$3257,"="&amp;'Output - County'!B2524)*VLOOKUP(A2524,'Output - State'!$B$2:$G$52,6,FALSE)</f>
        <v>30.951968825984377</v>
      </c>
    </row>
    <row r="2525" spans="1:7" x14ac:dyDescent="0.25">
      <c r="A2525" s="88">
        <v>48</v>
      </c>
      <c r="B2525" s="88">
        <v>1</v>
      </c>
      <c r="C2525" s="97">
        <f>SUMIFS(Input!$C$115:$C$3257,Input!$A$115:$A$3257,"="&amp;'Output - County'!A2525,Input!$B$115:$B$3257,"="&amp;'Output - County'!B2525)*VLOOKUP(A2525,'Output - State'!$B$2:$G$52,2,FALSE)</f>
        <v>6.9425186122479188</v>
      </c>
      <c r="D2525" s="98">
        <f>SUMIFS(Input!$C$115:$C$3257,Input!$A$115:$A$3257,"="&amp;'Output - County'!A2525,Input!$B$115:$B$3257,"="&amp;'Output - County'!B2525)*VLOOKUP(A2525,'Output - State'!$B$2:$G$52,3,FALSE)</f>
        <v>1.157492787063986</v>
      </c>
      <c r="E2525" s="98">
        <f>SUMIFS(Input!$C$115:$C$3257,Input!$A$115:$A$3257,"="&amp;'Output - County'!A2525,Input!$B$115:$B$3257,"="&amp;'Output - County'!B2525)*VLOOKUP(A2525,'Output - State'!$B$2:$G$52,4,FALSE)</f>
        <v>15.232153031555706</v>
      </c>
      <c r="F2525" s="98">
        <f>SUMIFS(Input!$C$115:$C$3257,Input!$A$115:$A$3257,"="&amp;'Output - County'!A2525,Input!$B$115:$B$3257,"="&amp;'Output - County'!B2525)*VLOOKUP(A2525,'Output - State'!$B$2:$G$52,5,FALSE)</f>
        <v>27.991020435303135</v>
      </c>
      <c r="G2525" s="99">
        <f>SUMIFS(Input!$D$115:$D$3257,Input!$A$115:$A$3257,"="&amp;'Output - County'!A2525,Input!$B$115:$B$3257,"="&amp;'Output - County'!B2525)*VLOOKUP(A2525,'Output - State'!$B$2:$G$52,6,FALSE)</f>
        <v>11.460153256730171</v>
      </c>
    </row>
    <row r="2526" spans="1:7" x14ac:dyDescent="0.25">
      <c r="A2526" s="88">
        <v>48</v>
      </c>
      <c r="B2526" s="88">
        <v>3</v>
      </c>
      <c r="C2526" s="97">
        <f>SUMIFS(Input!$C$115:$C$3257,Input!$A$115:$A$3257,"="&amp;'Output - County'!A2526,Input!$B$115:$B$3257,"="&amp;'Output - County'!B2526)*VLOOKUP(A2526,'Output - State'!$B$2:$G$52,2,FALSE)</f>
        <v>4.8374758202483052</v>
      </c>
      <c r="D2526" s="98">
        <f>SUMIFS(Input!$C$115:$C$3257,Input!$A$115:$A$3257,"="&amp;'Output - County'!A2526,Input!$B$115:$B$3257,"="&amp;'Output - County'!B2526)*VLOOKUP(A2526,'Output - State'!$B$2:$G$52,3,FALSE)</f>
        <v>0.80652911173411179</v>
      </c>
      <c r="E2526" s="98">
        <f>SUMIFS(Input!$C$115:$C$3257,Input!$A$115:$A$3257,"="&amp;'Output - County'!A2526,Input!$B$115:$B$3257,"="&amp;'Output - County'!B2526)*VLOOKUP(A2526,'Output - State'!$B$2:$G$52,4,FALSE)</f>
        <v>10.613608129257017</v>
      </c>
      <c r="F2526" s="98">
        <f>SUMIFS(Input!$C$115:$C$3257,Input!$A$115:$A$3257,"="&amp;'Output - County'!A2526,Input!$B$115:$B$3257,"="&amp;'Output - County'!B2526)*VLOOKUP(A2526,'Output - State'!$B$2:$G$52,5,FALSE)</f>
        <v>19.503856179942169</v>
      </c>
      <c r="G2526" s="99">
        <f>SUMIFS(Input!$D$115:$D$3257,Input!$A$115:$A$3257,"="&amp;'Output - County'!A2526,Input!$B$115:$B$3257,"="&amp;'Output - County'!B2526)*VLOOKUP(A2526,'Output - State'!$B$2:$G$52,6,FALSE)</f>
        <v>3.5565992865714326</v>
      </c>
    </row>
    <row r="2527" spans="1:7" x14ac:dyDescent="0.25">
      <c r="A2527" s="88">
        <v>48</v>
      </c>
      <c r="B2527" s="88">
        <v>5</v>
      </c>
      <c r="C2527" s="97">
        <f>SUMIFS(Input!$C$115:$C$3257,Input!$A$115:$A$3257,"="&amp;'Output - County'!A2527,Input!$B$115:$B$3257,"="&amp;'Output - County'!B2527)*VLOOKUP(A2527,'Output - State'!$B$2:$G$52,2,FALSE)</f>
        <v>12.664025556906712</v>
      </c>
      <c r="D2527" s="98">
        <f>SUMIFS(Input!$C$115:$C$3257,Input!$A$115:$A$3257,"="&amp;'Output - County'!A2527,Input!$B$115:$B$3257,"="&amp;'Output - County'!B2527)*VLOOKUP(A2527,'Output - State'!$B$2:$G$52,3,FALSE)</f>
        <v>2.1114121626484503</v>
      </c>
      <c r="E2527" s="98">
        <f>SUMIFS(Input!$C$115:$C$3257,Input!$A$115:$A$3257,"="&amp;'Output - County'!A2527,Input!$B$115:$B$3257,"="&amp;'Output - County'!B2527)*VLOOKUP(A2527,'Output - State'!$B$2:$G$52,4,FALSE)</f>
        <v>27.785359471420456</v>
      </c>
      <c r="F2527" s="98">
        <f>SUMIFS(Input!$C$115:$C$3257,Input!$A$115:$A$3257,"="&amp;'Output - County'!A2527,Input!$B$115:$B$3257,"="&amp;'Output - County'!B2527)*VLOOKUP(A2527,'Output - State'!$B$2:$G$52,5,FALSE)</f>
        <v>51.059135445630467</v>
      </c>
      <c r="G2527" s="99">
        <f>SUMIFS(Input!$D$115:$D$3257,Input!$A$115:$A$3257,"="&amp;'Output - County'!A2527,Input!$B$115:$B$3257,"="&amp;'Output - County'!B2527)*VLOOKUP(A2527,'Output - State'!$B$2:$G$52,6,FALSE)</f>
        <v>17.150712115244463</v>
      </c>
    </row>
    <row r="2528" spans="1:7" x14ac:dyDescent="0.25">
      <c r="A2528" s="88">
        <v>48</v>
      </c>
      <c r="B2528" s="88">
        <v>7</v>
      </c>
      <c r="C2528" s="97">
        <f>SUMIFS(Input!$C$115:$C$3257,Input!$A$115:$A$3257,"="&amp;'Output - County'!A2528,Input!$B$115:$B$3257,"="&amp;'Output - County'!B2528)*VLOOKUP(A2528,'Output - State'!$B$2:$G$52,2,FALSE)</f>
        <v>3.2598069100316556</v>
      </c>
      <c r="D2528" s="98">
        <f>SUMIFS(Input!$C$115:$C$3257,Input!$A$115:$A$3257,"="&amp;'Output - County'!A2528,Input!$B$115:$B$3257,"="&amp;'Output - County'!B2528)*VLOOKUP(A2528,'Output - State'!$B$2:$G$52,3,FALSE)</f>
        <v>0.54349195102283721</v>
      </c>
      <c r="E2528" s="98">
        <f>SUMIFS(Input!$C$115:$C$3257,Input!$A$115:$A$3257,"="&amp;'Output - County'!A2528,Input!$B$115:$B$3257,"="&amp;'Output - County'!B2528)*VLOOKUP(A2528,'Output - State'!$B$2:$G$52,4,FALSE)</f>
        <v>7.1521418205960687</v>
      </c>
      <c r="F2528" s="98">
        <f>SUMIFS(Input!$C$115:$C$3257,Input!$A$115:$A$3257,"="&amp;'Output - County'!A2528,Input!$B$115:$B$3257,"="&amp;'Output - County'!B2528)*VLOOKUP(A2528,'Output - State'!$B$2:$G$52,5,FALSE)</f>
        <v>13.142971150680735</v>
      </c>
      <c r="G2528" s="99">
        <f>SUMIFS(Input!$D$115:$D$3257,Input!$A$115:$A$3257,"="&amp;'Output - County'!A2528,Input!$B$115:$B$3257,"="&amp;'Output - County'!B2528)*VLOOKUP(A2528,'Output - State'!$B$2:$G$52,6,FALSE)</f>
        <v>4.6235790725428618</v>
      </c>
    </row>
    <row r="2529" spans="1:7" x14ac:dyDescent="0.25">
      <c r="A2529" s="88">
        <v>48</v>
      </c>
      <c r="B2529" s="88">
        <v>9</v>
      </c>
      <c r="C2529" s="97">
        <f>SUMIFS(Input!$C$115:$C$3257,Input!$A$115:$A$3257,"="&amp;'Output - County'!A2529,Input!$B$115:$B$3257,"="&amp;'Output - County'!B2529)*VLOOKUP(A2529,'Output - State'!$B$2:$G$52,2,FALSE)</f>
        <v>1.9899378616473244</v>
      </c>
      <c r="D2529" s="98">
        <f>SUMIFS(Input!$C$115:$C$3257,Input!$A$115:$A$3257,"="&amp;'Output - County'!A2529,Input!$B$115:$B$3257,"="&amp;'Output - County'!B2529)*VLOOKUP(A2529,'Output - State'!$B$2:$G$52,3,FALSE)</f>
        <v>0.33177278307886476</v>
      </c>
      <c r="E2529" s="98">
        <f>SUMIFS(Input!$C$115:$C$3257,Input!$A$115:$A$3257,"="&amp;'Output - County'!A2529,Input!$B$115:$B$3257,"="&amp;'Output - County'!B2529)*VLOOKUP(A2529,'Output - State'!$B$2:$G$52,4,FALSE)</f>
        <v>4.3660002550694434</v>
      </c>
      <c r="F2529" s="98">
        <f>SUMIFS(Input!$C$115:$C$3257,Input!$A$115:$A$3257,"="&amp;'Output - County'!A2529,Input!$B$115:$B$3257,"="&amp;'Output - County'!B2529)*VLOOKUP(A2529,'Output - State'!$B$2:$G$52,5,FALSE)</f>
        <v>8.0230813140475608</v>
      </c>
      <c r="G2529" s="99">
        <f>SUMIFS(Input!$D$115:$D$3257,Input!$A$115:$A$3257,"="&amp;'Output - County'!A2529,Input!$B$115:$B$3257,"="&amp;'Output - County'!B2529)*VLOOKUP(A2529,'Output - State'!$B$2:$G$52,6,FALSE)</f>
        <v>1.7190229885095256</v>
      </c>
    </row>
    <row r="2530" spans="1:7" x14ac:dyDescent="0.25">
      <c r="A2530" s="88">
        <v>48</v>
      </c>
      <c r="B2530" s="88">
        <v>11</v>
      </c>
      <c r="C2530" s="97">
        <f>SUMIFS(Input!$C$115:$C$3257,Input!$A$115:$A$3257,"="&amp;'Output - County'!A2530,Input!$B$115:$B$3257,"="&amp;'Output - County'!B2530)*VLOOKUP(A2530,'Output - State'!$B$2:$G$52,2,FALSE)</f>
        <v>2.0043711621922884</v>
      </c>
      <c r="D2530" s="98">
        <f>SUMIFS(Input!$C$115:$C$3257,Input!$A$115:$A$3257,"="&amp;'Output - County'!A2530,Input!$B$115:$B$3257,"="&amp;'Output - County'!B2530)*VLOOKUP(A2530,'Output - State'!$B$2:$G$52,3,FALSE)</f>
        <v>0.33417917796340268</v>
      </c>
      <c r="E2530" s="98">
        <f>SUMIFS(Input!$C$115:$C$3257,Input!$A$115:$A$3257,"="&amp;'Output - County'!A2530,Input!$B$115:$B$3257,"="&amp;'Output - County'!B2530)*VLOOKUP(A2530,'Output - State'!$B$2:$G$52,4,FALSE)</f>
        <v>4.3976674719586386</v>
      </c>
      <c r="F2530" s="98">
        <f>SUMIFS(Input!$C$115:$C$3257,Input!$A$115:$A$3257,"="&amp;'Output - County'!A2530,Input!$B$115:$B$3257,"="&amp;'Output - County'!B2530)*VLOOKUP(A2530,'Output - State'!$B$2:$G$52,5,FALSE)</f>
        <v>8.0812738567063906</v>
      </c>
      <c r="G2530" s="99">
        <f>SUMIFS(Input!$D$115:$D$3257,Input!$A$115:$A$3257,"="&amp;'Output - County'!A2530,Input!$B$115:$B$3257,"="&amp;'Output - County'!B2530)*VLOOKUP(A2530,'Output - State'!$B$2:$G$52,6,FALSE)</f>
        <v>0.37146703659746072</v>
      </c>
    </row>
    <row r="2531" spans="1:7" x14ac:dyDescent="0.25">
      <c r="A2531" s="88">
        <v>48</v>
      </c>
      <c r="B2531" s="88">
        <v>13</v>
      </c>
      <c r="C2531" s="97">
        <f>SUMIFS(Input!$C$115:$C$3257,Input!$A$115:$A$3257,"="&amp;'Output - County'!A2531,Input!$B$115:$B$3257,"="&amp;'Output - County'!B2531)*VLOOKUP(A2531,'Output - State'!$B$2:$G$52,2,FALSE)</f>
        <v>10.72625725828124</v>
      </c>
      <c r="D2531" s="98">
        <f>SUMIFS(Input!$C$115:$C$3257,Input!$A$115:$A$3257,"="&amp;'Output - County'!A2531,Input!$B$115:$B$3257,"="&amp;'Output - County'!B2531)*VLOOKUP(A2531,'Output - State'!$B$2:$G$52,3,FALSE)</f>
        <v>1.7883373602700685</v>
      </c>
      <c r="E2531" s="98">
        <f>SUMIFS(Input!$C$115:$C$3257,Input!$A$115:$A$3257,"="&amp;'Output - County'!A2531,Input!$B$115:$B$3257,"="&amp;'Output - County'!B2531)*VLOOKUP(A2531,'Output - State'!$B$2:$G$52,4,FALSE)</f>
        <v>23.533821245467699</v>
      </c>
      <c r="F2531" s="98">
        <f>SUMIFS(Input!$C$115:$C$3257,Input!$A$115:$A$3257,"="&amp;'Output - County'!A2531,Input!$B$115:$B$3257,"="&amp;'Output - County'!B2531)*VLOOKUP(A2531,'Output - State'!$B$2:$G$52,5,FALSE)</f>
        <v>43.246392682504371</v>
      </c>
      <c r="G2531" s="99">
        <f>SUMIFS(Input!$D$115:$D$3257,Input!$A$115:$A$3257,"="&amp;'Output - County'!A2531,Input!$B$115:$B$3257,"="&amp;'Output - County'!B2531)*VLOOKUP(A2531,'Output - State'!$B$2:$G$52,6,FALSE)</f>
        <v>9.9387191174746139</v>
      </c>
    </row>
    <row r="2532" spans="1:7" x14ac:dyDescent="0.25">
      <c r="A2532" s="88">
        <v>48</v>
      </c>
      <c r="B2532" s="88">
        <v>15</v>
      </c>
      <c r="C2532" s="97">
        <f>SUMIFS(Input!$C$115:$C$3257,Input!$A$115:$A$3257,"="&amp;'Output - County'!A2532,Input!$B$115:$B$3257,"="&amp;'Output - County'!B2532)*VLOOKUP(A2532,'Output - State'!$B$2:$G$52,2,FALSE)</f>
        <v>8.3478107899367302</v>
      </c>
      <c r="D2532" s="98">
        <f>SUMIFS(Input!$C$115:$C$3257,Input!$A$115:$A$3257,"="&amp;'Output - County'!A2532,Input!$B$115:$B$3257,"="&amp;'Output - County'!B2532)*VLOOKUP(A2532,'Output - State'!$B$2:$G$52,3,FALSE)</f>
        <v>1.3917904029929633</v>
      </c>
      <c r="E2532" s="98">
        <f>SUMIFS(Input!$C$115:$C$3257,Input!$A$115:$A$3257,"="&amp;'Output - County'!A2532,Input!$B$115:$B$3257,"="&amp;'Output - County'!B2532)*VLOOKUP(A2532,'Output - State'!$B$2:$G$52,4,FALSE)</f>
        <v>18.31541815479795</v>
      </c>
      <c r="F2532" s="98">
        <f>SUMIFS(Input!$C$115:$C$3257,Input!$A$115:$A$3257,"="&amp;'Output - County'!A2532,Input!$B$115:$B$3257,"="&amp;'Output - County'!B2532)*VLOOKUP(A2532,'Output - State'!$B$2:$G$52,5,FALSE)</f>
        <v>33.656912636710238</v>
      </c>
      <c r="G2532" s="99">
        <f>SUMIFS(Input!$D$115:$D$3257,Input!$A$115:$A$3257,"="&amp;'Output - County'!A2532,Input!$B$115:$B$3257,"="&amp;'Output - County'!B2532)*VLOOKUP(A2532,'Output - State'!$B$2:$G$52,6,FALSE)</f>
        <v>5.9276654776190547</v>
      </c>
    </row>
    <row r="2533" spans="1:7" x14ac:dyDescent="0.25">
      <c r="A2533" s="88">
        <v>48</v>
      </c>
      <c r="B2533" s="88">
        <v>17</v>
      </c>
      <c r="C2533" s="97">
        <f>SUMIFS(Input!$C$115:$C$3257,Input!$A$115:$A$3257,"="&amp;'Output - County'!A2533,Input!$B$115:$B$3257,"="&amp;'Output - County'!B2533)*VLOOKUP(A2533,'Output - State'!$B$2:$G$52,2,FALSE)</f>
        <v>1.2025614028490637</v>
      </c>
      <c r="D2533" s="98">
        <f>SUMIFS(Input!$C$115:$C$3257,Input!$A$115:$A$3257,"="&amp;'Output - County'!A2533,Input!$B$115:$B$3257,"="&amp;'Output - County'!B2533)*VLOOKUP(A2533,'Output - State'!$B$2:$G$52,3,FALSE)</f>
        <v>0.20049728744603795</v>
      </c>
      <c r="E2533" s="98">
        <f>SUMIFS(Input!$C$115:$C$3257,Input!$A$115:$A$3257,"="&amp;'Output - County'!A2533,Input!$B$115:$B$3257,"="&amp;'Output - County'!B2533)*VLOOKUP(A2533,'Output - State'!$B$2:$G$52,4,FALSE)</f>
        <v>2.6384660007570639</v>
      </c>
      <c r="F2533" s="98">
        <f>SUMIFS(Input!$C$115:$C$3257,Input!$A$115:$A$3257,"="&amp;'Output - County'!A2533,Input!$B$115:$B$3257,"="&amp;'Output - County'!B2533)*VLOOKUP(A2533,'Output - State'!$B$2:$G$52,5,FALSE)</f>
        <v>4.8485171854592801</v>
      </c>
      <c r="G2533" s="99">
        <f>SUMIFS(Input!$D$115:$D$3257,Input!$A$115:$A$3257,"="&amp;'Output - County'!A2533,Input!$B$115:$B$3257,"="&amp;'Output - County'!B2533)*VLOOKUP(A2533,'Output - State'!$B$2:$G$52,6,FALSE)</f>
        <v>1.3870737217628588</v>
      </c>
    </row>
    <row r="2534" spans="1:7" x14ac:dyDescent="0.25">
      <c r="A2534" s="88">
        <v>48</v>
      </c>
      <c r="B2534" s="88">
        <v>19</v>
      </c>
      <c r="C2534" s="97">
        <f>SUMIFS(Input!$C$115:$C$3257,Input!$A$115:$A$3257,"="&amp;'Output - County'!A2534,Input!$B$115:$B$3257,"="&amp;'Output - County'!B2534)*VLOOKUP(A2534,'Output - State'!$B$2:$G$52,2,FALSE)</f>
        <v>2.4019674543763245</v>
      </c>
      <c r="D2534" s="98">
        <f>SUMIFS(Input!$C$115:$C$3257,Input!$A$115:$A$3257,"="&amp;'Output - County'!A2534,Input!$B$115:$B$3257,"="&amp;'Output - County'!B2534)*VLOOKUP(A2534,'Output - State'!$B$2:$G$52,3,FALSE)</f>
        <v>0.40046849831963482</v>
      </c>
      <c r="E2534" s="98">
        <f>SUMIFS(Input!$C$115:$C$3257,Input!$A$115:$A$3257,"="&amp;'Output - County'!A2534,Input!$B$115:$B$3257,"="&amp;'Output - County'!B2534)*VLOOKUP(A2534,'Output - State'!$B$2:$G$52,4,FALSE)</f>
        <v>5.2700090392742815</v>
      </c>
      <c r="F2534" s="98">
        <f>SUMIFS(Input!$C$115:$C$3257,Input!$A$115:$A$3257,"="&amp;'Output - County'!A2534,Input!$B$115:$B$3257,"="&amp;'Output - County'!B2534)*VLOOKUP(A2534,'Output - State'!$B$2:$G$52,5,FALSE)</f>
        <v>9.6843125464248772</v>
      </c>
      <c r="G2534" s="99">
        <f>SUMIFS(Input!$D$115:$D$3257,Input!$A$115:$A$3257,"="&amp;'Output - County'!A2534,Input!$B$115:$B$3257,"="&amp;'Output - County'!B2534)*VLOOKUP(A2534,'Output - State'!$B$2:$G$52,6,FALSE)</f>
        <v>4.5050257629904813</v>
      </c>
    </row>
    <row r="2535" spans="1:7" x14ac:dyDescent="0.25">
      <c r="A2535" s="88">
        <v>48</v>
      </c>
      <c r="B2535" s="88">
        <v>21</v>
      </c>
      <c r="C2535" s="97">
        <f>SUMIFS(Input!$C$115:$C$3257,Input!$A$115:$A$3257,"="&amp;'Output - County'!A2535,Input!$B$115:$B$3257,"="&amp;'Output - County'!B2535)*VLOOKUP(A2535,'Output - State'!$B$2:$G$52,2,FALSE)</f>
        <v>12.982775385216081</v>
      </c>
      <c r="D2535" s="98">
        <f>SUMIFS(Input!$C$115:$C$3257,Input!$A$115:$A$3257,"="&amp;'Output - County'!A2535,Input!$B$115:$B$3257,"="&amp;'Output - County'!B2535)*VLOOKUP(A2535,'Output - State'!$B$2:$G$52,3,FALSE)</f>
        <v>2.1645557907397142</v>
      </c>
      <c r="E2535" s="98">
        <f>SUMIFS(Input!$C$115:$C$3257,Input!$A$115:$A$3257,"="&amp;'Output - County'!A2535,Input!$B$115:$B$3257,"="&amp;'Output - County'!B2535)*VLOOKUP(A2535,'Output - State'!$B$2:$G$52,4,FALSE)</f>
        <v>28.484708862436108</v>
      </c>
      <c r="F2535" s="98">
        <f>SUMIFS(Input!$C$115:$C$3257,Input!$A$115:$A$3257,"="&amp;'Output - County'!A2535,Input!$B$115:$B$3257,"="&amp;'Output - County'!B2535)*VLOOKUP(A2535,'Output - State'!$B$2:$G$52,5,FALSE)</f>
        <v>52.344278987372874</v>
      </c>
      <c r="G2535" s="99">
        <f>SUMIFS(Input!$D$115:$D$3257,Input!$A$115:$A$3257,"="&amp;'Output - County'!A2535,Input!$B$115:$B$3257,"="&amp;'Output - County'!B2535)*VLOOKUP(A2535,'Output - State'!$B$2:$G$52,6,FALSE)</f>
        <v>17.11119434539367</v>
      </c>
    </row>
    <row r="2536" spans="1:7" x14ac:dyDescent="0.25">
      <c r="A2536" s="88">
        <v>48</v>
      </c>
      <c r="B2536" s="88">
        <v>23</v>
      </c>
      <c r="C2536" s="97">
        <f>SUMIFS(Input!$C$115:$C$3257,Input!$A$115:$A$3257,"="&amp;'Output - County'!A2536,Input!$B$115:$B$3257,"="&amp;'Output - County'!B2536)*VLOOKUP(A2536,'Output - State'!$B$2:$G$52,2,FALSE)</f>
        <v>1.2331605732806912</v>
      </c>
      <c r="D2536" s="98">
        <f>SUMIFS(Input!$C$115:$C$3257,Input!$A$115:$A$3257,"="&amp;'Output - County'!A2536,Input!$B$115:$B$3257,"="&amp;'Output - County'!B2536)*VLOOKUP(A2536,'Output - State'!$B$2:$G$52,3,FALSE)</f>
        <v>0.20559894018086328</v>
      </c>
      <c r="E2536" s="98">
        <f>SUMIFS(Input!$C$115:$C$3257,Input!$A$115:$A$3257,"="&amp;'Output - County'!A2536,Input!$B$115:$B$3257,"="&amp;'Output - County'!B2536)*VLOOKUP(A2536,'Output - State'!$B$2:$G$52,4,FALSE)</f>
        <v>2.7056017583524312</v>
      </c>
      <c r="F2536" s="98">
        <f>SUMIFS(Input!$C$115:$C$3257,Input!$A$115:$A$3257,"="&amp;'Output - County'!A2536,Input!$B$115:$B$3257,"="&amp;'Output - County'!B2536)*VLOOKUP(A2536,'Output - State'!$B$2:$G$52,5,FALSE)</f>
        <v>4.9718876872457605</v>
      </c>
      <c r="G2536" s="99">
        <f>SUMIFS(Input!$D$115:$D$3257,Input!$A$115:$A$3257,"="&amp;'Output - County'!A2536,Input!$B$115:$B$3257,"="&amp;'Output - County'!B2536)*VLOOKUP(A2536,'Output - State'!$B$2:$G$52,6,FALSE)</f>
        <v>0.70539219183666746</v>
      </c>
    </row>
    <row r="2537" spans="1:7" x14ac:dyDescent="0.25">
      <c r="A2537" s="88">
        <v>48</v>
      </c>
      <c r="B2537" s="88">
        <v>25</v>
      </c>
      <c r="C2537" s="97">
        <f>SUMIFS(Input!$C$115:$C$3257,Input!$A$115:$A$3257,"="&amp;'Output - County'!A2537,Input!$B$115:$B$3257,"="&amp;'Output - County'!B2537)*VLOOKUP(A2537,'Output - State'!$B$2:$G$52,2,FALSE)</f>
        <v>3.7197380974088547</v>
      </c>
      <c r="D2537" s="98">
        <f>SUMIFS(Input!$C$115:$C$3257,Input!$A$115:$A$3257,"="&amp;'Output - County'!A2537,Input!$B$115:$B$3257,"="&amp;'Output - County'!B2537)*VLOOKUP(A2537,'Output - State'!$B$2:$G$52,3,FALSE)</f>
        <v>0.62017406909389083</v>
      </c>
      <c r="E2537" s="98">
        <f>SUMIFS(Input!$C$115:$C$3257,Input!$A$115:$A$3257,"="&amp;'Output - County'!A2537,Input!$B$115:$B$3257,"="&amp;'Output - County'!B2537)*VLOOKUP(A2537,'Output - State'!$B$2:$G$52,4,FALSE)</f>
        <v>8.161248547044762</v>
      </c>
      <c r="F2537" s="98">
        <f>SUMIFS(Input!$C$115:$C$3257,Input!$A$115:$A$3257,"="&amp;'Output - County'!A2537,Input!$B$115:$B$3257,"="&amp;'Output - County'!B2537)*VLOOKUP(A2537,'Output - State'!$B$2:$G$52,5,FALSE)</f>
        <v>14.997333232187628</v>
      </c>
      <c r="G2537" s="99">
        <f>SUMIFS(Input!$D$115:$D$3257,Input!$A$115:$A$3257,"="&amp;'Output - County'!A2537,Input!$B$115:$B$3257,"="&amp;'Output - County'!B2537)*VLOOKUP(A2537,'Output - State'!$B$2:$G$52,6,FALSE)</f>
        <v>6.4216376007539751</v>
      </c>
    </row>
    <row r="2538" spans="1:7" x14ac:dyDescent="0.25">
      <c r="A2538" s="88">
        <v>48</v>
      </c>
      <c r="B2538" s="88">
        <v>27</v>
      </c>
      <c r="C2538" s="97">
        <f>SUMIFS(Input!$C$115:$C$3257,Input!$A$115:$A$3257,"="&amp;'Output - County'!A2538,Input!$B$115:$B$3257,"="&amp;'Output - County'!B2538)*VLOOKUP(A2538,'Output - State'!$B$2:$G$52,2,FALSE)</f>
        <v>52.766548466018612</v>
      </c>
      <c r="D2538" s="98">
        <f>SUMIFS(Input!$C$115:$C$3257,Input!$A$115:$A$3257,"="&amp;'Output - County'!A2538,Input!$B$115:$B$3257,"="&amp;'Output - County'!B2538)*VLOOKUP(A2538,'Output - State'!$B$2:$G$52,3,FALSE)</f>
        <v>8.7975132165908132</v>
      </c>
      <c r="E2538" s="98">
        <f>SUMIFS(Input!$C$115:$C$3257,Input!$A$115:$A$3257,"="&amp;'Output - County'!A2538,Input!$B$115:$B$3257,"="&amp;'Output - County'!B2538)*VLOOKUP(A2538,'Output - State'!$B$2:$G$52,4,FALSE)</f>
        <v>115.771838157327</v>
      </c>
      <c r="F2538" s="98">
        <f>SUMIFS(Input!$C$115:$C$3257,Input!$A$115:$A$3257,"="&amp;'Output - County'!A2538,Input!$B$115:$B$3257,"="&amp;'Output - County'!B2538)*VLOOKUP(A2538,'Output - State'!$B$2:$G$52,5,FALSE)</f>
        <v>212.74549178839084</v>
      </c>
      <c r="G2538" s="99">
        <f>SUMIFS(Input!$D$115:$D$3257,Input!$A$115:$A$3257,"="&amp;'Output - County'!A2538,Input!$B$115:$B$3257,"="&amp;'Output - County'!B2538)*VLOOKUP(A2538,'Output - State'!$B$2:$G$52,6,FALSE)</f>
        <v>70.144041485158809</v>
      </c>
    </row>
    <row r="2539" spans="1:7" x14ac:dyDescent="0.25">
      <c r="A2539" s="88">
        <v>48</v>
      </c>
      <c r="B2539" s="88">
        <v>29</v>
      </c>
      <c r="C2539" s="97">
        <f>SUMIFS(Input!$C$115:$C$3257,Input!$A$115:$A$3257,"="&amp;'Output - County'!A2539,Input!$B$115:$B$3257,"="&amp;'Output - County'!B2539)*VLOOKUP(A2539,'Output - State'!$B$2:$G$52,2,FALSE)</f>
        <v>266.29107068035421</v>
      </c>
      <c r="D2539" s="98">
        <f>SUMIFS(Input!$C$115:$C$3257,Input!$A$115:$A$3257,"="&amp;'Output - County'!A2539,Input!$B$115:$B$3257,"="&amp;'Output - County'!B2539)*VLOOKUP(A2539,'Output - State'!$B$2:$G$52,3,FALSE)</f>
        <v>44.397431362773723</v>
      </c>
      <c r="E2539" s="98">
        <f>SUMIFS(Input!$C$115:$C$3257,Input!$A$115:$A$3257,"="&amp;'Output - County'!A2539,Input!$B$115:$B$3257,"="&amp;'Output - County'!B2539)*VLOOKUP(A2539,'Output - State'!$B$2:$G$52,4,FALSE)</f>
        <v>584.25285780063894</v>
      </c>
      <c r="F2539" s="98">
        <f>SUMIFS(Input!$C$115:$C$3257,Input!$A$115:$A$3257,"="&amp;'Output - County'!A2539,Input!$B$115:$B$3257,"="&amp;'Output - County'!B2539)*VLOOKUP(A2539,'Output - State'!$B$2:$G$52,5,FALSE)</f>
        <v>1073.639008760121</v>
      </c>
      <c r="G2539" s="99">
        <f>SUMIFS(Input!$D$115:$D$3257,Input!$A$115:$A$3257,"="&amp;'Output - County'!A2539,Input!$B$115:$B$3257,"="&amp;'Output - County'!B2539)*VLOOKUP(A2539,'Output - State'!$B$2:$G$52,6,FALSE)</f>
        <v>391.22592152285756</v>
      </c>
    </row>
    <row r="2540" spans="1:7" x14ac:dyDescent="0.25">
      <c r="A2540" s="88">
        <v>48</v>
      </c>
      <c r="B2540" s="88">
        <v>31</v>
      </c>
      <c r="C2540" s="97">
        <f>SUMIFS(Input!$C$115:$C$3257,Input!$A$115:$A$3257,"="&amp;'Output - County'!A2540,Input!$B$115:$B$3257,"="&amp;'Output - County'!B2540)*VLOOKUP(A2540,'Output - State'!$B$2:$G$52,2,FALSE)</f>
        <v>3.8975263109600755</v>
      </c>
      <c r="D2540" s="98">
        <f>SUMIFS(Input!$C$115:$C$3257,Input!$A$115:$A$3257,"="&amp;'Output - County'!A2540,Input!$B$115:$B$3257,"="&amp;'Output - County'!B2540)*VLOOKUP(A2540,'Output - State'!$B$2:$G$52,3,FALSE)</f>
        <v>0.64981584411880455</v>
      </c>
      <c r="E2540" s="98">
        <f>SUMIFS(Input!$C$115:$C$3257,Input!$A$115:$A$3257,"="&amp;'Output - County'!A2540,Input!$B$115:$B$3257,"="&amp;'Output - County'!B2540)*VLOOKUP(A2540,'Output - State'!$B$2:$G$52,4,FALSE)</f>
        <v>8.5513227301001002</v>
      </c>
      <c r="F2540" s="98">
        <f>SUMIFS(Input!$C$115:$C$3257,Input!$A$115:$A$3257,"="&amp;'Output - County'!A2540,Input!$B$115:$B$3257,"="&amp;'Output - County'!B2540)*VLOOKUP(A2540,'Output - State'!$B$2:$G$52,5,FALSE)</f>
        <v>15.714144204777433</v>
      </c>
      <c r="G2540" s="99">
        <f>SUMIFS(Input!$D$115:$D$3257,Input!$A$115:$A$3257,"="&amp;'Output - County'!A2540,Input!$B$115:$B$3257,"="&amp;'Output - County'!B2540)*VLOOKUP(A2540,'Output - State'!$B$2:$G$52,6,FALSE)</f>
        <v>2.2920306513460345</v>
      </c>
    </row>
    <row r="2541" spans="1:7" x14ac:dyDescent="0.25">
      <c r="A2541" s="88">
        <v>48</v>
      </c>
      <c r="B2541" s="88">
        <v>33</v>
      </c>
      <c r="C2541" s="97">
        <f>SUMIFS(Input!$C$115:$C$3257,Input!$A$115:$A$3257,"="&amp;'Output - County'!A2541,Input!$B$115:$B$3257,"="&amp;'Output - County'!B2541)*VLOOKUP(A2541,'Output - State'!$B$2:$G$52,2,FALSE)</f>
        <v>0.32089519350510165</v>
      </c>
      <c r="D2541" s="98">
        <f>SUMIFS(Input!$C$115:$C$3257,Input!$A$115:$A$3257,"="&amp;'Output - County'!A2541,Input!$B$115:$B$3257,"="&amp;'Output - County'!B2541)*VLOOKUP(A2541,'Output - State'!$B$2:$G$52,3,FALSE)</f>
        <v>5.3501314527321174E-2</v>
      </c>
      <c r="E2541" s="98">
        <f>SUMIFS(Input!$C$115:$C$3257,Input!$A$115:$A$3257,"="&amp;'Output - County'!A2541,Input!$B$115:$B$3257,"="&amp;'Output - County'!B2541)*VLOOKUP(A2541,'Output - State'!$B$2:$G$52,4,FALSE)</f>
        <v>0.70405640482362741</v>
      </c>
      <c r="F2541" s="98">
        <f>SUMIFS(Input!$C$115:$C$3257,Input!$A$115:$A$3257,"="&amp;'Output - County'!A2541,Input!$B$115:$B$3257,"="&amp;'Output - County'!B2541)*VLOOKUP(A2541,'Output - State'!$B$2:$G$52,5,FALSE)</f>
        <v>1.2937932788751303</v>
      </c>
      <c r="G2541" s="99">
        <f>SUMIFS(Input!$D$115:$D$3257,Input!$A$115:$A$3257,"="&amp;'Output - County'!A2541,Input!$B$115:$B$3257,"="&amp;'Output - County'!B2541)*VLOOKUP(A2541,'Output - State'!$B$2:$G$52,6,FALSE)</f>
        <v>0.12783998546731759</v>
      </c>
    </row>
    <row r="2542" spans="1:7" x14ac:dyDescent="0.25">
      <c r="A2542" s="88">
        <v>48</v>
      </c>
      <c r="B2542" s="88">
        <v>35</v>
      </c>
      <c r="C2542" s="97">
        <f>SUMIFS(Input!$C$115:$C$3257,Input!$A$115:$A$3257,"="&amp;'Output - County'!A2542,Input!$B$115:$B$3257,"="&amp;'Output - County'!B2542)*VLOOKUP(A2542,'Output - State'!$B$2:$G$52,2,FALSE)</f>
        <v>2.9782146165415035</v>
      </c>
      <c r="D2542" s="98">
        <f>SUMIFS(Input!$C$115:$C$3257,Input!$A$115:$A$3257,"="&amp;'Output - County'!A2542,Input!$B$115:$B$3257,"="&amp;'Output - County'!B2542)*VLOOKUP(A2542,'Output - State'!$B$2:$G$52,3,FALSE)</f>
        <v>0.49654342026447029</v>
      </c>
      <c r="E2542" s="98">
        <f>SUMIFS(Input!$C$115:$C$3257,Input!$A$115:$A$3257,"="&amp;'Output - County'!A2542,Input!$B$115:$B$3257,"="&amp;'Output - County'!B2542)*VLOOKUP(A2542,'Output - State'!$B$2:$G$52,4,FALSE)</f>
        <v>6.5343174910535193</v>
      </c>
      <c r="F2542" s="98">
        <f>SUMIFS(Input!$C$115:$C$3257,Input!$A$115:$A$3257,"="&amp;'Output - County'!A2542,Input!$B$115:$B$3257,"="&amp;'Output - County'!B2542)*VLOOKUP(A2542,'Output - State'!$B$2:$G$52,5,FALSE)</f>
        <v>12.00764028853493</v>
      </c>
      <c r="G2542" s="99">
        <f>SUMIFS(Input!$D$115:$D$3257,Input!$A$115:$A$3257,"="&amp;'Output - County'!A2542,Input!$B$115:$B$3257,"="&amp;'Output - County'!B2542)*VLOOKUP(A2542,'Output - State'!$B$2:$G$52,6,FALSE)</f>
        <v>3.6751525961238136</v>
      </c>
    </row>
    <row r="2543" spans="1:7" x14ac:dyDescent="0.25">
      <c r="A2543" s="88">
        <v>48</v>
      </c>
      <c r="B2543" s="88">
        <v>37</v>
      </c>
      <c r="C2543" s="97">
        <f>SUMIFS(Input!$C$115:$C$3257,Input!$A$115:$A$3257,"="&amp;'Output - County'!A2543,Input!$B$115:$B$3257,"="&amp;'Output - County'!B2543)*VLOOKUP(A2543,'Output - State'!$B$2:$G$52,2,FALSE)</f>
        <v>20.465348167088166</v>
      </c>
      <c r="D2543" s="98">
        <f>SUMIFS(Input!$C$115:$C$3257,Input!$A$115:$A$3257,"="&amp;'Output - County'!A2543,Input!$B$115:$B$3257,"="&amp;'Output - County'!B2543)*VLOOKUP(A2543,'Output - State'!$B$2:$G$52,3,FALSE)</f>
        <v>3.4120892159175096</v>
      </c>
      <c r="E2543" s="98">
        <f>SUMIFS(Input!$C$115:$C$3257,Input!$A$115:$A$3257,"="&amp;'Output - County'!A2543,Input!$B$115:$B$3257,"="&amp;'Output - County'!B2543)*VLOOKUP(A2543,'Output - State'!$B$2:$G$52,4,FALSE)</f>
        <v>44.901761527178607</v>
      </c>
      <c r="F2543" s="98">
        <f>SUMIFS(Input!$C$115:$C$3257,Input!$A$115:$A$3257,"="&amp;'Output - County'!A2543,Input!$B$115:$B$3257,"="&amp;'Output - County'!B2543)*VLOOKUP(A2543,'Output - State'!$B$2:$G$52,5,FALSE)</f>
        <v>82.512703350906321</v>
      </c>
      <c r="G2543" s="99">
        <f>SUMIFS(Input!$D$115:$D$3257,Input!$A$115:$A$3257,"="&amp;'Output - County'!A2543,Input!$B$115:$B$3257,"="&amp;'Output - County'!B2543)*VLOOKUP(A2543,'Output - State'!$B$2:$G$52,6,FALSE)</f>
        <v>18.514075175096846</v>
      </c>
    </row>
    <row r="2544" spans="1:7" x14ac:dyDescent="0.25">
      <c r="A2544" s="88">
        <v>48</v>
      </c>
      <c r="B2544" s="88">
        <v>39</v>
      </c>
      <c r="C2544" s="97">
        <f>SUMIFS(Input!$C$115:$C$3257,Input!$A$115:$A$3257,"="&amp;'Output - County'!A2544,Input!$B$115:$B$3257,"="&amp;'Output - County'!B2544)*VLOOKUP(A2544,'Output - State'!$B$2:$G$52,2,FALSE)</f>
        <v>46.121617401095527</v>
      </c>
      <c r="D2544" s="98">
        <f>SUMIFS(Input!$C$115:$C$3257,Input!$A$115:$A$3257,"="&amp;'Output - County'!A2544,Input!$B$115:$B$3257,"="&amp;'Output - County'!B2544)*VLOOKUP(A2544,'Output - State'!$B$2:$G$52,3,FALSE)</f>
        <v>7.6896357721405106</v>
      </c>
      <c r="E2544" s="98">
        <f>SUMIFS(Input!$C$115:$C$3257,Input!$A$115:$A$3257,"="&amp;'Output - County'!A2544,Input!$B$115:$B$3257,"="&amp;'Output - County'!B2544)*VLOOKUP(A2544,'Output - State'!$B$2:$G$52,4,FALSE)</f>
        <v>101.19260365783546</v>
      </c>
      <c r="F2544" s="98">
        <f>SUMIFS(Input!$C$115:$C$3257,Input!$A$115:$A$3257,"="&amp;'Output - County'!A2544,Input!$B$115:$B$3257,"="&amp;'Output - County'!B2544)*VLOOKUP(A2544,'Output - State'!$B$2:$G$52,5,FALSE)</f>
        <v>185.95429228028922</v>
      </c>
      <c r="G2544" s="99">
        <f>SUMIFS(Input!$D$115:$D$3257,Input!$A$115:$A$3257,"="&amp;'Output - County'!A2544,Input!$B$115:$B$3257,"="&amp;'Output - County'!B2544)*VLOOKUP(A2544,'Output - State'!$B$2:$G$52,6,FALSE)</f>
        <v>72.910285374714377</v>
      </c>
    </row>
    <row r="2545" spans="1:7" x14ac:dyDescent="0.25">
      <c r="A2545" s="88">
        <v>48</v>
      </c>
      <c r="B2545" s="88">
        <v>41</v>
      </c>
      <c r="C2545" s="97">
        <f>SUMIFS(Input!$C$115:$C$3257,Input!$A$115:$A$3257,"="&amp;'Output - County'!A2545,Input!$B$115:$B$3257,"="&amp;'Output - County'!B2545)*VLOOKUP(A2545,'Output - State'!$B$2:$G$52,2,FALSE)</f>
        <v>26.647042545019541</v>
      </c>
      <c r="D2545" s="98">
        <f>SUMIFS(Input!$C$115:$C$3257,Input!$A$115:$A$3257,"="&amp;'Output - County'!A2545,Input!$B$115:$B$3257,"="&amp;'Output - County'!B2545)*VLOOKUP(A2545,'Output - State'!$B$2:$G$52,3,FALSE)</f>
        <v>4.4427334322205541</v>
      </c>
      <c r="E2545" s="98">
        <f>SUMIFS(Input!$C$115:$C$3257,Input!$A$115:$A$3257,"="&amp;'Output - County'!A2545,Input!$B$115:$B$3257,"="&amp;'Output - County'!B2545)*VLOOKUP(A2545,'Output - State'!$B$2:$G$52,4,FALSE)</f>
        <v>58.464636906848639</v>
      </c>
      <c r="F2545" s="98">
        <f>SUMIFS(Input!$C$115:$C$3257,Input!$A$115:$A$3257,"="&amp;'Output - County'!A2545,Input!$B$115:$B$3257,"="&amp;'Output - County'!B2545)*VLOOKUP(A2545,'Output - State'!$B$2:$G$52,5,FALSE)</f>
        <v>107.43621358135994</v>
      </c>
      <c r="G2545" s="99">
        <f>SUMIFS(Input!$D$115:$D$3257,Input!$A$115:$A$3257,"="&amp;'Output - County'!A2545,Input!$B$115:$B$3257,"="&amp;'Output - County'!B2545)*VLOOKUP(A2545,'Output - State'!$B$2:$G$52,6,FALSE)</f>
        <v>44.655079931396877</v>
      </c>
    </row>
    <row r="2546" spans="1:7" x14ac:dyDescent="0.25">
      <c r="A2546" s="88">
        <v>48</v>
      </c>
      <c r="B2546" s="88">
        <v>43</v>
      </c>
      <c r="C2546" s="97">
        <f>SUMIFS(Input!$C$115:$C$3257,Input!$A$115:$A$3257,"="&amp;'Output - County'!A2546,Input!$B$115:$B$3257,"="&amp;'Output - County'!B2546)*VLOOKUP(A2546,'Output - State'!$B$2:$G$52,2,FALSE)</f>
        <v>1.4817802344329425</v>
      </c>
      <c r="D2546" s="98">
        <f>SUMIFS(Input!$C$115:$C$3257,Input!$A$115:$A$3257,"="&amp;'Output - County'!A2546,Input!$B$115:$B$3257,"="&amp;'Output - County'!B2546)*VLOOKUP(A2546,'Output - State'!$B$2:$G$52,3,FALSE)</f>
        <v>0.24705010229922372</v>
      </c>
      <c r="E2546" s="98">
        <f>SUMIFS(Input!$C$115:$C$3257,Input!$A$115:$A$3257,"="&amp;'Output - County'!A2546,Input!$B$115:$B$3257,"="&amp;'Output - County'!B2546)*VLOOKUP(A2546,'Output - State'!$B$2:$G$52,4,FALSE)</f>
        <v>3.2510828635299687</v>
      </c>
      <c r="F2546" s="98">
        <f>SUMIFS(Input!$C$115:$C$3257,Input!$A$115:$A$3257,"="&amp;'Output - County'!A2546,Input!$B$115:$B$3257,"="&amp;'Output - County'!B2546)*VLOOKUP(A2546,'Output - State'!$B$2:$G$52,5,FALSE)</f>
        <v>5.9742786644415009</v>
      </c>
      <c r="G2546" s="99">
        <f>SUMIFS(Input!$D$115:$D$3257,Input!$A$115:$A$3257,"="&amp;'Output - County'!A2546,Input!$B$115:$B$3257,"="&amp;'Output - County'!B2546)*VLOOKUP(A2546,'Output - State'!$B$2:$G$52,6,FALSE)</f>
        <v>1.8316486325842876</v>
      </c>
    </row>
    <row r="2547" spans="1:7" x14ac:dyDescent="0.25">
      <c r="A2547" s="88">
        <v>48</v>
      </c>
      <c r="B2547" s="88">
        <v>45</v>
      </c>
      <c r="C2547" s="97">
        <f>SUMIFS(Input!$C$115:$C$3257,Input!$A$115:$A$3257,"="&amp;'Output - County'!A2547,Input!$B$115:$B$3257,"="&amp;'Output - County'!B2547)*VLOOKUP(A2547,'Output - State'!$B$2:$G$52,2,FALSE)</f>
        <v>0.2831140969964982</v>
      </c>
      <c r="D2547" s="98">
        <f>SUMIFS(Input!$C$115:$C$3257,Input!$A$115:$A$3257,"="&amp;'Output - County'!A2547,Input!$B$115:$B$3257,"="&amp;'Output - County'!B2547)*VLOOKUP(A2547,'Output - State'!$B$2:$G$52,3,FALSE)</f>
        <v>4.7202253748582106E-2</v>
      </c>
      <c r="E2547" s="98">
        <f>SUMIFS(Input!$C$115:$C$3257,Input!$A$115:$A$3257,"="&amp;'Output - County'!A2547,Input!$B$115:$B$3257,"="&amp;'Output - County'!B2547)*VLOOKUP(A2547,'Output - State'!$B$2:$G$52,4,FALSE)</f>
        <v>0.62116322500503052</v>
      </c>
      <c r="F2547" s="98">
        <f>SUMIFS(Input!$C$115:$C$3257,Input!$A$115:$A$3257,"="&amp;'Output - County'!A2547,Input!$B$115:$B$3257,"="&amp;'Output - County'!B2547)*VLOOKUP(A2547,'Output - State'!$B$2:$G$52,5,FALSE)</f>
        <v>1.1414665076404384</v>
      </c>
      <c r="G2547" s="99">
        <f>SUMIFS(Input!$D$115:$D$3257,Input!$A$115:$A$3257,"="&amp;'Output - County'!A2547,Input!$B$115:$B$3257,"="&amp;'Output - County'!B2547)*VLOOKUP(A2547,'Output - State'!$B$2:$G$52,6,FALSE)</f>
        <v>0.29835916237349241</v>
      </c>
    </row>
    <row r="2548" spans="1:7" x14ac:dyDescent="0.25">
      <c r="A2548" s="88">
        <v>48</v>
      </c>
      <c r="B2548" s="88">
        <v>47</v>
      </c>
      <c r="C2548" s="97">
        <f>SUMIFS(Input!$C$115:$C$3257,Input!$A$115:$A$3257,"="&amp;'Output - County'!A2548,Input!$B$115:$B$3257,"="&amp;'Output - County'!B2548)*VLOOKUP(A2548,'Output - State'!$B$2:$G$52,2,FALSE)</f>
        <v>2.8874779145658134</v>
      </c>
      <c r="D2548" s="98">
        <f>SUMIFS(Input!$C$115:$C$3257,Input!$A$115:$A$3257,"="&amp;'Output - County'!A2548,Input!$B$115:$B$3257,"="&amp;'Output - County'!B2548)*VLOOKUP(A2548,'Output - State'!$B$2:$G$52,3,FALSE)</f>
        <v>0.48141532570329065</v>
      </c>
      <c r="E2548" s="98">
        <f>SUMIFS(Input!$C$115:$C$3257,Input!$A$115:$A$3257,"="&amp;'Output - County'!A2548,Input!$B$115:$B$3257,"="&amp;'Output - County'!B2548)*VLOOKUP(A2548,'Output - State'!$B$2:$G$52,4,FALSE)</f>
        <v>6.3352376747410259</v>
      </c>
      <c r="F2548" s="98">
        <f>SUMIFS(Input!$C$115:$C$3257,Input!$A$115:$A$3257,"="&amp;'Output - County'!A2548,Input!$B$115:$B$3257,"="&amp;'Output - County'!B2548)*VLOOKUP(A2548,'Output - State'!$B$2:$G$52,5,FALSE)</f>
        <v>11.641805780759487</v>
      </c>
      <c r="G2548" s="99">
        <f>SUMIFS(Input!$D$115:$D$3257,Input!$A$115:$A$3257,"="&amp;'Output - County'!A2548,Input!$B$115:$B$3257,"="&amp;'Output - County'!B2548)*VLOOKUP(A2548,'Output - State'!$B$2:$G$52,6,FALSE)</f>
        <v>1.4028808297031761</v>
      </c>
    </row>
    <row r="2549" spans="1:7" x14ac:dyDescent="0.25">
      <c r="A2549" s="88">
        <v>48</v>
      </c>
      <c r="B2549" s="88">
        <v>49</v>
      </c>
      <c r="C2549" s="97">
        <f>SUMIFS(Input!$C$115:$C$3257,Input!$A$115:$A$3257,"="&amp;'Output - County'!A2549,Input!$B$115:$B$3257,"="&amp;'Output - County'!B2549)*VLOOKUP(A2549,'Output - State'!$B$2:$G$52,2,FALSE)</f>
        <v>4.900087619171245</v>
      </c>
      <c r="D2549" s="98">
        <f>SUMIFS(Input!$C$115:$C$3257,Input!$A$115:$A$3257,"="&amp;'Output - County'!A2549,Input!$B$115:$B$3257,"="&amp;'Output - County'!B2549)*VLOOKUP(A2549,'Output - State'!$B$2:$G$52,3,FALSE)</f>
        <v>0.81696807627798029</v>
      </c>
      <c r="E2549" s="98">
        <f>SUMIFS(Input!$C$115:$C$3257,Input!$A$115:$A$3257,"="&amp;'Output - County'!A2549,Input!$B$115:$B$3257,"="&amp;'Output - County'!B2549)*VLOOKUP(A2549,'Output - State'!$B$2:$G$52,4,FALSE)</f>
        <v>10.750980825830373</v>
      </c>
      <c r="F2549" s="98">
        <f>SUMIFS(Input!$C$115:$C$3257,Input!$A$115:$A$3257,"="&amp;'Output - County'!A2549,Input!$B$115:$B$3257,"="&amp;'Output - County'!B2549)*VLOOKUP(A2549,'Output - State'!$B$2:$G$52,5,FALSE)</f>
        <v>19.756295999124106</v>
      </c>
      <c r="G2549" s="99">
        <f>SUMIFS(Input!$D$115:$D$3257,Input!$A$115:$A$3257,"="&amp;'Output - County'!A2549,Input!$B$115:$B$3257,"="&amp;'Output - County'!B2549)*VLOOKUP(A2549,'Output - State'!$B$2:$G$52,6,FALSE)</f>
        <v>7.4688585018000087</v>
      </c>
    </row>
    <row r="2550" spans="1:7" x14ac:dyDescent="0.25">
      <c r="A2550" s="88">
        <v>48</v>
      </c>
      <c r="B2550" s="88">
        <v>51</v>
      </c>
      <c r="C2550" s="97">
        <f>SUMIFS(Input!$C$115:$C$3257,Input!$A$115:$A$3257,"="&amp;'Output - County'!A2550,Input!$B$115:$B$3257,"="&amp;'Output - County'!B2550)*VLOOKUP(A2550,'Output - State'!$B$2:$G$52,2,FALSE)</f>
        <v>3.7633012960006038</v>
      </c>
      <c r="D2550" s="98">
        <f>SUMIFS(Input!$C$115:$C$3257,Input!$A$115:$A$3257,"="&amp;'Output - County'!A2550,Input!$B$115:$B$3257,"="&amp;'Output - County'!B2550)*VLOOKUP(A2550,'Output - State'!$B$2:$G$52,3,FALSE)</f>
        <v>0.62743715198464856</v>
      </c>
      <c r="E2550" s="98">
        <f>SUMIFS(Input!$C$115:$C$3257,Input!$A$115:$A$3257,"="&amp;'Output - County'!A2550,Input!$B$115:$B$3257,"="&amp;'Output - County'!B2550)*VLOOKUP(A2550,'Output - State'!$B$2:$G$52,4,FALSE)</f>
        <v>8.2568278813691833</v>
      </c>
      <c r="F2550" s="98">
        <f>SUMIFS(Input!$C$115:$C$3257,Input!$A$115:$A$3257,"="&amp;'Output - County'!A2550,Input!$B$115:$B$3257,"="&amp;'Output - County'!B2550)*VLOOKUP(A2550,'Output - State'!$B$2:$G$52,5,FALSE)</f>
        <v>15.172972427429771</v>
      </c>
      <c r="G2550" s="99">
        <f>SUMIFS(Input!$D$115:$D$3257,Input!$A$115:$A$3257,"="&amp;'Output - County'!A2550,Input!$B$115:$B$3257,"="&amp;'Output - County'!B2550)*VLOOKUP(A2550,'Output - State'!$B$2:$G$52,6,FALSE)</f>
        <v>3.6158759413476234</v>
      </c>
    </row>
    <row r="2551" spans="1:7" x14ac:dyDescent="0.25">
      <c r="A2551" s="88">
        <v>48</v>
      </c>
      <c r="B2551" s="88">
        <v>53</v>
      </c>
      <c r="C2551" s="97">
        <f>SUMIFS(Input!$C$115:$C$3257,Input!$A$115:$A$3257,"="&amp;'Output - County'!A2551,Input!$B$115:$B$3257,"="&amp;'Output - County'!B2551)*VLOOKUP(A2551,'Output - State'!$B$2:$G$52,2,FALSE)</f>
        <v>9.2829263573536345</v>
      </c>
      <c r="D2551" s="98">
        <f>SUMIFS(Input!$C$115:$C$3257,Input!$A$115:$A$3257,"="&amp;'Output - County'!A2551,Input!$B$115:$B$3257,"="&amp;'Output - County'!B2551)*VLOOKUP(A2551,'Output - State'!$B$2:$G$52,3,FALSE)</f>
        <v>1.5476977306948687</v>
      </c>
      <c r="E2551" s="98">
        <f>SUMIFS(Input!$C$115:$C$3257,Input!$A$115:$A$3257,"="&amp;'Output - County'!A2551,Input!$B$115:$B$3257,"="&amp;'Output - County'!B2551)*VLOOKUP(A2551,'Output - State'!$B$2:$G$52,4,FALSE)</f>
        <v>20.367097699445555</v>
      </c>
      <c r="F2551" s="98">
        <f>SUMIFS(Input!$C$115:$C$3257,Input!$A$115:$A$3257,"="&amp;'Output - County'!A2551,Input!$B$115:$B$3257,"="&amp;'Output - County'!B2551)*VLOOKUP(A2551,'Output - State'!$B$2:$G$52,5,FALSE)</f>
        <v>37.427135003958817</v>
      </c>
      <c r="G2551" s="99">
        <f>SUMIFS(Input!$D$115:$D$3257,Input!$A$115:$A$3257,"="&amp;'Output - County'!A2551,Input!$B$115:$B$3257,"="&amp;'Output - County'!B2551)*VLOOKUP(A2551,'Output - State'!$B$2:$G$52,6,FALSE)</f>
        <v>9.3459525697127095</v>
      </c>
    </row>
    <row r="2552" spans="1:7" x14ac:dyDescent="0.25">
      <c r="A2552" s="88">
        <v>48</v>
      </c>
      <c r="B2552" s="88">
        <v>55</v>
      </c>
      <c r="C2552" s="97">
        <f>SUMIFS(Input!$C$115:$C$3257,Input!$A$115:$A$3257,"="&amp;'Output - County'!A2552,Input!$B$115:$B$3257,"="&amp;'Output - County'!B2552)*VLOOKUP(A2552,'Output - State'!$B$2:$G$52,2,FALSE)</f>
        <v>7.2184248626013332</v>
      </c>
      <c r="D2552" s="98">
        <f>SUMIFS(Input!$C$115:$C$3257,Input!$A$115:$A$3257,"="&amp;'Output - County'!A2552,Input!$B$115:$B$3257,"="&amp;'Output - County'!B2552)*VLOOKUP(A2552,'Output - State'!$B$2:$G$52,3,FALSE)</f>
        <v>1.2034933111571495</v>
      </c>
      <c r="E2552" s="98">
        <f>SUMIFS(Input!$C$115:$C$3257,Input!$A$115:$A$3257,"="&amp;'Output - County'!A2552,Input!$B$115:$B$3257,"="&amp;'Output - County'!B2552)*VLOOKUP(A2552,'Output - State'!$B$2:$G$52,4,FALSE)</f>
        <v>15.837501963617862</v>
      </c>
      <c r="F2552" s="98">
        <f>SUMIFS(Input!$C$115:$C$3257,Input!$A$115:$A$3257,"="&amp;'Output - County'!A2552,Input!$B$115:$B$3257,"="&amp;'Output - County'!B2552)*VLOOKUP(A2552,'Output - State'!$B$2:$G$52,5,FALSE)</f>
        <v>29.103426166307678</v>
      </c>
      <c r="G2552" s="99">
        <f>SUMIFS(Input!$D$115:$D$3257,Input!$A$115:$A$3257,"="&amp;'Output - County'!A2552,Input!$B$115:$B$3257,"="&amp;'Output - County'!B2552)*VLOOKUP(A2552,'Output - State'!$B$2:$G$52,6,FALSE)</f>
        <v>8.5358382877714387</v>
      </c>
    </row>
    <row r="2553" spans="1:7" x14ac:dyDescent="0.25">
      <c r="A2553" s="88">
        <v>48</v>
      </c>
      <c r="B2553" s="88">
        <v>57</v>
      </c>
      <c r="C2553" s="97">
        <f>SUMIFS(Input!$C$115:$C$3257,Input!$A$115:$A$3257,"="&amp;'Output - County'!A2553,Input!$B$115:$B$3257,"="&amp;'Output - County'!B2553)*VLOOKUP(A2553,'Output - State'!$B$2:$G$52,2,FALSE)</f>
        <v>3.3282982150391933</v>
      </c>
      <c r="D2553" s="98">
        <f>SUMIFS(Input!$C$115:$C$3257,Input!$A$115:$A$3257,"="&amp;'Output - County'!A2553,Input!$B$115:$B$3257,"="&amp;'Output - County'!B2553)*VLOOKUP(A2553,'Output - State'!$B$2:$G$52,3,FALSE)</f>
        <v>0.55491117738010798</v>
      </c>
      <c r="E2553" s="98">
        <f>SUMIFS(Input!$C$115:$C$3257,Input!$A$115:$A$3257,"="&amp;'Output - County'!A2553,Input!$B$115:$B$3257,"="&amp;'Output - County'!B2553)*VLOOKUP(A2553,'Output - State'!$B$2:$G$52,4,FALSE)</f>
        <v>7.3024143798032197</v>
      </c>
      <c r="F2553" s="98">
        <f>SUMIFS(Input!$C$115:$C$3257,Input!$A$115:$A$3257,"="&amp;'Output - County'!A2553,Input!$B$115:$B$3257,"="&amp;'Output - County'!B2553)*VLOOKUP(A2553,'Output - State'!$B$2:$G$52,5,FALSE)</f>
        <v>13.419116109762927</v>
      </c>
      <c r="G2553" s="99">
        <f>SUMIFS(Input!$D$115:$D$3257,Input!$A$115:$A$3257,"="&amp;'Output - County'!A2553,Input!$B$115:$B$3257,"="&amp;'Output - County'!B2553)*VLOOKUP(A2553,'Output - State'!$B$2:$G$52,6,FALSE)</f>
        <v>4.248160258960322</v>
      </c>
    </row>
    <row r="2554" spans="1:7" x14ac:dyDescent="0.25">
      <c r="A2554" s="88">
        <v>48</v>
      </c>
      <c r="B2554" s="88">
        <v>59</v>
      </c>
      <c r="C2554" s="97">
        <f>SUMIFS(Input!$C$115:$C$3257,Input!$A$115:$A$3257,"="&amp;'Output - County'!A2554,Input!$B$115:$B$3257,"="&amp;'Output - County'!B2554)*VLOOKUP(A2554,'Output - State'!$B$2:$G$52,2,FALSE)</f>
        <v>5.7488178227845976</v>
      </c>
      <c r="D2554" s="98">
        <f>SUMIFS(Input!$C$115:$C$3257,Input!$A$115:$A$3257,"="&amp;'Output - County'!A2554,Input!$B$115:$B$3257,"="&amp;'Output - County'!B2554)*VLOOKUP(A2554,'Output - State'!$B$2:$G$52,3,FALSE)</f>
        <v>0.95847278713502659</v>
      </c>
      <c r="E2554" s="98">
        <f>SUMIFS(Input!$C$115:$C$3257,Input!$A$115:$A$3257,"="&amp;'Output - County'!A2554,Input!$B$115:$B$3257,"="&amp;'Output - County'!B2554)*VLOOKUP(A2554,'Output - State'!$B$2:$G$52,4,FALSE)</f>
        <v>12.613127557584839</v>
      </c>
      <c r="F2554" s="98">
        <f>SUMIFS(Input!$C$115:$C$3257,Input!$A$115:$A$3257,"="&amp;'Output - County'!A2554,Input!$B$115:$B$3257,"="&amp;'Output - County'!B2554)*VLOOKUP(A2554,'Output - State'!$B$2:$G$52,5,FALSE)</f>
        <v>23.178227692830884</v>
      </c>
      <c r="G2554" s="99">
        <f>SUMIFS(Input!$D$115:$D$3257,Input!$A$115:$A$3257,"="&amp;'Output - County'!A2554,Input!$B$115:$B$3257,"="&amp;'Output - County'!B2554)*VLOOKUP(A2554,'Output - State'!$B$2:$G$52,6,FALSE)</f>
        <v>2.7662438895555588</v>
      </c>
    </row>
    <row r="2555" spans="1:7" x14ac:dyDescent="0.25">
      <c r="A2555" s="88">
        <v>48</v>
      </c>
      <c r="B2555" s="88">
        <v>61</v>
      </c>
      <c r="C2555" s="97">
        <f>SUMIFS(Input!$C$115:$C$3257,Input!$A$115:$A$3257,"="&amp;'Output - County'!A2555,Input!$B$115:$B$3257,"="&amp;'Output - County'!B2555)*VLOOKUP(A2555,'Output - State'!$B$2:$G$52,2,FALSE)</f>
        <v>47.746677627964154</v>
      </c>
      <c r="D2555" s="98">
        <f>SUMIFS(Input!$C$115:$C$3257,Input!$A$115:$A$3257,"="&amp;'Output - County'!A2555,Input!$B$115:$B$3257,"="&amp;'Output - County'!B2555)*VLOOKUP(A2555,'Output - State'!$B$2:$G$52,3,FALSE)</f>
        <v>7.9605742594823479</v>
      </c>
      <c r="E2555" s="98">
        <f>SUMIFS(Input!$C$115:$C$3257,Input!$A$115:$A$3257,"="&amp;'Output - County'!A2555,Input!$B$115:$B$3257,"="&amp;'Output - County'!B2555)*VLOOKUP(A2555,'Output - State'!$B$2:$G$52,4,FALSE)</f>
        <v>104.75804833917752</v>
      </c>
      <c r="F2555" s="98">
        <f>SUMIFS(Input!$C$115:$C$3257,Input!$A$115:$A$3257,"="&amp;'Output - County'!A2555,Input!$B$115:$B$3257,"="&amp;'Output - County'!B2555)*VLOOKUP(A2555,'Output - State'!$B$2:$G$52,5,FALSE)</f>
        <v>192.50625080707377</v>
      </c>
      <c r="G2555" s="99">
        <f>SUMIFS(Input!$D$115:$D$3257,Input!$A$115:$A$3257,"="&amp;'Output - County'!A2555,Input!$B$115:$B$3257,"="&amp;'Output - County'!B2555)*VLOOKUP(A2555,'Output - State'!$B$2:$G$52,6,FALSE)</f>
        <v>83.382494385174695</v>
      </c>
    </row>
    <row r="2556" spans="1:7" x14ac:dyDescent="0.25">
      <c r="A2556" s="88">
        <v>48</v>
      </c>
      <c r="B2556" s="88">
        <v>63</v>
      </c>
      <c r="C2556" s="97">
        <f>SUMIFS(Input!$C$115:$C$3257,Input!$A$115:$A$3257,"="&amp;'Output - County'!A2556,Input!$B$115:$B$3257,"="&amp;'Output - County'!B2556)*VLOOKUP(A2556,'Output - State'!$B$2:$G$52,2,FALSE)</f>
        <v>1.4047011601248631</v>
      </c>
      <c r="D2556" s="98">
        <f>SUMIFS(Input!$C$115:$C$3257,Input!$A$115:$A$3257,"="&amp;'Output - County'!A2556,Input!$B$115:$B$3257,"="&amp;'Output - County'!B2556)*VLOOKUP(A2556,'Output - State'!$B$2:$G$52,3,FALSE)</f>
        <v>0.23419907840887758</v>
      </c>
      <c r="E2556" s="98">
        <f>SUMIFS(Input!$C$115:$C$3257,Input!$A$115:$A$3257,"="&amp;'Output - County'!A2556,Input!$B$115:$B$3257,"="&amp;'Output - County'!B2556)*VLOOKUP(A2556,'Output - State'!$B$2:$G$52,4,FALSE)</f>
        <v>3.0819684079604848</v>
      </c>
      <c r="F2556" s="98">
        <f>SUMIFS(Input!$C$115:$C$3257,Input!$A$115:$A$3257,"="&amp;'Output - County'!A2556,Input!$B$115:$B$3257,"="&amp;'Output - County'!B2556)*VLOOKUP(A2556,'Output - State'!$B$2:$G$52,5,FALSE)</f>
        <v>5.663509321989121</v>
      </c>
      <c r="G2556" s="99">
        <f>SUMIFS(Input!$D$115:$D$3257,Input!$A$115:$A$3257,"="&amp;'Output - County'!A2556,Input!$B$115:$B$3257,"="&amp;'Output - County'!B2556)*VLOOKUP(A2556,'Output - State'!$B$2:$G$52,6,FALSE)</f>
        <v>2.5686550403015902</v>
      </c>
    </row>
    <row r="2557" spans="1:7" x14ac:dyDescent="0.25">
      <c r="A2557" s="88">
        <v>48</v>
      </c>
      <c r="B2557" s="88">
        <v>65</v>
      </c>
      <c r="C2557" s="97">
        <f>SUMIFS(Input!$C$115:$C$3257,Input!$A$115:$A$3257,"="&amp;'Output - County'!A2557,Input!$B$115:$B$3257,"="&amp;'Output - County'!B2557)*VLOOKUP(A2557,'Output - State'!$B$2:$G$52,2,FALSE)</f>
        <v>4.4064388063366202</v>
      </c>
      <c r="D2557" s="98">
        <f>SUMIFS(Input!$C$115:$C$3257,Input!$A$115:$A$3257,"="&amp;'Output - County'!A2557,Input!$B$115:$B$3257,"="&amp;'Output - County'!B2557)*VLOOKUP(A2557,'Output - State'!$B$2:$G$52,3,FALSE)</f>
        <v>0.73466438044190019</v>
      </c>
      <c r="E2557" s="98">
        <f>SUMIFS(Input!$C$115:$C$3257,Input!$A$115:$A$3257,"="&amp;'Output - County'!A2557,Input!$B$115:$B$3257,"="&amp;'Output - County'!B2557)*VLOOKUP(A2557,'Output - State'!$B$2:$G$52,4,FALSE)</f>
        <v>9.6678963314399251</v>
      </c>
      <c r="F2557" s="98">
        <f>SUMIFS(Input!$C$115:$C$3257,Input!$A$115:$A$3257,"="&amp;'Output - County'!A2557,Input!$B$115:$B$3257,"="&amp;'Output - County'!B2557)*VLOOKUP(A2557,'Output - State'!$B$2:$G$52,5,FALSE)</f>
        <v>17.765990350747447</v>
      </c>
      <c r="G2557" s="99">
        <f>SUMIFS(Input!$D$115:$D$3257,Input!$A$115:$A$3257,"="&amp;'Output - County'!A2557,Input!$B$115:$B$3257,"="&amp;'Output - County'!B2557)*VLOOKUP(A2557,'Output - State'!$B$2:$G$52,6,FALSE)</f>
        <v>1.1875089840163506</v>
      </c>
    </row>
    <row r="2558" spans="1:7" x14ac:dyDescent="0.25">
      <c r="A2558" s="88">
        <v>48</v>
      </c>
      <c r="B2558" s="88">
        <v>67</v>
      </c>
      <c r="C2558" s="97">
        <f>SUMIFS(Input!$C$115:$C$3257,Input!$A$115:$A$3257,"="&amp;'Output - County'!A2558,Input!$B$115:$B$3257,"="&amp;'Output - County'!B2558)*VLOOKUP(A2558,'Output - State'!$B$2:$G$52,2,FALSE)</f>
        <v>4.6918873488594883</v>
      </c>
      <c r="D2558" s="98">
        <f>SUMIFS(Input!$C$115:$C$3257,Input!$A$115:$A$3257,"="&amp;'Output - County'!A2558,Input!$B$115:$B$3257,"="&amp;'Output - County'!B2558)*VLOOKUP(A2558,'Output - State'!$B$2:$G$52,3,FALSE)</f>
        <v>0.78225584508201662</v>
      </c>
      <c r="E2558" s="98">
        <f>SUMIFS(Input!$C$115:$C$3257,Input!$A$115:$A$3257,"="&amp;'Output - County'!A2558,Input!$B$115:$B$3257,"="&amp;'Output - County'!B2558)*VLOOKUP(A2558,'Output - State'!$B$2:$G$52,4,FALSE)</f>
        <v>10.294181419775471</v>
      </c>
      <c r="F2558" s="98">
        <f>SUMIFS(Input!$C$115:$C$3257,Input!$A$115:$A$3257,"="&amp;'Output - County'!A2558,Input!$B$115:$B$3257,"="&amp;'Output - County'!B2558)*VLOOKUP(A2558,'Output - State'!$B$2:$G$52,5,FALSE)</f>
        <v>18.916868934333703</v>
      </c>
      <c r="G2558" s="99">
        <f>SUMIFS(Input!$D$115:$D$3257,Input!$A$115:$A$3257,"="&amp;'Output - County'!A2558,Input!$B$115:$B$3257,"="&amp;'Output - County'!B2558)*VLOOKUP(A2558,'Output - State'!$B$2:$G$52,6,FALSE)</f>
        <v>5.9474243625444512</v>
      </c>
    </row>
    <row r="2559" spans="1:7" x14ac:dyDescent="0.25">
      <c r="A2559" s="88">
        <v>48</v>
      </c>
      <c r="B2559" s="88">
        <v>69</v>
      </c>
      <c r="C2559" s="97">
        <f>SUMIFS(Input!$C$115:$C$3257,Input!$A$115:$A$3257,"="&amp;'Output - County'!A2559,Input!$B$115:$B$3257,"="&amp;'Output - County'!B2559)*VLOOKUP(A2559,'Output - State'!$B$2:$G$52,2,FALSE)</f>
        <v>1.4087289880741356</v>
      </c>
      <c r="D2559" s="98">
        <f>SUMIFS(Input!$C$115:$C$3257,Input!$A$115:$A$3257,"="&amp;'Output - County'!A2559,Input!$B$115:$B$3257,"="&amp;'Output - County'!B2559)*VLOOKUP(A2559,'Output - State'!$B$2:$G$52,3,FALSE)</f>
        <v>0.23487061881938401</v>
      </c>
      <c r="E2559" s="98">
        <f>SUMIFS(Input!$C$115:$C$3257,Input!$A$115:$A$3257,"="&amp;'Output - County'!A2559,Input!$B$115:$B$3257,"="&amp;'Output - County'!B2559)*VLOOKUP(A2559,'Output - State'!$B$2:$G$52,4,FALSE)</f>
        <v>3.090805617499953</v>
      </c>
      <c r="F2559" s="98">
        <f>SUMIFS(Input!$C$115:$C$3257,Input!$A$115:$A$3257,"="&amp;'Output - County'!A2559,Input!$B$115:$B$3257,"="&amp;'Output - County'!B2559)*VLOOKUP(A2559,'Output - State'!$B$2:$G$52,5,FALSE)</f>
        <v>5.6797488196030086</v>
      </c>
      <c r="G2559" s="99">
        <f>SUMIFS(Input!$D$115:$D$3257,Input!$A$115:$A$3257,"="&amp;'Output - County'!A2559,Input!$B$115:$B$3257,"="&amp;'Output - County'!B2559)*VLOOKUP(A2559,'Output - State'!$B$2:$G$52,6,FALSE)</f>
        <v>1.4996993658376208</v>
      </c>
    </row>
    <row r="2560" spans="1:7" x14ac:dyDescent="0.25">
      <c r="A2560" s="88">
        <v>48</v>
      </c>
      <c r="B2560" s="88">
        <v>71</v>
      </c>
      <c r="C2560" s="97">
        <f>SUMIFS(Input!$C$115:$C$3257,Input!$A$115:$A$3257,"="&amp;'Output - County'!A2560,Input!$B$115:$B$3257,"="&amp;'Output - County'!B2560)*VLOOKUP(A2560,'Output - State'!$B$2:$G$52,2,FALSE)</f>
        <v>17.513297597775125</v>
      </c>
      <c r="D2560" s="98">
        <f>SUMIFS(Input!$C$115:$C$3257,Input!$A$115:$A$3257,"="&amp;'Output - County'!A2560,Input!$B$115:$B$3257,"="&amp;'Output - County'!B2560)*VLOOKUP(A2560,'Output - State'!$B$2:$G$52,3,FALSE)</f>
        <v>2.9199080015956951</v>
      </c>
      <c r="E2560" s="98">
        <f>SUMIFS(Input!$C$115:$C$3257,Input!$A$115:$A$3257,"="&amp;'Output - County'!A2560,Input!$B$115:$B$3257,"="&amp;'Output - County'!B2560)*VLOOKUP(A2560,'Output - State'!$B$2:$G$52,4,FALSE)</f>
        <v>38.4248489627184</v>
      </c>
      <c r="F2560" s="98">
        <f>SUMIFS(Input!$C$115:$C$3257,Input!$A$115:$A$3257,"="&amp;'Output - County'!A2560,Input!$B$115:$B$3257,"="&amp;'Output - County'!B2560)*VLOOKUP(A2560,'Output - State'!$B$2:$G$52,5,FALSE)</f>
        <v>70.610551923337511</v>
      </c>
      <c r="G2560" s="99">
        <f>SUMIFS(Input!$D$115:$D$3257,Input!$A$115:$A$3257,"="&amp;'Output - County'!A2560,Input!$B$115:$B$3257,"="&amp;'Output - County'!B2560)*VLOOKUP(A2560,'Output - State'!$B$2:$G$52,6,FALSE)</f>
        <v>8.3382494385174706</v>
      </c>
    </row>
    <row r="2561" spans="1:7" x14ac:dyDescent="0.25">
      <c r="A2561" s="88">
        <v>48</v>
      </c>
      <c r="B2561" s="88">
        <v>73</v>
      </c>
      <c r="C2561" s="97">
        <f>SUMIFS(Input!$C$115:$C$3257,Input!$A$115:$A$3257,"="&amp;'Output - County'!A2561,Input!$B$115:$B$3257,"="&amp;'Output - County'!B2561)*VLOOKUP(A2561,'Output - State'!$B$2:$G$52,2,FALSE)</f>
        <v>6.5212787599139066</v>
      </c>
      <c r="D2561" s="98">
        <f>SUMIFS(Input!$C$115:$C$3257,Input!$A$115:$A$3257,"="&amp;'Output - County'!A2561,Input!$B$115:$B$3257,"="&amp;'Output - County'!B2561)*VLOOKUP(A2561,'Output - State'!$B$2:$G$52,3,FALSE)</f>
        <v>1.0872614894711599</v>
      </c>
      <c r="E2561" s="98">
        <f>SUMIFS(Input!$C$115:$C$3257,Input!$A$115:$A$3257,"="&amp;'Output - County'!A2561,Input!$B$115:$B$3257,"="&amp;'Output - County'!B2561)*VLOOKUP(A2561,'Output - State'!$B$2:$G$52,4,FALSE)</f>
        <v>14.30793658330278</v>
      </c>
      <c r="F2561" s="98">
        <f>SUMIFS(Input!$C$115:$C$3257,Input!$A$115:$A$3257,"="&amp;'Output - County'!A2561,Input!$B$115:$B$3257,"="&amp;'Output - County'!B2561)*VLOOKUP(A2561,'Output - State'!$B$2:$G$52,5,FALSE)</f>
        <v>26.292655047554089</v>
      </c>
      <c r="G2561" s="99">
        <f>SUMIFS(Input!$D$115:$D$3257,Input!$A$115:$A$3257,"="&amp;'Output - County'!A2561,Input!$B$115:$B$3257,"="&amp;'Output - County'!B2561)*VLOOKUP(A2561,'Output - State'!$B$2:$G$52,6,FALSE)</f>
        <v>10.353655700907948</v>
      </c>
    </row>
    <row r="2562" spans="1:7" x14ac:dyDescent="0.25">
      <c r="A2562" s="88">
        <v>48</v>
      </c>
      <c r="B2562" s="88">
        <v>75</v>
      </c>
      <c r="C2562" s="97">
        <f>SUMIFS(Input!$C$115:$C$3257,Input!$A$115:$A$3257,"="&amp;'Output - County'!A2562,Input!$B$115:$B$3257,"="&amp;'Output - County'!B2562)*VLOOKUP(A2562,'Output - State'!$B$2:$G$52,2,FALSE)</f>
        <v>2.2192645978865242</v>
      </c>
      <c r="D2562" s="98">
        <f>SUMIFS(Input!$C$115:$C$3257,Input!$A$115:$A$3257,"="&amp;'Output - County'!A2562,Input!$B$115:$B$3257,"="&amp;'Output - County'!B2562)*VLOOKUP(A2562,'Output - State'!$B$2:$G$52,3,FALSE)</f>
        <v>0.37000732847993945</v>
      </c>
      <c r="E2562" s="98">
        <f>SUMIFS(Input!$C$115:$C$3257,Input!$A$115:$A$3257,"="&amp;'Output - County'!A2562,Input!$B$115:$B$3257,"="&amp;'Output - County'!B2562)*VLOOKUP(A2562,'Output - State'!$B$2:$G$52,4,FALSE)</f>
        <v>4.8691519404621397</v>
      </c>
      <c r="F2562" s="98">
        <f>SUMIFS(Input!$C$115:$C$3257,Input!$A$115:$A$3257,"="&amp;'Output - County'!A2562,Input!$B$115:$B$3257,"="&amp;'Output - County'!B2562)*VLOOKUP(A2562,'Output - State'!$B$2:$G$52,5,FALSE)</f>
        <v>8.9476865933345788</v>
      </c>
      <c r="G2562" s="99">
        <f>SUMIFS(Input!$D$115:$D$3257,Input!$A$115:$A$3257,"="&amp;'Output - County'!A2562,Input!$B$115:$B$3257,"="&amp;'Output - County'!B2562)*VLOOKUP(A2562,'Output - State'!$B$2:$G$52,6,FALSE)</f>
        <v>1.4463503765390491</v>
      </c>
    </row>
    <row r="2563" spans="1:7" x14ac:dyDescent="0.25">
      <c r="A2563" s="88">
        <v>48</v>
      </c>
      <c r="B2563" s="88">
        <v>77</v>
      </c>
      <c r="C2563" s="97">
        <f>SUMIFS(Input!$C$115:$C$3257,Input!$A$115:$A$3257,"="&amp;'Output - County'!A2563,Input!$B$115:$B$3257,"="&amp;'Output - County'!B2563)*VLOOKUP(A2563,'Output - State'!$B$2:$G$52,2,FALSE)</f>
        <v>4.0690048925702493</v>
      </c>
      <c r="D2563" s="98">
        <f>SUMIFS(Input!$C$115:$C$3257,Input!$A$115:$A$3257,"="&amp;'Output - County'!A2563,Input!$B$115:$B$3257,"="&amp;'Output - County'!B2563)*VLOOKUP(A2563,'Output - State'!$B$2:$G$52,3,FALSE)</f>
        <v>0.67840564451193186</v>
      </c>
      <c r="E2563" s="98">
        <f>SUMIFS(Input!$C$115:$C$3257,Input!$A$115:$A$3257,"="&amp;'Output - County'!A2563,Input!$B$115:$B$3257,"="&amp;'Output - County'!B2563)*VLOOKUP(A2563,'Output - State'!$B$2:$G$52,4,FALSE)</f>
        <v>8.9275533378383702</v>
      </c>
      <c r="F2563" s="98">
        <f>SUMIFS(Input!$C$115:$C$3257,Input!$A$115:$A$3257,"="&amp;'Output - County'!A2563,Input!$B$115:$B$3257,"="&amp;'Output - County'!B2563)*VLOOKUP(A2563,'Output - State'!$B$2:$G$52,5,FALSE)</f>
        <v>16.405515845265267</v>
      </c>
      <c r="G2563" s="99">
        <f>SUMIFS(Input!$D$115:$D$3257,Input!$A$115:$A$3257,"="&amp;'Output - County'!A2563,Input!$B$115:$B$3257,"="&amp;'Output - County'!B2563)*VLOOKUP(A2563,'Output - State'!$B$2:$G$52,6,FALSE)</f>
        <v>2.0549240322412721</v>
      </c>
    </row>
    <row r="2564" spans="1:7" x14ac:dyDescent="0.25">
      <c r="A2564" s="88">
        <v>48</v>
      </c>
      <c r="B2564" s="88">
        <v>79</v>
      </c>
      <c r="C2564" s="97">
        <f>SUMIFS(Input!$C$115:$C$3257,Input!$A$115:$A$3257,"="&amp;'Output - County'!A2564,Input!$B$115:$B$3257,"="&amp;'Output - County'!B2564)*VLOOKUP(A2564,'Output - State'!$B$2:$G$52,2,FALSE)</f>
        <v>0.43593616532262064</v>
      </c>
      <c r="D2564" s="98">
        <f>SUMIFS(Input!$C$115:$C$3257,Input!$A$115:$A$3257,"="&amp;'Output - County'!A2564,Input!$B$115:$B$3257,"="&amp;'Output - County'!B2564)*VLOOKUP(A2564,'Output - State'!$B$2:$G$52,3,FALSE)</f>
        <v>7.2681543278986543E-2</v>
      </c>
      <c r="E2564" s="98">
        <f>SUMIFS(Input!$C$115:$C$3257,Input!$A$115:$A$3257,"="&amp;'Output - County'!A2564,Input!$B$115:$B$3257,"="&amp;'Output - County'!B2564)*VLOOKUP(A2564,'Output - State'!$B$2:$G$52,4,FALSE)</f>
        <v>0.95646072456602016</v>
      </c>
      <c r="F2564" s="98">
        <f>SUMIFS(Input!$C$115:$C$3257,Input!$A$115:$A$3257,"="&amp;'Output - County'!A2564,Input!$B$115:$B$3257,"="&amp;'Output - County'!B2564)*VLOOKUP(A2564,'Output - State'!$B$2:$G$52,5,FALSE)</f>
        <v>1.7576183505660312</v>
      </c>
      <c r="G2564" s="99">
        <f>SUMIFS(Input!$D$115:$D$3257,Input!$A$115:$A$3257,"="&amp;'Output - County'!A2564,Input!$B$115:$B$3257,"="&amp;'Output - County'!B2564)*VLOOKUP(A2564,'Output - State'!$B$2:$G$52,6,FALSE)</f>
        <v>0.55917644338873074</v>
      </c>
    </row>
    <row r="2565" spans="1:7" x14ac:dyDescent="0.25">
      <c r="A2565" s="88">
        <v>48</v>
      </c>
      <c r="B2565" s="88">
        <v>81</v>
      </c>
      <c r="C2565" s="97">
        <f>SUMIFS(Input!$C$115:$C$3257,Input!$A$115:$A$3257,"="&amp;'Output - County'!A2565,Input!$B$115:$B$3257,"="&amp;'Output - County'!B2565)*VLOOKUP(A2565,'Output - State'!$B$2:$G$52,2,FALSE)</f>
        <v>0.89354032445716647</v>
      </c>
      <c r="D2565" s="98">
        <f>SUMIFS(Input!$C$115:$C$3257,Input!$A$115:$A$3257,"="&amp;'Output - County'!A2565,Input!$B$115:$B$3257,"="&amp;'Output - County'!B2565)*VLOOKUP(A2565,'Output - State'!$B$2:$G$52,3,FALSE)</f>
        <v>0.14897568710659873</v>
      </c>
      <c r="E2565" s="98">
        <f>SUMIFS(Input!$C$115:$C$3257,Input!$A$115:$A$3257,"="&amp;'Output - County'!A2565,Input!$B$115:$B$3257,"="&amp;'Output - County'!B2565)*VLOOKUP(A2565,'Output - State'!$B$2:$G$52,4,FALSE)</f>
        <v>1.9604618614901399</v>
      </c>
      <c r="F2565" s="98">
        <f>SUMIFS(Input!$C$115:$C$3257,Input!$A$115:$A$3257,"="&amp;'Output - County'!A2565,Input!$B$115:$B$3257,"="&amp;'Output - County'!B2565)*VLOOKUP(A2565,'Output - State'!$B$2:$G$52,5,FALSE)</f>
        <v>3.6025982613173855</v>
      </c>
      <c r="G2565" s="99">
        <f>SUMIFS(Input!$D$115:$D$3257,Input!$A$115:$A$3257,"="&amp;'Output - County'!A2565,Input!$B$115:$B$3257,"="&amp;'Output - County'!B2565)*VLOOKUP(A2565,'Output - State'!$B$2:$G$52,6,FALSE)</f>
        <v>0.66389853349333405</v>
      </c>
    </row>
    <row r="2566" spans="1:7" x14ac:dyDescent="0.25">
      <c r="A2566" s="88">
        <v>48</v>
      </c>
      <c r="B2566" s="88">
        <v>83</v>
      </c>
      <c r="C2566" s="97">
        <f>SUMIFS(Input!$C$115:$C$3257,Input!$A$115:$A$3257,"="&amp;'Output - County'!A2566,Input!$B$115:$B$3257,"="&amp;'Output - County'!B2566)*VLOOKUP(A2566,'Output - State'!$B$2:$G$52,2,FALSE)</f>
        <v>1.8754721540011146</v>
      </c>
      <c r="D2566" s="98">
        <f>SUMIFS(Input!$C$115:$C$3257,Input!$A$115:$A$3257,"="&amp;'Output - County'!A2566,Input!$B$115:$B$3257,"="&amp;'Output - County'!B2566)*VLOOKUP(A2566,'Output - State'!$B$2:$G$52,3,FALSE)</f>
        <v>0.31268846535979961</v>
      </c>
      <c r="E2566" s="98">
        <f>SUMIFS(Input!$C$115:$C$3257,Input!$A$115:$A$3257,"="&amp;'Output - County'!A2566,Input!$B$115:$B$3257,"="&amp;'Output - County'!B2566)*VLOOKUP(A2566,'Output - State'!$B$2:$G$52,4,FALSE)</f>
        <v>4.1148580870590594</v>
      </c>
      <c r="F2566" s="98">
        <f>SUMIFS(Input!$C$115:$C$3257,Input!$A$115:$A$3257,"="&amp;'Output - County'!A2566,Input!$B$115:$B$3257,"="&amp;'Output - County'!B2566)*VLOOKUP(A2566,'Output - State'!$B$2:$G$52,5,FALSE)</f>
        <v>7.5615756068516147</v>
      </c>
      <c r="G2566" s="99">
        <f>SUMIFS(Input!$D$115:$D$3257,Input!$A$115:$A$3257,"="&amp;'Output - County'!A2566,Input!$B$115:$B$3257,"="&amp;'Output - County'!B2566)*VLOOKUP(A2566,'Output - State'!$B$2:$G$52,6,FALSE)</f>
        <v>1.6538186682557161</v>
      </c>
    </row>
    <row r="2567" spans="1:7" x14ac:dyDescent="0.25">
      <c r="A2567" s="88">
        <v>48</v>
      </c>
      <c r="B2567" s="88">
        <v>85</v>
      </c>
      <c r="C2567" s="97">
        <f>SUMIFS(Input!$C$115:$C$3257,Input!$A$115:$A$3257,"="&amp;'Output - County'!A2567,Input!$B$115:$B$3257,"="&amp;'Output - County'!B2567)*VLOOKUP(A2567,'Output - State'!$B$2:$G$52,2,FALSE)</f>
        <v>129.58274834581721</v>
      </c>
      <c r="D2567" s="98">
        <f>SUMIFS(Input!$C$115:$C$3257,Input!$A$115:$A$3257,"="&amp;'Output - County'!A2567,Input!$B$115:$B$3257,"="&amp;'Output - County'!B2567)*VLOOKUP(A2567,'Output - State'!$B$2:$G$52,3,FALSE)</f>
        <v>21.604709315953198</v>
      </c>
      <c r="E2567" s="98">
        <f>SUMIFS(Input!$C$115:$C$3257,Input!$A$115:$A$3257,"="&amp;'Output - County'!A2567,Input!$B$115:$B$3257,"="&amp;'Output - County'!B2567)*VLOOKUP(A2567,'Output - State'!$B$2:$G$52,4,FALSE)</f>
        <v>284.30953711393147</v>
      </c>
      <c r="F2567" s="98">
        <f>SUMIFS(Input!$C$115:$C$3257,Input!$A$115:$A$3257,"="&amp;'Output - County'!A2567,Input!$B$115:$B$3257,"="&amp;'Output - County'!B2567)*VLOOKUP(A2567,'Output - State'!$B$2:$G$52,5,FALSE)</f>
        <v>522.45497053641702</v>
      </c>
      <c r="G2567" s="99">
        <f>SUMIFS(Input!$D$115:$D$3257,Input!$A$115:$A$3257,"="&amp;'Output - County'!A2567,Input!$B$115:$B$3257,"="&amp;'Output - County'!B2567)*VLOOKUP(A2567,'Output - State'!$B$2:$G$52,6,FALSE)</f>
        <v>197.58884925396848</v>
      </c>
    </row>
    <row r="2568" spans="1:7" x14ac:dyDescent="0.25">
      <c r="A2568" s="88">
        <v>48</v>
      </c>
      <c r="B2568" s="88">
        <v>87</v>
      </c>
      <c r="C2568" s="97">
        <f>SUMIFS(Input!$C$115:$C$3257,Input!$A$115:$A$3257,"="&amp;'Output - County'!A2568,Input!$B$115:$B$3257,"="&amp;'Output - County'!B2568)*VLOOKUP(A2568,'Output - State'!$B$2:$G$52,2,FALSE)</f>
        <v>0.42092954013719258</v>
      </c>
      <c r="D2568" s="98">
        <f>SUMIFS(Input!$C$115:$C$3257,Input!$A$115:$A$3257,"="&amp;'Output - County'!A2568,Input!$B$115:$B$3257,"="&amp;'Output - County'!B2568)*VLOOKUP(A2568,'Output - State'!$B$2:$G$52,3,FALSE)</f>
        <v>7.017956073051175E-2</v>
      </c>
      <c r="E2568" s="98">
        <f>SUMIFS(Input!$C$115:$C$3257,Input!$A$115:$A$3257,"="&amp;'Output - County'!A2568,Input!$B$115:$B$3257,"="&amp;'Output - County'!B2568)*VLOOKUP(A2568,'Output - State'!$B$2:$G$52,4,FALSE)</f>
        <v>0.92353561135013706</v>
      </c>
      <c r="F2568" s="98">
        <f>SUMIFS(Input!$C$115:$C$3257,Input!$A$115:$A$3257,"="&amp;'Output - County'!A2568,Input!$B$115:$B$3257,"="&amp;'Output - County'!B2568)*VLOOKUP(A2568,'Output - State'!$B$2:$G$52,5,FALSE)</f>
        <v>1.6971142632612881</v>
      </c>
      <c r="G2568" s="99">
        <f>SUMIFS(Input!$D$115:$D$3257,Input!$A$115:$A$3257,"="&amp;'Output - County'!A2568,Input!$B$115:$B$3257,"="&amp;'Output - County'!B2568)*VLOOKUP(A2568,'Output - State'!$B$2:$G$52,6,FALSE)</f>
        <v>0.58091121680666735</v>
      </c>
    </row>
    <row r="2569" spans="1:7" x14ac:dyDescent="0.25">
      <c r="A2569" s="88">
        <v>48</v>
      </c>
      <c r="B2569" s="88">
        <v>89</v>
      </c>
      <c r="C2569" s="97">
        <f>SUMIFS(Input!$C$115:$C$3257,Input!$A$115:$A$3257,"="&amp;'Output - County'!A2569,Input!$B$115:$B$3257,"="&amp;'Output - County'!B2569)*VLOOKUP(A2569,'Output - State'!$B$2:$G$52,2,FALSE)</f>
        <v>10.614457774823032</v>
      </c>
      <c r="D2569" s="98">
        <f>SUMIFS(Input!$C$115:$C$3257,Input!$A$115:$A$3257,"="&amp;'Output - County'!A2569,Input!$B$115:$B$3257,"="&amp;'Output - County'!B2569)*VLOOKUP(A2569,'Output - State'!$B$2:$G$52,3,FALSE)</f>
        <v>1.7696975693054382</v>
      </c>
      <c r="E2569" s="98">
        <f>SUMIFS(Input!$C$115:$C$3257,Input!$A$115:$A$3257,"="&amp;'Output - County'!A2569,Input!$B$115:$B$3257,"="&amp;'Output - County'!B2569)*VLOOKUP(A2569,'Output - State'!$B$2:$G$52,4,FALSE)</f>
        <v>23.288528875940592</v>
      </c>
      <c r="F2569" s="98">
        <f>SUMIFS(Input!$C$115:$C$3257,Input!$A$115:$A$3257,"="&amp;'Output - County'!A2569,Input!$B$115:$B$3257,"="&amp;'Output - County'!B2569)*VLOOKUP(A2569,'Output - State'!$B$2:$G$52,5,FALSE)</f>
        <v>42.795636724772507</v>
      </c>
      <c r="G2569" s="99">
        <f>SUMIFS(Input!$D$115:$D$3257,Input!$A$115:$A$3257,"="&amp;'Output - County'!A2569,Input!$B$115:$B$3257,"="&amp;'Output - County'!B2569)*VLOOKUP(A2569,'Output - State'!$B$2:$G$52,6,FALSE)</f>
        <v>4.2086424891095282</v>
      </c>
    </row>
    <row r="2570" spans="1:7" x14ac:dyDescent="0.25">
      <c r="A2570" s="88">
        <v>48</v>
      </c>
      <c r="B2570" s="88">
        <v>91</v>
      </c>
      <c r="C2570" s="97">
        <f>SUMIFS(Input!$C$115:$C$3257,Input!$A$115:$A$3257,"="&amp;'Output - County'!A2570,Input!$B$115:$B$3257,"="&amp;'Output - County'!B2570)*VLOOKUP(A2570,'Output - State'!$B$2:$G$52,2,FALSE)</f>
        <v>30.87180256440071</v>
      </c>
      <c r="D2570" s="98">
        <f>SUMIFS(Input!$C$115:$C$3257,Input!$A$115:$A$3257,"="&amp;'Output - County'!A2570,Input!$B$115:$B$3257,"="&amp;'Output - County'!B2570)*VLOOKUP(A2570,'Output - State'!$B$2:$G$52,3,FALSE)</f>
        <v>5.14710738101817</v>
      </c>
      <c r="E2570" s="98">
        <f>SUMIFS(Input!$C$115:$C$3257,Input!$A$115:$A$3257,"="&amp;'Output - County'!A2570,Input!$B$115:$B$3257,"="&amp;'Output - County'!B2570)*VLOOKUP(A2570,'Output - State'!$B$2:$G$52,4,FALSE)</f>
        <v>67.733922987448082</v>
      </c>
      <c r="F2570" s="98">
        <f>SUMIFS(Input!$C$115:$C$3257,Input!$A$115:$A$3257,"="&amp;'Output - County'!A2570,Input!$B$115:$B$3257,"="&amp;'Output - County'!B2570)*VLOOKUP(A2570,'Output - State'!$B$2:$G$52,5,FALSE)</f>
        <v>124.46970684821632</v>
      </c>
      <c r="G2570" s="99">
        <f>SUMIFS(Input!$D$115:$D$3257,Input!$A$115:$A$3257,"="&amp;'Output - County'!A2570,Input!$B$115:$B$3257,"="&amp;'Output - County'!B2570)*VLOOKUP(A2570,'Output - State'!$B$2:$G$52,6,FALSE)</f>
        <v>29.243149689587334</v>
      </c>
    </row>
    <row r="2571" spans="1:7" x14ac:dyDescent="0.25">
      <c r="A2571" s="88">
        <v>48</v>
      </c>
      <c r="B2571" s="88">
        <v>93</v>
      </c>
      <c r="C2571" s="97">
        <f>SUMIFS(Input!$C$115:$C$3257,Input!$A$115:$A$3257,"="&amp;'Output - County'!A2571,Input!$B$115:$B$3257,"="&amp;'Output - County'!B2571)*VLOOKUP(A2571,'Output - State'!$B$2:$G$52,2,FALSE)</f>
        <v>2.0915829909877854</v>
      </c>
      <c r="D2571" s="98">
        <f>SUMIFS(Input!$C$115:$C$3257,Input!$A$115:$A$3257,"="&amp;'Output - County'!A2571,Input!$B$115:$B$3257,"="&amp;'Output - County'!B2571)*VLOOKUP(A2571,'Output - State'!$B$2:$G$52,3,FALSE)</f>
        <v>0.34871958734730513</v>
      </c>
      <c r="E2571" s="98">
        <f>SUMIFS(Input!$C$115:$C$3257,Input!$A$115:$A$3257,"="&amp;'Output - County'!A2571,Input!$B$115:$B$3257,"="&amp;'Output - County'!B2571)*VLOOKUP(A2571,'Output - State'!$B$2:$G$52,4,FALSE)</f>
        <v>4.5890135808522112</v>
      </c>
      <c r="F2571" s="98">
        <f>SUMIFS(Input!$C$115:$C$3257,Input!$A$115:$A$3257,"="&amp;'Output - County'!A2571,Input!$B$115:$B$3257,"="&amp;'Output - County'!B2571)*VLOOKUP(A2571,'Output - State'!$B$2:$G$52,5,FALSE)</f>
        <v>8.4328966925038014</v>
      </c>
      <c r="G2571" s="99">
        <f>SUMIFS(Input!$D$115:$D$3257,Input!$A$115:$A$3257,"="&amp;'Output - County'!A2571,Input!$B$115:$B$3257,"="&amp;'Output - County'!B2571)*VLOOKUP(A2571,'Output - State'!$B$2:$G$52,6,FALSE)</f>
        <v>2.6674494649285747</v>
      </c>
    </row>
    <row r="2572" spans="1:7" x14ac:dyDescent="0.25">
      <c r="A2572" s="88">
        <v>48</v>
      </c>
      <c r="B2572" s="88">
        <v>95</v>
      </c>
      <c r="C2572" s="97">
        <f>SUMIFS(Input!$C$115:$C$3257,Input!$A$115:$A$3257,"="&amp;'Output - County'!A2572,Input!$B$115:$B$3257,"="&amp;'Output - County'!B2572)*VLOOKUP(A2572,'Output - State'!$B$2:$G$52,2,FALSE)</f>
        <v>1.4732383363181447</v>
      </c>
      <c r="D2572" s="98">
        <f>SUMIFS(Input!$C$115:$C$3257,Input!$A$115:$A$3257,"="&amp;'Output - County'!A2572,Input!$B$115:$B$3257,"="&amp;'Output - County'!B2572)*VLOOKUP(A2572,'Output - State'!$B$2:$G$52,3,FALSE)</f>
        <v>0.24562595264865295</v>
      </c>
      <c r="E2572" s="98">
        <f>SUMIFS(Input!$C$115:$C$3257,Input!$A$115:$A$3257,"="&amp;'Output - County'!A2572,Input!$B$115:$B$3257,"="&amp;'Output - County'!B2572)*VLOOKUP(A2572,'Output - State'!$B$2:$G$52,4,FALSE)</f>
        <v>3.2323416103145988</v>
      </c>
      <c r="F2572" s="98">
        <f>SUMIFS(Input!$C$115:$C$3257,Input!$A$115:$A$3257,"="&amp;'Output - County'!A2572,Input!$B$115:$B$3257,"="&amp;'Output - County'!B2572)*VLOOKUP(A2572,'Output - State'!$B$2:$G$52,5,FALSE)</f>
        <v>5.9398392256669661</v>
      </c>
      <c r="G2572" s="99">
        <f>SUMIFS(Input!$D$115:$D$3257,Input!$A$115:$A$3257,"="&amp;'Output - County'!A2572,Input!$B$115:$B$3257,"="&amp;'Output - County'!B2572)*VLOOKUP(A2572,'Output - State'!$B$2:$G$52,6,FALSE)</f>
        <v>0.52953811600063549</v>
      </c>
    </row>
    <row r="2573" spans="1:7" x14ac:dyDescent="0.25">
      <c r="A2573" s="88">
        <v>48</v>
      </c>
      <c r="B2573" s="88">
        <v>97</v>
      </c>
      <c r="C2573" s="97">
        <f>SUMIFS(Input!$C$115:$C$3257,Input!$A$115:$A$3257,"="&amp;'Output - County'!A2573,Input!$B$115:$B$3257,"="&amp;'Output - County'!B2573)*VLOOKUP(A2573,'Output - State'!$B$2:$G$52,2,FALSE)</f>
        <v>10.713963294223291</v>
      </c>
      <c r="D2573" s="98">
        <f>SUMIFS(Input!$C$115:$C$3257,Input!$A$115:$A$3257,"="&amp;'Output - County'!A2573,Input!$B$115:$B$3257,"="&amp;'Output - County'!B2573)*VLOOKUP(A2573,'Output - State'!$B$2:$G$52,3,FALSE)</f>
        <v>1.7862876466839364</v>
      </c>
      <c r="E2573" s="98">
        <f>SUMIFS(Input!$C$115:$C$3257,Input!$A$115:$A$3257,"="&amp;'Output - County'!A2573,Input!$B$115:$B$3257,"="&amp;'Output - County'!B2573)*VLOOKUP(A2573,'Output - State'!$B$2:$G$52,4,FALSE)</f>
        <v>23.506847815167525</v>
      </c>
      <c r="F2573" s="98">
        <f>SUMIFS(Input!$C$115:$C$3257,Input!$A$115:$A$3257,"="&amp;'Output - County'!A2573,Input!$B$115:$B$3257,"="&amp;'Output - County'!B2573)*VLOOKUP(A2573,'Output - State'!$B$2:$G$52,5,FALSE)</f>
        <v>43.196825570279444</v>
      </c>
      <c r="G2573" s="99">
        <f>SUMIFS(Input!$D$115:$D$3257,Input!$A$115:$A$3257,"="&amp;'Output - County'!A2573,Input!$B$115:$B$3257,"="&amp;'Output - County'!B2573)*VLOOKUP(A2573,'Output - State'!$B$2:$G$52,6,FALSE)</f>
        <v>8.0023483947857219</v>
      </c>
    </row>
    <row r="2574" spans="1:7" x14ac:dyDescent="0.25">
      <c r="A2574" s="88">
        <v>48</v>
      </c>
      <c r="B2574" s="88">
        <v>99</v>
      </c>
      <c r="C2574" s="97">
        <f>SUMIFS(Input!$C$115:$C$3257,Input!$A$115:$A$3257,"="&amp;'Output - County'!A2574,Input!$B$115:$B$3257,"="&amp;'Output - County'!B2574)*VLOOKUP(A2574,'Output - State'!$B$2:$G$52,2,FALSE)</f>
        <v>7.6933296959105757</v>
      </c>
      <c r="D2574" s="98">
        <f>SUMIFS(Input!$C$115:$C$3257,Input!$A$115:$A$3257,"="&amp;'Output - County'!A2574,Input!$B$115:$B$3257,"="&amp;'Output - County'!B2574)*VLOOKUP(A2574,'Output - State'!$B$2:$G$52,3,FALSE)</f>
        <v>1.2826719133041429</v>
      </c>
      <c r="E2574" s="98">
        <f>SUMIFS(Input!$C$115:$C$3257,Input!$A$115:$A$3257,"="&amp;'Output - County'!A2574,Input!$B$115:$B$3257,"="&amp;'Output - County'!B2574)*VLOOKUP(A2574,'Output - State'!$B$2:$G$52,4,FALSE)</f>
        <v>16.879461445531245</v>
      </c>
      <c r="F2574" s="98">
        <f>SUMIFS(Input!$C$115:$C$3257,Input!$A$115:$A$3257,"="&amp;'Output - County'!A2574,Input!$B$115:$B$3257,"="&amp;'Output - County'!B2574)*VLOOKUP(A2574,'Output - State'!$B$2:$G$52,5,FALSE)</f>
        <v>31.018159368539465</v>
      </c>
      <c r="G2574" s="99">
        <f>SUMIFS(Input!$D$115:$D$3257,Input!$A$115:$A$3257,"="&amp;'Output - County'!A2574,Input!$B$115:$B$3257,"="&amp;'Output - County'!B2574)*VLOOKUP(A2574,'Output - State'!$B$2:$G$52,6,FALSE)</f>
        <v>14.759887039271444</v>
      </c>
    </row>
    <row r="2575" spans="1:7" x14ac:dyDescent="0.25">
      <c r="A2575" s="88">
        <v>48</v>
      </c>
      <c r="B2575" s="88">
        <v>101</v>
      </c>
      <c r="C2575" s="97">
        <f>SUMIFS(Input!$C$115:$C$3257,Input!$A$115:$A$3257,"="&amp;'Output - County'!A2575,Input!$B$115:$B$3257,"="&amp;'Output - County'!B2575)*VLOOKUP(A2575,'Output - State'!$B$2:$G$52,2,FALSE)</f>
        <v>0.29773912490848986</v>
      </c>
      <c r="D2575" s="98">
        <f>SUMIFS(Input!$C$115:$C$3257,Input!$A$115:$A$3257,"="&amp;'Output - County'!A2575,Input!$B$115:$B$3257,"="&amp;'Output - County'!B2575)*VLOOKUP(A2575,'Output - State'!$B$2:$G$52,3,FALSE)</f>
        <v>4.9640614416261837E-2</v>
      </c>
      <c r="E2575" s="98">
        <f>SUMIFS(Input!$C$115:$C$3257,Input!$A$115:$A$3257,"="&amp;'Output - County'!A2575,Input!$B$115:$B$3257,"="&amp;'Output - County'!B2575)*VLOOKUP(A2575,'Output - State'!$B$2:$G$52,4,FALSE)</f>
        <v>0.65325109911648349</v>
      </c>
      <c r="F2575" s="98">
        <f>SUMIFS(Input!$C$115:$C$3257,Input!$A$115:$A$3257,"="&amp;'Output - County'!A2575,Input!$B$115:$B$3257,"="&amp;'Output - County'!B2575)*VLOOKUP(A2575,'Output - State'!$B$2:$G$52,5,FALSE)</f>
        <v>1.200432061499989</v>
      </c>
      <c r="G2575" s="99">
        <f>SUMIFS(Input!$D$115:$D$3257,Input!$A$115:$A$3257,"="&amp;'Output - County'!A2575,Input!$B$115:$B$3257,"="&amp;'Output - County'!B2575)*VLOOKUP(A2575,'Output - State'!$B$2:$G$52,6,FALSE)</f>
        <v>0.27267261197047649</v>
      </c>
    </row>
    <row r="2576" spans="1:7" x14ac:dyDescent="0.25">
      <c r="A2576" s="88">
        <v>48</v>
      </c>
      <c r="B2576" s="88">
        <v>103</v>
      </c>
      <c r="C2576" s="97">
        <f>SUMIFS(Input!$C$115:$C$3257,Input!$A$115:$A$3257,"="&amp;'Output - County'!A2576,Input!$B$115:$B$3257,"="&amp;'Output - County'!B2576)*VLOOKUP(A2576,'Output - State'!$B$2:$G$52,2,FALSE)</f>
        <v>1.6164608030476988</v>
      </c>
      <c r="D2576" s="98">
        <f>SUMIFS(Input!$C$115:$C$3257,Input!$A$115:$A$3257,"="&amp;'Output - County'!A2576,Input!$B$115:$B$3257,"="&amp;'Output - County'!B2576)*VLOOKUP(A2576,'Output - State'!$B$2:$G$52,3,FALSE)</f>
        <v>0.26950474670654789</v>
      </c>
      <c r="E2576" s="98">
        <f>SUMIFS(Input!$C$115:$C$3257,Input!$A$115:$A$3257,"="&amp;'Output - County'!A2576,Input!$B$115:$B$3257,"="&amp;'Output - County'!B2576)*VLOOKUP(A2576,'Output - State'!$B$2:$G$52,4,FALSE)</f>
        <v>3.5465772145134458</v>
      </c>
      <c r="F2576" s="98">
        <f>SUMIFS(Input!$C$115:$C$3257,Input!$A$115:$A$3257,"="&amp;'Output - County'!A2576,Input!$B$115:$B$3257,"="&amp;'Output - County'!B2576)*VLOOKUP(A2576,'Output - State'!$B$2:$G$52,5,FALSE)</f>
        <v>6.5172871544271338</v>
      </c>
      <c r="G2576" s="99">
        <f>SUMIFS(Input!$D$115:$D$3257,Input!$A$115:$A$3257,"="&amp;'Output - County'!A2576,Input!$B$115:$B$3257,"="&amp;'Output - County'!B2576)*VLOOKUP(A2576,'Output - State'!$B$2:$G$52,6,FALSE)</f>
        <v>0.94052292244889002</v>
      </c>
    </row>
    <row r="2577" spans="1:7" x14ac:dyDescent="0.25">
      <c r="A2577" s="88">
        <v>48</v>
      </c>
      <c r="B2577" s="88">
        <v>105</v>
      </c>
      <c r="C2577" s="97">
        <f>SUMIFS(Input!$C$115:$C$3257,Input!$A$115:$A$3257,"="&amp;'Output - County'!A2577,Input!$B$115:$B$3257,"="&amp;'Output - County'!B2577)*VLOOKUP(A2577,'Output - State'!$B$2:$G$52,2,FALSE)</f>
        <v>3.7644820372404855</v>
      </c>
      <c r="D2577" s="98">
        <f>SUMIFS(Input!$C$115:$C$3257,Input!$A$115:$A$3257,"="&amp;'Output - County'!A2577,Input!$B$115:$B$3257,"="&amp;'Output - County'!B2577)*VLOOKUP(A2577,'Output - State'!$B$2:$G$52,3,FALSE)</f>
        <v>0.62763401130111351</v>
      </c>
      <c r="E2577" s="98">
        <f>SUMIFS(Input!$C$115:$C$3257,Input!$A$115:$A$3257,"="&amp;'Output - County'!A2577,Input!$B$115:$B$3257,"="&amp;'Output - County'!B2577)*VLOOKUP(A2577,'Output - State'!$B$2:$G$52,4,FALSE)</f>
        <v>8.2594184730925999</v>
      </c>
      <c r="F2577" s="98">
        <f>SUMIFS(Input!$C$115:$C$3257,Input!$A$115:$A$3257,"="&amp;'Output - County'!A2577,Input!$B$115:$B$3257,"="&amp;'Output - County'!B2577)*VLOOKUP(A2577,'Output - State'!$B$2:$G$52,5,FALSE)</f>
        <v>15.177732969535633</v>
      </c>
      <c r="G2577" s="99">
        <f>SUMIFS(Input!$D$115:$D$3257,Input!$A$115:$A$3257,"="&amp;'Output - County'!A2577,Input!$B$115:$B$3257,"="&amp;'Output - County'!B2577)*VLOOKUP(A2577,'Output - State'!$B$2:$G$52,6,FALSE)</f>
        <v>0.67970564143365153</v>
      </c>
    </row>
    <row r="2578" spans="1:7" x14ac:dyDescent="0.25">
      <c r="A2578" s="88">
        <v>48</v>
      </c>
      <c r="B2578" s="88">
        <v>107</v>
      </c>
      <c r="C2578" s="97">
        <f>SUMIFS(Input!$C$115:$C$3257,Input!$A$115:$A$3257,"="&amp;'Output - County'!A2578,Input!$B$115:$B$3257,"="&amp;'Output - County'!B2578)*VLOOKUP(A2578,'Output - State'!$B$2:$G$52,2,FALSE)</f>
        <v>0.90314443807005562</v>
      </c>
      <c r="D2578" s="98">
        <f>SUMIFS(Input!$C$115:$C$3257,Input!$A$115:$A$3257,"="&amp;'Output - County'!A2578,Input!$B$115:$B$3257,"="&amp;'Output - County'!B2578)*VLOOKUP(A2578,'Output - State'!$B$2:$G$52,3,FALSE)</f>
        <v>0.15057693484592063</v>
      </c>
      <c r="E2578" s="98">
        <f>SUMIFS(Input!$C$115:$C$3257,Input!$A$115:$A$3257,"="&amp;'Output - County'!A2578,Input!$B$115:$B$3257,"="&amp;'Output - County'!B2578)*VLOOKUP(A2578,'Output - State'!$B$2:$G$52,4,FALSE)</f>
        <v>1.9815336563897443</v>
      </c>
      <c r="F2578" s="98">
        <f>SUMIFS(Input!$C$115:$C$3257,Input!$A$115:$A$3257,"="&amp;'Output - County'!A2578,Input!$B$115:$B$3257,"="&amp;'Output - County'!B2578)*VLOOKUP(A2578,'Output - State'!$B$2:$G$52,5,FALSE)</f>
        <v>3.641320367143229</v>
      </c>
      <c r="G2578" s="99">
        <f>SUMIFS(Input!$D$115:$D$3257,Input!$A$115:$A$3257,"="&amp;'Output - County'!A2578,Input!$B$115:$B$3257,"="&amp;'Output - County'!B2578)*VLOOKUP(A2578,'Output - State'!$B$2:$G$52,6,FALSE)</f>
        <v>1.1381117717028584</v>
      </c>
    </row>
    <row r="2579" spans="1:7" x14ac:dyDescent="0.25">
      <c r="A2579" s="88">
        <v>48</v>
      </c>
      <c r="B2579" s="88">
        <v>109</v>
      </c>
      <c r="C2579" s="97">
        <f>SUMIFS(Input!$C$115:$C$3257,Input!$A$115:$A$3257,"="&amp;'Output - County'!A2579,Input!$B$115:$B$3257,"="&amp;'Output - County'!B2579)*VLOOKUP(A2579,'Output - State'!$B$2:$G$52,2,FALSE)</f>
        <v>4.8622929845670244</v>
      </c>
      <c r="D2579" s="98">
        <f>SUMIFS(Input!$C$115:$C$3257,Input!$A$115:$A$3257,"="&amp;'Output - County'!A2579,Input!$B$115:$B$3257,"="&amp;'Output - County'!B2579)*VLOOKUP(A2579,'Output - State'!$B$2:$G$52,3,FALSE)</f>
        <v>0.81066675835757518</v>
      </c>
      <c r="E2579" s="98">
        <f>SUMIFS(Input!$C$115:$C$3257,Input!$A$115:$A$3257,"="&amp;'Output - County'!A2579,Input!$B$115:$B$3257,"="&amp;'Output - County'!B2579)*VLOOKUP(A2579,'Output - State'!$B$2:$G$52,4,FALSE)</f>
        <v>10.668057942908952</v>
      </c>
      <c r="F2579" s="98">
        <f>SUMIFS(Input!$C$115:$C$3257,Input!$A$115:$A$3257,"="&amp;'Output - County'!A2579,Input!$B$115:$B$3257,"="&amp;'Output - County'!B2579)*VLOOKUP(A2579,'Output - State'!$B$2:$G$52,5,FALSE)</f>
        <v>19.60391464465641</v>
      </c>
      <c r="G2579" s="99">
        <f>SUMIFS(Input!$D$115:$D$3257,Input!$A$115:$A$3257,"="&amp;'Output - County'!A2579,Input!$B$115:$B$3257,"="&amp;'Output - County'!B2579)*VLOOKUP(A2579,'Output - State'!$B$2:$G$52,6,FALSE)</f>
        <v>0.43271957986619097</v>
      </c>
    </row>
    <row r="2580" spans="1:7" x14ac:dyDescent="0.25">
      <c r="A2580" s="88">
        <v>48</v>
      </c>
      <c r="B2580" s="88">
        <v>111</v>
      </c>
      <c r="C2580" s="97">
        <f>SUMIFS(Input!$C$115:$C$3257,Input!$A$115:$A$3257,"="&amp;'Output - County'!A2580,Input!$B$115:$B$3257,"="&amp;'Output - County'!B2580)*VLOOKUP(A2580,'Output - State'!$B$2:$G$52,2,FALSE)</f>
        <v>2.2871046199033045</v>
      </c>
      <c r="D2580" s="98">
        <f>SUMIFS(Input!$C$115:$C$3257,Input!$A$115:$A$3257,"="&amp;'Output - County'!A2580,Input!$B$115:$B$3257,"="&amp;'Output - County'!B2580)*VLOOKUP(A2580,'Output - State'!$B$2:$G$52,3,FALSE)</f>
        <v>0.38131796955192065</v>
      </c>
      <c r="E2580" s="98">
        <f>SUMIFS(Input!$C$115:$C$3257,Input!$A$115:$A$3257,"="&amp;'Output - County'!A2580,Input!$B$115:$B$3257,"="&amp;'Output - County'!B2580)*VLOOKUP(A2580,'Output - State'!$B$2:$G$52,4,FALSE)</f>
        <v>5.0179955597216805</v>
      </c>
      <c r="F2580" s="98">
        <f>SUMIFS(Input!$C$115:$C$3257,Input!$A$115:$A$3257,"="&amp;'Output - County'!A2580,Input!$B$115:$B$3257,"="&amp;'Output - County'!B2580)*VLOOKUP(A2580,'Output - State'!$B$2:$G$52,5,FALSE)</f>
        <v>9.2212056933414654</v>
      </c>
      <c r="G2580" s="99">
        <f>SUMIFS(Input!$D$115:$D$3257,Input!$A$115:$A$3257,"="&amp;'Output - County'!A2580,Input!$B$115:$B$3257,"="&amp;'Output - County'!B2580)*VLOOKUP(A2580,'Output - State'!$B$2:$G$52,6,FALSE)</f>
        <v>1.4423985995539697</v>
      </c>
    </row>
    <row r="2581" spans="1:7" x14ac:dyDescent="0.25">
      <c r="A2581" s="88">
        <v>48</v>
      </c>
      <c r="B2581" s="88">
        <v>113</v>
      </c>
      <c r="C2581" s="97">
        <f>SUMIFS(Input!$C$115:$C$3257,Input!$A$115:$A$3257,"="&amp;'Output - County'!A2581,Input!$B$115:$B$3257,"="&amp;'Output - County'!B2581)*VLOOKUP(A2581,'Output - State'!$B$2:$G$52,2,FALSE)</f>
        <v>407.66840642651056</v>
      </c>
      <c r="D2581" s="98">
        <f>SUMIFS(Input!$C$115:$C$3257,Input!$A$115:$A$3257,"="&amp;'Output - County'!A2581,Input!$B$115:$B$3257,"="&amp;'Output - County'!B2581)*VLOOKUP(A2581,'Output - State'!$B$2:$G$52,3,FALSE)</f>
        <v>67.968595592971354</v>
      </c>
      <c r="E2581" s="98">
        <f>SUMIFS(Input!$C$115:$C$3257,Input!$A$115:$A$3257,"="&amp;'Output - County'!A2581,Input!$B$115:$B$3257,"="&amp;'Output - County'!B2581)*VLOOKUP(A2581,'Output - State'!$B$2:$G$52,4,FALSE)</f>
        <v>894.44017360846908</v>
      </c>
      <c r="F2581" s="98">
        <f>SUMIFS(Input!$C$115:$C$3257,Input!$A$115:$A$3257,"="&amp;'Output - County'!A2581,Input!$B$115:$B$3257,"="&amp;'Output - County'!B2581)*VLOOKUP(A2581,'Output - State'!$B$2:$G$52,5,FALSE)</f>
        <v>1643.6476922050533</v>
      </c>
      <c r="G2581" s="99">
        <f>SUMIFS(Input!$D$115:$D$3257,Input!$A$115:$A$3257,"="&amp;'Output - County'!A2581,Input!$B$115:$B$3257,"="&amp;'Output - County'!B2581)*VLOOKUP(A2581,'Output - State'!$B$2:$G$52,6,FALSE)</f>
        <v>519.65867353793703</v>
      </c>
    </row>
    <row r="2582" spans="1:7" x14ac:dyDescent="0.25">
      <c r="A2582" s="88">
        <v>48</v>
      </c>
      <c r="B2582" s="88">
        <v>115</v>
      </c>
      <c r="C2582" s="97">
        <f>SUMIFS(Input!$C$115:$C$3257,Input!$A$115:$A$3257,"="&amp;'Output - County'!A2582,Input!$B$115:$B$3257,"="&amp;'Output - County'!B2582)*VLOOKUP(A2582,'Output - State'!$B$2:$G$52,2,FALSE)</f>
        <v>2.9620284936988468</v>
      </c>
      <c r="D2582" s="98">
        <f>SUMIFS(Input!$C$115:$C$3257,Input!$A$115:$A$3257,"="&amp;'Output - County'!A2582,Input!$B$115:$B$3257,"="&amp;'Output - County'!B2582)*VLOOKUP(A2582,'Output - State'!$B$2:$G$52,3,FALSE)</f>
        <v>0.49384478573609403</v>
      </c>
      <c r="E2582" s="98">
        <f>SUMIFS(Input!$C$115:$C$3257,Input!$A$115:$A$3257,"="&amp;'Output - County'!A2582,Input!$B$115:$B$3257,"="&amp;'Output - County'!B2582)*VLOOKUP(A2582,'Output - State'!$B$2:$G$52,4,FALSE)</f>
        <v>6.4988045145824218</v>
      </c>
      <c r="F2582" s="98">
        <f>SUMIFS(Input!$C$115:$C$3257,Input!$A$115:$A$3257,"="&amp;'Output - County'!A2582,Input!$B$115:$B$3257,"="&amp;'Output - County'!B2582)*VLOOKUP(A2582,'Output - State'!$B$2:$G$52,5,FALSE)</f>
        <v>11.942380673032012</v>
      </c>
      <c r="G2582" s="99">
        <f>SUMIFS(Input!$D$115:$D$3257,Input!$A$115:$A$3257,"="&amp;'Output - County'!A2582,Input!$B$115:$B$3257,"="&amp;'Output - County'!B2582)*VLOOKUP(A2582,'Output - State'!$B$2:$G$52,6,FALSE)</f>
        <v>2.4896195006000026</v>
      </c>
    </row>
    <row r="2583" spans="1:7" x14ac:dyDescent="0.25">
      <c r="A2583" s="88">
        <v>48</v>
      </c>
      <c r="B2583" s="88">
        <v>117</v>
      </c>
      <c r="C2583" s="97">
        <f>SUMIFS(Input!$C$115:$C$3257,Input!$A$115:$A$3257,"="&amp;'Output - County'!A2583,Input!$B$115:$B$3257,"="&amp;'Output - County'!B2583)*VLOOKUP(A2583,'Output - State'!$B$2:$G$52,2,FALSE)</f>
        <v>2.574188068643442</v>
      </c>
      <c r="D2583" s="98">
        <f>SUMIFS(Input!$C$115:$C$3257,Input!$A$115:$A$3257,"="&amp;'Output - County'!A2583,Input!$B$115:$B$3257,"="&amp;'Output - County'!B2583)*VLOOKUP(A2583,'Output - State'!$B$2:$G$52,3,FALSE)</f>
        <v>0.42918201425407349</v>
      </c>
      <c r="E2583" s="98">
        <f>SUMIFS(Input!$C$115:$C$3257,Input!$A$115:$A$3257,"="&amp;'Output - County'!A2583,Input!$B$115:$B$3257,"="&amp;'Output - County'!B2583)*VLOOKUP(A2583,'Output - State'!$B$2:$G$52,4,FALSE)</f>
        <v>5.6478676952204498</v>
      </c>
      <c r="F2583" s="98">
        <f>SUMIFS(Input!$C$115:$C$3257,Input!$A$115:$A$3257,"="&amp;'Output - County'!A2583,Input!$B$115:$B$3257,"="&amp;'Output - County'!B2583)*VLOOKUP(A2583,'Output - State'!$B$2:$G$52,5,FALSE)</f>
        <v>10.378675932765223</v>
      </c>
      <c r="G2583" s="99">
        <f>SUMIFS(Input!$D$115:$D$3257,Input!$A$115:$A$3257,"="&amp;'Output - County'!A2583,Input!$B$115:$B$3257,"="&amp;'Output - County'!B2583)*VLOOKUP(A2583,'Output - State'!$B$2:$G$52,6,FALSE)</f>
        <v>3.6949114810492105</v>
      </c>
    </row>
    <row r="2584" spans="1:7" x14ac:dyDescent="0.25">
      <c r="A2584" s="88">
        <v>48</v>
      </c>
      <c r="B2584" s="88">
        <v>119</v>
      </c>
      <c r="C2584" s="97">
        <f>SUMIFS(Input!$C$115:$C$3257,Input!$A$115:$A$3257,"="&amp;'Output - County'!A2584,Input!$B$115:$B$3257,"="&amp;'Output - County'!B2584)*VLOOKUP(A2584,'Output - State'!$B$2:$G$52,2,FALSE)</f>
        <v>0.85879123249664679</v>
      </c>
      <c r="D2584" s="98">
        <f>SUMIFS(Input!$C$115:$C$3257,Input!$A$115:$A$3257,"="&amp;'Output - County'!A2584,Input!$B$115:$B$3257,"="&amp;'Output - County'!B2584)*VLOOKUP(A2584,'Output - State'!$B$2:$G$52,3,FALSE)</f>
        <v>0.14318213788508624</v>
      </c>
      <c r="E2584" s="98">
        <f>SUMIFS(Input!$C$115:$C$3257,Input!$A$115:$A$3257,"="&amp;'Output - County'!A2584,Input!$B$115:$B$3257,"="&amp;'Output - County'!B2584)*VLOOKUP(A2584,'Output - State'!$B$2:$G$52,4,FALSE)</f>
        <v>1.8842210163426099</v>
      </c>
      <c r="F2584" s="98">
        <f>SUMIFS(Input!$C$115:$C$3257,Input!$A$115:$A$3257,"="&amp;'Output - County'!A2584,Input!$B$115:$B$3257,"="&amp;'Output - County'!B2584)*VLOOKUP(A2584,'Output - State'!$B$2:$G$52,5,FALSE)</f>
        <v>3.4624960019645368</v>
      </c>
      <c r="G2584" s="99">
        <f>SUMIFS(Input!$D$115:$D$3257,Input!$A$115:$A$3257,"="&amp;'Output - County'!A2584,Input!$B$115:$B$3257,"="&amp;'Output - County'!B2584)*VLOOKUP(A2584,'Output - State'!$B$2:$G$52,6,FALSE)</f>
        <v>1.053148566523652</v>
      </c>
    </row>
    <row r="2585" spans="1:7" x14ac:dyDescent="0.25">
      <c r="A2585" s="88">
        <v>48</v>
      </c>
      <c r="B2585" s="88">
        <v>121</v>
      </c>
      <c r="C2585" s="97">
        <f>SUMIFS(Input!$C$115:$C$3257,Input!$A$115:$A$3257,"="&amp;'Output - County'!A2585,Input!$B$115:$B$3257,"="&amp;'Output - County'!B2585)*VLOOKUP(A2585,'Output - State'!$B$2:$G$52,2,FALSE)</f>
        <v>104.13282706231848</v>
      </c>
      <c r="D2585" s="98">
        <f>SUMIFS(Input!$C$115:$C$3257,Input!$A$115:$A$3257,"="&amp;'Output - County'!A2585,Input!$B$115:$B$3257,"="&amp;'Output - County'!B2585)*VLOOKUP(A2585,'Output - State'!$B$2:$G$52,3,FALSE)</f>
        <v>17.361566162541074</v>
      </c>
      <c r="E2585" s="98">
        <f>SUMIFS(Input!$C$115:$C$3257,Input!$A$115:$A$3257,"="&amp;'Output - County'!A2585,Input!$B$115:$B$3257,"="&amp;'Output - County'!B2585)*VLOOKUP(A2585,'Output - State'!$B$2:$G$52,4,FALSE)</f>
        <v>228.47143032839134</v>
      </c>
      <c r="F2585" s="98">
        <f>SUMIFS(Input!$C$115:$C$3257,Input!$A$115:$A$3257,"="&amp;'Output - County'!A2585,Input!$B$115:$B$3257,"="&amp;'Output - County'!B2585)*VLOOKUP(A2585,'Output - State'!$B$2:$G$52,5,FALSE)</f>
        <v>419.84534044244577</v>
      </c>
      <c r="G2585" s="99">
        <f>SUMIFS(Input!$D$115:$D$3257,Input!$A$115:$A$3257,"="&amp;'Output - County'!A2585,Input!$B$115:$B$3257,"="&amp;'Output - County'!B2585)*VLOOKUP(A2585,'Output - State'!$B$2:$G$52,6,FALSE)</f>
        <v>169.72882150915893</v>
      </c>
    </row>
    <row r="2586" spans="1:7" x14ac:dyDescent="0.25">
      <c r="A2586" s="88">
        <v>48</v>
      </c>
      <c r="B2586" s="88">
        <v>123</v>
      </c>
      <c r="C2586" s="97">
        <f>SUMIFS(Input!$C$115:$C$3257,Input!$A$115:$A$3257,"="&amp;'Output - County'!A2586,Input!$B$115:$B$3257,"="&amp;'Output - County'!B2586)*VLOOKUP(A2586,'Output - State'!$B$2:$G$52,2,FALSE)</f>
        <v>3.7240462273968857</v>
      </c>
      <c r="D2586" s="98">
        <f>SUMIFS(Input!$C$115:$C$3257,Input!$A$115:$A$3257,"="&amp;'Output - County'!A2586,Input!$B$115:$B$3257,"="&amp;'Output - County'!B2586)*VLOOKUP(A2586,'Output - State'!$B$2:$G$52,3,FALSE)</f>
        <v>0.62089234291718065</v>
      </c>
      <c r="E2586" s="98">
        <f>SUMIFS(Input!$C$115:$C$3257,Input!$A$115:$A$3257,"="&amp;'Output - County'!A2586,Input!$B$115:$B$3257,"="&amp;'Output - County'!B2586)*VLOOKUP(A2586,'Output - State'!$B$2:$G$52,4,FALSE)</f>
        <v>8.1707007500452331</v>
      </c>
      <c r="F2586" s="98">
        <f>SUMIFS(Input!$C$115:$C$3257,Input!$A$115:$A$3257,"="&amp;'Output - County'!A2586,Input!$B$115:$B$3257,"="&amp;'Output - County'!B2586)*VLOOKUP(A2586,'Output - State'!$B$2:$G$52,5,FALSE)</f>
        <v>15.014702858582318</v>
      </c>
      <c r="G2586" s="99">
        <f>SUMIFS(Input!$D$115:$D$3257,Input!$A$115:$A$3257,"="&amp;'Output - County'!A2586,Input!$B$115:$B$3257,"="&amp;'Output - County'!B2586)*VLOOKUP(A2586,'Output - State'!$B$2:$G$52,6,FALSE)</f>
        <v>3.9715358700047663</v>
      </c>
    </row>
    <row r="2587" spans="1:7" x14ac:dyDescent="0.25">
      <c r="A2587" s="88">
        <v>48</v>
      </c>
      <c r="B2587" s="88">
        <v>125</v>
      </c>
      <c r="C2587" s="97">
        <f>SUMIFS(Input!$C$115:$C$3257,Input!$A$115:$A$3257,"="&amp;'Output - County'!A2587,Input!$B$115:$B$3257,"="&amp;'Output - County'!B2587)*VLOOKUP(A2587,'Output - State'!$B$2:$G$52,2,FALSE)</f>
        <v>0.46559399541914454</v>
      </c>
      <c r="D2587" s="98">
        <f>SUMIFS(Input!$C$115:$C$3257,Input!$A$115:$A$3257,"="&amp;'Output - County'!A2587,Input!$B$115:$B$3257,"="&amp;'Output - County'!B2587)*VLOOKUP(A2587,'Output - State'!$B$2:$G$52,3,FALSE)</f>
        <v>7.7626250860487758E-2</v>
      </c>
      <c r="E2587" s="98">
        <f>SUMIFS(Input!$C$115:$C$3257,Input!$A$115:$A$3257,"="&amp;'Output - County'!A2587,Input!$B$115:$B$3257,"="&amp;'Output - County'!B2587)*VLOOKUP(A2587,'Output - State'!$B$2:$G$52,4,FALSE)</f>
        <v>1.0215311452368634</v>
      </c>
      <c r="F2587" s="98">
        <f>SUMIFS(Input!$C$115:$C$3257,Input!$A$115:$A$3257,"="&amp;'Output - County'!A2587,Input!$B$115:$B$3257,"="&amp;'Output - County'!B2587)*VLOOKUP(A2587,'Output - State'!$B$2:$G$52,5,FALSE)</f>
        <v>1.8771935328109879</v>
      </c>
      <c r="G2587" s="99">
        <f>SUMIFS(Input!$D$115:$D$3257,Input!$A$115:$A$3257,"="&amp;'Output - County'!A2587,Input!$B$115:$B$3257,"="&amp;'Output - County'!B2587)*VLOOKUP(A2587,'Output - State'!$B$2:$G$52,6,FALSE)</f>
        <v>0.43864724534381005</v>
      </c>
    </row>
    <row r="2588" spans="1:7" x14ac:dyDescent="0.25">
      <c r="A2588" s="88">
        <v>48</v>
      </c>
      <c r="B2588" s="88">
        <v>127</v>
      </c>
      <c r="C2588" s="97">
        <f>SUMIFS(Input!$C$115:$C$3257,Input!$A$115:$A$3257,"="&amp;'Output - County'!A2588,Input!$B$115:$B$3257,"="&amp;'Output - County'!B2588)*VLOOKUP(A2588,'Output - State'!$B$2:$G$52,2,FALSE)</f>
        <v>2.6956830241499068</v>
      </c>
      <c r="D2588" s="98">
        <f>SUMIFS(Input!$C$115:$C$3257,Input!$A$115:$A$3257,"="&amp;'Output - County'!A2588,Input!$B$115:$B$3257,"="&amp;'Output - County'!B2588)*VLOOKUP(A2588,'Output - State'!$B$2:$G$52,3,FALSE)</f>
        <v>0.44943828471120933</v>
      </c>
      <c r="E2588" s="98">
        <f>SUMIFS(Input!$C$115:$C$3257,Input!$A$115:$A$3257,"="&amp;'Output - County'!A2588,Input!$B$115:$B$3257,"="&amp;'Output - County'!B2588)*VLOOKUP(A2588,'Output - State'!$B$2:$G$52,4,FALSE)</f>
        <v>5.9144323035704609</v>
      </c>
      <c r="F2588" s="98">
        <f>SUMIFS(Input!$C$115:$C$3257,Input!$A$115:$A$3257,"="&amp;'Output - County'!A2588,Input!$B$115:$B$3257,"="&amp;'Output - County'!B2588)*VLOOKUP(A2588,'Output - State'!$B$2:$G$52,5,FALSE)</f>
        <v>10.86852233755096</v>
      </c>
      <c r="G2588" s="99">
        <f>SUMIFS(Input!$D$115:$D$3257,Input!$A$115:$A$3257,"="&amp;'Output - County'!A2588,Input!$B$115:$B$3257,"="&amp;'Output - County'!B2588)*VLOOKUP(A2588,'Output - State'!$B$2:$G$52,6,FALSE)</f>
        <v>2.0154062623904787</v>
      </c>
    </row>
    <row r="2589" spans="1:7" x14ac:dyDescent="0.25">
      <c r="A2589" s="88">
        <v>48</v>
      </c>
      <c r="B2589" s="88">
        <v>129</v>
      </c>
      <c r="C2589" s="97">
        <f>SUMIFS(Input!$C$115:$C$3257,Input!$A$115:$A$3257,"="&amp;'Output - County'!A2589,Input!$B$115:$B$3257,"="&amp;'Output - County'!B2589)*VLOOKUP(A2589,'Output - State'!$B$2:$G$52,2,FALSE)</f>
        <v>2.7669083740123268</v>
      </c>
      <c r="D2589" s="98">
        <f>SUMIFS(Input!$C$115:$C$3257,Input!$A$115:$A$3257,"="&amp;'Output - County'!A2589,Input!$B$115:$B$3257,"="&amp;'Output - County'!B2589)*VLOOKUP(A2589,'Output - State'!$B$2:$G$52,3,FALSE)</f>
        <v>0.46131334523699818</v>
      </c>
      <c r="E2589" s="98">
        <f>SUMIFS(Input!$C$115:$C$3257,Input!$A$115:$A$3257,"="&amp;'Output - County'!A2589,Input!$B$115:$B$3257,"="&amp;'Output - County'!B2589)*VLOOKUP(A2589,'Output - State'!$B$2:$G$52,4,FALSE)</f>
        <v>6.0707034624142384</v>
      </c>
      <c r="F2589" s="98">
        <f>SUMIFS(Input!$C$115:$C$3257,Input!$A$115:$A$3257,"="&amp;'Output - County'!A2589,Input!$B$115:$B$3257,"="&amp;'Output - County'!B2589)*VLOOKUP(A2589,'Output - State'!$B$2:$G$52,5,FALSE)</f>
        <v>11.155690487160728</v>
      </c>
      <c r="G2589" s="99">
        <f>SUMIFS(Input!$D$115:$D$3257,Input!$A$115:$A$3257,"="&amp;'Output - County'!A2589,Input!$B$115:$B$3257,"="&amp;'Output - County'!B2589)*VLOOKUP(A2589,'Output - State'!$B$2:$G$52,6,FALSE)</f>
        <v>0.65599497952317543</v>
      </c>
    </row>
    <row r="2590" spans="1:7" x14ac:dyDescent="0.25">
      <c r="A2590" s="88">
        <v>48</v>
      </c>
      <c r="B2590" s="88">
        <v>131</v>
      </c>
      <c r="C2590" s="97">
        <f>SUMIFS(Input!$C$115:$C$3257,Input!$A$115:$A$3257,"="&amp;'Output - County'!A2590,Input!$B$115:$B$3257,"="&amp;'Output - County'!B2590)*VLOOKUP(A2590,'Output - State'!$B$2:$G$52,2,FALSE)</f>
        <v>1.8989967885912888</v>
      </c>
      <c r="D2590" s="98">
        <f>SUMIFS(Input!$C$115:$C$3257,Input!$A$115:$A$3257,"="&amp;'Output - County'!A2590,Input!$B$115:$B$3257,"="&amp;'Output - County'!B2590)*VLOOKUP(A2590,'Output - State'!$B$2:$G$52,3,FALSE)</f>
        <v>0.31661061470894275</v>
      </c>
      <c r="E2590" s="98">
        <f>SUMIFS(Input!$C$115:$C$3257,Input!$A$115:$A$3257,"="&amp;'Output - County'!A2590,Input!$B$115:$B$3257,"="&amp;'Output - County'!B2590)*VLOOKUP(A2590,'Output - State'!$B$2:$G$52,4,FALSE)</f>
        <v>4.1664720407410556</v>
      </c>
      <c r="F2590" s="98">
        <f>SUMIFS(Input!$C$115:$C$3257,Input!$A$115:$A$3257,"="&amp;'Output - County'!A2590,Input!$B$115:$B$3257,"="&amp;'Output - County'!B2590)*VLOOKUP(A2590,'Output - State'!$B$2:$G$52,5,FALSE)</f>
        <v>7.6564228178313476</v>
      </c>
      <c r="G2590" s="99">
        <f>SUMIFS(Input!$D$115:$D$3257,Input!$A$115:$A$3257,"="&amp;'Output - County'!A2590,Input!$B$115:$B$3257,"="&amp;'Output - County'!B2590)*VLOOKUP(A2590,'Output - State'!$B$2:$G$52,6,FALSE)</f>
        <v>2.1932362267190499</v>
      </c>
    </row>
    <row r="2591" spans="1:7" x14ac:dyDescent="0.25">
      <c r="A2591" s="88">
        <v>48</v>
      </c>
      <c r="B2591" s="88">
        <v>133</v>
      </c>
      <c r="C2591" s="97">
        <f>SUMIFS(Input!$C$115:$C$3257,Input!$A$115:$A$3257,"="&amp;'Output - County'!A2591,Input!$B$115:$B$3257,"="&amp;'Output - County'!B2591)*VLOOKUP(A2591,'Output - State'!$B$2:$G$52,2,FALSE)</f>
        <v>7.5529698480901084</v>
      </c>
      <c r="D2591" s="98">
        <f>SUMIFS(Input!$C$115:$C$3257,Input!$A$115:$A$3257,"="&amp;'Output - County'!A2591,Input!$B$115:$B$3257,"="&amp;'Output - County'!B2591)*VLOOKUP(A2591,'Output - State'!$B$2:$G$52,3,FALSE)</f>
        <v>1.2592703899493518</v>
      </c>
      <c r="E2591" s="98">
        <f>SUMIFS(Input!$C$115:$C$3257,Input!$A$115:$A$3257,"="&amp;'Output - County'!A2591,Input!$B$115:$B$3257,"="&amp;'Output - County'!B2591)*VLOOKUP(A2591,'Output - State'!$B$2:$G$52,4,FALSE)</f>
        <v>16.57150653739237</v>
      </c>
      <c r="F2591" s="98">
        <f>SUMIFS(Input!$C$115:$C$3257,Input!$A$115:$A$3257,"="&amp;'Output - County'!A2591,Input!$B$115:$B$3257,"="&amp;'Output - County'!B2591)*VLOOKUP(A2591,'Output - State'!$B$2:$G$52,5,FALSE)</f>
        <v>30.452253018399102</v>
      </c>
      <c r="G2591" s="99">
        <f>SUMIFS(Input!$D$115:$D$3257,Input!$A$115:$A$3257,"="&amp;'Output - County'!A2591,Input!$B$115:$B$3257,"="&amp;'Output - County'!B2591)*VLOOKUP(A2591,'Output - State'!$B$2:$G$52,6,FALSE)</f>
        <v>3.6158759413476234</v>
      </c>
    </row>
    <row r="2592" spans="1:7" x14ac:dyDescent="0.25">
      <c r="A2592" s="88">
        <v>48</v>
      </c>
      <c r="B2592" s="88">
        <v>135</v>
      </c>
      <c r="C2592" s="97">
        <f>SUMIFS(Input!$C$115:$C$3257,Input!$A$115:$A$3257,"="&amp;'Output - County'!A2592,Input!$B$115:$B$3257,"="&amp;'Output - County'!B2592)*VLOOKUP(A2592,'Output - State'!$B$2:$G$52,2,FALSE)</f>
        <v>25.356765046246828</v>
      </c>
      <c r="D2592" s="98">
        <f>SUMIFS(Input!$C$115:$C$3257,Input!$A$115:$A$3257,"="&amp;'Output - County'!A2592,Input!$B$115:$B$3257,"="&amp;'Output - County'!B2592)*VLOOKUP(A2592,'Output - State'!$B$2:$G$52,3,FALSE)</f>
        <v>4.2276116613540591</v>
      </c>
      <c r="E2592" s="98">
        <f>SUMIFS(Input!$C$115:$C$3257,Input!$A$115:$A$3257,"="&amp;'Output - County'!A2592,Input!$B$115:$B$3257,"="&amp;'Output - County'!B2592)*VLOOKUP(A2592,'Output - State'!$B$2:$G$52,4,FALSE)</f>
        <v>55.633718415711137</v>
      </c>
      <c r="F2592" s="98">
        <f>SUMIFS(Input!$C$115:$C$3257,Input!$A$115:$A$3257,"="&amp;'Output - County'!A2592,Input!$B$115:$B$3257,"="&amp;'Output - County'!B2592)*VLOOKUP(A2592,'Output - State'!$B$2:$G$52,5,FALSE)</f>
        <v>102.2340404432652</v>
      </c>
      <c r="G2592" s="99">
        <f>SUMIFS(Input!$D$115:$D$3257,Input!$A$115:$A$3257,"="&amp;'Output - County'!A2592,Input!$B$115:$B$3257,"="&amp;'Output - County'!B2592)*VLOOKUP(A2592,'Output - State'!$B$2:$G$52,6,FALSE)</f>
        <v>32.009393579142888</v>
      </c>
    </row>
    <row r="2593" spans="1:7" x14ac:dyDescent="0.25">
      <c r="A2593" s="88">
        <v>48</v>
      </c>
      <c r="B2593" s="88">
        <v>137</v>
      </c>
      <c r="C2593" s="97">
        <f>SUMIFS(Input!$C$115:$C$3257,Input!$A$115:$A$3257,"="&amp;'Output - County'!A2593,Input!$B$115:$B$3257,"="&amp;'Output - County'!B2593)*VLOOKUP(A2593,'Output - State'!$B$2:$G$52,2,FALSE)</f>
        <v>0.48195600687482104</v>
      </c>
      <c r="D2593" s="98">
        <f>SUMIFS(Input!$C$115:$C$3257,Input!$A$115:$A$3257,"="&amp;'Output - County'!A2593,Input!$B$115:$B$3257,"="&amp;'Output - County'!B2593)*VLOOKUP(A2593,'Output - State'!$B$2:$G$52,3,FALSE)</f>
        <v>8.0354210452615038E-2</v>
      </c>
      <c r="E2593" s="98">
        <f>SUMIFS(Input!$C$115:$C$3257,Input!$A$115:$A$3257,"="&amp;'Output - County'!A2593,Input!$B$115:$B$3257,"="&amp;'Output - County'!B2593)*VLOOKUP(A2593,'Output - State'!$B$2:$G$52,4,FALSE)</f>
        <v>1.0574300280943389</v>
      </c>
      <c r="F2593" s="98">
        <f>SUMIFS(Input!$C$115:$C$3257,Input!$A$115:$A$3257,"="&amp;'Output - County'!A2593,Input!$B$115:$B$3257,"="&amp;'Output - County'!B2593)*VLOOKUP(A2593,'Output - State'!$B$2:$G$52,5,FALSE)</f>
        <v>1.9431623004294896</v>
      </c>
      <c r="G2593" s="99">
        <f>SUMIFS(Input!$D$115:$D$3257,Input!$A$115:$A$3257,"="&amp;'Output - County'!A2593,Input!$B$115:$B$3257,"="&amp;'Output - County'!B2593)*VLOOKUP(A2593,'Output - State'!$B$2:$G$52,6,FALSE)</f>
        <v>0.3773947020750798</v>
      </c>
    </row>
    <row r="2594" spans="1:7" x14ac:dyDescent="0.25">
      <c r="A2594" s="88">
        <v>48</v>
      </c>
      <c r="B2594" s="88">
        <v>139</v>
      </c>
      <c r="C2594" s="97">
        <f>SUMIFS(Input!$C$115:$C$3257,Input!$A$115:$A$3257,"="&amp;'Output - County'!A2594,Input!$B$115:$B$3257,"="&amp;'Output - County'!B2594)*VLOOKUP(A2594,'Output - State'!$B$2:$G$52,2,FALSE)</f>
        <v>37.521546276620199</v>
      </c>
      <c r="D2594" s="98">
        <f>SUMIFS(Input!$C$115:$C$3257,Input!$A$115:$A$3257,"="&amp;'Output - County'!A2594,Input!$B$115:$B$3257,"="&amp;'Output - County'!B2594)*VLOOKUP(A2594,'Output - State'!$B$2:$G$52,3,FALSE)</f>
        <v>6.2557872150396641</v>
      </c>
      <c r="E2594" s="98">
        <f>SUMIFS(Input!$C$115:$C$3257,Input!$A$115:$A$3257,"="&amp;'Output - County'!A2594,Input!$B$115:$B$3257,"="&amp;'Output - County'!B2594)*VLOOKUP(A2594,'Output - State'!$B$2:$G$52,4,FALSE)</f>
        <v>82.323716620331979</v>
      </c>
      <c r="F2594" s="98">
        <f>SUMIFS(Input!$C$115:$C$3257,Input!$A$115:$A$3257,"="&amp;'Output - County'!A2594,Input!$B$115:$B$3257,"="&amp;'Output - County'!B2594)*VLOOKUP(A2594,'Output - State'!$B$2:$G$52,5,FALSE)</f>
        <v>151.28031010823355</v>
      </c>
      <c r="G2594" s="99">
        <f>SUMIFS(Input!$D$115:$D$3257,Input!$A$115:$A$3257,"="&amp;'Output - County'!A2594,Input!$B$115:$B$3257,"="&amp;'Output - County'!B2594)*VLOOKUP(A2594,'Output - State'!$B$2:$G$52,6,FALSE)</f>
        <v>35.36840401646036</v>
      </c>
    </row>
    <row r="2595" spans="1:7" x14ac:dyDescent="0.25">
      <c r="A2595" s="88">
        <v>48</v>
      </c>
      <c r="B2595" s="88">
        <v>141</v>
      </c>
      <c r="C2595" s="97">
        <f>SUMIFS(Input!$C$115:$C$3257,Input!$A$115:$A$3257,"="&amp;'Output - County'!A2595,Input!$B$115:$B$3257,"="&amp;'Output - County'!B2595)*VLOOKUP(A2595,'Output - State'!$B$2:$G$52,2,FALSE)</f>
        <v>106.83747284054948</v>
      </c>
      <c r="D2595" s="98">
        <f>SUMIFS(Input!$C$115:$C$3257,Input!$A$115:$A$3257,"="&amp;'Output - County'!A2595,Input!$B$115:$B$3257,"="&amp;'Output - County'!B2595)*VLOOKUP(A2595,'Output - State'!$B$2:$G$52,3,FALSE)</f>
        <v>17.81249876419697</v>
      </c>
      <c r="E2595" s="98">
        <f>SUMIFS(Input!$C$115:$C$3257,Input!$A$115:$A$3257,"="&amp;'Output - County'!A2595,Input!$B$115:$B$3257,"="&amp;'Output - County'!B2595)*VLOOKUP(A2595,'Output - State'!$B$2:$G$52,4,FALSE)</f>
        <v>234.40552725936467</v>
      </c>
      <c r="F2595" s="98">
        <f>SUMIFS(Input!$C$115:$C$3257,Input!$A$115:$A$3257,"="&amp;'Output - County'!A2595,Input!$B$115:$B$3257,"="&amp;'Output - County'!B2595)*VLOOKUP(A2595,'Output - State'!$B$2:$G$52,5,FALSE)</f>
        <v>430.7499990363977</v>
      </c>
      <c r="G2595" s="99">
        <f>SUMIFS(Input!$D$115:$D$3257,Input!$A$115:$A$3257,"="&amp;'Output - County'!A2595,Input!$B$115:$B$3257,"="&amp;'Output - County'!B2595)*VLOOKUP(A2595,'Output - State'!$B$2:$G$52,6,FALSE)</f>
        <v>165.38186682557162</v>
      </c>
    </row>
    <row r="2596" spans="1:7" x14ac:dyDescent="0.25">
      <c r="A2596" s="88">
        <v>48</v>
      </c>
      <c r="B2596" s="88">
        <v>143</v>
      </c>
      <c r="C2596" s="97">
        <f>SUMIFS(Input!$C$115:$C$3257,Input!$A$115:$A$3257,"="&amp;'Output - County'!A2596,Input!$B$115:$B$3257,"="&amp;'Output - County'!B2596)*VLOOKUP(A2596,'Output - State'!$B$2:$G$52,2,FALSE)</f>
        <v>6.6140643596541135</v>
      </c>
      <c r="D2596" s="98">
        <f>SUMIFS(Input!$C$115:$C$3257,Input!$A$115:$A$3257,"="&amp;'Output - County'!A2596,Input!$B$115:$B$3257,"="&amp;'Output - County'!B2596)*VLOOKUP(A2596,'Output - State'!$B$2:$G$52,3,FALSE)</f>
        <v>1.1027311869168712</v>
      </c>
      <c r="E2596" s="98">
        <f>SUMIFS(Input!$C$115:$C$3257,Input!$A$115:$A$3257,"="&amp;'Output - County'!A2596,Input!$B$115:$B$3257,"="&amp;'Output - County'!B2596)*VLOOKUP(A2596,'Output - State'!$B$2:$G$52,4,FALSE)</f>
        <v>14.511511760166423</v>
      </c>
      <c r="F2596" s="98">
        <f>SUMIFS(Input!$C$115:$C$3257,Input!$A$115:$A$3257,"="&amp;'Output - County'!A2596,Input!$B$115:$B$3257,"="&amp;'Output - County'!B2596)*VLOOKUP(A2596,'Output - State'!$B$2:$G$52,5,FALSE)</f>
        <v>26.666750352656777</v>
      </c>
      <c r="G2596" s="99">
        <f>SUMIFS(Input!$D$115:$D$3257,Input!$A$115:$A$3257,"="&amp;'Output - County'!A2596,Input!$B$115:$B$3257,"="&amp;'Output - County'!B2596)*VLOOKUP(A2596,'Output - State'!$B$2:$G$52,6,FALSE)</f>
        <v>8.3382494385174706</v>
      </c>
    </row>
    <row r="2597" spans="1:7" x14ac:dyDescent="0.25">
      <c r="A2597" s="88">
        <v>48</v>
      </c>
      <c r="B2597" s="88">
        <v>145</v>
      </c>
      <c r="C2597" s="97">
        <f>SUMIFS(Input!$C$115:$C$3257,Input!$A$115:$A$3257,"="&amp;'Output - County'!A2597,Input!$B$115:$B$3257,"="&amp;'Output - County'!B2597)*VLOOKUP(A2597,'Output - State'!$B$2:$G$52,2,FALSE)</f>
        <v>3.8620760947033577</v>
      </c>
      <c r="D2597" s="98">
        <f>SUMIFS(Input!$C$115:$C$3257,Input!$A$115:$A$3257,"="&amp;'Output - County'!A2597,Input!$B$115:$B$3257,"="&amp;'Output - County'!B2597)*VLOOKUP(A2597,'Output - State'!$B$2:$G$52,3,FALSE)</f>
        <v>0.64390539981050732</v>
      </c>
      <c r="E2597" s="98">
        <f>SUMIFS(Input!$C$115:$C$3257,Input!$A$115:$A$3257,"="&amp;'Output - County'!A2597,Input!$B$115:$B$3257,"="&amp;'Output - County'!B2597)*VLOOKUP(A2597,'Output - State'!$B$2:$G$52,4,FALSE)</f>
        <v>8.4735435912625849</v>
      </c>
      <c r="F2597" s="98">
        <f>SUMIFS(Input!$C$115:$C$3257,Input!$A$115:$A$3257,"="&amp;'Output - County'!A2597,Input!$B$115:$B$3257,"="&amp;'Output - County'!B2597)*VLOOKUP(A2597,'Output - State'!$B$2:$G$52,5,FALSE)</f>
        <v>15.571215134925593</v>
      </c>
      <c r="G2597" s="99">
        <f>SUMIFS(Input!$D$115:$D$3257,Input!$A$115:$A$3257,"="&amp;'Output - County'!A2597,Input!$B$115:$B$3257,"="&amp;'Output - County'!B2597)*VLOOKUP(A2597,'Output - State'!$B$2:$G$52,6,FALSE)</f>
        <v>3.3985282071682579</v>
      </c>
    </row>
    <row r="2598" spans="1:7" x14ac:dyDescent="0.25">
      <c r="A2598" s="88">
        <v>48</v>
      </c>
      <c r="B2598" s="88">
        <v>147</v>
      </c>
      <c r="C2598" s="97">
        <f>SUMIFS(Input!$C$115:$C$3257,Input!$A$115:$A$3257,"="&amp;'Output - County'!A2598,Input!$B$115:$B$3257,"="&amp;'Output - County'!B2598)*VLOOKUP(A2598,'Output - State'!$B$2:$G$52,2,FALSE)</f>
        <v>4.639323645943179</v>
      </c>
      <c r="D2598" s="98">
        <f>SUMIFS(Input!$C$115:$C$3257,Input!$A$115:$A$3257,"="&amp;'Output - County'!A2598,Input!$B$115:$B$3257,"="&amp;'Output - County'!B2598)*VLOOKUP(A2598,'Output - State'!$B$2:$G$52,3,FALSE)</f>
        <v>0.77349215132977167</v>
      </c>
      <c r="E2598" s="98">
        <f>SUMIFS(Input!$C$115:$C$3257,Input!$A$115:$A$3257,"="&amp;'Output - County'!A2598,Input!$B$115:$B$3257,"="&amp;'Output - County'!B2598)*VLOOKUP(A2598,'Output - State'!$B$2:$G$52,4,FALSE)</f>
        <v>10.178854632561112</v>
      </c>
      <c r="F2598" s="98">
        <f>SUMIFS(Input!$C$115:$C$3257,Input!$A$115:$A$3257,"="&amp;'Output - County'!A2598,Input!$B$115:$B$3257,"="&amp;'Output - County'!B2598)*VLOOKUP(A2598,'Output - State'!$B$2:$G$52,5,FALSE)</f>
        <v>18.704941280313456</v>
      </c>
      <c r="G2598" s="99">
        <f>SUMIFS(Input!$D$115:$D$3257,Input!$A$115:$A$3257,"="&amp;'Output - County'!A2598,Input!$B$115:$B$3257,"="&amp;'Output - County'!B2598)*VLOOKUP(A2598,'Output - State'!$B$2:$G$52,6,FALSE)</f>
        <v>6.9551274937396901</v>
      </c>
    </row>
    <row r="2599" spans="1:7" x14ac:dyDescent="0.25">
      <c r="A2599" s="88">
        <v>48</v>
      </c>
      <c r="B2599" s="88">
        <v>149</v>
      </c>
      <c r="C2599" s="97">
        <f>SUMIFS(Input!$C$115:$C$3257,Input!$A$115:$A$3257,"="&amp;'Output - County'!A2599,Input!$B$115:$B$3257,"="&amp;'Output - County'!B2599)*VLOOKUP(A2599,'Output - State'!$B$2:$G$52,2,FALSE)</f>
        <v>9.5197858044475545</v>
      </c>
      <c r="D2599" s="98">
        <f>SUMIFS(Input!$C$115:$C$3257,Input!$A$115:$A$3257,"="&amp;'Output - County'!A2599,Input!$B$115:$B$3257,"="&amp;'Output - County'!B2599)*VLOOKUP(A2599,'Output - State'!$B$2:$G$52,3,FALSE)</f>
        <v>1.587188168801221</v>
      </c>
      <c r="E2599" s="98">
        <f>SUMIFS(Input!$C$115:$C$3257,Input!$A$115:$A$3257,"="&amp;'Output - County'!A2599,Input!$B$115:$B$3257,"="&amp;'Output - County'!B2599)*VLOOKUP(A2599,'Output - State'!$B$2:$G$52,4,FALSE)</f>
        <v>20.886776442364482</v>
      </c>
      <c r="F2599" s="98">
        <f>SUMIFS(Input!$C$115:$C$3257,Input!$A$115:$A$3257,"="&amp;'Output - County'!A2599,Input!$B$115:$B$3257,"="&amp;'Output - County'!B2599)*VLOOKUP(A2599,'Output - State'!$B$2:$G$52,5,FALSE)</f>
        <v>38.382110855547324</v>
      </c>
      <c r="G2599" s="99">
        <f>SUMIFS(Input!$D$115:$D$3257,Input!$A$115:$A$3257,"="&amp;'Output - County'!A2599,Input!$B$115:$B$3257,"="&amp;'Output - County'!B2599)*VLOOKUP(A2599,'Output - State'!$B$2:$G$52,6,FALSE)</f>
        <v>4.9989978861254025</v>
      </c>
    </row>
    <row r="2600" spans="1:7" x14ac:dyDescent="0.25">
      <c r="A2600" s="88">
        <v>48</v>
      </c>
      <c r="B2600" s="88">
        <v>151</v>
      </c>
      <c r="C2600" s="97">
        <f>SUMIFS(Input!$C$115:$C$3257,Input!$A$115:$A$3257,"="&amp;'Output - County'!A2600,Input!$B$115:$B$3257,"="&amp;'Output - County'!B2600)*VLOOKUP(A2600,'Output - State'!$B$2:$G$52,2,FALSE)</f>
        <v>0.79187503318285235</v>
      </c>
      <c r="D2600" s="98">
        <f>SUMIFS(Input!$C$115:$C$3257,Input!$A$115:$A$3257,"="&amp;'Output - County'!A2600,Input!$B$115:$B$3257,"="&amp;'Output - County'!B2600)*VLOOKUP(A2600,'Output - State'!$B$2:$G$52,3,FALSE)</f>
        <v>0.1320255213357539</v>
      </c>
      <c r="E2600" s="98">
        <f>SUMIFS(Input!$C$115:$C$3257,Input!$A$115:$A$3257,"="&amp;'Output - County'!A2600,Input!$B$115:$B$3257,"="&amp;'Output - County'!B2600)*VLOOKUP(A2600,'Output - State'!$B$2:$G$52,4,FALSE)</f>
        <v>1.7374042996485271</v>
      </c>
      <c r="F2600" s="98">
        <f>SUMIFS(Input!$C$115:$C$3257,Input!$A$115:$A$3257,"="&amp;'Output - County'!A2600,Input!$B$115:$B$3257,"="&amp;'Output - County'!B2600)*VLOOKUP(A2600,'Output - State'!$B$2:$G$52,5,FALSE)</f>
        <v>3.1927015934712251</v>
      </c>
      <c r="G2600" s="99">
        <f>SUMIFS(Input!$D$115:$D$3257,Input!$A$115:$A$3257,"="&amp;'Output - County'!A2600,Input!$B$115:$B$3257,"="&amp;'Output - County'!B2600)*VLOOKUP(A2600,'Output - State'!$B$2:$G$52,6,FALSE)</f>
        <v>0.7547894041501596</v>
      </c>
    </row>
    <row r="2601" spans="1:7" x14ac:dyDescent="0.25">
      <c r="A2601" s="88">
        <v>48</v>
      </c>
      <c r="B2601" s="88">
        <v>153</v>
      </c>
      <c r="C2601" s="97">
        <f>SUMIFS(Input!$C$115:$C$3257,Input!$A$115:$A$3257,"="&amp;'Output - County'!A2601,Input!$B$115:$B$3257,"="&amp;'Output - County'!B2601)*VLOOKUP(A2601,'Output - State'!$B$2:$G$52,2,FALSE)</f>
        <v>0.75946205794970267</v>
      </c>
      <c r="D2601" s="98">
        <f>SUMIFS(Input!$C$115:$C$3257,Input!$A$115:$A$3257,"="&amp;'Output - County'!A2601,Input!$B$115:$B$3257,"="&amp;'Output - County'!B2601)*VLOOKUP(A2601,'Output - State'!$B$2:$G$52,3,FALSE)</f>
        <v>0.12662146163709267</v>
      </c>
      <c r="E2601" s="98">
        <f>SUMIFS(Input!$C$115:$C$3257,Input!$A$115:$A$3257,"="&amp;'Output - County'!A2601,Input!$B$115:$B$3257,"="&amp;'Output - County'!B2601)*VLOOKUP(A2601,'Output - State'!$B$2:$G$52,4,FALSE)</f>
        <v>1.6662889845108266</v>
      </c>
      <c r="F2601" s="98">
        <f>SUMIFS(Input!$C$115:$C$3257,Input!$A$115:$A$3257,"="&amp;'Output - County'!A2601,Input!$B$115:$B$3257,"="&amp;'Output - County'!B2601)*VLOOKUP(A2601,'Output - State'!$B$2:$G$52,5,FALSE)</f>
        <v>3.062018148054245</v>
      </c>
      <c r="G2601" s="99">
        <f>SUMIFS(Input!$D$115:$D$3257,Input!$A$115:$A$3257,"="&amp;'Output - County'!A2601,Input!$B$115:$B$3257,"="&amp;'Output - County'!B2601)*VLOOKUP(A2601,'Output - State'!$B$2:$G$52,6,FALSE)</f>
        <v>1.1420635486879378</v>
      </c>
    </row>
    <row r="2602" spans="1:7" x14ac:dyDescent="0.25">
      <c r="A2602" s="88">
        <v>48</v>
      </c>
      <c r="B2602" s="88">
        <v>155</v>
      </c>
      <c r="C2602" s="97">
        <f>SUMIFS(Input!$C$115:$C$3257,Input!$A$115:$A$3257,"="&amp;'Output - County'!A2602,Input!$B$115:$B$3257,"="&amp;'Output - County'!B2602)*VLOOKUP(A2602,'Output - State'!$B$2:$G$52,2,FALSE)</f>
        <v>0.18817369203617504</v>
      </c>
      <c r="D2602" s="98">
        <f>SUMIFS(Input!$C$115:$C$3257,Input!$A$115:$A$3257,"="&amp;'Output - County'!A2602,Input!$B$115:$B$3257,"="&amp;'Output - County'!B2602)*VLOOKUP(A2602,'Output - State'!$B$2:$G$52,3,FALSE)</f>
        <v>3.1373295976882924E-2</v>
      </c>
      <c r="E2602" s="98">
        <f>SUMIFS(Input!$C$115:$C$3257,Input!$A$115:$A$3257,"="&amp;'Output - County'!A2602,Input!$B$115:$B$3257,"="&amp;'Output - County'!B2602)*VLOOKUP(A2602,'Output - State'!$B$2:$G$52,4,FALSE)</f>
        <v>0.41286032255659694</v>
      </c>
      <c r="F2602" s="98">
        <f>SUMIFS(Input!$C$115:$C$3257,Input!$A$115:$A$3257,"="&amp;'Output - County'!A2602,Input!$B$115:$B$3257,"="&amp;'Output - County'!B2602)*VLOOKUP(A2602,'Output - State'!$B$2:$G$52,5,FALSE)</f>
        <v>0.75868340487827024</v>
      </c>
      <c r="G2602" s="99">
        <f>SUMIFS(Input!$D$115:$D$3257,Input!$A$115:$A$3257,"="&amp;'Output - County'!A2602,Input!$B$115:$B$3257,"="&amp;'Output - County'!B2602)*VLOOKUP(A2602,'Output - State'!$B$2:$G$52,6,FALSE)</f>
        <v>0.2351307306122225</v>
      </c>
    </row>
    <row r="2603" spans="1:7" x14ac:dyDescent="0.25">
      <c r="A2603" s="88">
        <v>48</v>
      </c>
      <c r="B2603" s="88">
        <v>157</v>
      </c>
      <c r="C2603" s="97">
        <f>SUMIFS(Input!$C$115:$C$3257,Input!$A$115:$A$3257,"="&amp;'Output - County'!A2603,Input!$B$115:$B$3257,"="&amp;'Output - County'!B2603)*VLOOKUP(A2603,'Output - State'!$B$2:$G$52,2,FALSE)</f>
        <v>76.996319194894411</v>
      </c>
      <c r="D2603" s="98">
        <f>SUMIFS(Input!$C$115:$C$3257,Input!$A$115:$A$3257,"="&amp;'Output - County'!A2603,Input!$B$115:$B$3257,"="&amp;'Output - County'!B2603)*VLOOKUP(A2603,'Output - State'!$B$2:$G$52,3,FALSE)</f>
        <v>12.837226527752811</v>
      </c>
      <c r="E2603" s="98">
        <f>SUMIFS(Input!$C$115:$C$3257,Input!$A$115:$A$3257,"="&amp;'Output - County'!A2603,Input!$B$115:$B$3257,"="&amp;'Output - County'!B2603)*VLOOKUP(A2603,'Output - State'!$B$2:$G$52,4,FALSE)</f>
        <v>168.93288766616564</v>
      </c>
      <c r="F2603" s="98">
        <f>SUMIFS(Input!$C$115:$C$3257,Input!$A$115:$A$3257,"="&amp;'Output - County'!A2603,Input!$B$115:$B$3257,"="&amp;'Output - County'!B2603)*VLOOKUP(A2603,'Output - State'!$B$2:$G$52,5,FALSE)</f>
        <v>310.43568831421231</v>
      </c>
      <c r="G2603" s="99">
        <f>SUMIFS(Input!$D$115:$D$3257,Input!$A$115:$A$3257,"="&amp;'Output - County'!A2603,Input!$B$115:$B$3257,"="&amp;'Output - County'!B2603)*VLOOKUP(A2603,'Output - State'!$B$2:$G$52,6,FALSE)</f>
        <v>155.70001321212715</v>
      </c>
    </row>
    <row r="2604" spans="1:7" x14ac:dyDescent="0.25">
      <c r="A2604" s="88">
        <v>48</v>
      </c>
      <c r="B2604" s="88">
        <v>159</v>
      </c>
      <c r="C2604" s="97">
        <f>SUMIFS(Input!$C$115:$C$3257,Input!$A$115:$A$3257,"="&amp;'Output - County'!A2604,Input!$B$115:$B$3257,"="&amp;'Output - County'!B2604)*VLOOKUP(A2604,'Output - State'!$B$2:$G$52,2,FALSE)</f>
        <v>3.6881924308914273</v>
      </c>
      <c r="D2604" s="98">
        <f>SUMIFS(Input!$C$115:$C$3257,Input!$A$115:$A$3257,"="&amp;'Output - County'!A2604,Input!$B$115:$B$3257,"="&amp;'Output - County'!B2604)*VLOOKUP(A2604,'Output - State'!$B$2:$G$52,3,FALSE)</f>
        <v>0.61491461161218797</v>
      </c>
      <c r="E2604" s="98">
        <f>SUMIFS(Input!$C$115:$C$3257,Input!$A$115:$A$3257,"="&amp;'Output - County'!A2604,Input!$B$115:$B$3257,"="&amp;'Output - County'!B2604)*VLOOKUP(A2604,'Output - State'!$B$2:$G$52,4,FALSE)</f>
        <v>8.0920361406094123</v>
      </c>
      <c r="F2604" s="98">
        <f>SUMIFS(Input!$C$115:$C$3257,Input!$A$115:$A$3257,"="&amp;'Output - County'!A2604,Input!$B$115:$B$3257,"="&amp;'Output - County'!B2604)*VLOOKUP(A2604,'Output - State'!$B$2:$G$52,5,FALSE)</f>
        <v>14.870146623774826</v>
      </c>
      <c r="G2604" s="99">
        <f>SUMIFS(Input!$D$115:$D$3257,Input!$A$115:$A$3257,"="&amp;'Output - County'!A2604,Input!$B$115:$B$3257,"="&amp;'Output - County'!B2604)*VLOOKUP(A2604,'Output - State'!$B$2:$G$52,6,FALSE)</f>
        <v>2.1339595719428597</v>
      </c>
    </row>
    <row r="2605" spans="1:7" x14ac:dyDescent="0.25">
      <c r="A2605" s="88">
        <v>48</v>
      </c>
      <c r="B2605" s="88">
        <v>161</v>
      </c>
      <c r="C2605" s="97">
        <f>SUMIFS(Input!$C$115:$C$3257,Input!$A$115:$A$3257,"="&amp;'Output - County'!A2605,Input!$B$115:$B$3257,"="&amp;'Output - County'!B2605)*VLOOKUP(A2605,'Output - State'!$B$2:$G$52,2,FALSE)</f>
        <v>8.9945629048846367</v>
      </c>
      <c r="D2605" s="98">
        <f>SUMIFS(Input!$C$115:$C$3257,Input!$A$115:$A$3257,"="&amp;'Output - County'!A2605,Input!$B$115:$B$3257,"="&amp;'Output - County'!B2605)*VLOOKUP(A2605,'Output - State'!$B$2:$G$52,3,FALSE)</f>
        <v>1.4996202771181677</v>
      </c>
      <c r="E2605" s="98">
        <f>SUMIFS(Input!$C$115:$C$3257,Input!$A$115:$A$3257,"="&amp;'Output - County'!A2605,Input!$B$115:$B$3257,"="&amp;'Output - County'!B2605)*VLOOKUP(A2605,'Output - State'!$B$2:$G$52,4,FALSE)</f>
        <v>19.734417186502242</v>
      </c>
      <c r="F2605" s="98">
        <f>SUMIFS(Input!$C$115:$C$3257,Input!$A$115:$A$3257,"="&amp;'Output - County'!A2605,Input!$B$115:$B$3257,"="&amp;'Output - County'!B2605)*VLOOKUP(A2605,'Output - State'!$B$2:$G$52,5,FALSE)</f>
        <v>36.264504013439833</v>
      </c>
      <c r="G2605" s="99">
        <f>SUMIFS(Input!$D$115:$D$3257,Input!$A$115:$A$3257,"="&amp;'Output - County'!A2605,Input!$B$115:$B$3257,"="&amp;'Output - County'!B2605)*VLOOKUP(A2605,'Output - State'!$B$2:$G$52,6,FALSE)</f>
        <v>3.9122592152285756</v>
      </c>
    </row>
    <row r="2606" spans="1:7" x14ac:dyDescent="0.25">
      <c r="A2606" s="88">
        <v>48</v>
      </c>
      <c r="B2606" s="88">
        <v>163</v>
      </c>
      <c r="C2606" s="97">
        <f>SUMIFS(Input!$C$115:$C$3257,Input!$A$115:$A$3257,"="&amp;'Output - County'!A2606,Input!$B$115:$B$3257,"="&amp;'Output - County'!B2606)*VLOOKUP(A2606,'Output - State'!$B$2:$G$52,2,FALSE)</f>
        <v>7.5471982857734181</v>
      </c>
      <c r="D2606" s="98">
        <f>SUMIFS(Input!$C$115:$C$3257,Input!$A$115:$A$3257,"="&amp;'Output - County'!A2606,Input!$B$115:$B$3257,"="&amp;'Output - County'!B2606)*VLOOKUP(A2606,'Output - State'!$B$2:$G$52,3,FALSE)</f>
        <v>1.2583081250819774</v>
      </c>
      <c r="E2606" s="98">
        <f>SUMIFS(Input!$C$115:$C$3257,Input!$A$115:$A$3257,"="&amp;'Output - County'!A2606,Input!$B$115:$B$3257,"="&amp;'Output - County'!B2606)*VLOOKUP(A2606,'Output - State'!$B$2:$G$52,4,FALSE)</f>
        <v>16.558843507539791</v>
      </c>
      <c r="F2606" s="98">
        <f>SUMIFS(Input!$C$115:$C$3257,Input!$A$115:$A$3257,"="&amp;'Output - County'!A2606,Input!$B$115:$B$3257,"="&amp;'Output - County'!B2606)*VLOOKUP(A2606,'Output - State'!$B$2:$G$52,5,FALSE)</f>
        <v>30.428983088886046</v>
      </c>
      <c r="G2606" s="99">
        <f>SUMIFS(Input!$D$115:$D$3257,Input!$A$115:$A$3257,"="&amp;'Output - County'!A2606,Input!$B$115:$B$3257,"="&amp;'Output - County'!B2606)*VLOOKUP(A2606,'Output - State'!$B$2:$G$52,6,FALSE)</f>
        <v>3.9912947549301632</v>
      </c>
    </row>
    <row r="2607" spans="1:7" x14ac:dyDescent="0.25">
      <c r="A2607" s="88">
        <v>48</v>
      </c>
      <c r="B2607" s="88">
        <v>165</v>
      </c>
      <c r="C2607" s="97">
        <f>SUMIFS(Input!$C$115:$C$3257,Input!$A$115:$A$3257,"="&amp;'Output - County'!A2607,Input!$B$115:$B$3257,"="&amp;'Output - County'!B2607)*VLOOKUP(A2607,'Output - State'!$B$2:$G$52,2,FALSE)</f>
        <v>3.930346847962535</v>
      </c>
      <c r="D2607" s="98">
        <f>SUMIFS(Input!$C$115:$C$3257,Input!$A$115:$A$3257,"="&amp;'Output - County'!A2607,Input!$B$115:$B$3257,"="&amp;'Output - County'!B2607)*VLOOKUP(A2607,'Output - State'!$B$2:$G$52,3,FALSE)</f>
        <v>0.65528785463396444</v>
      </c>
      <c r="E2607" s="98">
        <f>SUMIFS(Input!$C$115:$C$3257,Input!$A$115:$A$3257,"="&amp;'Output - County'!A2607,Input!$B$115:$B$3257,"="&amp;'Output - County'!B2607)*VLOOKUP(A2607,'Output - State'!$B$2:$G$52,4,FALSE)</f>
        <v>8.623332251445472</v>
      </c>
      <c r="F2607" s="98">
        <f>SUMIFS(Input!$C$115:$C$3257,Input!$A$115:$A$3257,"="&amp;'Output - County'!A2607,Input!$B$115:$B$3257,"="&amp;'Output - County'!B2607)*VLOOKUP(A2607,'Output - State'!$B$2:$G$52,5,FALSE)</f>
        <v>15.846470867944422</v>
      </c>
      <c r="G2607" s="99">
        <f>SUMIFS(Input!$D$115:$D$3257,Input!$A$115:$A$3257,"="&amp;'Output - County'!A2607,Input!$B$115:$B$3257,"="&amp;'Output - County'!B2607)*VLOOKUP(A2607,'Output - State'!$B$2:$G$52,6,FALSE)</f>
        <v>4.1098480644825441</v>
      </c>
    </row>
    <row r="2608" spans="1:7" x14ac:dyDescent="0.25">
      <c r="A2608" s="88">
        <v>48</v>
      </c>
      <c r="B2608" s="88">
        <v>167</v>
      </c>
      <c r="C2608" s="97">
        <f>SUMIFS(Input!$C$115:$C$3257,Input!$A$115:$A$3257,"="&amp;'Output - County'!A2608,Input!$B$115:$B$3257,"="&amp;'Output - County'!B2608)*VLOOKUP(A2608,'Output - State'!$B$2:$G$52,2,FALSE)</f>
        <v>39.300487168049955</v>
      </c>
      <c r="D2608" s="98">
        <f>SUMIFS(Input!$C$115:$C$3257,Input!$A$115:$A$3257,"="&amp;'Output - County'!A2608,Input!$B$115:$B$3257,"="&amp;'Output - County'!B2608)*VLOOKUP(A2608,'Output - State'!$B$2:$G$52,3,FALSE)</f>
        <v>6.5523814865783043</v>
      </c>
      <c r="E2608" s="98">
        <f>SUMIFS(Input!$C$115:$C$3257,Input!$A$115:$A$3257,"="&amp;'Output - County'!A2608,Input!$B$115:$B$3257,"="&amp;'Output - County'!B2608)*VLOOKUP(A2608,'Output - State'!$B$2:$G$52,4,FALSE)</f>
        <v>86.226781402116757</v>
      </c>
      <c r="F2608" s="98">
        <f>SUMIFS(Input!$C$115:$C$3257,Input!$A$115:$A$3257,"="&amp;'Output - County'!A2608,Input!$B$115:$B$3257,"="&amp;'Output - County'!B2608)*VLOOKUP(A2608,'Output - State'!$B$2:$G$52,5,FALSE)</f>
        <v>158.45268855275941</v>
      </c>
      <c r="G2608" s="99">
        <f>SUMIFS(Input!$D$115:$D$3257,Input!$A$115:$A$3257,"="&amp;'Output - County'!A2608,Input!$B$115:$B$3257,"="&amp;'Output - County'!B2608)*VLOOKUP(A2608,'Output - State'!$B$2:$G$52,6,FALSE)</f>
        <v>66.785031047841343</v>
      </c>
    </row>
    <row r="2609" spans="1:7" x14ac:dyDescent="0.25">
      <c r="A2609" s="88">
        <v>48</v>
      </c>
      <c r="B2609" s="88">
        <v>169</v>
      </c>
      <c r="C2609" s="97">
        <f>SUMIFS(Input!$C$115:$C$3257,Input!$A$115:$A$3257,"="&amp;'Output - County'!A2609,Input!$B$115:$B$3257,"="&amp;'Output - County'!B2609)*VLOOKUP(A2609,'Output - State'!$B$2:$G$52,2,FALSE)</f>
        <v>2.4877521542589429</v>
      </c>
      <c r="D2609" s="98">
        <f>SUMIFS(Input!$C$115:$C$3257,Input!$A$115:$A$3257,"="&amp;'Output - County'!A2609,Input!$B$115:$B$3257,"="&amp;'Output - County'!B2609)*VLOOKUP(A2609,'Output - State'!$B$2:$G$52,3,FALSE)</f>
        <v>0.41477096935362018</v>
      </c>
      <c r="E2609" s="98">
        <f>SUMIFS(Input!$C$115:$C$3257,Input!$A$115:$A$3257,"="&amp;'Output - County'!A2609,Input!$B$115:$B$3257,"="&amp;'Output - County'!B2609)*VLOOKUP(A2609,'Output - State'!$B$2:$G$52,4,FALSE)</f>
        <v>5.4582239724071773</v>
      </c>
      <c r="F2609" s="98">
        <f>SUMIFS(Input!$C$115:$C$3257,Input!$A$115:$A$3257,"="&amp;'Output - County'!A2609,Input!$B$115:$B$3257,"="&amp;'Output - County'!B2609)*VLOOKUP(A2609,'Output - State'!$B$2:$G$52,5,FALSE)</f>
        <v>10.030181448124981</v>
      </c>
      <c r="G2609" s="99">
        <f>SUMIFS(Input!$D$115:$D$3257,Input!$A$115:$A$3257,"="&amp;'Output - County'!A2609,Input!$B$115:$B$3257,"="&amp;'Output - County'!B2609)*VLOOKUP(A2609,'Output - State'!$B$2:$G$52,6,FALSE)</f>
        <v>1.2329544193447632</v>
      </c>
    </row>
    <row r="2610" spans="1:7" x14ac:dyDescent="0.25">
      <c r="A2610" s="88">
        <v>48</v>
      </c>
      <c r="B2610" s="88">
        <v>171</v>
      </c>
      <c r="C2610" s="97">
        <f>SUMIFS(Input!$C$115:$C$3257,Input!$A$115:$A$3257,"="&amp;'Output - County'!A2610,Input!$B$115:$B$3257,"="&amp;'Output - County'!B2610)*VLOOKUP(A2610,'Output - State'!$B$2:$G$52,2,FALSE)</f>
        <v>5.2694679038344763</v>
      </c>
      <c r="D2610" s="98">
        <f>SUMIFS(Input!$C$115:$C$3257,Input!$A$115:$A$3257,"="&amp;'Output - County'!A2610,Input!$B$115:$B$3257,"="&amp;'Output - County'!B2610)*VLOOKUP(A2610,'Output - State'!$B$2:$G$52,3,FALSE)</f>
        <v>0.87855307720646814</v>
      </c>
      <c r="E2610" s="98">
        <f>SUMIFS(Input!$C$115:$C$3257,Input!$A$115:$A$3257,"="&amp;'Output - County'!A2610,Input!$B$115:$B$3257,"="&amp;'Output - County'!B2610)*VLOOKUP(A2610,'Output - State'!$B$2:$G$52,4,FALSE)</f>
        <v>11.561415386697636</v>
      </c>
      <c r="F2610" s="98">
        <f>SUMIFS(Input!$C$115:$C$3257,Input!$A$115:$A$3257,"="&amp;'Output - County'!A2610,Input!$B$115:$B$3257,"="&amp;'Output - County'!B2610)*VLOOKUP(A2610,'Output - State'!$B$2:$G$52,5,FALSE)</f>
        <v>21.245572682972828</v>
      </c>
      <c r="G2610" s="99">
        <f>SUMIFS(Input!$D$115:$D$3257,Input!$A$115:$A$3257,"="&amp;'Output - County'!A2610,Input!$B$115:$B$3257,"="&amp;'Output - County'!B2610)*VLOOKUP(A2610,'Output - State'!$B$2:$G$52,6,FALSE)</f>
        <v>5.2756222750809583</v>
      </c>
    </row>
    <row r="2611" spans="1:7" x14ac:dyDescent="0.25">
      <c r="A2611" s="88">
        <v>48</v>
      </c>
      <c r="B2611" s="88">
        <v>173</v>
      </c>
      <c r="C2611" s="97">
        <f>SUMIFS(Input!$C$115:$C$3257,Input!$A$115:$A$3257,"="&amp;'Output - County'!A2611,Input!$B$115:$B$3257,"="&amp;'Output - County'!B2611)*VLOOKUP(A2611,'Output - State'!$B$2:$G$52,2,FALSE)</f>
        <v>1.2024180815064862</v>
      </c>
      <c r="D2611" s="98">
        <f>SUMIFS(Input!$C$115:$C$3257,Input!$A$115:$A$3257,"="&amp;'Output - County'!A2611,Input!$B$115:$B$3257,"="&amp;'Output - County'!B2611)*VLOOKUP(A2611,'Output - State'!$B$2:$G$52,3,FALSE)</f>
        <v>0.20047339216688478</v>
      </c>
      <c r="E2611" s="98">
        <f>SUMIFS(Input!$C$115:$C$3257,Input!$A$115:$A$3257,"="&amp;'Output - County'!A2611,Input!$B$115:$B$3257,"="&amp;'Output - County'!B2611)*VLOOKUP(A2611,'Output - State'!$B$2:$G$52,4,FALSE)</f>
        <v>2.6381515482154496</v>
      </c>
      <c r="F2611" s="98">
        <f>SUMIFS(Input!$C$115:$C$3257,Input!$A$115:$A$3257,"="&amp;'Output - County'!A2611,Input!$B$115:$B$3257,"="&amp;'Output - County'!B2611)*VLOOKUP(A2611,'Output - State'!$B$2:$G$52,5,FALSE)</f>
        <v>4.8479393388803995</v>
      </c>
      <c r="G2611" s="99">
        <f>SUMIFS(Input!$D$115:$D$3257,Input!$A$115:$A$3257,"="&amp;'Output - County'!A2611,Input!$B$115:$B$3257,"="&amp;'Output - County'!B2611)*VLOOKUP(A2611,'Output - State'!$B$2:$G$52,6,FALSE)</f>
        <v>0.2746485004630162</v>
      </c>
    </row>
    <row r="2612" spans="1:7" x14ac:dyDescent="0.25">
      <c r="A2612" s="88">
        <v>48</v>
      </c>
      <c r="B2612" s="88">
        <v>175</v>
      </c>
      <c r="C2612" s="97">
        <f>SUMIFS(Input!$C$115:$C$3257,Input!$A$115:$A$3257,"="&amp;'Output - County'!A2612,Input!$B$115:$B$3257,"="&amp;'Output - County'!B2612)*VLOOKUP(A2612,'Output - State'!$B$2:$G$52,2,FALSE)</f>
        <v>1.5850543545657674</v>
      </c>
      <c r="D2612" s="98">
        <f>SUMIFS(Input!$C$115:$C$3257,Input!$A$115:$A$3257,"="&amp;'Output - County'!A2612,Input!$B$115:$B$3257,"="&amp;'Output - County'!B2612)*VLOOKUP(A2612,'Output - State'!$B$2:$G$52,3,FALSE)</f>
        <v>0.26426850037931454</v>
      </c>
      <c r="E2612" s="98">
        <f>SUMIFS(Input!$C$115:$C$3257,Input!$A$115:$A$3257,"="&amp;'Output - County'!A2612,Input!$B$115:$B$3257,"="&amp;'Output - County'!B2612)*VLOOKUP(A2612,'Output - State'!$B$2:$G$52,4,FALSE)</f>
        <v>3.477670257806051</v>
      </c>
      <c r="F2612" s="98">
        <f>SUMIFS(Input!$C$115:$C$3257,Input!$A$115:$A$3257,"="&amp;'Output - County'!A2612,Input!$B$115:$B$3257,"="&amp;'Output - County'!B2612)*VLOOKUP(A2612,'Output - State'!$B$2:$G$52,5,FALSE)</f>
        <v>6.3906618487769427</v>
      </c>
      <c r="G2612" s="99">
        <f>SUMIFS(Input!$D$115:$D$3257,Input!$A$115:$A$3257,"="&amp;'Output - County'!A2612,Input!$B$115:$B$3257,"="&amp;'Output - County'!B2612)*VLOOKUP(A2612,'Output - State'!$B$2:$G$52,6,FALSE)</f>
        <v>1.4996993658376208</v>
      </c>
    </row>
    <row r="2613" spans="1:7" x14ac:dyDescent="0.25">
      <c r="A2613" s="88">
        <v>48</v>
      </c>
      <c r="B2613" s="88">
        <v>177</v>
      </c>
      <c r="C2613" s="97">
        <f>SUMIFS(Input!$C$115:$C$3257,Input!$A$115:$A$3257,"="&amp;'Output - County'!A2613,Input!$B$115:$B$3257,"="&amp;'Output - County'!B2613)*VLOOKUP(A2613,'Output - State'!$B$2:$G$52,2,FALSE)</f>
        <v>8.085352166620682</v>
      </c>
      <c r="D2613" s="98">
        <f>SUMIFS(Input!$C$115:$C$3257,Input!$A$115:$A$3257,"="&amp;'Output - County'!A2613,Input!$B$115:$B$3257,"="&amp;'Output - County'!B2613)*VLOOKUP(A2613,'Output - State'!$B$2:$G$52,3,FALSE)</f>
        <v>1.3480319371740717</v>
      </c>
      <c r="E2613" s="98">
        <f>SUMIFS(Input!$C$115:$C$3257,Input!$A$115:$A$3257,"="&amp;'Output - County'!A2613,Input!$B$115:$B$3257,"="&amp;'Output - County'!B2613)*VLOOKUP(A2613,'Output - State'!$B$2:$G$52,4,FALSE)</f>
        <v>17.739573834013761</v>
      </c>
      <c r="F2613" s="98">
        <f>SUMIFS(Input!$C$115:$C$3257,Input!$A$115:$A$3257,"="&amp;'Output - County'!A2613,Input!$B$115:$B$3257,"="&amp;'Output - County'!B2613)*VLOOKUP(A2613,'Output - State'!$B$2:$G$52,5,FALSE)</f>
        <v>32.598725385227695</v>
      </c>
      <c r="G2613" s="99">
        <f>SUMIFS(Input!$D$115:$D$3257,Input!$A$115:$A$3257,"="&amp;'Output - County'!A2613,Input!$B$115:$B$3257,"="&amp;'Output - County'!B2613)*VLOOKUP(A2613,'Output - State'!$B$2:$G$52,6,FALSE)</f>
        <v>4.1098480644825441</v>
      </c>
    </row>
    <row r="2614" spans="1:7" x14ac:dyDescent="0.25">
      <c r="A2614" s="88">
        <v>48</v>
      </c>
      <c r="B2614" s="88">
        <v>179</v>
      </c>
      <c r="C2614" s="97">
        <f>SUMIFS(Input!$C$115:$C$3257,Input!$A$115:$A$3257,"="&amp;'Output - County'!A2614,Input!$B$115:$B$3257,"="&amp;'Output - County'!B2614)*VLOOKUP(A2614,'Output - State'!$B$2:$G$52,2,FALSE)</f>
        <v>3.9815727469311804</v>
      </c>
      <c r="D2614" s="98">
        <f>SUMIFS(Input!$C$115:$C$3257,Input!$A$115:$A$3257,"="&amp;'Output - County'!A2614,Input!$B$115:$B$3257,"="&amp;'Output - County'!B2614)*VLOOKUP(A2614,'Output - State'!$B$2:$G$52,3,FALSE)</f>
        <v>0.66382850275876315</v>
      </c>
      <c r="E2614" s="98">
        <f>SUMIFS(Input!$C$115:$C$3257,Input!$A$115:$A$3257,"="&amp;'Output - County'!A2614,Input!$B$115:$B$3257,"="&amp;'Output - County'!B2614)*VLOOKUP(A2614,'Output - State'!$B$2:$G$52,4,FALSE)</f>
        <v>8.7357238453106802</v>
      </c>
      <c r="F2614" s="98">
        <f>SUMIFS(Input!$C$115:$C$3257,Input!$A$115:$A$3257,"="&amp;'Output - County'!A2614,Input!$B$115:$B$3257,"="&amp;'Output - County'!B2614)*VLOOKUP(A2614,'Output - State'!$B$2:$G$52,5,FALSE)</f>
        <v>16.053004730499506</v>
      </c>
      <c r="G2614" s="99">
        <f>SUMIFS(Input!$D$115:$D$3257,Input!$A$115:$A$3257,"="&amp;'Output - County'!A2614,Input!$B$115:$B$3257,"="&amp;'Output - County'!B2614)*VLOOKUP(A2614,'Output - State'!$B$2:$G$52,6,FALSE)</f>
        <v>4.3667135685127034</v>
      </c>
    </row>
    <row r="2615" spans="1:7" x14ac:dyDescent="0.25">
      <c r="A2615" s="88">
        <v>48</v>
      </c>
      <c r="B2615" s="88">
        <v>181</v>
      </c>
      <c r="C2615" s="97">
        <f>SUMIFS(Input!$C$115:$C$3257,Input!$A$115:$A$3257,"="&amp;'Output - County'!A2615,Input!$B$115:$B$3257,"="&amp;'Output - County'!B2615)*VLOOKUP(A2615,'Output - State'!$B$2:$G$52,2,FALSE)</f>
        <v>23.367970577887569</v>
      </c>
      <c r="D2615" s="98">
        <f>SUMIFS(Input!$C$115:$C$3257,Input!$A$115:$A$3257,"="&amp;'Output - County'!A2615,Input!$B$115:$B$3257,"="&amp;'Output - County'!B2615)*VLOOKUP(A2615,'Output - State'!$B$2:$G$52,3,FALSE)</f>
        <v>3.8960295107470149</v>
      </c>
      <c r="E2615" s="98">
        <f>SUMIFS(Input!$C$115:$C$3257,Input!$A$115:$A$3257,"="&amp;'Output - County'!A2615,Input!$B$115:$B$3257,"="&amp;'Output - County'!B2615)*VLOOKUP(A2615,'Output - State'!$B$2:$G$52,4,FALSE)</f>
        <v>51.270226809521411</v>
      </c>
      <c r="F2615" s="98">
        <f>SUMIFS(Input!$C$115:$C$3257,Input!$A$115:$A$3257,"="&amp;'Output - County'!A2615,Input!$B$115:$B$3257,"="&amp;'Output - County'!B2615)*VLOOKUP(A2615,'Output - State'!$B$2:$G$52,5,FALSE)</f>
        <v>94.215569090915892</v>
      </c>
      <c r="G2615" s="99">
        <f>SUMIFS(Input!$D$115:$D$3257,Input!$A$115:$A$3257,"="&amp;'Output - County'!A2615,Input!$B$115:$B$3257,"="&amp;'Output - County'!B2615)*VLOOKUP(A2615,'Output - State'!$B$2:$G$52,6,FALSE)</f>
        <v>26.47690580003178</v>
      </c>
    </row>
    <row r="2616" spans="1:7" x14ac:dyDescent="0.25">
      <c r="A2616" s="88">
        <v>48</v>
      </c>
      <c r="B2616" s="88">
        <v>183</v>
      </c>
      <c r="C2616" s="97">
        <f>SUMIFS(Input!$C$115:$C$3257,Input!$A$115:$A$3257,"="&amp;'Output - County'!A2616,Input!$B$115:$B$3257,"="&amp;'Output - County'!B2616)*VLOOKUP(A2616,'Output - State'!$B$2:$G$52,2,FALSE)</f>
        <v>21.408983429218605</v>
      </c>
      <c r="D2616" s="98">
        <f>SUMIFS(Input!$C$115:$C$3257,Input!$A$115:$A$3257,"="&amp;'Output - County'!A2616,Input!$B$115:$B$3257,"="&amp;'Output - County'!B2616)*VLOOKUP(A2616,'Output - State'!$B$2:$G$52,3,FALSE)</f>
        <v>3.5694169914035241</v>
      </c>
      <c r="E2616" s="98">
        <f>SUMIFS(Input!$C$115:$C$3257,Input!$A$115:$A$3257,"="&amp;'Output - County'!A2616,Input!$B$115:$B$3257,"="&amp;'Output - County'!B2616)*VLOOKUP(A2616,'Output - State'!$B$2:$G$52,4,FALSE)</f>
        <v>46.972133609924668</v>
      </c>
      <c r="F2616" s="98">
        <f>SUMIFS(Input!$C$115:$C$3257,Input!$A$115:$A$3257,"="&amp;'Output - County'!A2616,Input!$B$115:$B$3257,"="&amp;'Output - County'!B2616)*VLOOKUP(A2616,'Output - State'!$B$2:$G$52,5,FALSE)</f>
        <v>86.317275636700074</v>
      </c>
      <c r="G2616" s="99">
        <f>SUMIFS(Input!$D$115:$D$3257,Input!$A$115:$A$3257,"="&amp;'Output - County'!A2616,Input!$B$115:$B$3257,"="&amp;'Output - County'!B2616)*VLOOKUP(A2616,'Output - State'!$B$2:$G$52,6,FALSE)</f>
        <v>24.303428458238123</v>
      </c>
    </row>
    <row r="2617" spans="1:7" x14ac:dyDescent="0.25">
      <c r="A2617" s="88">
        <v>48</v>
      </c>
      <c r="B2617" s="88">
        <v>185</v>
      </c>
      <c r="C2617" s="97">
        <f>SUMIFS(Input!$C$115:$C$3257,Input!$A$115:$A$3257,"="&amp;'Output - County'!A2617,Input!$B$115:$B$3257,"="&amp;'Output - County'!B2617)*VLOOKUP(A2617,'Output - State'!$B$2:$G$52,2,FALSE)</f>
        <v>5.7719359390556217</v>
      </c>
      <c r="D2617" s="98">
        <f>SUMIFS(Input!$C$115:$C$3257,Input!$A$115:$A$3257,"="&amp;'Output - County'!A2617,Input!$B$115:$B$3257,"="&amp;'Output - County'!B2617)*VLOOKUP(A2617,'Output - State'!$B$2:$G$52,3,FALSE)</f>
        <v>0.96232715963710513</v>
      </c>
      <c r="E2617" s="98">
        <f>SUMIFS(Input!$C$115:$C$3257,Input!$A$115:$A$3257,"="&amp;'Output - County'!A2617,Input!$B$115:$B$3257,"="&amp;'Output - County'!B2617)*VLOOKUP(A2617,'Output - State'!$B$2:$G$52,4,FALSE)</f>
        <v>12.663849594428976</v>
      </c>
      <c r="F2617" s="98">
        <f>SUMIFS(Input!$C$115:$C$3257,Input!$A$115:$A$3257,"="&amp;'Output - County'!A2617,Input!$B$115:$B$3257,"="&amp;'Output - County'!B2617)*VLOOKUP(A2617,'Output - State'!$B$2:$G$52,5,FALSE)</f>
        <v>23.2714358930691</v>
      </c>
      <c r="G2617" s="99">
        <f>SUMIFS(Input!$D$115:$D$3257,Input!$A$115:$A$3257,"="&amp;'Output - County'!A2617,Input!$B$115:$B$3257,"="&amp;'Output - County'!B2617)*VLOOKUP(A2617,'Output - State'!$B$2:$G$52,6,FALSE)</f>
        <v>5.5917644338873078</v>
      </c>
    </row>
    <row r="2618" spans="1:7" x14ac:dyDescent="0.25">
      <c r="A2618" s="88">
        <v>48</v>
      </c>
      <c r="B2618" s="88">
        <v>187</v>
      </c>
      <c r="C2618" s="97">
        <f>SUMIFS(Input!$C$115:$C$3257,Input!$A$115:$A$3257,"="&amp;'Output - County'!A2618,Input!$B$115:$B$3257,"="&amp;'Output - County'!B2618)*VLOOKUP(A2618,'Output - State'!$B$2:$G$52,2,FALSE)</f>
        <v>23.175994794014144</v>
      </c>
      <c r="D2618" s="98">
        <f>SUMIFS(Input!$C$115:$C$3257,Input!$A$115:$A$3257,"="&amp;'Output - County'!A2618,Input!$B$115:$B$3257,"="&amp;'Output - County'!B2618)*VLOOKUP(A2618,'Output - State'!$B$2:$G$52,3,FALSE)</f>
        <v>3.8640223102574951</v>
      </c>
      <c r="E2618" s="98">
        <f>SUMIFS(Input!$C$115:$C$3257,Input!$A$115:$A$3257,"="&amp;'Output - County'!A2618,Input!$B$115:$B$3257,"="&amp;'Output - County'!B2618)*VLOOKUP(A2618,'Output - State'!$B$2:$G$52,4,FALSE)</f>
        <v>50.849024551143025</v>
      </c>
      <c r="F2618" s="98">
        <f>SUMIFS(Input!$C$115:$C$3257,Input!$A$115:$A$3257,"="&amp;'Output - County'!A2618,Input!$B$115:$B$3257,"="&amp;'Output - County'!B2618)*VLOOKUP(A2618,'Output - State'!$B$2:$G$52,5,FALSE)</f>
        <v>93.441556316934367</v>
      </c>
      <c r="G2618" s="99">
        <f>SUMIFS(Input!$D$115:$D$3257,Input!$A$115:$A$3257,"="&amp;'Output - County'!A2618,Input!$B$115:$B$3257,"="&amp;'Output - County'!B2618)*VLOOKUP(A2618,'Output - State'!$B$2:$G$52,6,FALSE)</f>
        <v>32.206982428396863</v>
      </c>
    </row>
    <row r="2619" spans="1:7" x14ac:dyDescent="0.25">
      <c r="A2619" s="88">
        <v>48</v>
      </c>
      <c r="B2619" s="88">
        <v>189</v>
      </c>
      <c r="C2619" s="97">
        <f>SUMIFS(Input!$C$115:$C$3257,Input!$A$115:$A$3257,"="&amp;'Output - County'!A2619,Input!$B$115:$B$3257,"="&amp;'Output - County'!B2619)*VLOOKUP(A2619,'Output - State'!$B$2:$G$52,2,FALSE)</f>
        <v>6.4735498025188072</v>
      </c>
      <c r="D2619" s="98">
        <f>SUMIFS(Input!$C$115:$C$3257,Input!$A$115:$A$3257,"="&amp;'Output - County'!A2619,Input!$B$115:$B$3257,"="&amp;'Output - County'!B2619)*VLOOKUP(A2619,'Output - State'!$B$2:$G$52,3,FALSE)</f>
        <v>1.0793038696210024</v>
      </c>
      <c r="E2619" s="98">
        <f>SUMIFS(Input!$C$115:$C$3257,Input!$A$115:$A$3257,"="&amp;'Output - County'!A2619,Input!$B$115:$B$3257,"="&amp;'Output - County'!B2619)*VLOOKUP(A2619,'Output - State'!$B$2:$G$52,4,FALSE)</f>
        <v>14.203217413836505</v>
      </c>
      <c r="F2619" s="98">
        <f>SUMIFS(Input!$C$115:$C$3257,Input!$A$115:$A$3257,"="&amp;'Output - County'!A2619,Input!$B$115:$B$3257,"="&amp;'Output - County'!B2619)*VLOOKUP(A2619,'Output - State'!$B$2:$G$52,5,FALSE)</f>
        <v>26.100220241625731</v>
      </c>
      <c r="G2619" s="99">
        <f>SUMIFS(Input!$D$115:$D$3257,Input!$A$115:$A$3257,"="&amp;'Output - County'!A2619,Input!$B$115:$B$3257,"="&amp;'Output - County'!B2619)*VLOOKUP(A2619,'Output - State'!$B$2:$G$52,6,FALSE)</f>
        <v>6.6389853349333414</v>
      </c>
    </row>
    <row r="2620" spans="1:7" x14ac:dyDescent="0.25">
      <c r="A2620" s="88">
        <v>48</v>
      </c>
      <c r="B2620" s="88">
        <v>191</v>
      </c>
      <c r="C2620" s="97">
        <f>SUMIFS(Input!$C$115:$C$3257,Input!$A$115:$A$3257,"="&amp;'Output - County'!A2620,Input!$B$115:$B$3257,"="&amp;'Output - County'!B2620)*VLOOKUP(A2620,'Output - State'!$B$2:$G$52,2,FALSE)</f>
        <v>1.2391583199234535</v>
      </c>
      <c r="D2620" s="98">
        <f>SUMIFS(Input!$C$115:$C$3257,Input!$A$115:$A$3257,"="&amp;'Output - County'!A2620,Input!$B$115:$B$3257,"="&amp;'Output - County'!B2620)*VLOOKUP(A2620,'Output - State'!$B$2:$G$52,3,FALSE)</f>
        <v>0.20659891567468291</v>
      </c>
      <c r="E2620" s="98">
        <f>SUMIFS(Input!$C$115:$C$3257,Input!$A$115:$A$3257,"="&amp;'Output - County'!A2620,Input!$B$115:$B$3257,"="&amp;'Output - County'!B2620)*VLOOKUP(A2620,'Output - State'!$B$2:$G$52,4,FALSE)</f>
        <v>2.7187610453215556</v>
      </c>
      <c r="F2620" s="98">
        <f>SUMIFS(Input!$C$115:$C$3257,Input!$A$115:$A$3257,"="&amp;'Output - County'!A2620,Input!$B$115:$B$3257,"="&amp;'Output - County'!B2620)*VLOOKUP(A2620,'Output - State'!$B$2:$G$52,5,FALSE)</f>
        <v>4.9960695523900833</v>
      </c>
      <c r="G2620" s="99">
        <f>SUMIFS(Input!$D$115:$D$3257,Input!$A$115:$A$3257,"="&amp;'Output - County'!A2620,Input!$B$115:$B$3257,"="&amp;'Output - County'!B2620)*VLOOKUP(A2620,'Output - State'!$B$2:$G$52,6,FALSE)</f>
        <v>0.59869421323952454</v>
      </c>
    </row>
    <row r="2621" spans="1:7" x14ac:dyDescent="0.25">
      <c r="A2621" s="88">
        <v>48</v>
      </c>
      <c r="B2621" s="88">
        <v>193</v>
      </c>
      <c r="C2621" s="97">
        <f>SUMIFS(Input!$C$115:$C$3257,Input!$A$115:$A$3257,"="&amp;'Output - County'!A2621,Input!$B$115:$B$3257,"="&amp;'Output - County'!B2621)*VLOOKUP(A2621,'Output - State'!$B$2:$G$52,2,FALSE)</f>
        <v>1.6844512708259667</v>
      </c>
      <c r="D2621" s="98">
        <f>SUMIFS(Input!$C$115:$C$3257,Input!$A$115:$A$3257,"="&amp;'Output - County'!A2621,Input!$B$115:$B$3257,"="&amp;'Output - County'!B2621)*VLOOKUP(A2621,'Output - State'!$B$2:$G$52,3,FALSE)</f>
        <v>0.28084047087783243</v>
      </c>
      <c r="E2621" s="98">
        <f>SUMIFS(Input!$C$115:$C$3257,Input!$A$115:$A$3257,"="&amp;'Output - County'!A2621,Input!$B$115:$B$3257,"="&amp;'Output - County'!B2621)*VLOOKUP(A2621,'Output - State'!$B$2:$G$52,4,FALSE)</f>
        <v>3.695750917563887</v>
      </c>
      <c r="F2621" s="98">
        <f>SUMIFS(Input!$C$115:$C$3257,Input!$A$115:$A$3257,"="&amp;'Output - County'!A2621,Input!$B$115:$B$3257,"="&amp;'Output - County'!B2621)*VLOOKUP(A2621,'Output - State'!$B$2:$G$52,5,FALSE)</f>
        <v>6.7914128254235129</v>
      </c>
      <c r="G2621" s="99">
        <f>SUMIFS(Input!$D$115:$D$3257,Input!$A$115:$A$3257,"="&amp;'Output - County'!A2621,Input!$B$115:$B$3257,"="&amp;'Output - County'!B2621)*VLOOKUP(A2621,'Output - State'!$B$2:$G$52,6,FALSE)</f>
        <v>1.6755534416736526</v>
      </c>
    </row>
    <row r="2622" spans="1:7" x14ac:dyDescent="0.25">
      <c r="A2622" s="88">
        <v>48</v>
      </c>
      <c r="B2622" s="88">
        <v>195</v>
      </c>
      <c r="C2622" s="97">
        <f>SUMIFS(Input!$C$115:$C$3257,Input!$A$115:$A$3257,"="&amp;'Output - County'!A2622,Input!$B$115:$B$3257,"="&amp;'Output - County'!B2622)*VLOOKUP(A2622,'Output - State'!$B$2:$G$52,2,FALSE)</f>
        <v>0.69815520396011232</v>
      </c>
      <c r="D2622" s="98">
        <f>SUMIFS(Input!$C$115:$C$3257,Input!$A$115:$A$3257,"="&amp;'Output - County'!A2622,Input!$B$115:$B$3257,"="&amp;'Output - County'!B2622)*VLOOKUP(A2622,'Output - State'!$B$2:$G$52,3,FALSE)</f>
        <v>0.11640006429501785</v>
      </c>
      <c r="E2622" s="98">
        <f>SUMIFS(Input!$C$115:$C$3257,Input!$A$115:$A$3257,"="&amp;'Output - County'!A2622,Input!$B$115:$B$3257,"="&amp;'Output - County'!B2622)*VLOOKUP(A2622,'Output - State'!$B$2:$G$52,4,FALSE)</f>
        <v>1.5317793873445735</v>
      </c>
      <c r="F2622" s="98">
        <f>SUMIFS(Input!$C$115:$C$3257,Input!$A$115:$A$3257,"="&amp;'Output - County'!A2622,Input!$B$115:$B$3257,"="&amp;'Output - County'!B2622)*VLOOKUP(A2622,'Output - State'!$B$2:$G$52,5,FALSE)</f>
        <v>2.8148396385405152</v>
      </c>
      <c r="G2622" s="99">
        <f>SUMIFS(Input!$D$115:$D$3257,Input!$A$115:$A$3257,"="&amp;'Output - County'!A2622,Input!$B$115:$B$3257,"="&amp;'Output - County'!B2622)*VLOOKUP(A2622,'Output - State'!$B$2:$G$52,6,FALSE)</f>
        <v>1.0808110054192077</v>
      </c>
    </row>
    <row r="2623" spans="1:7" x14ac:dyDescent="0.25">
      <c r="A2623" s="88">
        <v>48</v>
      </c>
      <c r="B2623" s="88">
        <v>197</v>
      </c>
      <c r="C2623" s="97">
        <f>SUMIFS(Input!$C$115:$C$3257,Input!$A$115:$A$3257,"="&amp;'Output - County'!A2623,Input!$B$115:$B$3257,"="&amp;'Output - County'!B2623)*VLOOKUP(A2623,'Output - State'!$B$2:$G$52,2,FALSE)</f>
        <v>2.0135649250566439</v>
      </c>
      <c r="D2623" s="98">
        <f>SUMIFS(Input!$C$115:$C$3257,Input!$A$115:$A$3257,"="&amp;'Output - County'!A2623,Input!$B$115:$B$3257,"="&amp;'Output - County'!B2623)*VLOOKUP(A2623,'Output - State'!$B$2:$G$52,3,FALSE)</f>
        <v>0.33571200989311395</v>
      </c>
      <c r="E2623" s="98">
        <f>SUMIFS(Input!$C$115:$C$3257,Input!$A$115:$A$3257,"="&amp;'Output - County'!A2623,Input!$B$115:$B$3257,"="&amp;'Output - County'!B2623)*VLOOKUP(A2623,'Output - State'!$B$2:$G$52,4,FALSE)</f>
        <v>4.4178389415228168</v>
      </c>
      <c r="F2623" s="98">
        <f>SUMIFS(Input!$C$115:$C$3257,Input!$A$115:$A$3257,"="&amp;'Output - County'!A2623,Input!$B$115:$B$3257,"="&amp;'Output - County'!B2623)*VLOOKUP(A2623,'Output - State'!$B$2:$G$52,5,FALSE)</f>
        <v>8.1183415001059362</v>
      </c>
      <c r="G2623" s="99">
        <f>SUMIFS(Input!$D$115:$D$3257,Input!$A$115:$A$3257,"="&amp;'Output - County'!A2623,Input!$B$115:$B$3257,"="&amp;'Output - County'!B2623)*VLOOKUP(A2623,'Output - State'!$B$2:$G$52,6,FALSE)</f>
        <v>0.77652417756809611</v>
      </c>
    </row>
    <row r="2624" spans="1:7" x14ac:dyDescent="0.25">
      <c r="A2624" s="88">
        <v>48</v>
      </c>
      <c r="B2624" s="88">
        <v>199</v>
      </c>
      <c r="C2624" s="97">
        <f>SUMIFS(Input!$C$115:$C$3257,Input!$A$115:$A$3257,"="&amp;'Output - County'!A2624,Input!$B$115:$B$3257,"="&amp;'Output - County'!B2624)*VLOOKUP(A2624,'Output - State'!$B$2:$G$52,2,FALSE)</f>
        <v>7.2670944388195222</v>
      </c>
      <c r="D2624" s="98">
        <f>SUMIFS(Input!$C$115:$C$3257,Input!$A$115:$A$3257,"="&amp;'Output - County'!A2624,Input!$B$115:$B$3257,"="&amp;'Output - County'!B2624)*VLOOKUP(A2624,'Output - State'!$B$2:$G$52,3,FALSE)</f>
        <v>1.2116077558663982</v>
      </c>
      <c r="E2624" s="98">
        <f>SUMIFS(Input!$C$115:$C$3257,Input!$A$115:$A$3257,"="&amp;'Output - County'!A2624,Input!$B$115:$B$3257,"="&amp;'Output - County'!B2624)*VLOOKUP(A2624,'Output - State'!$B$2:$G$52,4,FALSE)</f>
        <v>15.944284886983535</v>
      </c>
      <c r="F2624" s="98">
        <f>SUMIFS(Input!$C$115:$C$3257,Input!$A$115:$A$3257,"="&amp;'Output - County'!A2624,Input!$B$115:$B$3257,"="&amp;'Output - County'!B2624)*VLOOKUP(A2624,'Output - State'!$B$2:$G$52,5,FALSE)</f>
        <v>29.299653382767346</v>
      </c>
      <c r="G2624" s="99">
        <f>SUMIFS(Input!$D$115:$D$3257,Input!$A$115:$A$3257,"="&amp;'Output - County'!A2624,Input!$B$115:$B$3257,"="&amp;'Output - County'!B2624)*VLOOKUP(A2624,'Output - State'!$B$2:$G$52,6,FALSE)</f>
        <v>11.2823232924016</v>
      </c>
    </row>
    <row r="2625" spans="1:7" x14ac:dyDescent="0.25">
      <c r="A2625" s="88">
        <v>48</v>
      </c>
      <c r="B2625" s="88">
        <v>201</v>
      </c>
      <c r="C2625" s="97">
        <f>SUMIFS(Input!$C$115:$C$3257,Input!$A$115:$A$3257,"="&amp;'Output - County'!A2625,Input!$B$115:$B$3257,"="&amp;'Output - County'!B2625)*VLOOKUP(A2625,'Output - State'!$B$2:$G$52,2,FALSE)</f>
        <v>675.07088076724415</v>
      </c>
      <c r="D2625" s="98">
        <f>SUMIFS(Input!$C$115:$C$3257,Input!$A$115:$A$3257,"="&amp;'Output - County'!A2625,Input!$B$115:$B$3257,"="&amp;'Output - County'!B2625)*VLOOKUP(A2625,'Output - State'!$B$2:$G$52,3,FALSE)</f>
        <v>112.5513259505704</v>
      </c>
      <c r="E2625" s="98">
        <f>SUMIFS(Input!$C$115:$C$3257,Input!$A$115:$A$3257,"="&amp;'Output - County'!A2625,Input!$B$115:$B$3257,"="&amp;'Output - County'!B2625)*VLOOKUP(A2625,'Output - State'!$B$2:$G$52,4,FALSE)</f>
        <v>1481.1314938145042</v>
      </c>
      <c r="F2625" s="98">
        <f>SUMIFS(Input!$C$115:$C$3257,Input!$A$115:$A$3257,"="&amp;'Output - County'!A2625,Input!$B$115:$B$3257,"="&amp;'Output - County'!B2625)*VLOOKUP(A2625,'Output - State'!$B$2:$G$52,5,FALSE)</f>
        <v>2721.767686081248</v>
      </c>
      <c r="G2625" s="99">
        <f>SUMIFS(Input!$D$115:$D$3257,Input!$A$115:$A$3257,"="&amp;'Output - County'!A2625,Input!$B$115:$B$3257,"="&amp;'Output - County'!B2625)*VLOOKUP(A2625,'Output - State'!$B$2:$G$52,6,FALSE)</f>
        <v>924.71581450857241</v>
      </c>
    </row>
    <row r="2626" spans="1:7" x14ac:dyDescent="0.25">
      <c r="A2626" s="88">
        <v>48</v>
      </c>
      <c r="B2626" s="88">
        <v>203</v>
      </c>
      <c r="C2626" s="97">
        <f>SUMIFS(Input!$C$115:$C$3257,Input!$A$115:$A$3257,"="&amp;'Output - County'!A2626,Input!$B$115:$B$3257,"="&amp;'Output - County'!B2626)*VLOOKUP(A2626,'Output - State'!$B$2:$G$52,2,FALSE)</f>
        <v>15.934739312976417</v>
      </c>
      <c r="D2626" s="98">
        <f>SUMIFS(Input!$C$115:$C$3257,Input!$A$115:$A$3257,"="&amp;'Output - County'!A2626,Input!$B$115:$B$3257,"="&amp;'Output - County'!B2626)*VLOOKUP(A2626,'Output - State'!$B$2:$G$52,3,FALSE)</f>
        <v>2.6567225597315383</v>
      </c>
      <c r="E2626" s="98">
        <f>SUMIFS(Input!$C$115:$C$3257,Input!$A$115:$A$3257,"="&amp;'Output - County'!A2626,Input!$B$115:$B$3257,"="&amp;'Output - County'!B2626)*VLOOKUP(A2626,'Output - State'!$B$2:$G$52,4,FALSE)</f>
        <v>34.961431331995115</v>
      </c>
      <c r="F2626" s="98">
        <f>SUMIFS(Input!$C$115:$C$3257,Input!$A$115:$A$3257,"="&amp;'Output - County'!A2626,Input!$B$115:$B$3257,"="&amp;'Output - County'!B2626)*VLOOKUP(A2626,'Output - State'!$B$2:$G$52,5,FALSE)</f>
        <v>64.246081091359315</v>
      </c>
      <c r="G2626" s="99">
        <f>SUMIFS(Input!$D$115:$D$3257,Input!$A$115:$A$3257,"="&amp;'Output - County'!A2626,Input!$B$115:$B$3257,"="&amp;'Output - County'!B2626)*VLOOKUP(A2626,'Output - State'!$B$2:$G$52,6,FALSE)</f>
        <v>13.159417360314301</v>
      </c>
    </row>
    <row r="2627" spans="1:7" x14ac:dyDescent="0.25">
      <c r="A2627" s="88">
        <v>48</v>
      </c>
      <c r="B2627" s="88">
        <v>205</v>
      </c>
      <c r="C2627" s="97">
        <f>SUMIFS(Input!$C$115:$C$3257,Input!$A$115:$A$3257,"="&amp;'Output - County'!A2627,Input!$B$115:$B$3257,"="&amp;'Output - County'!B2627)*VLOOKUP(A2627,'Output - State'!$B$2:$G$52,2,FALSE)</f>
        <v>2.211582646343595</v>
      </c>
      <c r="D2627" s="98">
        <f>SUMIFS(Input!$C$115:$C$3257,Input!$A$115:$A$3257,"="&amp;'Output - County'!A2627,Input!$B$115:$B$3257,"="&amp;'Output - County'!B2627)*VLOOKUP(A2627,'Output - State'!$B$2:$G$52,3,FALSE)</f>
        <v>0.36872655359143874</v>
      </c>
      <c r="E2627" s="98">
        <f>SUMIFS(Input!$C$115:$C$3257,Input!$A$115:$A$3257,"="&amp;'Output - County'!A2627,Input!$B$115:$B$3257,"="&amp;'Output - County'!B2627)*VLOOKUP(A2627,'Output - State'!$B$2:$G$52,4,FALSE)</f>
        <v>4.8522974431221595</v>
      </c>
      <c r="F2627" s="98">
        <f>SUMIFS(Input!$C$115:$C$3257,Input!$A$115:$A$3257,"="&amp;'Output - County'!A2627,Input!$B$115:$B$3257,"="&amp;'Output - County'!B2627)*VLOOKUP(A2627,'Output - State'!$B$2:$G$52,5,FALSE)</f>
        <v>8.9167143086882259</v>
      </c>
      <c r="G2627" s="99">
        <f>SUMIFS(Input!$D$115:$D$3257,Input!$A$115:$A$3257,"="&amp;'Output - County'!A2627,Input!$B$115:$B$3257,"="&amp;'Output - County'!B2627)*VLOOKUP(A2627,'Output - State'!$B$2:$G$52,6,FALSE)</f>
        <v>1.108473444314763</v>
      </c>
    </row>
    <row r="2628" spans="1:7" x14ac:dyDescent="0.25">
      <c r="A2628" s="88">
        <v>48</v>
      </c>
      <c r="B2628" s="88">
        <v>207</v>
      </c>
      <c r="C2628" s="97">
        <f>SUMIFS(Input!$C$115:$C$3257,Input!$A$115:$A$3257,"="&amp;'Output - County'!A2628,Input!$B$115:$B$3257,"="&amp;'Output - County'!B2628)*VLOOKUP(A2628,'Output - State'!$B$2:$G$52,2,FALSE)</f>
        <v>1.1820691118388966</v>
      </c>
      <c r="D2628" s="98">
        <f>SUMIFS(Input!$C$115:$C$3257,Input!$A$115:$A$3257,"="&amp;'Output - County'!A2628,Input!$B$115:$B$3257,"="&amp;'Output - County'!B2628)*VLOOKUP(A2628,'Output - State'!$B$2:$G$52,3,FALSE)</f>
        <v>0.19708070617928578</v>
      </c>
      <c r="E2628" s="98">
        <f>SUMIFS(Input!$C$115:$C$3257,Input!$A$115:$A$3257,"="&amp;'Output - County'!A2628,Input!$B$115:$B$3257,"="&amp;'Output - County'!B2628)*VLOOKUP(A2628,'Output - State'!$B$2:$G$52,4,FALSE)</f>
        <v>2.5935051255952226</v>
      </c>
      <c r="F2628" s="98">
        <f>SUMIFS(Input!$C$115:$C$3257,Input!$A$115:$A$3257,"="&amp;'Output - County'!A2628,Input!$B$115:$B$3257,"="&amp;'Output - County'!B2628)*VLOOKUP(A2628,'Output - State'!$B$2:$G$52,5,FALSE)</f>
        <v>4.7658958532787912</v>
      </c>
      <c r="G2628" s="99">
        <f>SUMIFS(Input!$D$115:$D$3257,Input!$A$115:$A$3257,"="&amp;'Output - County'!A2628,Input!$B$115:$B$3257,"="&amp;'Output - County'!B2628)*VLOOKUP(A2628,'Output - State'!$B$2:$G$52,6,FALSE)</f>
        <v>1.1262564407476203</v>
      </c>
    </row>
    <row r="2629" spans="1:7" x14ac:dyDescent="0.25">
      <c r="A2629" s="88">
        <v>48</v>
      </c>
      <c r="B2629" s="88">
        <v>209</v>
      </c>
      <c r="C2629" s="97">
        <f>SUMIFS(Input!$C$115:$C$3257,Input!$A$115:$A$3257,"="&amp;'Output - County'!A2629,Input!$B$115:$B$3257,"="&amp;'Output - County'!B2629)*VLOOKUP(A2629,'Output - State'!$B$2:$G$52,2,FALSE)</f>
        <v>34.116350730252229</v>
      </c>
      <c r="D2629" s="98">
        <f>SUMIFS(Input!$C$115:$C$3257,Input!$A$115:$A$3257,"="&amp;'Output - County'!A2629,Input!$B$115:$B$3257,"="&amp;'Output - County'!B2629)*VLOOKUP(A2629,'Output - State'!$B$2:$G$52,3,FALSE)</f>
        <v>5.6880553149033366</v>
      </c>
      <c r="E2629" s="98">
        <f>SUMIFS(Input!$C$115:$C$3257,Input!$A$115:$A$3257,"="&amp;'Output - County'!A2629,Input!$B$115:$B$3257,"="&amp;'Output - County'!B2629)*VLOOKUP(A2629,'Output - State'!$B$2:$G$52,4,FALSE)</f>
        <v>74.852586536050595</v>
      </c>
      <c r="F2629" s="98">
        <f>SUMIFS(Input!$C$115:$C$3257,Input!$A$115:$A$3257,"="&amp;'Output - County'!A2629,Input!$B$115:$B$3257,"="&amp;'Output - County'!B2629)*VLOOKUP(A2629,'Output - State'!$B$2:$G$52,5,FALSE)</f>
        <v>137.55115741191443</v>
      </c>
      <c r="G2629" s="99">
        <f>SUMIFS(Input!$D$115:$D$3257,Input!$A$115:$A$3257,"="&amp;'Output - County'!A2629,Input!$B$115:$B$3257,"="&amp;'Output - County'!B2629)*VLOOKUP(A2629,'Output - State'!$B$2:$G$52,6,FALSE)</f>
        <v>44.062313383634972</v>
      </c>
    </row>
    <row r="2630" spans="1:7" x14ac:dyDescent="0.25">
      <c r="A2630" s="88">
        <v>48</v>
      </c>
      <c r="B2630" s="88">
        <v>211</v>
      </c>
      <c r="C2630" s="97">
        <f>SUMIFS(Input!$C$115:$C$3257,Input!$A$115:$A$3257,"="&amp;'Output - County'!A2630,Input!$B$115:$B$3257,"="&amp;'Output - County'!B2630)*VLOOKUP(A2630,'Output - State'!$B$2:$G$52,2,FALSE)</f>
        <v>0.64546433079490295</v>
      </c>
      <c r="D2630" s="98">
        <f>SUMIFS(Input!$C$115:$C$3257,Input!$A$115:$A$3257,"="&amp;'Output - County'!A2630,Input!$B$115:$B$3257,"="&amp;'Output - County'!B2630)*VLOOKUP(A2630,'Output - State'!$B$2:$G$52,3,FALSE)</f>
        <v>0.1076151680579035</v>
      </c>
      <c r="E2630" s="98">
        <f>SUMIFS(Input!$C$115:$C$3257,Input!$A$115:$A$3257,"="&amp;'Output - County'!A2630,Input!$B$115:$B$3257,"="&amp;'Output - County'!B2630)*VLOOKUP(A2630,'Output - State'!$B$2:$G$52,4,FALSE)</f>
        <v>1.4161735837097329</v>
      </c>
      <c r="F2630" s="98">
        <f>SUMIFS(Input!$C$115:$C$3257,Input!$A$115:$A$3257,"="&amp;'Output - County'!A2630,Input!$B$115:$B$3257,"="&amp;'Output - County'!B2630)*VLOOKUP(A2630,'Output - State'!$B$2:$G$52,5,FALSE)</f>
        <v>2.6023992563254228</v>
      </c>
      <c r="G2630" s="99">
        <f>SUMIFS(Input!$D$115:$D$3257,Input!$A$115:$A$3257,"="&amp;'Output - County'!A2630,Input!$B$115:$B$3257,"="&amp;'Output - County'!B2630)*VLOOKUP(A2630,'Output - State'!$B$2:$G$52,6,FALSE)</f>
        <v>0.76071706962777863</v>
      </c>
    </row>
    <row r="2631" spans="1:7" x14ac:dyDescent="0.25">
      <c r="A2631" s="88">
        <v>48</v>
      </c>
      <c r="B2631" s="88">
        <v>213</v>
      </c>
      <c r="C2631" s="97">
        <f>SUMIFS(Input!$C$115:$C$3257,Input!$A$115:$A$3257,"="&amp;'Output - County'!A2631,Input!$B$115:$B$3257,"="&amp;'Output - County'!B2631)*VLOOKUP(A2631,'Output - State'!$B$2:$G$52,2,FALSE)</f>
        <v>10.532269672316854</v>
      </c>
      <c r="D2631" s="98">
        <f>SUMIFS(Input!$C$115:$C$3257,Input!$A$115:$A$3257,"="&amp;'Output - County'!A2631,Input!$B$115:$B$3257,"="&amp;'Output - County'!B2631)*VLOOKUP(A2631,'Output - State'!$B$2:$G$52,3,FALSE)</f>
        <v>1.7559947416795179</v>
      </c>
      <c r="E2631" s="98">
        <f>SUMIFS(Input!$C$115:$C$3257,Input!$A$115:$A$3257,"="&amp;'Output - County'!A2631,Input!$B$115:$B$3257,"="&amp;'Output - County'!B2631)*VLOOKUP(A2631,'Output - State'!$B$2:$G$52,4,FALSE)</f>
        <v>23.108205015873629</v>
      </c>
      <c r="F2631" s="98">
        <f>SUMIFS(Input!$C$115:$C$3257,Input!$A$115:$A$3257,"="&amp;'Output - County'!A2631,Input!$B$115:$B$3257,"="&amp;'Output - County'!B2631)*VLOOKUP(A2631,'Output - State'!$B$2:$G$52,5,FALSE)</f>
        <v>42.464268674461394</v>
      </c>
      <c r="G2631" s="99">
        <f>SUMIFS(Input!$D$115:$D$3257,Input!$A$115:$A$3257,"="&amp;'Output - County'!A2631,Input!$B$115:$B$3257,"="&amp;'Output - County'!B2631)*VLOOKUP(A2631,'Output - State'!$B$2:$G$52,6,FALSE)</f>
        <v>16.222044523750814</v>
      </c>
    </row>
    <row r="2632" spans="1:7" x14ac:dyDescent="0.25">
      <c r="A2632" s="88">
        <v>48</v>
      </c>
      <c r="B2632" s="88">
        <v>215</v>
      </c>
      <c r="C2632" s="97">
        <f>SUMIFS(Input!$C$115:$C$3257,Input!$A$115:$A$3257,"="&amp;'Output - County'!A2632,Input!$B$115:$B$3257,"="&amp;'Output - County'!B2632)*VLOOKUP(A2632,'Output - State'!$B$2:$G$52,2,FALSE)</f>
        <v>94.44983066374482</v>
      </c>
      <c r="D2632" s="98">
        <f>SUMIFS(Input!$C$115:$C$3257,Input!$A$115:$A$3257,"="&amp;'Output - County'!A2632,Input!$B$115:$B$3257,"="&amp;'Output - County'!B2632)*VLOOKUP(A2632,'Output - State'!$B$2:$G$52,3,FALSE)</f>
        <v>15.747166675193279</v>
      </c>
      <c r="E2632" s="98">
        <f>SUMIFS(Input!$C$115:$C$3257,Input!$A$115:$A$3257,"="&amp;'Output - County'!A2632,Input!$B$115:$B$3257,"="&amp;'Output - County'!B2632)*VLOOKUP(A2632,'Output - State'!$B$2:$G$52,4,FALSE)</f>
        <v>207.22656356103815</v>
      </c>
      <c r="F2632" s="98">
        <f>SUMIFS(Input!$C$115:$C$3257,Input!$A$115:$A$3257,"="&amp;'Output - County'!A2632,Input!$B$115:$B$3257,"="&amp;'Output - County'!B2632)*VLOOKUP(A2632,'Output - State'!$B$2:$G$52,5,FALSE)</f>
        <v>380.80519302544337</v>
      </c>
      <c r="G2632" s="99">
        <f>SUMIFS(Input!$D$115:$D$3257,Input!$A$115:$A$3257,"="&amp;'Output - County'!A2632,Input!$B$115:$B$3257,"="&amp;'Output - County'!B2632)*VLOOKUP(A2632,'Output - State'!$B$2:$G$52,6,FALSE)</f>
        <v>170.32158805692083</v>
      </c>
    </row>
    <row r="2633" spans="1:7" x14ac:dyDescent="0.25">
      <c r="A2633" s="88">
        <v>48</v>
      </c>
      <c r="B2633" s="88">
        <v>217</v>
      </c>
      <c r="C2633" s="97">
        <f>SUMIFS(Input!$C$115:$C$3257,Input!$A$115:$A$3257,"="&amp;'Output - County'!A2633,Input!$B$115:$B$3257,"="&amp;'Output - County'!B2633)*VLOOKUP(A2633,'Output - State'!$B$2:$G$52,2,FALSE)</f>
        <v>14.440584226230472</v>
      </c>
      <c r="D2633" s="98">
        <f>SUMIFS(Input!$C$115:$C$3257,Input!$A$115:$A$3257,"="&amp;'Output - County'!A2633,Input!$B$115:$B$3257,"="&amp;'Output - County'!B2633)*VLOOKUP(A2633,'Output - State'!$B$2:$G$52,3,FALSE)</f>
        <v>2.4076092577358801</v>
      </c>
      <c r="E2633" s="98">
        <f>SUMIFS(Input!$C$115:$C$3257,Input!$A$115:$A$3257,"="&amp;'Output - County'!A2633,Input!$B$115:$B$3257,"="&amp;'Output - County'!B2633)*VLOOKUP(A2633,'Output - State'!$B$2:$G$52,4,FALSE)</f>
        <v>31.683197566220244</v>
      </c>
      <c r="F2633" s="98">
        <f>SUMIFS(Input!$C$115:$C$3257,Input!$A$115:$A$3257,"="&amp;'Output - County'!A2633,Input!$B$115:$B$3257,"="&amp;'Output - County'!B2633)*VLOOKUP(A2633,'Output - State'!$B$2:$G$52,5,FALSE)</f>
        <v>58.221909187400094</v>
      </c>
      <c r="G2633" s="99">
        <f>SUMIFS(Input!$D$115:$D$3257,Input!$A$115:$A$3257,"="&amp;'Output - County'!A2633,Input!$B$115:$B$3257,"="&amp;'Output - County'!B2633)*VLOOKUP(A2633,'Output - State'!$B$2:$G$52,6,FALSE)</f>
        <v>7.1527163429936582</v>
      </c>
    </row>
    <row r="2634" spans="1:7" x14ac:dyDescent="0.25">
      <c r="A2634" s="88">
        <v>48</v>
      </c>
      <c r="B2634" s="88">
        <v>219</v>
      </c>
      <c r="C2634" s="97">
        <f>SUMIFS(Input!$C$115:$C$3257,Input!$A$115:$A$3257,"="&amp;'Output - County'!A2634,Input!$B$115:$B$3257,"="&amp;'Output - County'!B2634)*VLOOKUP(A2634,'Output - State'!$B$2:$G$52,2,FALSE)</f>
        <v>3.6578296214613717</v>
      </c>
      <c r="D2634" s="98">
        <f>SUMIFS(Input!$C$115:$C$3257,Input!$A$115:$A$3257,"="&amp;'Output - County'!A2634,Input!$B$115:$B$3257,"="&amp;'Output - County'!B2634)*VLOOKUP(A2634,'Output - State'!$B$2:$G$52,3,FALSE)</f>
        <v>0.60985236621204086</v>
      </c>
      <c r="E2634" s="98">
        <f>SUMIFS(Input!$C$115:$C$3257,Input!$A$115:$A$3257,"="&amp;'Output - County'!A2634,Input!$B$115:$B$3257,"="&amp;'Output - County'!B2634)*VLOOKUP(A2634,'Output - State'!$B$2:$G$52,4,FALSE)</f>
        <v>8.0254189681483048</v>
      </c>
      <c r="F2634" s="98">
        <f>SUMIFS(Input!$C$115:$C$3257,Input!$A$115:$A$3257,"="&amp;'Output - County'!A2634,Input!$B$115:$B$3257,"="&amp;'Output - County'!B2634)*VLOOKUP(A2634,'Output - State'!$B$2:$G$52,5,FALSE)</f>
        <v>14.747729088194793</v>
      </c>
      <c r="G2634" s="99">
        <f>SUMIFS(Input!$D$115:$D$3257,Input!$A$115:$A$3257,"="&amp;'Output - County'!A2634,Input!$B$115:$B$3257,"="&amp;'Output - County'!B2634)*VLOOKUP(A2634,'Output - State'!$B$2:$G$52,6,FALSE)</f>
        <v>4.5445435328412751</v>
      </c>
    </row>
    <row r="2635" spans="1:7" x14ac:dyDescent="0.25">
      <c r="A2635" s="88">
        <v>48</v>
      </c>
      <c r="B2635" s="88">
        <v>221</v>
      </c>
      <c r="C2635" s="97">
        <f>SUMIFS(Input!$C$115:$C$3257,Input!$A$115:$A$3257,"="&amp;'Output - County'!A2635,Input!$B$115:$B$3257,"="&amp;'Output - County'!B2635)*VLOOKUP(A2635,'Output - State'!$B$2:$G$52,2,FALSE)</f>
        <v>6.8835925379627012</v>
      </c>
      <c r="D2635" s="98">
        <f>SUMIFS(Input!$C$115:$C$3257,Input!$A$115:$A$3257,"="&amp;'Output - County'!A2635,Input!$B$115:$B$3257,"="&amp;'Output - County'!B2635)*VLOOKUP(A2635,'Output - State'!$B$2:$G$52,3,FALSE)</f>
        <v>1.1476683256884259</v>
      </c>
      <c r="E2635" s="98">
        <f>SUMIFS(Input!$C$115:$C$3257,Input!$A$115:$A$3257,"="&amp;'Output - County'!A2635,Input!$B$115:$B$3257,"="&amp;'Output - County'!B2635)*VLOOKUP(A2635,'Output - State'!$B$2:$G$52,4,FALSE)</f>
        <v>15.102866956689768</v>
      </c>
      <c r="F2635" s="98">
        <f>SUMIFS(Input!$C$115:$C$3257,Input!$A$115:$A$3257,"="&amp;'Output - County'!A2635,Input!$B$115:$B$3257,"="&amp;'Output - County'!B2635)*VLOOKUP(A2635,'Output - State'!$B$2:$G$52,5,FALSE)</f>
        <v>27.753440813034658</v>
      </c>
      <c r="G2635" s="99">
        <f>SUMIFS(Input!$D$115:$D$3257,Input!$A$115:$A$3257,"="&amp;'Output - County'!A2635,Input!$B$115:$B$3257,"="&amp;'Output - County'!B2635)*VLOOKUP(A2635,'Output - State'!$B$2:$G$52,6,FALSE)</f>
        <v>11.894848725088902</v>
      </c>
    </row>
    <row r="2636" spans="1:7" x14ac:dyDescent="0.25">
      <c r="A2636" s="88">
        <v>48</v>
      </c>
      <c r="B2636" s="88">
        <v>223</v>
      </c>
      <c r="C2636" s="97">
        <f>SUMIFS(Input!$C$115:$C$3257,Input!$A$115:$A$3257,"="&amp;'Output - County'!A2636,Input!$B$115:$B$3257,"="&amp;'Output - County'!B2636)*VLOOKUP(A2636,'Output - State'!$B$2:$G$52,2,FALSE)</f>
        <v>11.232206782190014</v>
      </c>
      <c r="D2636" s="98">
        <f>SUMIFS(Input!$C$115:$C$3257,Input!$A$115:$A$3257,"="&amp;'Output - County'!A2636,Input!$B$115:$B$3257,"="&amp;'Output - County'!B2636)*VLOOKUP(A2636,'Output - State'!$B$2:$G$52,3,FALSE)</f>
        <v>1.8726918945898894</v>
      </c>
      <c r="E2636" s="98">
        <f>SUMIFS(Input!$C$115:$C$3257,Input!$A$115:$A$3257,"="&amp;'Output - County'!A2636,Input!$B$115:$B$3257,"="&amp;'Output - County'!B2636)*VLOOKUP(A2636,'Output - State'!$B$2:$G$52,4,FALSE)</f>
        <v>24.643893973371533</v>
      </c>
      <c r="F2636" s="98">
        <f>SUMIFS(Input!$C$115:$C$3257,Input!$A$115:$A$3257,"="&amp;'Output - County'!A2636,Input!$B$115:$B$3257,"="&amp;'Output - County'!B2636)*VLOOKUP(A2636,'Output - State'!$B$2:$G$52,5,FALSE)</f>
        <v>45.286292645894861</v>
      </c>
      <c r="G2636" s="99">
        <f>SUMIFS(Input!$D$115:$D$3257,Input!$A$115:$A$3257,"="&amp;'Output - County'!A2636,Input!$B$115:$B$3257,"="&amp;'Output - County'!B2636)*VLOOKUP(A2636,'Output - State'!$B$2:$G$52,6,FALSE)</f>
        <v>7.2515107676206432</v>
      </c>
    </row>
    <row r="2637" spans="1:7" x14ac:dyDescent="0.25">
      <c r="A2637" s="88">
        <v>48</v>
      </c>
      <c r="B2637" s="88">
        <v>225</v>
      </c>
      <c r="C2637" s="97">
        <f>SUMIFS(Input!$C$115:$C$3257,Input!$A$115:$A$3257,"="&amp;'Output - County'!A2637,Input!$B$115:$B$3257,"="&amp;'Output - County'!B2637)*VLOOKUP(A2637,'Output - State'!$B$2:$G$52,2,FALSE)</f>
        <v>3.0962622311640273</v>
      </c>
      <c r="D2637" s="98">
        <f>SUMIFS(Input!$C$115:$C$3257,Input!$A$115:$A$3257,"="&amp;'Output - County'!A2637,Input!$B$115:$B$3257,"="&amp;'Output - County'!B2637)*VLOOKUP(A2637,'Output - State'!$B$2:$G$52,3,FALSE)</f>
        <v>0.51622493213173737</v>
      </c>
      <c r="E2637" s="98">
        <f>SUMIFS(Input!$C$115:$C$3257,Input!$A$115:$A$3257,"="&amp;'Output - County'!A2637,Input!$B$115:$B$3257,"="&amp;'Output - County'!B2637)*VLOOKUP(A2637,'Output - State'!$B$2:$G$52,4,FALSE)</f>
        <v>6.7933185008265671</v>
      </c>
      <c r="F2637" s="98">
        <f>SUMIFS(Input!$C$115:$C$3257,Input!$A$115:$A$3257,"="&amp;'Output - County'!A2637,Input!$B$115:$B$3257,"="&amp;'Output - County'!B2637)*VLOOKUP(A2637,'Output - State'!$B$2:$G$52,5,FALSE)</f>
        <v>12.483587617996672</v>
      </c>
      <c r="G2637" s="99">
        <f>SUMIFS(Input!$D$115:$D$3257,Input!$A$115:$A$3257,"="&amp;'Output - County'!A2637,Input!$B$115:$B$3257,"="&amp;'Output - County'!B2637)*VLOOKUP(A2637,'Output - State'!$B$2:$G$52,6,FALSE)</f>
        <v>4.5643024177666724</v>
      </c>
    </row>
    <row r="2638" spans="1:7" x14ac:dyDescent="0.25">
      <c r="A2638" s="88">
        <v>48</v>
      </c>
      <c r="B2638" s="88">
        <v>227</v>
      </c>
      <c r="C2638" s="97">
        <f>SUMIFS(Input!$C$115:$C$3257,Input!$A$115:$A$3257,"="&amp;'Output - County'!A2638,Input!$B$115:$B$3257,"="&amp;'Output - County'!B2638)*VLOOKUP(A2638,'Output - State'!$B$2:$G$52,2,FALSE)</f>
        <v>8.0683414174599282</v>
      </c>
      <c r="D2638" s="98">
        <f>SUMIFS(Input!$C$115:$C$3257,Input!$A$115:$A$3257,"="&amp;'Output - County'!A2638,Input!$B$115:$B$3257,"="&amp;'Output - County'!B2638)*VLOOKUP(A2638,'Output - State'!$B$2:$G$52,3,FALSE)</f>
        <v>1.3451958166599127</v>
      </c>
      <c r="E2638" s="98">
        <f>SUMIFS(Input!$C$115:$C$3257,Input!$A$115:$A$3257,"="&amp;'Output - County'!A2638,Input!$B$115:$B$3257,"="&amp;'Output - County'!B2638)*VLOOKUP(A2638,'Output - State'!$B$2:$G$52,4,FALSE)</f>
        <v>17.702251595663419</v>
      </c>
      <c r="F2638" s="98">
        <f>SUMIFS(Input!$C$115:$C$3257,Input!$A$115:$A$3257,"="&amp;'Output - County'!A2638,Input!$B$115:$B$3257,"="&amp;'Output - County'!B2638)*VLOOKUP(A2638,'Output - State'!$B$2:$G$52,5,FALSE)</f>
        <v>32.530141020680446</v>
      </c>
      <c r="G2638" s="99">
        <f>SUMIFS(Input!$D$115:$D$3257,Input!$A$115:$A$3257,"="&amp;'Output - County'!A2638,Input!$B$115:$B$3257,"="&amp;'Output - County'!B2638)*VLOOKUP(A2638,'Output - State'!$B$2:$G$52,6,FALSE)</f>
        <v>7.0934396882174688</v>
      </c>
    </row>
    <row r="2639" spans="1:7" x14ac:dyDescent="0.25">
      <c r="A2639" s="88">
        <v>48</v>
      </c>
      <c r="B2639" s="88">
        <v>229</v>
      </c>
      <c r="C2639" s="97">
        <f>SUMIFS(Input!$C$115:$C$3257,Input!$A$115:$A$3257,"="&amp;'Output - County'!A2639,Input!$B$115:$B$3257,"="&amp;'Output - County'!B2639)*VLOOKUP(A2639,'Output - State'!$B$2:$G$52,2,FALSE)</f>
        <v>9.367319984568784</v>
      </c>
      <c r="D2639" s="98">
        <f>SUMIFS(Input!$C$115:$C$3257,Input!$A$115:$A$3257,"="&amp;'Output - County'!A2639,Input!$B$115:$B$3257,"="&amp;'Output - County'!B2639)*VLOOKUP(A2639,'Output - State'!$B$2:$G$52,3,FALSE)</f>
        <v>1.5617682748635753</v>
      </c>
      <c r="E2639" s="98">
        <f>SUMIFS(Input!$C$115:$C$3257,Input!$A$115:$A$3257,"="&amp;'Output - County'!A2639,Input!$B$115:$B$3257,"="&amp;'Output - County'!B2639)*VLOOKUP(A2639,'Output - State'!$B$2:$G$52,4,FALSE)</f>
        <v>20.552260565607895</v>
      </c>
      <c r="F2639" s="98">
        <f>SUMIFS(Input!$C$115:$C$3257,Input!$A$115:$A$3257,"="&amp;'Output - County'!A2639,Input!$B$115:$B$3257,"="&amp;'Output - County'!B2639)*VLOOKUP(A2639,'Output - State'!$B$2:$G$52,5,FALSE)</f>
        <v>37.767395344034981</v>
      </c>
      <c r="G2639" s="99">
        <f>SUMIFS(Input!$D$115:$D$3257,Input!$A$115:$A$3257,"="&amp;'Output - County'!A2639,Input!$B$115:$B$3257,"="&amp;'Output - County'!B2639)*VLOOKUP(A2639,'Output - State'!$B$2:$G$52,6,FALSE)</f>
        <v>0.94645058792650905</v>
      </c>
    </row>
    <row r="2640" spans="1:7" x14ac:dyDescent="0.25">
      <c r="A2640" s="88">
        <v>48</v>
      </c>
      <c r="B2640" s="88">
        <v>231</v>
      </c>
      <c r="C2640" s="97">
        <f>SUMIFS(Input!$C$115:$C$3257,Input!$A$115:$A$3257,"="&amp;'Output - County'!A2640,Input!$B$115:$B$3257,"="&amp;'Output - County'!B2640)*VLOOKUP(A2640,'Output - State'!$B$2:$G$52,2,FALSE)</f>
        <v>18.482408309410307</v>
      </c>
      <c r="D2640" s="98">
        <f>SUMIFS(Input!$C$115:$C$3257,Input!$A$115:$A$3257,"="&amp;'Output - County'!A2640,Input!$B$115:$B$3257,"="&amp;'Output - County'!B2640)*VLOOKUP(A2640,'Output - State'!$B$2:$G$52,3,FALSE)</f>
        <v>3.0814831764328514</v>
      </c>
      <c r="E2640" s="98">
        <f>SUMIFS(Input!$C$115:$C$3257,Input!$A$115:$A$3257,"="&amp;'Output - County'!A2640,Input!$B$115:$B$3257,"="&amp;'Output - County'!B2640)*VLOOKUP(A2640,'Output - State'!$B$2:$G$52,4,FALSE)</f>
        <v>40.551115162149912</v>
      </c>
      <c r="F2640" s="98">
        <f>SUMIFS(Input!$C$115:$C$3257,Input!$A$115:$A$3257,"="&amp;'Output - County'!A2640,Input!$B$115:$B$3257,"="&amp;'Output - County'!B2640)*VLOOKUP(A2640,'Output - State'!$B$2:$G$52,5,FALSE)</f>
        <v>74.517836764547084</v>
      </c>
      <c r="G2640" s="99">
        <f>SUMIFS(Input!$D$115:$D$3257,Input!$A$115:$A$3257,"="&amp;'Output - County'!A2640,Input!$B$115:$B$3257,"="&amp;'Output - County'!B2640)*VLOOKUP(A2640,'Output - State'!$B$2:$G$52,6,FALSE)</f>
        <v>19.087082837933355</v>
      </c>
    </row>
    <row r="2641" spans="1:7" x14ac:dyDescent="0.25">
      <c r="A2641" s="88">
        <v>48</v>
      </c>
      <c r="B2641" s="88">
        <v>233</v>
      </c>
      <c r="C2641" s="97">
        <f>SUMIFS(Input!$C$115:$C$3257,Input!$A$115:$A$3257,"="&amp;'Output - County'!A2641,Input!$B$115:$B$3257,"="&amp;'Output - County'!B2641)*VLOOKUP(A2641,'Output - State'!$B$2:$G$52,2,FALSE)</f>
        <v>2.2432470867639647</v>
      </c>
      <c r="D2641" s="98">
        <f>SUMIFS(Input!$C$115:$C$3257,Input!$A$115:$A$3257,"="&amp;'Output - County'!A2641,Input!$B$115:$B$3257,"="&amp;'Output - County'!B2641)*VLOOKUP(A2641,'Output - State'!$B$2:$G$52,3,FALSE)</f>
        <v>0.37400581367557245</v>
      </c>
      <c r="E2641" s="98">
        <f>SUMIFS(Input!$C$115:$C$3257,Input!$A$115:$A$3257,"="&amp;'Output - County'!A2641,Input!$B$115:$B$3257,"="&amp;'Output - County'!B2641)*VLOOKUP(A2641,'Output - State'!$B$2:$G$52,4,FALSE)</f>
        <v>4.9217704440718082</v>
      </c>
      <c r="F2641" s="98">
        <f>SUMIFS(Input!$C$115:$C$3257,Input!$A$115:$A$3257,"="&amp;'Output - County'!A2641,Input!$B$115:$B$3257,"="&amp;'Output - County'!B2641)*VLOOKUP(A2641,'Output - State'!$B$2:$G$52,5,FALSE)</f>
        <v>9.0443797926979315</v>
      </c>
      <c r="G2641" s="99">
        <f>SUMIFS(Input!$D$115:$D$3257,Input!$A$115:$A$3257,"="&amp;'Output - County'!A2641,Input!$B$115:$B$3257,"="&amp;'Output - County'!B2641)*VLOOKUP(A2641,'Output - State'!$B$2:$G$52,6,FALSE)</f>
        <v>4.1691247192587353</v>
      </c>
    </row>
    <row r="2642" spans="1:7" x14ac:dyDescent="0.25">
      <c r="A2642" s="88">
        <v>48</v>
      </c>
      <c r="B2642" s="88">
        <v>235</v>
      </c>
      <c r="C2642" s="97">
        <f>SUMIFS(Input!$C$115:$C$3257,Input!$A$115:$A$3257,"="&amp;'Output - County'!A2642,Input!$B$115:$B$3257,"="&amp;'Output - County'!B2642)*VLOOKUP(A2642,'Output - State'!$B$2:$G$52,2,FALSE)</f>
        <v>0.99456692986549478</v>
      </c>
      <c r="D2642" s="98">
        <f>SUMIFS(Input!$C$115:$C$3257,Input!$A$115:$A$3257,"="&amp;'Output - County'!A2642,Input!$B$115:$B$3257,"="&amp;'Output - County'!B2642)*VLOOKUP(A2642,'Output - State'!$B$2:$G$52,3,FALSE)</f>
        <v>0.16581936785026996</v>
      </c>
      <c r="E2642" s="98">
        <f>SUMIFS(Input!$C$115:$C$3257,Input!$A$115:$A$3257,"="&amp;'Output - County'!A2642,Input!$B$115:$B$3257,"="&amp;'Output - County'!B2642)*VLOOKUP(A2642,'Output - State'!$B$2:$G$52,4,FALSE)</f>
        <v>2.1821181219607162</v>
      </c>
      <c r="F2642" s="98">
        <f>SUMIFS(Input!$C$115:$C$3257,Input!$A$115:$A$3257,"="&amp;'Output - County'!A2642,Input!$B$115:$B$3257,"="&amp;'Output - County'!B2642)*VLOOKUP(A2642,'Output - State'!$B$2:$G$52,5,FALSE)</f>
        <v>4.0099198594914229</v>
      </c>
      <c r="G2642" s="99">
        <f>SUMIFS(Input!$D$115:$D$3257,Input!$A$115:$A$3257,"="&amp;'Output - County'!A2642,Input!$B$115:$B$3257,"="&amp;'Output - County'!B2642)*VLOOKUP(A2642,'Output - State'!$B$2:$G$52,6,FALSE)</f>
        <v>0.30033505086603207</v>
      </c>
    </row>
    <row r="2643" spans="1:7" x14ac:dyDescent="0.25">
      <c r="A2643" s="88">
        <v>48</v>
      </c>
      <c r="B2643" s="88">
        <v>237</v>
      </c>
      <c r="C2643" s="97">
        <f>SUMIFS(Input!$C$115:$C$3257,Input!$A$115:$A$3257,"="&amp;'Output - County'!A2643,Input!$B$115:$B$3257,"="&amp;'Output - County'!B2643)*VLOOKUP(A2643,'Output - State'!$B$2:$G$52,2,FALSE)</f>
        <v>1.4541244137935654</v>
      </c>
      <c r="D2643" s="98">
        <f>SUMIFS(Input!$C$115:$C$3257,Input!$A$115:$A$3257,"="&amp;'Output - County'!A2643,Input!$B$115:$B$3257,"="&amp;'Output - County'!B2643)*VLOOKUP(A2643,'Output - State'!$B$2:$G$52,3,FALSE)</f>
        <v>0.24243918013994567</v>
      </c>
      <c r="E2643" s="98">
        <f>SUMIFS(Input!$C$115:$C$3257,Input!$A$115:$A$3257,"="&amp;'Output - County'!A2643,Input!$B$115:$B$3257,"="&amp;'Output - County'!B2643)*VLOOKUP(A2643,'Output - State'!$B$2:$G$52,4,FALSE)</f>
        <v>3.1904049286593197</v>
      </c>
      <c r="F2643" s="98">
        <f>SUMIFS(Input!$C$115:$C$3257,Input!$A$115:$A$3257,"="&amp;'Output - County'!A2643,Input!$B$115:$B$3257,"="&amp;'Output - County'!B2643)*VLOOKUP(A2643,'Output - State'!$B$2:$G$52,5,FALSE)</f>
        <v>5.8627752340716937</v>
      </c>
      <c r="G2643" s="99">
        <f>SUMIFS(Input!$D$115:$D$3257,Input!$A$115:$A$3257,"="&amp;'Output - County'!A2643,Input!$B$115:$B$3257,"="&amp;'Output - County'!B2643)*VLOOKUP(A2643,'Output - State'!$B$2:$G$52,6,FALSE)</f>
        <v>1.7447095389125415</v>
      </c>
    </row>
    <row r="2644" spans="1:7" x14ac:dyDescent="0.25">
      <c r="A2644" s="88">
        <v>48</v>
      </c>
      <c r="B2644" s="88">
        <v>239</v>
      </c>
      <c r="C2644" s="97">
        <f>SUMIFS(Input!$C$115:$C$3257,Input!$A$115:$A$3257,"="&amp;'Output - County'!A2644,Input!$B$115:$B$3257,"="&amp;'Output - County'!B2644)*VLOOKUP(A2644,'Output - State'!$B$2:$G$52,2,FALSE)</f>
        <v>4.9361800595762508</v>
      </c>
      <c r="D2644" s="98">
        <f>SUMIFS(Input!$C$115:$C$3257,Input!$A$115:$A$3257,"="&amp;'Output - County'!A2644,Input!$B$115:$B$3257,"="&amp;'Output - County'!B2644)*VLOOKUP(A2644,'Output - State'!$B$2:$G$52,3,FALSE)</f>
        <v>0.82298559553426709</v>
      </c>
      <c r="E2644" s="98">
        <f>SUMIFS(Input!$C$115:$C$3257,Input!$A$115:$A$3257,"="&amp;'Output - County'!A2644,Input!$B$115:$B$3257,"="&amp;'Output - County'!B2644)*VLOOKUP(A2644,'Output - State'!$B$2:$G$52,4,FALSE)</f>
        <v>10.830169029166473</v>
      </c>
      <c r="F2644" s="98">
        <f>SUMIFS(Input!$C$115:$C$3257,Input!$A$115:$A$3257,"="&amp;'Output - County'!A2644,Input!$B$115:$B$3257,"="&amp;'Output - County'!B2644)*VLOOKUP(A2644,'Output - State'!$B$2:$G$52,5,FALSE)</f>
        <v>19.901814404383284</v>
      </c>
      <c r="G2644" s="99">
        <f>SUMIFS(Input!$D$115:$D$3257,Input!$A$115:$A$3257,"="&amp;'Output - County'!A2644,Input!$B$115:$B$3257,"="&amp;'Output - County'!B2644)*VLOOKUP(A2644,'Output - State'!$B$2:$G$52,6,FALSE)</f>
        <v>2.9243149689587336</v>
      </c>
    </row>
    <row r="2645" spans="1:7" x14ac:dyDescent="0.25">
      <c r="A2645" s="88">
        <v>48</v>
      </c>
      <c r="B2645" s="88">
        <v>241</v>
      </c>
      <c r="C2645" s="97">
        <f>SUMIFS(Input!$C$115:$C$3257,Input!$A$115:$A$3257,"="&amp;'Output - County'!A2645,Input!$B$115:$B$3257,"="&amp;'Output - County'!B2645)*VLOOKUP(A2645,'Output - State'!$B$2:$G$52,2,FALSE)</f>
        <v>5.4829298274860943</v>
      </c>
      <c r="D2645" s="98">
        <f>SUMIFS(Input!$C$115:$C$3257,Input!$A$115:$A$3257,"="&amp;'Output - County'!A2645,Input!$B$115:$B$3257,"="&amp;'Output - County'!B2645)*VLOOKUP(A2645,'Output - State'!$B$2:$G$52,3,FALSE)</f>
        <v>0.91414255859491611</v>
      </c>
      <c r="E2645" s="98">
        <f>SUMIFS(Input!$C$115:$C$3257,Input!$A$115:$A$3257,"="&amp;'Output - County'!A2645,Input!$B$115:$B$3257,"="&amp;'Output - County'!B2645)*VLOOKUP(A2645,'Output - State'!$B$2:$G$52,4,FALSE)</f>
        <v>12.029759062685118</v>
      </c>
      <c r="F2645" s="98">
        <f>SUMIFS(Input!$C$115:$C$3257,Input!$A$115:$A$3257,"="&amp;'Output - County'!A2645,Input!$B$115:$B$3257,"="&amp;'Output - County'!B2645)*VLOOKUP(A2645,'Output - State'!$B$2:$G$52,5,FALSE)</f>
        <v>22.106213813491436</v>
      </c>
      <c r="G2645" s="99">
        <f>SUMIFS(Input!$D$115:$D$3257,Input!$A$115:$A$3257,"="&amp;'Output - County'!A2645,Input!$B$115:$B$3257,"="&amp;'Output - County'!B2645)*VLOOKUP(A2645,'Output - State'!$B$2:$G$52,6,FALSE)</f>
        <v>7.0736808032920715</v>
      </c>
    </row>
    <row r="2646" spans="1:7" x14ac:dyDescent="0.25">
      <c r="A2646" s="88">
        <v>48</v>
      </c>
      <c r="B2646" s="88">
        <v>243</v>
      </c>
      <c r="C2646" s="97">
        <f>SUMIFS(Input!$C$115:$C$3257,Input!$A$115:$A$3257,"="&amp;'Output - County'!A2646,Input!$B$115:$B$3257,"="&amp;'Output - County'!B2646)*VLOOKUP(A2646,'Output - State'!$B$2:$G$52,2,FALSE)</f>
        <v>1.0202983361847031</v>
      </c>
      <c r="D2646" s="98">
        <f>SUMIFS(Input!$C$115:$C$3257,Input!$A$115:$A$3257,"="&amp;'Output - County'!A2646,Input!$B$115:$B$3257,"="&amp;'Output - County'!B2646)*VLOOKUP(A2646,'Output - State'!$B$2:$G$52,3,FALSE)</f>
        <v>0.17010944165186578</v>
      </c>
      <c r="E2646" s="98">
        <f>SUMIFS(Input!$C$115:$C$3257,Input!$A$115:$A$3257,"="&amp;'Output - County'!A2646,Input!$B$115:$B$3257,"="&amp;'Output - County'!B2646)*VLOOKUP(A2646,'Output - State'!$B$2:$G$52,4,FALSE)</f>
        <v>2.2385738177481005</v>
      </c>
      <c r="F2646" s="98">
        <f>SUMIFS(Input!$C$115:$C$3257,Input!$A$115:$A$3257,"="&amp;'Output - County'!A2646,Input!$B$115:$B$3257,"="&amp;'Output - County'!B2646)*VLOOKUP(A2646,'Output - State'!$B$2:$G$52,5,FALSE)</f>
        <v>4.1136643880029338</v>
      </c>
      <c r="G2646" s="99">
        <f>SUMIFS(Input!$D$115:$D$3257,Input!$A$115:$A$3257,"="&amp;'Output - County'!A2646,Input!$B$115:$B$3257,"="&amp;'Output - County'!B2646)*VLOOKUP(A2646,'Output - State'!$B$2:$G$52,6,FALSE)</f>
        <v>0.44259902232888937</v>
      </c>
    </row>
    <row r="2647" spans="1:7" x14ac:dyDescent="0.25">
      <c r="A2647" s="88">
        <v>48</v>
      </c>
      <c r="B2647" s="88">
        <v>245</v>
      </c>
      <c r="C2647" s="97">
        <f>SUMIFS(Input!$C$115:$C$3257,Input!$A$115:$A$3257,"="&amp;'Output - County'!A2647,Input!$B$115:$B$3257,"="&amp;'Output - County'!B2647)*VLOOKUP(A2647,'Output - State'!$B$2:$G$52,2,FALSE)</f>
        <v>39.004474172776298</v>
      </c>
      <c r="D2647" s="98">
        <f>SUMIFS(Input!$C$115:$C$3257,Input!$A$115:$A$3257,"="&amp;'Output - County'!A2647,Input!$B$115:$B$3257,"="&amp;'Output - County'!B2647)*VLOOKUP(A2647,'Output - State'!$B$2:$G$52,3,FALSE)</f>
        <v>6.5030286614663915</v>
      </c>
      <c r="E2647" s="98">
        <f>SUMIFS(Input!$C$115:$C$3257,Input!$A$115:$A$3257,"="&amp;'Output - County'!A2647,Input!$B$115:$B$3257,"="&amp;'Output - County'!B2647)*VLOOKUP(A2647,'Output - State'!$B$2:$G$52,4,FALSE)</f>
        <v>85.577317497852533</v>
      </c>
      <c r="F2647" s="98">
        <f>SUMIFS(Input!$C$115:$C$3257,Input!$A$115:$A$3257,"="&amp;'Output - County'!A2647,Input!$B$115:$B$3257,"="&amp;'Output - County'!B2647)*VLOOKUP(A2647,'Output - State'!$B$2:$G$52,5,FALSE)</f>
        <v>157.25921594395678</v>
      </c>
      <c r="G2647" s="99">
        <f>SUMIFS(Input!$D$115:$D$3257,Input!$A$115:$A$3257,"="&amp;'Output - County'!A2647,Input!$B$115:$B$3257,"="&amp;'Output - County'!B2647)*VLOOKUP(A2647,'Output - State'!$B$2:$G$52,6,FALSE)</f>
        <v>49.989978861254023</v>
      </c>
    </row>
    <row r="2648" spans="1:7" x14ac:dyDescent="0.25">
      <c r="A2648" s="88">
        <v>48</v>
      </c>
      <c r="B2648" s="88">
        <v>247</v>
      </c>
      <c r="C2648" s="97">
        <f>SUMIFS(Input!$C$115:$C$3257,Input!$A$115:$A$3257,"="&amp;'Output - County'!A2648,Input!$B$115:$B$3257,"="&amp;'Output - County'!B2648)*VLOOKUP(A2648,'Output - State'!$B$2:$G$52,2,FALSE)</f>
        <v>0.65884178191520293</v>
      </c>
      <c r="D2648" s="98">
        <f>SUMIFS(Input!$C$115:$C$3257,Input!$A$115:$A$3257,"="&amp;'Output - County'!A2648,Input!$B$115:$B$3257,"="&amp;'Output - County'!B2648)*VLOOKUP(A2648,'Output - State'!$B$2:$G$52,3,FALSE)</f>
        <v>0.10984552623854001</v>
      </c>
      <c r="E2648" s="98">
        <f>SUMIFS(Input!$C$115:$C$3257,Input!$A$115:$A$3257,"="&amp;'Output - County'!A2648,Input!$B$115:$B$3257,"="&amp;'Output - County'!B2648)*VLOOKUP(A2648,'Output - State'!$B$2:$G$52,4,FALSE)</f>
        <v>1.4455242263248036</v>
      </c>
      <c r="F2648" s="98">
        <f>SUMIFS(Input!$C$115:$C$3257,Input!$A$115:$A$3257,"="&amp;'Output - County'!A2648,Input!$B$115:$B$3257,"="&amp;'Output - County'!B2648)*VLOOKUP(A2648,'Output - State'!$B$2:$G$52,5,FALSE)</f>
        <v>2.6563347988272445</v>
      </c>
      <c r="G2648" s="99">
        <f>SUMIFS(Input!$D$115:$D$3257,Input!$A$115:$A$3257,"="&amp;'Output - County'!A2648,Input!$B$115:$B$3257,"="&amp;'Output - County'!B2648)*VLOOKUP(A2648,'Output - State'!$B$2:$G$52,6,FALSE)</f>
        <v>1.0254861276280964</v>
      </c>
    </row>
    <row r="2649" spans="1:7" x14ac:dyDescent="0.25">
      <c r="A2649" s="88">
        <v>48</v>
      </c>
      <c r="B2649" s="88">
        <v>249</v>
      </c>
      <c r="C2649" s="97">
        <f>SUMIFS(Input!$C$115:$C$3257,Input!$A$115:$A$3257,"="&amp;'Output - County'!A2649,Input!$B$115:$B$3257,"="&amp;'Output - County'!B2649)*VLOOKUP(A2649,'Output - State'!$B$2:$G$52,2,FALSE)</f>
        <v>6.6070347794239987</v>
      </c>
      <c r="D2649" s="98">
        <f>SUMIFS(Input!$C$115:$C$3257,Input!$A$115:$A$3257,"="&amp;'Output - County'!A2649,Input!$B$115:$B$3257,"="&amp;'Output - County'!B2649)*VLOOKUP(A2649,'Output - State'!$B$2:$G$52,3,FALSE)</f>
        <v>1.1015591787643702</v>
      </c>
      <c r="E2649" s="98">
        <f>SUMIFS(Input!$C$115:$C$3257,Input!$A$115:$A$3257,"="&amp;'Output - County'!A2649,Input!$B$115:$B$3257,"="&amp;'Output - County'!B2649)*VLOOKUP(A2649,'Output - State'!$B$2:$G$52,4,FALSE)</f>
        <v>14.496088590594534</v>
      </c>
      <c r="F2649" s="98">
        <f>SUMIFS(Input!$C$115:$C$3257,Input!$A$115:$A$3257,"="&amp;'Output - County'!A2649,Input!$B$115:$B$3257,"="&amp;'Output - County'!B2649)*VLOOKUP(A2649,'Output - State'!$B$2:$G$52,5,FALSE)</f>
        <v>26.638408315009862</v>
      </c>
      <c r="G2649" s="99">
        <f>SUMIFS(Input!$D$115:$D$3257,Input!$A$115:$A$3257,"="&amp;'Output - County'!A2649,Input!$B$115:$B$3257,"="&amp;'Output - County'!B2649)*VLOOKUP(A2649,'Output - State'!$B$2:$G$52,6,FALSE)</f>
        <v>8.0616250495619148</v>
      </c>
    </row>
    <row r="2650" spans="1:7" x14ac:dyDescent="0.25">
      <c r="A2650" s="88">
        <v>48</v>
      </c>
      <c r="B2650" s="88">
        <v>251</v>
      </c>
      <c r="C2650" s="97">
        <f>SUMIFS(Input!$C$115:$C$3257,Input!$A$115:$A$3257,"="&amp;'Output - County'!A2650,Input!$B$115:$B$3257,"="&amp;'Output - County'!B2650)*VLOOKUP(A2650,'Output - State'!$B$2:$G$52,2,FALSE)</f>
        <v>24.651207538064359</v>
      </c>
      <c r="D2650" s="98">
        <f>SUMIFS(Input!$C$115:$C$3257,Input!$A$115:$A$3257,"="&amp;'Output - County'!A2650,Input!$B$115:$B$3257,"="&amp;'Output - County'!B2650)*VLOOKUP(A2650,'Output - State'!$B$2:$G$52,3,FALSE)</f>
        <v>4.1099774464253045</v>
      </c>
      <c r="E2650" s="98">
        <f>SUMIFS(Input!$C$115:$C$3257,Input!$A$115:$A$3257,"="&amp;'Output - County'!A2650,Input!$B$115:$B$3257,"="&amp;'Output - County'!B2650)*VLOOKUP(A2650,'Output - State'!$B$2:$G$52,4,FALSE)</f>
        <v>54.085698088010687</v>
      </c>
      <c r="F2650" s="98">
        <f>SUMIFS(Input!$C$115:$C$3257,Input!$A$115:$A$3257,"="&amp;'Output - County'!A2650,Input!$B$115:$B$3257,"="&amp;'Output - County'!B2650)*VLOOKUP(A2650,'Output - State'!$B$2:$G$52,5,FALSE)</f>
        <v>99.38935600914995</v>
      </c>
      <c r="G2650" s="99">
        <f>SUMIFS(Input!$D$115:$D$3257,Input!$A$115:$A$3257,"="&amp;'Output - County'!A2650,Input!$B$115:$B$3257,"="&amp;'Output - County'!B2650)*VLOOKUP(A2650,'Output - State'!$B$2:$G$52,6,FALSE)</f>
        <v>33.787693222428608</v>
      </c>
    </row>
    <row r="2651" spans="1:7" x14ac:dyDescent="0.25">
      <c r="A2651" s="88">
        <v>48</v>
      </c>
      <c r="B2651" s="88">
        <v>253</v>
      </c>
      <c r="C2651" s="97">
        <f>SUMIFS(Input!$C$115:$C$3257,Input!$A$115:$A$3257,"="&amp;'Output - County'!A2651,Input!$B$115:$B$3257,"="&amp;'Output - County'!B2651)*VLOOKUP(A2651,'Output - State'!$B$2:$G$52,2,FALSE)</f>
        <v>2.5149158661649347</v>
      </c>
      <c r="D2651" s="98">
        <f>SUMIFS(Input!$C$115:$C$3257,Input!$A$115:$A$3257,"="&amp;'Output - County'!A2651,Input!$B$115:$B$3257,"="&amp;'Output - County'!B2651)*VLOOKUP(A2651,'Output - State'!$B$2:$G$52,3,FALSE)</f>
        <v>0.41929984458711256</v>
      </c>
      <c r="E2651" s="98">
        <f>SUMIFS(Input!$C$115:$C$3257,Input!$A$115:$A$3257,"="&amp;'Output - County'!A2651,Input!$B$115:$B$3257,"="&amp;'Output - County'!B2651)*VLOOKUP(A2651,'Output - State'!$B$2:$G$52,4,FALSE)</f>
        <v>5.5178222017770207</v>
      </c>
      <c r="F2651" s="98">
        <f>SUMIFS(Input!$C$115:$C$3257,Input!$A$115:$A$3257,"="&amp;'Output - County'!A2651,Input!$B$115:$B$3257,"="&amp;'Output - County'!B2651)*VLOOKUP(A2651,'Output - State'!$B$2:$G$52,5,FALSE)</f>
        <v>10.139700782177313</v>
      </c>
      <c r="G2651" s="99">
        <f>SUMIFS(Input!$D$115:$D$3257,Input!$A$115:$A$3257,"="&amp;'Output - County'!A2651,Input!$B$115:$B$3257,"="&amp;'Output - County'!B2651)*VLOOKUP(A2651,'Output - State'!$B$2:$G$52,6,FALSE)</f>
        <v>3.9320181001539725</v>
      </c>
    </row>
    <row r="2652" spans="1:7" x14ac:dyDescent="0.25">
      <c r="A2652" s="88">
        <v>48</v>
      </c>
      <c r="B2652" s="88">
        <v>255</v>
      </c>
      <c r="C2652" s="97">
        <f>SUMIFS(Input!$C$115:$C$3257,Input!$A$115:$A$3257,"="&amp;'Output - County'!A2652,Input!$B$115:$B$3257,"="&amp;'Output - County'!B2652)*VLOOKUP(A2652,'Output - State'!$B$2:$G$52,2,FALSE)</f>
        <v>4.493895407342797</v>
      </c>
      <c r="D2652" s="98">
        <f>SUMIFS(Input!$C$115:$C$3257,Input!$A$115:$A$3257,"="&amp;'Output - County'!A2652,Input!$B$115:$B$3257,"="&amp;'Output - County'!B2652)*VLOOKUP(A2652,'Output - State'!$B$2:$G$52,3,FALSE)</f>
        <v>0.74924559952098091</v>
      </c>
      <c r="E2652" s="98">
        <f>SUMIFS(Input!$C$115:$C$3257,Input!$A$115:$A$3257,"="&amp;'Output - County'!A2652,Input!$B$115:$B$3257,"="&amp;'Output - County'!B2652)*VLOOKUP(A2652,'Output - State'!$B$2:$G$52,4,FALSE)</f>
        <v>9.8597794799842617</v>
      </c>
      <c r="F2652" s="98">
        <f>SUMIFS(Input!$C$115:$C$3257,Input!$A$115:$A$3257,"="&amp;'Output - County'!A2652,Input!$B$115:$B$3257,"="&amp;'Output - County'!B2652)*VLOOKUP(A2652,'Output - State'!$B$2:$G$52,5,FALSE)</f>
        <v>18.118600065274869</v>
      </c>
      <c r="G2652" s="99">
        <f>SUMIFS(Input!$D$115:$D$3257,Input!$A$115:$A$3257,"="&amp;'Output - County'!A2652,Input!$B$115:$B$3257,"="&amp;'Output - County'!B2652)*VLOOKUP(A2652,'Output - State'!$B$2:$G$52,6,FALSE)</f>
        <v>3.1021449332873052</v>
      </c>
    </row>
    <row r="2653" spans="1:7" x14ac:dyDescent="0.25">
      <c r="A2653" s="88">
        <v>48</v>
      </c>
      <c r="B2653" s="88">
        <v>257</v>
      </c>
      <c r="C2653" s="97">
        <f>SUMIFS(Input!$C$115:$C$3257,Input!$A$115:$A$3257,"="&amp;'Output - County'!A2653,Input!$B$115:$B$3257,"="&amp;'Output - County'!B2653)*VLOOKUP(A2653,'Output - State'!$B$2:$G$52,2,FALSE)</f>
        <v>26.663900191426787</v>
      </c>
      <c r="D2653" s="98">
        <f>SUMIFS(Input!$C$115:$C$3257,Input!$A$115:$A$3257,"="&amp;'Output - County'!A2653,Input!$B$115:$B$3257,"="&amp;'Output - County'!B2653)*VLOOKUP(A2653,'Output - State'!$B$2:$G$52,3,FALSE)</f>
        <v>4.4455440266478909</v>
      </c>
      <c r="E2653" s="98">
        <f>SUMIFS(Input!$C$115:$C$3257,Input!$A$115:$A$3257,"="&amp;'Output - County'!A2653,Input!$B$115:$B$3257,"="&amp;'Output - County'!B2653)*VLOOKUP(A2653,'Output - State'!$B$2:$G$52,4,FALSE)</f>
        <v>58.501623231865331</v>
      </c>
      <c r="F2653" s="98">
        <f>SUMIFS(Input!$C$115:$C$3257,Input!$A$115:$A$3257,"="&amp;'Output - County'!A2653,Input!$B$115:$B$3257,"="&amp;'Output - County'!B2653)*VLOOKUP(A2653,'Output - State'!$B$2:$G$52,5,FALSE)</f>
        <v>107.50418066239071</v>
      </c>
      <c r="G2653" s="99">
        <f>SUMIFS(Input!$D$115:$D$3257,Input!$A$115:$A$3257,"="&amp;'Output - County'!A2653,Input!$B$115:$B$3257,"="&amp;'Output - County'!B2653)*VLOOKUP(A2653,'Output - State'!$B$2:$G$52,6,FALSE)</f>
        <v>25.291372704507964</v>
      </c>
    </row>
    <row r="2654" spans="1:7" x14ac:dyDescent="0.25">
      <c r="A2654" s="88">
        <v>48</v>
      </c>
      <c r="B2654" s="88">
        <v>259</v>
      </c>
      <c r="C2654" s="97">
        <f>SUMIFS(Input!$C$115:$C$3257,Input!$A$115:$A$3257,"="&amp;'Output - County'!A2654,Input!$B$115:$B$3257,"="&amp;'Output - County'!B2654)*VLOOKUP(A2654,'Output - State'!$B$2:$G$52,2,FALSE)</f>
        <v>7.1527571485416361</v>
      </c>
      <c r="D2654" s="98">
        <f>SUMIFS(Input!$C$115:$C$3257,Input!$A$115:$A$3257,"="&amp;'Output - County'!A2654,Input!$B$115:$B$3257,"="&amp;'Output - County'!B2654)*VLOOKUP(A2654,'Output - State'!$B$2:$G$52,3,FALSE)</f>
        <v>1.1925448485584345</v>
      </c>
      <c r="E2654" s="98">
        <f>SUMIFS(Input!$C$115:$C$3257,Input!$A$115:$A$3257,"="&amp;'Output - County'!A2654,Input!$B$115:$B$3257,"="&amp;'Output - County'!B2654)*VLOOKUP(A2654,'Output - State'!$B$2:$G$52,4,FALSE)</f>
        <v>15.693424471621643</v>
      </c>
      <c r="F2654" s="98">
        <f>SUMIFS(Input!$C$115:$C$3257,Input!$A$115:$A$3257,"="&amp;'Output - County'!A2654,Input!$B$115:$B$3257,"="&amp;'Output - County'!B2654)*VLOOKUP(A2654,'Output - State'!$B$2:$G$52,5,FALSE)</f>
        <v>28.838665431933574</v>
      </c>
      <c r="G2654" s="99">
        <f>SUMIFS(Input!$D$115:$D$3257,Input!$A$115:$A$3257,"="&amp;'Output - County'!A2654,Input!$B$115:$B$3257,"="&amp;'Output - County'!B2654)*VLOOKUP(A2654,'Output - State'!$B$2:$G$52,6,FALSE)</f>
        <v>9.0100515259809626</v>
      </c>
    </row>
    <row r="2655" spans="1:7" x14ac:dyDescent="0.25">
      <c r="A2655" s="88">
        <v>48</v>
      </c>
      <c r="B2655" s="88">
        <v>261</v>
      </c>
      <c r="C2655" s="97">
        <f>SUMIFS(Input!$C$115:$C$3257,Input!$A$115:$A$3257,"="&amp;'Output - County'!A2655,Input!$B$115:$B$3257,"="&amp;'Output - County'!B2655)*VLOOKUP(A2655,'Output - State'!$B$2:$G$52,2,FALSE)</f>
        <v>1.9563093704632248</v>
      </c>
      <c r="D2655" s="98">
        <f>SUMIFS(Input!$C$115:$C$3257,Input!$A$115:$A$3257,"="&amp;'Output - County'!A2655,Input!$B$115:$B$3257,"="&amp;'Output - County'!B2655)*VLOOKUP(A2655,'Output - State'!$B$2:$G$52,3,FALSE)</f>
        <v>0.32616606624316635</v>
      </c>
      <c r="E2655" s="98">
        <f>SUMIFS(Input!$C$115:$C$3257,Input!$A$115:$A$3257,"="&amp;'Output - County'!A2655,Input!$B$115:$B$3257,"="&amp;'Output - County'!B2655)*VLOOKUP(A2655,'Output - State'!$B$2:$G$52,4,FALSE)</f>
        <v>4.2922180511538714</v>
      </c>
      <c r="F2655" s="98">
        <f>SUMIFS(Input!$C$115:$C$3257,Input!$A$115:$A$3257,"="&amp;'Output - County'!A2655,Input!$B$115:$B$3257,"="&amp;'Output - County'!B2655)*VLOOKUP(A2655,'Output - State'!$B$2:$G$52,5,FALSE)</f>
        <v>7.887497120973606</v>
      </c>
      <c r="G2655" s="99">
        <f>SUMIFS(Input!$D$115:$D$3257,Input!$A$115:$A$3257,"="&amp;'Output - County'!A2655,Input!$B$115:$B$3257,"="&amp;'Output - County'!B2655)*VLOOKUP(A2655,'Output - State'!$B$2:$G$52,6,FALSE)</f>
        <v>8.6346327123984226E-2</v>
      </c>
    </row>
    <row r="2656" spans="1:7" x14ac:dyDescent="0.25">
      <c r="A2656" s="88">
        <v>48</v>
      </c>
      <c r="B2656" s="88">
        <v>263</v>
      </c>
      <c r="C2656" s="97">
        <f>SUMIFS(Input!$C$115:$C$3257,Input!$A$115:$A$3257,"="&amp;'Output - County'!A2656,Input!$B$115:$B$3257,"="&amp;'Output - County'!B2656)*VLOOKUP(A2656,'Output - State'!$B$2:$G$52,2,FALSE)</f>
        <v>0.20345263096526514</v>
      </c>
      <c r="D2656" s="98">
        <f>SUMIFS(Input!$C$115:$C$3257,Input!$A$115:$A$3257,"="&amp;'Output - County'!A2656,Input!$B$115:$B$3257,"="&amp;'Output - County'!B2656)*VLOOKUP(A2656,'Output - State'!$B$2:$G$52,3,FALSE)</f>
        <v>3.3920680088063086E-2</v>
      </c>
      <c r="E2656" s="98">
        <f>SUMIFS(Input!$C$115:$C$3257,Input!$A$115:$A$3257,"="&amp;'Output - County'!A2656,Input!$B$115:$B$3257,"="&amp;'Output - County'!B2656)*VLOOKUP(A2656,'Output - State'!$B$2:$G$52,4,FALSE)</f>
        <v>0.44638290260659669</v>
      </c>
      <c r="F2656" s="98">
        <f>SUMIFS(Input!$C$115:$C$3257,Input!$A$115:$A$3257,"="&amp;'Output - County'!A2656,Input!$B$115:$B$3257,"="&amp;'Output - County'!B2656)*VLOOKUP(A2656,'Output - State'!$B$2:$G$52,5,FALSE)</f>
        <v>0.82028541355555518</v>
      </c>
      <c r="G2656" s="99">
        <f>SUMIFS(Input!$D$115:$D$3257,Input!$A$115:$A$3257,"="&amp;'Output - County'!A2656,Input!$B$115:$B$3257,"="&amp;'Output - County'!B2656)*VLOOKUP(A2656,'Output - State'!$B$2:$G$52,6,FALSE)</f>
        <v>0.1434495045583811</v>
      </c>
    </row>
    <row r="2657" spans="1:7" x14ac:dyDescent="0.25">
      <c r="A2657" s="88">
        <v>48</v>
      </c>
      <c r="B2657" s="88">
        <v>265</v>
      </c>
      <c r="C2657" s="97">
        <f>SUMIFS(Input!$C$115:$C$3257,Input!$A$115:$A$3257,"="&amp;'Output - County'!A2657,Input!$B$115:$B$3257,"="&amp;'Output - County'!B2657)*VLOOKUP(A2657,'Output - State'!$B$2:$G$52,2,FALSE)</f>
        <v>8.6134337547997397</v>
      </c>
      <c r="D2657" s="98">
        <f>SUMIFS(Input!$C$115:$C$3257,Input!$A$115:$A$3257,"="&amp;'Output - County'!A2657,Input!$B$115:$B$3257,"="&amp;'Output - County'!B2657)*VLOOKUP(A2657,'Output - State'!$B$2:$G$52,3,FALSE)</f>
        <v>1.4360764442813614</v>
      </c>
      <c r="E2657" s="98">
        <f>SUMIFS(Input!$C$115:$C$3257,Input!$A$115:$A$3257,"="&amp;'Output - County'!A2657,Input!$B$115:$B$3257,"="&amp;'Output - County'!B2657)*VLOOKUP(A2657,'Output - State'!$B$2:$G$52,4,FALSE)</f>
        <v>18.898205162721986</v>
      </c>
      <c r="F2657" s="98">
        <f>SUMIFS(Input!$C$115:$C$3257,Input!$A$115:$A$3257,"="&amp;'Output - County'!A2657,Input!$B$115:$B$3257,"="&amp;'Output - County'!B2657)*VLOOKUP(A2657,'Output - State'!$B$2:$G$52,5,FALSE)</f>
        <v>34.727857959701446</v>
      </c>
      <c r="G2657" s="99">
        <f>SUMIFS(Input!$D$115:$D$3257,Input!$A$115:$A$3257,"="&amp;'Output - County'!A2657,Input!$B$115:$B$3257,"="&amp;'Output - County'!B2657)*VLOOKUP(A2657,'Output - State'!$B$2:$G$52,6,FALSE)</f>
        <v>10.353655700907948</v>
      </c>
    </row>
    <row r="2658" spans="1:7" x14ac:dyDescent="0.25">
      <c r="A2658" s="88">
        <v>48</v>
      </c>
      <c r="B2658" s="88">
        <v>267</v>
      </c>
      <c r="C2658" s="97">
        <f>SUMIFS(Input!$C$115:$C$3257,Input!$A$115:$A$3257,"="&amp;'Output - County'!A2658,Input!$B$115:$B$3257,"="&amp;'Output - County'!B2658)*VLOOKUP(A2658,'Output - State'!$B$2:$G$52,2,FALSE)</f>
        <v>3.847422281232991</v>
      </c>
      <c r="D2658" s="98">
        <f>SUMIFS(Input!$C$115:$C$3257,Input!$A$115:$A$3257,"="&amp;'Output - County'!A2658,Input!$B$115:$B$3257,"="&amp;'Output - County'!B2658)*VLOOKUP(A2658,'Output - State'!$B$2:$G$52,3,FALSE)</f>
        <v>0.64146223986492112</v>
      </c>
      <c r="E2658" s="98">
        <f>SUMIFS(Input!$C$115:$C$3257,Input!$A$115:$A$3257,"="&amp;'Output - County'!A2658,Input!$B$115:$B$3257,"="&amp;'Output - County'!B2658)*VLOOKUP(A2658,'Output - State'!$B$2:$G$52,4,FALSE)</f>
        <v>8.4413925605281896</v>
      </c>
      <c r="F2658" s="98">
        <f>SUMIFS(Input!$C$115:$C$3257,Input!$A$115:$A$3257,"="&amp;'Output - County'!A2658,Input!$B$115:$B$3257,"="&amp;'Output - County'!B2658)*VLOOKUP(A2658,'Output - State'!$B$2:$G$52,5,FALSE)</f>
        <v>15.512133522730771</v>
      </c>
      <c r="G2658" s="99">
        <f>SUMIFS(Input!$D$115:$D$3257,Input!$A$115:$A$3257,"="&amp;'Output - County'!A2658,Input!$B$115:$B$3257,"="&amp;'Output - County'!B2658)*VLOOKUP(A2658,'Output - State'!$B$2:$G$52,6,FALSE)</f>
        <v>0.8575356057622231</v>
      </c>
    </row>
    <row r="2659" spans="1:7" x14ac:dyDescent="0.25">
      <c r="A2659" s="88">
        <v>48</v>
      </c>
      <c r="B2659" s="88">
        <v>269</v>
      </c>
      <c r="C2659" s="97">
        <f>SUMIFS(Input!$C$115:$C$3257,Input!$A$115:$A$3257,"="&amp;'Output - County'!A2659,Input!$B$115:$B$3257,"="&amp;'Output - County'!B2659)*VLOOKUP(A2659,'Output - State'!$B$2:$G$52,2,FALSE)</f>
        <v>0.43239720075051508</v>
      </c>
      <c r="D2659" s="98">
        <f>SUMIFS(Input!$C$115:$C$3257,Input!$A$115:$A$3257,"="&amp;'Output - County'!A2659,Input!$B$115:$B$3257,"="&amp;'Output - County'!B2659)*VLOOKUP(A2659,'Output - State'!$B$2:$G$52,3,FALSE)</f>
        <v>7.2091508711609159E-2</v>
      </c>
      <c r="E2659" s="98">
        <f>SUMIFS(Input!$C$115:$C$3257,Input!$A$115:$A$3257,"="&amp;'Output - County'!A2659,Input!$B$115:$B$3257,"="&amp;'Output - County'!B2659)*VLOOKUP(A2659,'Output - State'!$B$2:$G$52,4,FALSE)</f>
        <v>0.94869610009091032</v>
      </c>
      <c r="F2659" s="98">
        <f>SUMIFS(Input!$C$115:$C$3257,Input!$A$115:$A$3257,"="&amp;'Output - County'!A2659,Input!$B$115:$B$3257,"="&amp;'Output - County'!B2659)*VLOOKUP(A2659,'Output - State'!$B$2:$G$52,5,FALSE)</f>
        <v>1.7433498645611309</v>
      </c>
      <c r="G2659" s="99">
        <f>SUMIFS(Input!$D$115:$D$3257,Input!$A$115:$A$3257,"="&amp;'Output - County'!A2659,Input!$B$115:$B$3257,"="&amp;'Output - County'!B2659)*VLOOKUP(A2659,'Output - State'!$B$2:$G$52,6,FALSE)</f>
        <v>5.45345223940953E-2</v>
      </c>
    </row>
    <row r="2660" spans="1:7" x14ac:dyDescent="0.25">
      <c r="A2660" s="88">
        <v>48</v>
      </c>
      <c r="B2660" s="88">
        <v>271</v>
      </c>
      <c r="C2660" s="97">
        <f>SUMIFS(Input!$C$115:$C$3257,Input!$A$115:$A$3257,"="&amp;'Output - County'!A2660,Input!$B$115:$B$3257,"="&amp;'Output - County'!B2660)*VLOOKUP(A2660,'Output - State'!$B$2:$G$52,2,FALSE)</f>
        <v>0.92984954623337568</v>
      </c>
      <c r="D2660" s="98">
        <f>SUMIFS(Input!$C$115:$C$3257,Input!$A$115:$A$3257,"="&amp;'Output - County'!A2660,Input!$B$115:$B$3257,"="&amp;'Output - County'!B2660)*VLOOKUP(A2660,'Output - State'!$B$2:$G$52,3,FALSE)</f>
        <v>0.1550293492798227</v>
      </c>
      <c r="E2660" s="98">
        <f>SUMIFS(Input!$C$115:$C$3257,Input!$A$115:$A$3257,"="&amp;'Output - County'!A2660,Input!$B$115:$B$3257,"="&amp;'Output - County'!B2660)*VLOOKUP(A2660,'Output - State'!$B$2:$G$52,4,FALSE)</f>
        <v>2.040125691497912</v>
      </c>
      <c r="F2660" s="98">
        <f>SUMIFS(Input!$C$115:$C$3257,Input!$A$115:$A$3257,"="&amp;'Output - County'!A2660,Input!$B$115:$B$3257,"="&amp;'Output - County'!B2660)*VLOOKUP(A2660,'Output - State'!$B$2:$G$52,5,FALSE)</f>
        <v>3.7489906911388657</v>
      </c>
      <c r="G2660" s="99">
        <f>SUMIFS(Input!$D$115:$D$3257,Input!$A$115:$A$3257,"="&amp;'Output - County'!A2660,Input!$B$115:$B$3257,"="&amp;'Output - County'!B2660)*VLOOKUP(A2660,'Output - State'!$B$2:$G$52,6,FALSE)</f>
        <v>0.72910285374714368</v>
      </c>
    </row>
    <row r="2661" spans="1:7" x14ac:dyDescent="0.25">
      <c r="A2661" s="88">
        <v>48</v>
      </c>
      <c r="B2661" s="88">
        <v>273</v>
      </c>
      <c r="C2661" s="97">
        <f>SUMIFS(Input!$C$115:$C$3257,Input!$A$115:$A$3257,"="&amp;'Output - County'!A2661,Input!$B$115:$B$3257,"="&amp;'Output - County'!B2661)*VLOOKUP(A2661,'Output - State'!$B$2:$G$52,2,FALSE)</f>
        <v>4.814135725874733</v>
      </c>
      <c r="D2661" s="98">
        <f>SUMIFS(Input!$C$115:$C$3257,Input!$A$115:$A$3257,"="&amp;'Output - County'!A2661,Input!$B$115:$B$3257,"="&amp;'Output - County'!B2661)*VLOOKUP(A2661,'Output - State'!$B$2:$G$52,3,FALSE)</f>
        <v>0.80263772988903592</v>
      </c>
      <c r="E2661" s="98">
        <f>SUMIFS(Input!$C$115:$C$3257,Input!$A$115:$A$3257,"="&amp;'Output - County'!A2661,Input!$B$115:$B$3257,"="&amp;'Output - County'!B2661)*VLOOKUP(A2661,'Output - State'!$B$2:$G$52,4,FALSE)</f>
        <v>10.562399063912631</v>
      </c>
      <c r="F2661" s="98">
        <f>SUMIFS(Input!$C$115:$C$3257,Input!$A$115:$A$3257,"="&amp;'Output - County'!A2661,Input!$B$115:$B$3257,"="&amp;'Output - County'!B2661)*VLOOKUP(A2661,'Output - State'!$B$2:$G$52,5,FALSE)</f>
        <v>19.409753002830048</v>
      </c>
      <c r="G2661" s="99">
        <f>SUMIFS(Input!$D$115:$D$3257,Input!$A$115:$A$3257,"="&amp;'Output - County'!A2661,Input!$B$115:$B$3257,"="&amp;'Output - County'!B2661)*VLOOKUP(A2661,'Output - State'!$B$2:$G$52,6,FALSE)</f>
        <v>6.0659776720968326</v>
      </c>
    </row>
    <row r="2662" spans="1:7" x14ac:dyDescent="0.25">
      <c r="A2662" s="88">
        <v>48</v>
      </c>
      <c r="B2662" s="88">
        <v>275</v>
      </c>
      <c r="C2662" s="97">
        <f>SUMIFS(Input!$C$115:$C$3257,Input!$A$115:$A$3257,"="&amp;'Output - County'!A2662,Input!$B$115:$B$3257,"="&amp;'Output - County'!B2662)*VLOOKUP(A2662,'Output - State'!$B$2:$G$52,2,FALSE)</f>
        <v>0.77874399437056785</v>
      </c>
      <c r="D2662" s="98">
        <f>SUMIFS(Input!$C$115:$C$3257,Input!$A$115:$A$3257,"="&amp;'Output - County'!A2662,Input!$B$115:$B$3257,"="&amp;'Output - County'!B2662)*VLOOKUP(A2662,'Output - State'!$B$2:$G$52,3,FALSE)</f>
        <v>0.12983624629584797</v>
      </c>
      <c r="E2662" s="98">
        <f>SUMIFS(Input!$C$115:$C$3257,Input!$A$115:$A$3257,"="&amp;'Output - County'!A2662,Input!$B$115:$B$3257,"="&amp;'Output - County'!B2662)*VLOOKUP(A2662,'Output - State'!$B$2:$G$52,4,FALSE)</f>
        <v>1.7085942951208974</v>
      </c>
      <c r="F2662" s="98">
        <f>SUMIFS(Input!$C$115:$C$3257,Input!$A$115:$A$3257,"="&amp;'Output - County'!A2662,Input!$B$115:$B$3257,"="&amp;'Output - County'!B2662)*VLOOKUP(A2662,'Output - State'!$B$2:$G$52,5,FALSE)</f>
        <v>3.1397595422849327</v>
      </c>
      <c r="G2662" s="99">
        <f>SUMIFS(Input!$D$115:$D$3257,Input!$A$115:$A$3257,"="&amp;'Output - County'!A2662,Input!$B$115:$B$3257,"="&amp;'Output - County'!B2662)*VLOOKUP(A2662,'Output - State'!$B$2:$G$52,6,FALSE)</f>
        <v>0.72317518826952454</v>
      </c>
    </row>
    <row r="2663" spans="1:7" x14ac:dyDescent="0.25">
      <c r="A2663" s="88">
        <v>48</v>
      </c>
      <c r="B2663" s="88">
        <v>277</v>
      </c>
      <c r="C2663" s="97">
        <f>SUMIFS(Input!$C$115:$C$3257,Input!$A$115:$A$3257,"="&amp;'Output - County'!A2663,Input!$B$115:$B$3257,"="&amp;'Output - County'!B2663)*VLOOKUP(A2663,'Output - State'!$B$2:$G$52,2,FALSE)</f>
        <v>7.7922693821644069</v>
      </c>
      <c r="D2663" s="98">
        <f>SUMIFS(Input!$C$115:$C$3257,Input!$A$115:$A$3257,"="&amp;'Output - County'!A2663,Input!$B$115:$B$3257,"="&amp;'Output - County'!B2663)*VLOOKUP(A2663,'Output - State'!$B$2:$G$52,3,FALSE)</f>
        <v>1.2991676520395268</v>
      </c>
      <c r="E2663" s="98">
        <f>SUMIFS(Input!$C$115:$C$3257,Input!$A$115:$A$3257,"="&amp;'Output - County'!A2663,Input!$B$115:$B$3257,"="&amp;'Output - County'!B2663)*VLOOKUP(A2663,'Output - State'!$B$2:$G$52,4,FALSE)</f>
        <v>17.096538925057722</v>
      </c>
      <c r="F2663" s="98">
        <f>SUMIFS(Input!$C$115:$C$3257,Input!$A$115:$A$3257,"="&amp;'Output - County'!A2663,Input!$B$115:$B$3257,"="&amp;'Output - County'!B2663)*VLOOKUP(A2663,'Output - State'!$B$2:$G$52,5,FALSE)</f>
        <v>31.417066873793775</v>
      </c>
      <c r="G2663" s="99">
        <f>SUMIFS(Input!$D$115:$D$3257,Input!$A$115:$A$3257,"="&amp;'Output - County'!A2663,Input!$B$115:$B$3257,"="&amp;'Output - County'!B2663)*VLOOKUP(A2663,'Output - State'!$B$2:$G$52,6,FALSE)</f>
        <v>9.8201658079222334</v>
      </c>
    </row>
    <row r="2664" spans="1:7" x14ac:dyDescent="0.25">
      <c r="A2664" s="88">
        <v>48</v>
      </c>
      <c r="B2664" s="88">
        <v>279</v>
      </c>
      <c r="C2664" s="97">
        <f>SUMIFS(Input!$C$115:$C$3257,Input!$A$115:$A$3257,"="&amp;'Output - County'!A2664,Input!$B$115:$B$3257,"="&amp;'Output - County'!B2664)*VLOOKUP(A2664,'Output - State'!$B$2:$G$52,2,FALSE)</f>
        <v>2.3923893153796989</v>
      </c>
      <c r="D2664" s="98">
        <f>SUMIFS(Input!$C$115:$C$3257,Input!$A$115:$A$3257,"="&amp;'Output - County'!A2664,Input!$B$115:$B$3257,"="&amp;'Output - County'!B2664)*VLOOKUP(A2664,'Output - State'!$B$2:$G$52,3,FALSE)</f>
        <v>0.3988715812033406</v>
      </c>
      <c r="E2664" s="98">
        <f>SUMIFS(Input!$C$115:$C$3257,Input!$A$115:$A$3257,"="&amp;'Output - County'!A2664,Input!$B$115:$B$3257,"="&amp;'Output - County'!B2664)*VLOOKUP(A2664,'Output - State'!$B$2:$G$52,4,FALSE)</f>
        <v>5.2489942336824429</v>
      </c>
      <c r="F2664" s="98">
        <f>SUMIFS(Input!$C$115:$C$3257,Input!$A$115:$A$3257,"="&amp;'Output - County'!A2664,Input!$B$115:$B$3257,"="&amp;'Output - County'!B2664)*VLOOKUP(A2664,'Output - State'!$B$2:$G$52,5,FALSE)</f>
        <v>9.6456951657074903</v>
      </c>
      <c r="G2664" s="99">
        <f>SUMIFS(Input!$D$115:$D$3257,Input!$A$115:$A$3257,"="&amp;'Output - County'!A2664,Input!$B$115:$B$3257,"="&amp;'Output - County'!B2664)*VLOOKUP(A2664,'Output - State'!$B$2:$G$52,6,FALSE)</f>
        <v>2.5884139252269871</v>
      </c>
    </row>
    <row r="2665" spans="1:7" x14ac:dyDescent="0.25">
      <c r="A2665" s="88">
        <v>48</v>
      </c>
      <c r="B2665" s="88">
        <v>281</v>
      </c>
      <c r="C2665" s="97">
        <f>SUMIFS(Input!$C$115:$C$3257,Input!$A$115:$A$3257,"="&amp;'Output - County'!A2665,Input!$B$115:$B$3257,"="&amp;'Output - County'!B2665)*VLOOKUP(A2665,'Output - State'!$B$2:$G$52,2,FALSE)</f>
        <v>3.6328139099007184</v>
      </c>
      <c r="D2665" s="98">
        <f>SUMIFS(Input!$C$115:$C$3257,Input!$A$115:$A$3257,"="&amp;'Output - County'!A2665,Input!$B$115:$B$3257,"="&amp;'Output - County'!B2665)*VLOOKUP(A2665,'Output - State'!$B$2:$G$52,3,FALSE)</f>
        <v>0.60568161676044474</v>
      </c>
      <c r="E2665" s="98">
        <f>SUMIFS(Input!$C$115:$C$3257,Input!$A$115:$A$3257,"="&amp;'Output - County'!A2665,Input!$B$115:$B$3257,"="&amp;'Output - County'!B2665)*VLOOKUP(A2665,'Output - State'!$B$2:$G$52,4,FALSE)</f>
        <v>7.9705335342060897</v>
      </c>
      <c r="F2665" s="98">
        <f>SUMIFS(Input!$C$115:$C$3257,Input!$A$115:$A$3257,"="&amp;'Output - County'!A2665,Input!$B$115:$B$3257,"="&amp;'Output - County'!B2665)*VLOOKUP(A2665,'Output - State'!$B$2:$G$52,5,FALSE)</f>
        <v>14.646870115737364</v>
      </c>
      <c r="G2665" s="99">
        <f>SUMIFS(Input!$D$115:$D$3257,Input!$A$115:$A$3257,"="&amp;'Output - County'!A2665,Input!$B$115:$B$3257,"="&amp;'Output - County'!B2665)*VLOOKUP(A2665,'Output - State'!$B$2:$G$52,6,FALSE)</f>
        <v>4.1691247192587353</v>
      </c>
    </row>
    <row r="2666" spans="1:7" x14ac:dyDescent="0.25">
      <c r="A2666" s="88">
        <v>48</v>
      </c>
      <c r="B2666" s="88">
        <v>283</v>
      </c>
      <c r="C2666" s="97">
        <f>SUMIFS(Input!$C$115:$C$3257,Input!$A$115:$A$3257,"="&amp;'Output - County'!A2666,Input!$B$115:$B$3257,"="&amp;'Output - County'!B2666)*VLOOKUP(A2666,'Output - State'!$B$2:$G$52,2,FALSE)</f>
        <v>6.9266588414446728</v>
      </c>
      <c r="D2666" s="98">
        <f>SUMIFS(Input!$C$115:$C$3257,Input!$A$115:$A$3257,"="&amp;'Output - County'!A2666,Input!$B$115:$B$3257,"="&amp;'Output - County'!B2666)*VLOOKUP(A2666,'Output - State'!$B$2:$G$52,3,FALSE)</f>
        <v>1.1548485636438486</v>
      </c>
      <c r="E2666" s="98">
        <f>SUMIFS(Input!$C$115:$C$3257,Input!$A$115:$A$3257,"="&amp;'Output - County'!A2666,Input!$B$115:$B$3257,"="&amp;'Output - County'!B2666)*VLOOKUP(A2666,'Output - State'!$B$2:$G$52,4,FALSE)</f>
        <v>15.197356084019367</v>
      </c>
      <c r="F2666" s="98">
        <f>SUMIFS(Input!$C$115:$C$3257,Input!$A$115:$A$3257,"="&amp;'Output - County'!A2666,Input!$B$115:$B$3257,"="&amp;'Output - County'!B2666)*VLOOKUP(A2666,'Output - State'!$B$2:$G$52,5,FALSE)</f>
        <v>27.927076614127099</v>
      </c>
      <c r="G2666" s="99">
        <f>SUMIFS(Input!$D$115:$D$3257,Input!$A$115:$A$3257,"="&amp;'Output - County'!A2666,Input!$B$115:$B$3257,"="&amp;'Output - County'!B2666)*VLOOKUP(A2666,'Output - State'!$B$2:$G$52,6,FALSE)</f>
        <v>1.4799404809122239</v>
      </c>
    </row>
    <row r="2667" spans="1:7" x14ac:dyDescent="0.25">
      <c r="A2667" s="88">
        <v>48</v>
      </c>
      <c r="B2667" s="88">
        <v>285</v>
      </c>
      <c r="C2667" s="97">
        <f>SUMIFS(Input!$C$115:$C$3257,Input!$A$115:$A$3257,"="&amp;'Output - County'!A2667,Input!$B$115:$B$3257,"="&amp;'Output - County'!B2667)*VLOOKUP(A2667,'Output - State'!$B$2:$G$52,2,FALSE)</f>
        <v>3.1312379946422504</v>
      </c>
      <c r="D2667" s="98">
        <f>SUMIFS(Input!$C$115:$C$3257,Input!$A$115:$A$3257,"="&amp;'Output - County'!A2667,Input!$B$115:$B$3257,"="&amp;'Output - County'!B2667)*VLOOKUP(A2667,'Output - State'!$B$2:$G$52,3,FALSE)</f>
        <v>0.52205627320681602</v>
      </c>
      <c r="E2667" s="98">
        <f>SUMIFS(Input!$C$115:$C$3257,Input!$A$115:$A$3257,"="&amp;'Output - County'!A2667,Input!$B$115:$B$3257,"="&amp;'Output - County'!B2667)*VLOOKUP(A2667,'Output - State'!$B$2:$G$52,4,FALSE)</f>
        <v>6.8700566720078307</v>
      </c>
      <c r="F2667" s="98">
        <f>SUMIFS(Input!$C$115:$C$3257,Input!$A$115:$A$3257,"="&amp;'Output - County'!A2667,Input!$B$115:$B$3257,"="&amp;'Output - County'!B2667)*VLOOKUP(A2667,'Output - State'!$B$2:$G$52,5,FALSE)</f>
        <v>12.624603777252208</v>
      </c>
      <c r="G2667" s="99">
        <f>SUMIFS(Input!$D$115:$D$3257,Input!$A$115:$A$3257,"="&amp;'Output - County'!A2667,Input!$B$115:$B$3257,"="&amp;'Output - County'!B2667)*VLOOKUP(A2667,'Output - State'!$B$2:$G$52,6,FALSE)</f>
        <v>3.9715358700047663</v>
      </c>
    </row>
    <row r="2668" spans="1:7" x14ac:dyDescent="0.25">
      <c r="A2668" s="88">
        <v>48</v>
      </c>
      <c r="B2668" s="88">
        <v>287</v>
      </c>
      <c r="C2668" s="97">
        <f>SUMIFS(Input!$C$115:$C$3257,Input!$A$115:$A$3257,"="&amp;'Output - County'!A2668,Input!$B$115:$B$3257,"="&amp;'Output - County'!B2668)*VLOOKUP(A2668,'Output - State'!$B$2:$G$52,2,FALSE)</f>
        <v>3.673392605677547</v>
      </c>
      <c r="D2668" s="98">
        <f>SUMIFS(Input!$C$115:$C$3257,Input!$A$115:$A$3257,"="&amp;'Output - County'!A2668,Input!$B$115:$B$3257,"="&amp;'Output - County'!B2668)*VLOOKUP(A2668,'Output - State'!$B$2:$G$52,3,FALSE)</f>
        <v>0.61244710782982115</v>
      </c>
      <c r="E2668" s="98">
        <f>SUMIFS(Input!$C$115:$C$3257,Input!$A$115:$A$3257,"="&amp;'Output - County'!A2668,Input!$B$115:$B$3257,"="&amp;'Output - County'!B2668)*VLOOKUP(A2668,'Output - State'!$B$2:$G$52,4,FALSE)</f>
        <v>8.0595647544902018</v>
      </c>
      <c r="F2668" s="98">
        <f>SUMIFS(Input!$C$115:$C$3257,Input!$A$115:$A$3257,"="&amp;'Output - County'!A2668,Input!$B$115:$B$3257,"="&amp;'Output - County'!B2668)*VLOOKUP(A2668,'Output - State'!$B$2:$G$52,5,FALSE)</f>
        <v>14.810476317775242</v>
      </c>
      <c r="G2668" s="99">
        <f>SUMIFS(Input!$D$115:$D$3257,Input!$A$115:$A$3257,"="&amp;'Output - County'!A2668,Input!$B$115:$B$3257,"="&amp;'Output - County'!B2668)*VLOOKUP(A2668,'Output - State'!$B$2:$G$52,6,FALSE)</f>
        <v>3.3787693222428614</v>
      </c>
    </row>
    <row r="2669" spans="1:7" x14ac:dyDescent="0.25">
      <c r="A2669" s="88">
        <v>48</v>
      </c>
      <c r="B2669" s="88">
        <v>289</v>
      </c>
      <c r="C2669" s="97">
        <f>SUMIFS(Input!$C$115:$C$3257,Input!$A$115:$A$3257,"="&amp;'Output - County'!A2669,Input!$B$115:$B$3257,"="&amp;'Output - County'!B2669)*VLOOKUP(A2669,'Output - State'!$B$2:$G$52,2,FALSE)</f>
        <v>8.8444969794715647</v>
      </c>
      <c r="D2669" s="98">
        <f>SUMIFS(Input!$C$115:$C$3257,Input!$A$115:$A$3257,"="&amp;'Output - County'!A2669,Input!$B$115:$B$3257,"="&amp;'Output - County'!B2669)*VLOOKUP(A2669,'Output - State'!$B$2:$G$52,3,FALSE)</f>
        <v>1.4746005060593947</v>
      </c>
      <c r="E2669" s="98">
        <f>SUMIFS(Input!$C$115:$C$3257,Input!$A$115:$A$3257,"="&amp;'Output - County'!A2669,Input!$B$115:$B$3257,"="&amp;'Output - County'!B2669)*VLOOKUP(A2669,'Output - State'!$B$2:$G$52,4,FALSE)</f>
        <v>19.405166770567988</v>
      </c>
      <c r="F2669" s="98">
        <f>SUMIFS(Input!$C$115:$C$3257,Input!$A$115:$A$3257,"="&amp;'Output - County'!A2669,Input!$B$115:$B$3257,"="&amp;'Output - County'!B2669)*VLOOKUP(A2669,'Output - State'!$B$2:$G$52,5,FALSE)</f>
        <v>35.659464456546246</v>
      </c>
      <c r="G2669" s="99">
        <f>SUMIFS(Input!$D$115:$D$3257,Input!$A$115:$A$3257,"="&amp;'Output - County'!A2669,Input!$B$115:$B$3257,"="&amp;'Output - County'!B2669)*VLOOKUP(A2669,'Output - State'!$B$2:$G$52,6,FALSE)</f>
        <v>3.4182870920936548</v>
      </c>
    </row>
    <row r="2670" spans="1:7" x14ac:dyDescent="0.25">
      <c r="A2670" s="88">
        <v>48</v>
      </c>
      <c r="B2670" s="88">
        <v>291</v>
      </c>
      <c r="C2670" s="97">
        <f>SUMIFS(Input!$C$115:$C$3257,Input!$A$115:$A$3257,"="&amp;'Output - County'!A2670,Input!$B$115:$B$3257,"="&amp;'Output - County'!B2670)*VLOOKUP(A2670,'Output - State'!$B$2:$G$52,2,FALSE)</f>
        <v>12.315605467824689</v>
      </c>
      <c r="D2670" s="98">
        <f>SUMIFS(Input!$C$115:$C$3257,Input!$A$115:$A$3257,"="&amp;'Output - County'!A2670,Input!$B$115:$B$3257,"="&amp;'Output - County'!B2670)*VLOOKUP(A2670,'Output - State'!$B$2:$G$52,3,FALSE)</f>
        <v>2.0533217544687523</v>
      </c>
      <c r="E2670" s="98">
        <f>SUMIFS(Input!$C$115:$C$3257,Input!$A$115:$A$3257,"="&amp;'Output - County'!A2670,Input!$B$115:$B$3257,"="&amp;'Output - County'!B2670)*VLOOKUP(A2670,'Output - State'!$B$2:$G$52,4,FALSE)</f>
        <v>27.020912386352112</v>
      </c>
      <c r="F2670" s="98">
        <f>SUMIFS(Input!$C$115:$C$3257,Input!$A$115:$A$3257,"="&amp;'Output - County'!A2670,Input!$B$115:$B$3257,"="&amp;'Output - County'!B2670)*VLOOKUP(A2670,'Output - State'!$B$2:$G$52,5,FALSE)</f>
        <v>49.654366603331717</v>
      </c>
      <c r="G2670" s="99">
        <f>SUMIFS(Input!$D$115:$D$3257,Input!$A$115:$A$3257,"="&amp;'Output - County'!A2670,Input!$B$115:$B$3257,"="&amp;'Output - County'!B2670)*VLOOKUP(A2670,'Output - State'!$B$2:$G$52,6,FALSE)</f>
        <v>16.953123265990495</v>
      </c>
    </row>
    <row r="2671" spans="1:7" x14ac:dyDescent="0.25">
      <c r="A2671" s="88">
        <v>48</v>
      </c>
      <c r="B2671" s="88">
        <v>293</v>
      </c>
      <c r="C2671" s="97">
        <f>SUMIFS(Input!$C$115:$C$3257,Input!$A$115:$A$3257,"="&amp;'Output - County'!A2671,Input!$B$115:$B$3257,"="&amp;'Output - County'!B2671)*VLOOKUP(A2671,'Output - State'!$B$2:$G$52,2,FALSE)</f>
        <v>3.5253393187435766</v>
      </c>
      <c r="D2671" s="98">
        <f>SUMIFS(Input!$C$115:$C$3257,Input!$A$115:$A$3257,"="&amp;'Output - County'!A2671,Input!$B$115:$B$3257,"="&amp;'Output - County'!B2671)*VLOOKUP(A2671,'Output - State'!$B$2:$G$52,3,FALSE)</f>
        <v>0.58776289431905648</v>
      </c>
      <c r="E2671" s="98">
        <f>SUMIFS(Input!$C$115:$C$3257,Input!$A$115:$A$3257,"="&amp;'Output - County'!A2671,Input!$B$115:$B$3257,"="&amp;'Output - County'!B2671)*VLOOKUP(A2671,'Output - State'!$B$2:$G$52,4,FALSE)</f>
        <v>7.7347301448393884</v>
      </c>
      <c r="F2671" s="98">
        <f>SUMIFS(Input!$C$115:$C$3257,Input!$A$115:$A$3257,"="&amp;'Output - County'!A2671,Input!$B$115:$B$3257,"="&amp;'Output - County'!B2671)*VLOOKUP(A2671,'Output - State'!$B$2:$G$52,5,FALSE)</f>
        <v>14.213551367113753</v>
      </c>
      <c r="G2671" s="99">
        <f>SUMIFS(Input!$D$115:$D$3257,Input!$A$115:$A$3257,"="&amp;'Output - County'!A2671,Input!$B$115:$B$3257,"="&amp;'Output - County'!B2671)*VLOOKUP(A2671,'Output - State'!$B$2:$G$52,6,FALSE)</f>
        <v>4.6038201876174654</v>
      </c>
    </row>
    <row r="2672" spans="1:7" x14ac:dyDescent="0.25">
      <c r="A2672" s="88">
        <v>48</v>
      </c>
      <c r="B2672" s="88">
        <v>295</v>
      </c>
      <c r="C2672" s="97">
        <f>SUMIFS(Input!$C$115:$C$3257,Input!$A$115:$A$3257,"="&amp;'Output - County'!A2672,Input!$B$115:$B$3257,"="&amp;'Output - County'!B2672)*VLOOKUP(A2672,'Output - State'!$B$2:$G$52,2,FALSE)</f>
        <v>0.48984128522447412</v>
      </c>
      <c r="D2672" s="98">
        <f>SUMIFS(Input!$C$115:$C$3257,Input!$A$115:$A$3257,"="&amp;'Output - County'!A2672,Input!$B$115:$B$3257,"="&amp;'Output - County'!B2672)*VLOOKUP(A2672,'Output - State'!$B$2:$G$52,3,FALSE)</f>
        <v>8.1668885043132272E-2</v>
      </c>
      <c r="E2672" s="98">
        <f>SUMIFS(Input!$C$115:$C$3257,Input!$A$115:$A$3257,"="&amp;'Output - County'!A2672,Input!$B$115:$B$3257,"="&amp;'Output - County'!B2672)*VLOOKUP(A2672,'Output - State'!$B$2:$G$52,4,FALSE)</f>
        <v>1.0747306322736971</v>
      </c>
      <c r="F2672" s="98">
        <f>SUMIFS(Input!$C$115:$C$3257,Input!$A$115:$A$3257,"="&amp;'Output - County'!A2672,Input!$B$115:$B$3257,"="&amp;'Output - County'!B2672)*VLOOKUP(A2672,'Output - State'!$B$2:$G$52,5,FALSE)</f>
        <v>1.9749543631880693</v>
      </c>
      <c r="G2672" s="99">
        <f>SUMIFS(Input!$D$115:$D$3257,Input!$A$115:$A$3257,"="&amp;'Output - County'!A2672,Input!$B$115:$B$3257,"="&amp;'Output - County'!B2672)*VLOOKUP(A2672,'Output - State'!$B$2:$G$52,6,FALSE)</f>
        <v>0.65994675650825474</v>
      </c>
    </row>
    <row r="2673" spans="1:7" x14ac:dyDescent="0.25">
      <c r="A2673" s="88">
        <v>48</v>
      </c>
      <c r="B2673" s="88">
        <v>297</v>
      </c>
      <c r="C2673" s="97">
        <f>SUMIFS(Input!$C$115:$C$3257,Input!$A$115:$A$3257,"="&amp;'Output - County'!A2673,Input!$B$115:$B$3257,"="&amp;'Output - County'!B2673)*VLOOKUP(A2673,'Output - State'!$B$2:$G$52,2,FALSE)</f>
        <v>8.7813477307753036</v>
      </c>
      <c r="D2673" s="98">
        <f>SUMIFS(Input!$C$115:$C$3257,Input!$A$115:$A$3257,"="&amp;'Output - County'!A2673,Input!$B$115:$B$3257,"="&amp;'Output - County'!B2673)*VLOOKUP(A2673,'Output - State'!$B$2:$G$52,3,FALSE)</f>
        <v>1.4640719350959004</v>
      </c>
      <c r="E2673" s="98">
        <f>SUMIFS(Input!$C$115:$C$3257,Input!$A$115:$A$3257,"="&amp;'Output - County'!A2673,Input!$B$115:$B$3257,"="&amp;'Output - County'!B2673)*VLOOKUP(A2673,'Output - State'!$B$2:$G$52,4,FALSE)</f>
        <v>19.266614888507167</v>
      </c>
      <c r="F2673" s="98">
        <f>SUMIFS(Input!$C$115:$C$3257,Input!$A$115:$A$3257,"="&amp;'Output - County'!A2673,Input!$B$115:$B$3257,"="&amp;'Output - County'!B2673)*VLOOKUP(A2673,'Output - State'!$B$2:$G$52,5,FALSE)</f>
        <v>35.404857733906326</v>
      </c>
      <c r="G2673" s="99">
        <f>SUMIFS(Input!$D$115:$D$3257,Input!$A$115:$A$3257,"="&amp;'Output - County'!A2673,Input!$B$115:$B$3257,"="&amp;'Output - County'!B2673)*VLOOKUP(A2673,'Output - State'!$B$2:$G$52,6,FALSE)</f>
        <v>2.3908250759730185</v>
      </c>
    </row>
    <row r="2674" spans="1:7" x14ac:dyDescent="0.25">
      <c r="A2674" s="88">
        <v>48</v>
      </c>
      <c r="B2674" s="88">
        <v>299</v>
      </c>
      <c r="C2674" s="97">
        <f>SUMIFS(Input!$C$115:$C$3257,Input!$A$115:$A$3257,"="&amp;'Output - County'!A2674,Input!$B$115:$B$3257,"="&amp;'Output - County'!B2674)*VLOOKUP(A2674,'Output - State'!$B$2:$G$52,2,FALSE)</f>
        <v>3.4030823913263419</v>
      </c>
      <c r="D2674" s="98">
        <f>SUMIFS(Input!$C$115:$C$3257,Input!$A$115:$A$3257,"="&amp;'Output - County'!A2674,Input!$B$115:$B$3257,"="&amp;'Output - County'!B2674)*VLOOKUP(A2674,'Output - State'!$B$2:$G$52,3,FALSE)</f>
        <v>0.56737958394457633</v>
      </c>
      <c r="E2674" s="98">
        <f>SUMIFS(Input!$C$115:$C$3257,Input!$A$115:$A$3257,"="&amp;'Output - County'!A2674,Input!$B$115:$B$3257,"="&amp;'Output - County'!B2674)*VLOOKUP(A2674,'Output - State'!$B$2:$G$52,4,FALSE)</f>
        <v>7.4664937407911838</v>
      </c>
      <c r="F2674" s="98">
        <f>SUMIFS(Input!$C$115:$C$3257,Input!$A$115:$A$3257,"="&amp;'Output - County'!A2674,Input!$B$115:$B$3257,"="&amp;'Output - County'!B2674)*VLOOKUP(A2674,'Output - State'!$B$2:$G$52,5,FALSE)</f>
        <v>13.720632824892496</v>
      </c>
      <c r="G2674" s="99">
        <f>SUMIFS(Input!$D$115:$D$3257,Input!$A$115:$A$3257,"="&amp;'Output - County'!A2674,Input!$B$115:$B$3257,"="&amp;'Output - County'!B2674)*VLOOKUP(A2674,'Output - State'!$B$2:$G$52,6,FALSE)</f>
        <v>4.2679191438857194</v>
      </c>
    </row>
    <row r="2675" spans="1:7" x14ac:dyDescent="0.25">
      <c r="A2675" s="88">
        <v>48</v>
      </c>
      <c r="B2675" s="88">
        <v>301</v>
      </c>
      <c r="C2675" s="97">
        <f>SUMIFS(Input!$C$115:$C$3257,Input!$A$115:$A$3257,"="&amp;'Output - County'!A2675,Input!$B$115:$B$3257,"="&amp;'Output - County'!B2675)*VLOOKUP(A2675,'Output - State'!$B$2:$G$52,2,FALSE)</f>
        <v>0.90024967789237742</v>
      </c>
      <c r="D2675" s="98">
        <f>SUMIFS(Input!$C$115:$C$3257,Input!$A$115:$A$3257,"="&amp;'Output - County'!A2675,Input!$B$115:$B$3257,"="&amp;'Output - County'!B2675)*VLOOKUP(A2675,'Output - State'!$B$2:$G$52,3,FALSE)</f>
        <v>0.15009430538346138</v>
      </c>
      <c r="E2675" s="98">
        <f>SUMIFS(Input!$C$115:$C$3257,Input!$A$115:$A$3257,"="&amp;'Output - County'!A2675,Input!$B$115:$B$3257,"="&amp;'Output - County'!B2675)*VLOOKUP(A2675,'Output - State'!$B$2:$G$52,4,FALSE)</f>
        <v>1.9751824411494627</v>
      </c>
      <c r="F2675" s="98">
        <f>SUMIFS(Input!$C$115:$C$3257,Input!$A$115:$A$3257,"="&amp;'Output - County'!A2675,Input!$B$115:$B$3257,"="&amp;'Output - County'!B2675)*VLOOKUP(A2675,'Output - State'!$B$2:$G$52,5,FALSE)</f>
        <v>3.6296492005516487</v>
      </c>
      <c r="G2675" s="99">
        <f>SUMIFS(Input!$D$115:$D$3257,Input!$A$115:$A$3257,"="&amp;'Output - County'!A2675,Input!$B$115:$B$3257,"="&amp;'Output - County'!B2675)*VLOOKUP(A2675,'Output - State'!$B$2:$G$52,6,FALSE)</f>
        <v>2.9243149689587335E-2</v>
      </c>
    </row>
    <row r="2676" spans="1:7" x14ac:dyDescent="0.25">
      <c r="A2676" s="88">
        <v>48</v>
      </c>
      <c r="B2676" s="88">
        <v>303</v>
      </c>
      <c r="C2676" s="97">
        <f>SUMIFS(Input!$C$115:$C$3257,Input!$A$115:$A$3257,"="&amp;'Output - County'!A2676,Input!$B$115:$B$3257,"="&amp;'Output - County'!B2676)*VLOOKUP(A2676,'Output - State'!$B$2:$G$52,2,FALSE)</f>
        <v>39.36601544944795</v>
      </c>
      <c r="D2676" s="98">
        <f>SUMIFS(Input!$C$115:$C$3257,Input!$A$115:$A$3257,"="&amp;'Output - County'!A2676,Input!$B$115:$B$3257,"="&amp;'Output - County'!B2676)*VLOOKUP(A2676,'Output - State'!$B$2:$G$52,3,FALSE)</f>
        <v>6.5633067022389522</v>
      </c>
      <c r="E2676" s="98">
        <f>SUMIFS(Input!$C$115:$C$3257,Input!$A$115:$A$3257,"="&amp;'Output - County'!A2676,Input!$B$115:$B$3257,"="&amp;'Output - County'!B2676)*VLOOKUP(A2676,'Output - State'!$B$2:$G$52,4,FALSE)</f>
        <v>86.370552973486852</v>
      </c>
      <c r="F2676" s="98">
        <f>SUMIFS(Input!$C$115:$C$3257,Input!$A$115:$A$3257,"="&amp;'Output - County'!A2676,Input!$B$115:$B$3257,"="&amp;'Output - County'!B2676)*VLOOKUP(A2676,'Output - State'!$B$2:$G$52,5,FALSE)</f>
        <v>158.71688711903556</v>
      </c>
      <c r="G2676" s="99">
        <f>SUMIFS(Input!$D$115:$D$3257,Input!$A$115:$A$3257,"="&amp;'Output - County'!A2676,Input!$B$115:$B$3257,"="&amp;'Output - County'!B2676)*VLOOKUP(A2676,'Output - State'!$B$2:$G$52,6,FALSE)</f>
        <v>60.857365570222292</v>
      </c>
    </row>
    <row r="2677" spans="1:7" x14ac:dyDescent="0.25">
      <c r="A2677" s="88">
        <v>48</v>
      </c>
      <c r="B2677" s="88">
        <v>305</v>
      </c>
      <c r="C2677" s="97">
        <f>SUMIFS(Input!$C$115:$C$3257,Input!$A$115:$A$3257,"="&amp;'Output - County'!A2677,Input!$B$115:$B$3257,"="&amp;'Output - County'!B2677)*VLOOKUP(A2677,'Output - State'!$B$2:$G$52,2,FALSE)</f>
        <v>2.1807732608529249</v>
      </c>
      <c r="D2677" s="98">
        <f>SUMIFS(Input!$C$115:$C$3257,Input!$A$115:$A$3257,"="&amp;'Output - County'!A2677,Input!$B$115:$B$3257,"="&amp;'Output - County'!B2677)*VLOOKUP(A2677,'Output - State'!$B$2:$G$52,3,FALSE)</f>
        <v>0.36358985270936828</v>
      </c>
      <c r="E2677" s="98">
        <f>SUMIFS(Input!$C$115:$C$3257,Input!$A$115:$A$3257,"="&amp;'Output - County'!A2677,Input!$B$115:$B$3257,"="&amp;'Output - County'!B2677)*VLOOKUP(A2677,'Output - State'!$B$2:$G$52,4,FALSE)</f>
        <v>4.7847004655967185</v>
      </c>
      <c r="F2677" s="98">
        <f>SUMIFS(Input!$C$115:$C$3257,Input!$A$115:$A$3257,"="&amp;'Output - County'!A2677,Input!$B$115:$B$3257,"="&amp;'Output - County'!B2677)*VLOOKUP(A2677,'Output - State'!$B$2:$G$52,5,FALSE)</f>
        <v>8.7924962565612841</v>
      </c>
      <c r="G2677" s="99">
        <f>SUMIFS(Input!$D$115:$D$3257,Input!$A$115:$A$3257,"="&amp;'Output - County'!A2677,Input!$B$115:$B$3257,"="&amp;'Output - County'!B2677)*VLOOKUP(A2677,'Output - State'!$B$2:$G$52,6,FALSE)</f>
        <v>1.1558947681357155</v>
      </c>
    </row>
    <row r="2678" spans="1:7" x14ac:dyDescent="0.25">
      <c r="A2678" s="88">
        <v>48</v>
      </c>
      <c r="B2678" s="88">
        <v>307</v>
      </c>
      <c r="C2678" s="97">
        <f>SUMIFS(Input!$C$115:$C$3257,Input!$A$115:$A$3257,"="&amp;'Output - County'!A2678,Input!$B$115:$B$3257,"="&amp;'Output - County'!B2678)*VLOOKUP(A2678,'Output - State'!$B$2:$G$52,2,FALSE)</f>
        <v>1.5716089765688275</v>
      </c>
      <c r="D2678" s="98">
        <f>SUMIFS(Input!$C$115:$C$3257,Input!$A$115:$A$3257,"="&amp;'Output - County'!A2678,Input!$B$115:$B$3257,"="&amp;'Output - County'!B2678)*VLOOKUP(A2678,'Output - State'!$B$2:$G$52,3,FALSE)</f>
        <v>0.26202681707675185</v>
      </c>
      <c r="E2678" s="98">
        <f>SUMIFS(Input!$C$115:$C$3257,Input!$A$115:$A$3257,"="&amp;'Output - County'!A2678,Input!$B$115:$B$3257,"="&amp;'Output - County'!B2678)*VLOOKUP(A2678,'Output - State'!$B$2:$G$52,4,FALSE)</f>
        <v>3.4481705810093346</v>
      </c>
      <c r="F2678" s="98">
        <f>SUMIFS(Input!$C$115:$C$3257,Input!$A$115:$A$3257,"="&amp;'Output - County'!A2678,Input!$B$115:$B$3257,"="&amp;'Output - County'!B2678)*VLOOKUP(A2678,'Output - State'!$B$2:$G$52,5,FALSE)</f>
        <v>6.3364524369924684</v>
      </c>
      <c r="G2678" s="99">
        <f>SUMIFS(Input!$D$115:$D$3257,Input!$A$115:$A$3257,"="&amp;'Output - County'!A2678,Input!$B$115:$B$3257,"="&amp;'Output - County'!B2678)*VLOOKUP(A2678,'Output - State'!$B$2:$G$52,6,FALSE)</f>
        <v>1.5767590170466683</v>
      </c>
    </row>
    <row r="2679" spans="1:7" x14ac:dyDescent="0.25">
      <c r="A2679" s="88">
        <v>48</v>
      </c>
      <c r="B2679" s="88">
        <v>309</v>
      </c>
      <c r="C2679" s="97">
        <f>SUMIFS(Input!$C$115:$C$3257,Input!$A$115:$A$3257,"="&amp;'Output - County'!A2679,Input!$B$115:$B$3257,"="&amp;'Output - County'!B2679)*VLOOKUP(A2679,'Output - State'!$B$2:$G$52,2,FALSE)</f>
        <v>45.88924814292119</v>
      </c>
      <c r="D2679" s="98">
        <f>SUMIFS(Input!$C$115:$C$3257,Input!$A$115:$A$3257,"="&amp;'Output - County'!A2679,Input!$B$115:$B$3257,"="&amp;'Output - County'!B2679)*VLOOKUP(A2679,'Output - State'!$B$2:$G$52,3,FALSE)</f>
        <v>7.6508939616687748</v>
      </c>
      <c r="E2679" s="98">
        <f>SUMIFS(Input!$C$115:$C$3257,Input!$A$115:$A$3257,"="&amp;'Output - County'!A2679,Input!$B$115:$B$3257,"="&amp;'Output - County'!B2679)*VLOOKUP(A2679,'Output - State'!$B$2:$G$52,4,FALSE)</f>
        <v>100.68277656221973</v>
      </c>
      <c r="F2679" s="98">
        <f>SUMIFS(Input!$C$115:$C$3257,Input!$A$115:$A$3257,"="&amp;'Output - County'!A2679,Input!$B$115:$B$3257,"="&amp;'Output - County'!B2679)*VLOOKUP(A2679,'Output - State'!$B$2:$G$52,5,FALSE)</f>
        <v>185.01742008485581</v>
      </c>
      <c r="G2679" s="99">
        <f>SUMIFS(Input!$D$115:$D$3257,Input!$A$115:$A$3257,"="&amp;'Output - County'!A2679,Input!$B$115:$B$3257,"="&amp;'Output - County'!B2679)*VLOOKUP(A2679,'Output - State'!$B$2:$G$52,6,FALSE)</f>
        <v>50.187567710507999</v>
      </c>
    </row>
    <row r="2680" spans="1:7" x14ac:dyDescent="0.25">
      <c r="A2680" s="88">
        <v>48</v>
      </c>
      <c r="B2680" s="88">
        <v>311</v>
      </c>
      <c r="C2680" s="97">
        <f>SUMIFS(Input!$C$115:$C$3257,Input!$A$115:$A$3257,"="&amp;'Output - County'!A2680,Input!$B$115:$B$3257,"="&amp;'Output - County'!B2680)*VLOOKUP(A2680,'Output - State'!$B$2:$G$52,2,FALSE)</f>
        <v>1.1925554636727218</v>
      </c>
      <c r="D2680" s="98">
        <f>SUMIFS(Input!$C$115:$C$3257,Input!$A$115:$A$3257,"="&amp;'Output - County'!A2680,Input!$B$115:$B$3257,"="&amp;'Output - County'!B2680)*VLOOKUP(A2680,'Output - State'!$B$2:$G$52,3,FALSE)</f>
        <v>0.19882904526027209</v>
      </c>
      <c r="E2680" s="98">
        <f>SUMIFS(Input!$C$115:$C$3257,Input!$A$115:$A$3257,"="&amp;'Output - County'!A2680,Input!$B$115:$B$3257,"="&amp;'Output - County'!B2680)*VLOOKUP(A2680,'Output - State'!$B$2:$G$52,4,FALSE)</f>
        <v>2.6165125851062085</v>
      </c>
      <c r="F2680" s="98">
        <f>SUMIFS(Input!$C$115:$C$3257,Input!$A$115:$A$3257,"="&amp;'Output - County'!A2680,Input!$B$115:$B$3257,"="&amp;'Output - County'!B2680)*VLOOKUP(A2680,'Output - State'!$B$2:$G$52,5,FALSE)</f>
        <v>4.8081749892618832</v>
      </c>
      <c r="G2680" s="99">
        <f>SUMIFS(Input!$D$115:$D$3257,Input!$A$115:$A$3257,"="&amp;'Output - County'!A2680,Input!$B$115:$B$3257,"="&amp;'Output - County'!B2680)*VLOOKUP(A2680,'Output - State'!$B$2:$G$52,6,FALSE)</f>
        <v>0.14443744880465095</v>
      </c>
    </row>
    <row r="2681" spans="1:7" x14ac:dyDescent="0.25">
      <c r="A2681" s="88">
        <v>48</v>
      </c>
      <c r="B2681" s="88">
        <v>313</v>
      </c>
      <c r="C2681" s="97">
        <f>SUMIFS(Input!$C$115:$C$3257,Input!$A$115:$A$3257,"="&amp;'Output - County'!A2681,Input!$B$115:$B$3257,"="&amp;'Output - County'!B2681)*VLOOKUP(A2681,'Output - State'!$B$2:$G$52,2,FALSE)</f>
        <v>5.8392750385555923</v>
      </c>
      <c r="D2681" s="98">
        <f>SUMIFS(Input!$C$115:$C$3257,Input!$A$115:$A$3257,"="&amp;'Output - County'!A2681,Input!$B$115:$B$3257,"="&amp;'Output - County'!B2681)*VLOOKUP(A2681,'Output - State'!$B$2:$G$52,3,FALSE)</f>
        <v>0.97355428430351809</v>
      </c>
      <c r="E2681" s="98">
        <f>SUMIFS(Input!$C$115:$C$3257,Input!$A$115:$A$3257,"="&amp;'Output - County'!A2681,Input!$B$115:$B$3257,"="&amp;'Output - County'!B2681)*VLOOKUP(A2681,'Output - State'!$B$2:$G$52,4,FALSE)</f>
        <v>12.811594170407661</v>
      </c>
      <c r="F2681" s="98">
        <f>SUMIFS(Input!$C$115:$C$3257,Input!$A$115:$A$3257,"="&amp;'Output - County'!A2681,Input!$B$115:$B$3257,"="&amp;'Output - County'!B2681)*VLOOKUP(A2681,'Output - State'!$B$2:$G$52,5,FALSE)</f>
        <v>23.542935361125732</v>
      </c>
      <c r="G2681" s="99">
        <f>SUMIFS(Input!$D$115:$D$3257,Input!$A$115:$A$3257,"="&amp;'Output - County'!A2681,Input!$B$115:$B$3257,"="&amp;'Output - County'!B2681)*VLOOKUP(A2681,'Output - State'!$B$2:$G$52,6,FALSE)</f>
        <v>2.8452794292571459</v>
      </c>
    </row>
    <row r="2682" spans="1:7" x14ac:dyDescent="0.25">
      <c r="A2682" s="88">
        <v>48</v>
      </c>
      <c r="B2682" s="88">
        <v>315</v>
      </c>
      <c r="C2682" s="97">
        <f>SUMIFS(Input!$C$115:$C$3257,Input!$A$115:$A$3257,"="&amp;'Output - County'!A2682,Input!$B$115:$B$3257,"="&amp;'Output - County'!B2682)*VLOOKUP(A2682,'Output - State'!$B$2:$G$52,2,FALSE)</f>
        <v>1.4261438301352081</v>
      </c>
      <c r="D2682" s="98">
        <f>SUMIFS(Input!$C$115:$C$3257,Input!$A$115:$A$3257,"="&amp;'Output - County'!A2682,Input!$B$115:$B$3257,"="&amp;'Output - County'!B2682)*VLOOKUP(A2682,'Output - State'!$B$2:$G$52,3,FALSE)</f>
        <v>0.23777411180217389</v>
      </c>
      <c r="E2682" s="98">
        <f>SUMIFS(Input!$C$115:$C$3257,Input!$A$115:$A$3257,"="&amp;'Output - County'!A2682,Input!$B$115:$B$3257,"="&amp;'Output - County'!B2682)*VLOOKUP(A2682,'Output - State'!$B$2:$G$52,4,FALSE)</f>
        <v>3.1290144512258942</v>
      </c>
      <c r="F2682" s="98">
        <f>SUMIFS(Input!$C$115:$C$3257,Input!$A$115:$A$3257,"="&amp;'Output - County'!A2682,Input!$B$115:$B$3257,"="&amp;'Output - County'!B2682)*VLOOKUP(A2682,'Output - State'!$B$2:$G$52,5,FALSE)</f>
        <v>5.7499624160273797</v>
      </c>
      <c r="G2682" s="99">
        <f>SUMIFS(Input!$D$115:$D$3257,Input!$A$115:$A$3257,"="&amp;'Output - County'!A2682,Input!$B$115:$B$3257,"="&amp;'Output - County'!B2682)*VLOOKUP(A2682,'Output - State'!$B$2:$G$52,6,FALSE)</f>
        <v>1.9600813845993672</v>
      </c>
    </row>
    <row r="2683" spans="1:7" x14ac:dyDescent="0.25">
      <c r="A2683" s="88">
        <v>48</v>
      </c>
      <c r="B2683" s="88">
        <v>317</v>
      </c>
      <c r="C2683" s="97">
        <f>SUMIFS(Input!$C$115:$C$3257,Input!$A$115:$A$3257,"="&amp;'Output - County'!A2683,Input!$B$115:$B$3257,"="&amp;'Output - County'!B2683)*VLOOKUP(A2683,'Output - State'!$B$2:$G$52,2,FALSE)</f>
        <v>4.9682750990833648</v>
      </c>
      <c r="D2683" s="98">
        <f>SUMIFS(Input!$C$115:$C$3257,Input!$A$115:$A$3257,"="&amp;'Output - County'!A2683,Input!$B$115:$B$3257,"="&amp;'Output - County'!B2683)*VLOOKUP(A2683,'Output - State'!$B$2:$G$52,3,FALSE)</f>
        <v>0.82833664733619949</v>
      </c>
      <c r="E2683" s="98">
        <f>SUMIFS(Input!$C$115:$C$3257,Input!$A$115:$A$3257,"="&amp;'Output - County'!A2683,Input!$B$115:$B$3257,"="&amp;'Output - County'!B2683)*VLOOKUP(A2683,'Output - State'!$B$2:$G$52,4,FALSE)</f>
        <v>10.900586781084879</v>
      </c>
      <c r="F2683" s="98">
        <f>SUMIFS(Input!$C$115:$C$3257,Input!$A$115:$A$3257,"="&amp;'Output - County'!A2683,Input!$B$115:$B$3257,"="&amp;'Output - County'!B2683)*VLOOKUP(A2683,'Output - State'!$B$2:$G$52,5,FALSE)</f>
        <v>20.031215988576463</v>
      </c>
      <c r="G2683" s="99">
        <f>SUMIFS(Input!$D$115:$D$3257,Input!$A$115:$A$3257,"="&amp;'Output - County'!A2683,Input!$B$115:$B$3257,"="&amp;'Output - County'!B2683)*VLOOKUP(A2683,'Output - State'!$B$2:$G$52,6,FALSE)</f>
        <v>1.1223046637625409</v>
      </c>
    </row>
    <row r="2684" spans="1:7" x14ac:dyDescent="0.25">
      <c r="A2684" s="88">
        <v>48</v>
      </c>
      <c r="B2684" s="88">
        <v>319</v>
      </c>
      <c r="C2684" s="97">
        <f>SUMIFS(Input!$C$115:$C$3257,Input!$A$115:$A$3257,"="&amp;'Output - County'!A2684,Input!$B$115:$B$3257,"="&amp;'Output - County'!B2684)*VLOOKUP(A2684,'Output - State'!$B$2:$G$52,2,FALSE)</f>
        <v>1.0594435968013112</v>
      </c>
      <c r="D2684" s="98">
        <f>SUMIFS(Input!$C$115:$C$3257,Input!$A$115:$A$3257,"="&amp;'Output - County'!A2684,Input!$B$115:$B$3257,"="&amp;'Output - County'!B2684)*VLOOKUP(A2684,'Output - State'!$B$2:$G$52,3,FALSE)</f>
        <v>0.17663594296099125</v>
      </c>
      <c r="E2684" s="98">
        <f>SUMIFS(Input!$C$115:$C$3257,Input!$A$115:$A$3257,"="&amp;'Output - County'!A2684,Input!$B$115:$B$3257,"="&amp;'Output - County'!B2684)*VLOOKUP(A2684,'Output - State'!$B$2:$G$52,4,FALSE)</f>
        <v>2.3244600261221593</v>
      </c>
      <c r="F2684" s="98">
        <f>SUMIFS(Input!$C$115:$C$3257,Input!$A$115:$A$3257,"="&amp;'Output - County'!A2684,Input!$B$115:$B$3257,"="&amp;'Output - County'!B2684)*VLOOKUP(A2684,'Output - State'!$B$2:$G$52,5,FALSE)</f>
        <v>4.2714912302575145</v>
      </c>
      <c r="G2684" s="99">
        <f>SUMIFS(Input!$D$115:$D$3257,Input!$A$115:$A$3257,"="&amp;'Output - County'!A2684,Input!$B$115:$B$3257,"="&amp;'Output - County'!B2684)*VLOOKUP(A2684,'Output - State'!$B$2:$G$52,6,FALSE)</f>
        <v>0.84172849782190573</v>
      </c>
    </row>
    <row r="2685" spans="1:7" x14ac:dyDescent="0.25">
      <c r="A2685" s="88">
        <v>48</v>
      </c>
      <c r="B2685" s="88">
        <v>321</v>
      </c>
      <c r="C2685" s="97">
        <f>SUMIFS(Input!$C$115:$C$3257,Input!$A$115:$A$3257,"="&amp;'Output - County'!A2685,Input!$B$115:$B$3257,"="&amp;'Output - County'!B2685)*VLOOKUP(A2685,'Output - State'!$B$2:$G$52,2,FALSE)</f>
        <v>5.2370531577948203</v>
      </c>
      <c r="D2685" s="98">
        <f>SUMIFS(Input!$C$115:$C$3257,Input!$A$115:$A$3257,"="&amp;'Output - County'!A2685,Input!$B$115:$B$3257,"="&amp;'Output - County'!B2685)*VLOOKUP(A2685,'Output - State'!$B$2:$G$52,3,FALSE)</f>
        <v>0.87314872226974238</v>
      </c>
      <c r="E2685" s="98">
        <f>SUMIFS(Input!$C$115:$C$3257,Input!$A$115:$A$3257,"="&amp;'Output - County'!A2685,Input!$B$115:$B$3257,"="&amp;'Output - County'!B2685)*VLOOKUP(A2685,'Output - State'!$B$2:$G$52,4,FALSE)</f>
        <v>11.490296186342309</v>
      </c>
      <c r="F2685" s="98">
        <f>SUMIFS(Input!$C$115:$C$3257,Input!$A$115:$A$3257,"="&amp;'Output - County'!A2685,Input!$B$115:$B$3257,"="&amp;'Output - County'!B2685)*VLOOKUP(A2685,'Output - State'!$B$2:$G$52,5,FALSE)</f>
        <v>21.114882097973823</v>
      </c>
      <c r="G2685" s="99">
        <f>SUMIFS(Input!$D$115:$D$3257,Input!$A$115:$A$3257,"="&amp;'Output - County'!A2685,Input!$B$115:$B$3257,"="&amp;'Output - County'!B2685)*VLOOKUP(A2685,'Output - State'!$B$2:$G$52,6,FALSE)</f>
        <v>7.2317518826952467</v>
      </c>
    </row>
    <row r="2686" spans="1:7" x14ac:dyDescent="0.25">
      <c r="A2686" s="88">
        <v>48</v>
      </c>
      <c r="B2686" s="88">
        <v>323</v>
      </c>
      <c r="C2686" s="97">
        <f>SUMIFS(Input!$C$115:$C$3257,Input!$A$115:$A$3257,"="&amp;'Output - County'!A2686,Input!$B$115:$B$3257,"="&amp;'Output - County'!B2686)*VLOOKUP(A2686,'Output - State'!$B$2:$G$52,2,FALSE)</f>
        <v>6.058280580621874</v>
      </c>
      <c r="D2686" s="98">
        <f>SUMIFS(Input!$C$115:$C$3257,Input!$A$115:$A$3257,"="&amp;'Output - County'!A2686,Input!$B$115:$B$3257,"="&amp;'Output - County'!B2686)*VLOOKUP(A2686,'Output - State'!$B$2:$G$52,3,FALSE)</f>
        <v>1.0100680265672468</v>
      </c>
      <c r="E2686" s="98">
        <f>SUMIFS(Input!$C$115:$C$3257,Input!$A$115:$A$3257,"="&amp;'Output - County'!A2686,Input!$B$115:$B$3257,"="&amp;'Output - County'!B2686)*VLOOKUP(A2686,'Output - State'!$B$2:$G$52,4,FALSE)</f>
        <v>13.292100758553817</v>
      </c>
      <c r="F2686" s="98">
        <f>SUMIFS(Input!$C$115:$C$3257,Input!$A$115:$A$3257,"="&amp;'Output - County'!A2686,Input!$B$115:$B$3257,"="&amp;'Output - County'!B2686)*VLOOKUP(A2686,'Output - State'!$B$2:$G$52,5,FALSE)</f>
        <v>24.425927391223734</v>
      </c>
      <c r="G2686" s="99">
        <f>SUMIFS(Input!$D$115:$D$3257,Input!$A$115:$A$3257,"="&amp;'Output - County'!A2686,Input!$B$115:$B$3257,"="&amp;'Output - County'!B2686)*VLOOKUP(A2686,'Output - State'!$B$2:$G$52,6,FALSE)</f>
        <v>11.519429911506363</v>
      </c>
    </row>
    <row r="2687" spans="1:7" x14ac:dyDescent="0.25">
      <c r="A2687" s="88">
        <v>48</v>
      </c>
      <c r="B2687" s="88">
        <v>325</v>
      </c>
      <c r="C2687" s="97">
        <f>SUMIFS(Input!$C$115:$C$3257,Input!$A$115:$A$3257,"="&amp;'Output - County'!A2687,Input!$B$115:$B$3257,"="&amp;'Output - County'!B2687)*VLOOKUP(A2687,'Output - State'!$B$2:$G$52,2,FALSE)</f>
        <v>8.0138373366969429</v>
      </c>
      <c r="D2687" s="98">
        <f>SUMIFS(Input!$C$115:$C$3257,Input!$A$115:$A$3257,"="&amp;'Output - County'!A2687,Input!$B$115:$B$3257,"="&amp;'Output - County'!B2687)*VLOOKUP(A2687,'Output - State'!$B$2:$G$52,3,FALSE)</f>
        <v>1.336108613027875</v>
      </c>
      <c r="E2687" s="98">
        <f>SUMIFS(Input!$C$115:$C$3257,Input!$A$115:$A$3257,"="&amp;'Output - County'!A2687,Input!$B$115:$B$3257,"="&amp;'Output - County'!B2687)*VLOOKUP(A2687,'Output - State'!$B$2:$G$52,4,FALSE)</f>
        <v>17.58266754477425</v>
      </c>
      <c r="F2687" s="98">
        <f>SUMIFS(Input!$C$115:$C$3257,Input!$A$115:$A$3257,"="&amp;'Output - County'!A2687,Input!$B$115:$B$3257,"="&amp;'Output - County'!B2687)*VLOOKUP(A2687,'Output - State'!$B$2:$G$52,5,FALSE)</f>
        <v>32.310390102655873</v>
      </c>
      <c r="G2687" s="99">
        <f>SUMIFS(Input!$D$115:$D$3257,Input!$A$115:$A$3257,"="&amp;'Output - County'!A2687,Input!$B$115:$B$3257,"="&amp;'Output - County'!B2687)*VLOOKUP(A2687,'Output - State'!$B$2:$G$52,6,FALSE)</f>
        <v>10.057272427026994</v>
      </c>
    </row>
    <row r="2688" spans="1:7" x14ac:dyDescent="0.25">
      <c r="A2688" s="88">
        <v>48</v>
      </c>
      <c r="B2688" s="88">
        <v>327</v>
      </c>
      <c r="C2688" s="97">
        <f>SUMIFS(Input!$C$115:$C$3257,Input!$A$115:$A$3257,"="&amp;'Output - County'!A2688,Input!$B$115:$B$3257,"="&amp;'Output - County'!B2688)*VLOOKUP(A2688,'Output - State'!$B$2:$G$52,2,FALSE)</f>
        <v>0.7693004725971313</v>
      </c>
      <c r="D2688" s="98">
        <f>SUMIFS(Input!$C$115:$C$3257,Input!$A$115:$A$3257,"="&amp;'Output - County'!A2688,Input!$B$115:$B$3257,"="&amp;'Output - County'!B2688)*VLOOKUP(A2688,'Output - State'!$B$2:$G$52,3,FALSE)</f>
        <v>0.12826177326268243</v>
      </c>
      <c r="E2688" s="98">
        <f>SUMIFS(Input!$C$115:$C$3257,Input!$A$115:$A$3257,"="&amp;'Output - County'!A2688,Input!$B$115:$B$3257,"="&amp;'Output - County'!B2688)*VLOOKUP(A2688,'Output - State'!$B$2:$G$52,4,FALSE)</f>
        <v>1.6878748448977403</v>
      </c>
      <c r="F2688" s="98">
        <f>SUMIFS(Input!$C$115:$C$3257,Input!$A$115:$A$3257,"="&amp;'Output - County'!A2688,Input!$B$115:$B$3257,"="&amp;'Output - County'!B2688)*VLOOKUP(A2688,'Output - State'!$B$2:$G$52,5,FALSE)</f>
        <v>3.1016849146598582</v>
      </c>
      <c r="G2688" s="99">
        <f>SUMIFS(Input!$D$115:$D$3257,Input!$A$115:$A$3257,"="&amp;'Output - County'!A2688,Input!$B$115:$B$3257,"="&amp;'Output - County'!B2688)*VLOOKUP(A2688,'Output - State'!$B$2:$G$52,6,FALSE)</f>
        <v>0.41888836041841315</v>
      </c>
    </row>
    <row r="2689" spans="1:7" x14ac:dyDescent="0.25">
      <c r="A2689" s="88">
        <v>48</v>
      </c>
      <c r="B2689" s="88">
        <v>329</v>
      </c>
      <c r="C2689" s="97">
        <f>SUMIFS(Input!$C$115:$C$3257,Input!$A$115:$A$3257,"="&amp;'Output - County'!A2689,Input!$B$115:$B$3257,"="&amp;'Output - County'!B2689)*VLOOKUP(A2689,'Output - State'!$B$2:$G$52,2,FALSE)</f>
        <v>30.586570538147793</v>
      </c>
      <c r="D2689" s="98">
        <f>SUMIFS(Input!$C$115:$C$3257,Input!$A$115:$A$3257,"="&amp;'Output - County'!A2689,Input!$B$115:$B$3257,"="&amp;'Output - County'!B2689)*VLOOKUP(A2689,'Output - State'!$B$2:$G$52,3,FALSE)</f>
        <v>5.0995520150959317</v>
      </c>
      <c r="E2689" s="98">
        <f>SUMIFS(Input!$C$115:$C$3257,Input!$A$115:$A$3257,"="&amp;'Output - County'!A2689,Input!$B$115:$B$3257,"="&amp;'Output - County'!B2689)*VLOOKUP(A2689,'Output - State'!$B$2:$G$52,4,FALSE)</f>
        <v>67.108112944141851</v>
      </c>
      <c r="F2689" s="98">
        <f>SUMIFS(Input!$C$115:$C$3257,Input!$A$115:$A$3257,"="&amp;'Output - County'!A2689,Input!$B$115:$B$3257,"="&amp;'Output - County'!B2689)*VLOOKUP(A2689,'Output - State'!$B$2:$G$52,5,FALSE)</f>
        <v>123.31970122035048</v>
      </c>
      <c r="G2689" s="99">
        <f>SUMIFS(Input!$D$115:$D$3257,Input!$A$115:$A$3257,"="&amp;'Output - County'!A2689,Input!$B$115:$B$3257,"="&amp;'Output - County'!B2689)*VLOOKUP(A2689,'Output - State'!$B$2:$G$52,6,FALSE)</f>
        <v>34.182870920936544</v>
      </c>
    </row>
    <row r="2690" spans="1:7" x14ac:dyDescent="0.25">
      <c r="A2690" s="88">
        <v>48</v>
      </c>
      <c r="B2690" s="88">
        <v>331</v>
      </c>
      <c r="C2690" s="97">
        <f>SUMIFS(Input!$C$115:$C$3257,Input!$A$115:$A$3257,"="&amp;'Output - County'!A2690,Input!$B$115:$B$3257,"="&amp;'Output - County'!B2690)*VLOOKUP(A2690,'Output - State'!$B$2:$G$52,2,FALSE)</f>
        <v>4.5075937088348672</v>
      </c>
      <c r="D2690" s="98">
        <f>SUMIFS(Input!$C$115:$C$3257,Input!$A$115:$A$3257,"="&amp;'Output - County'!A2690,Input!$B$115:$B$3257,"="&amp;'Output - County'!B2690)*VLOOKUP(A2690,'Output - State'!$B$2:$G$52,3,FALSE)</f>
        <v>0.75152945154323214</v>
      </c>
      <c r="E2690" s="98">
        <f>SUMIFS(Input!$C$115:$C$3257,Input!$A$115:$A$3257,"="&amp;'Output - County'!A2690,Input!$B$115:$B$3257,"="&amp;'Output - County'!B2690)*VLOOKUP(A2690,'Output - State'!$B$2:$G$52,4,FALSE)</f>
        <v>9.8898340806635456</v>
      </c>
      <c r="F2690" s="98">
        <f>SUMIFS(Input!$C$115:$C$3257,Input!$A$115:$A$3257,"="&amp;'Output - County'!A2690,Input!$B$115:$B$3257,"="&amp;'Output - County'!B2690)*VLOOKUP(A2690,'Output - State'!$B$2:$G$52,5,FALSE)</f>
        <v>18.173829220342174</v>
      </c>
      <c r="G2690" s="99">
        <f>SUMIFS(Input!$D$115:$D$3257,Input!$A$115:$A$3257,"="&amp;'Output - County'!A2690,Input!$B$115:$B$3257,"="&amp;'Output - County'!B2690)*VLOOKUP(A2690,'Output - State'!$B$2:$G$52,6,FALSE)</f>
        <v>4.9397212313492123</v>
      </c>
    </row>
    <row r="2691" spans="1:7" x14ac:dyDescent="0.25">
      <c r="A2691" s="88">
        <v>48</v>
      </c>
      <c r="B2691" s="88">
        <v>333</v>
      </c>
      <c r="C2691" s="97">
        <f>SUMIFS(Input!$C$115:$C$3257,Input!$A$115:$A$3257,"="&amp;'Output - County'!A2691,Input!$B$115:$B$3257,"="&amp;'Output - County'!B2691)*VLOOKUP(A2691,'Output - State'!$B$2:$G$52,2,FALSE)</f>
        <v>1.1116135762285331</v>
      </c>
      <c r="D2691" s="98">
        <f>SUMIFS(Input!$C$115:$C$3257,Input!$A$115:$A$3257,"="&amp;'Output - County'!A2691,Input!$B$115:$B$3257,"="&amp;'Output - County'!B2691)*VLOOKUP(A2691,'Output - State'!$B$2:$G$52,3,FALSE)</f>
        <v>0.18533399308674142</v>
      </c>
      <c r="E2691" s="98">
        <f>SUMIFS(Input!$C$115:$C$3257,Input!$A$115:$A$3257,"="&amp;'Output - County'!A2691,Input!$B$115:$B$3257,"="&amp;'Output - County'!B2691)*VLOOKUP(A2691,'Output - State'!$B$2:$G$52,4,FALSE)</f>
        <v>2.4389229688482503</v>
      </c>
      <c r="F2691" s="98">
        <f>SUMIFS(Input!$C$115:$C$3257,Input!$A$115:$A$3257,"="&amp;'Output - County'!A2691,Input!$B$115:$B$3257,"="&amp;'Output - County'!B2691)*VLOOKUP(A2691,'Output - State'!$B$2:$G$52,5,FALSE)</f>
        <v>4.4818314600525753</v>
      </c>
      <c r="G2691" s="99">
        <f>SUMIFS(Input!$D$115:$D$3257,Input!$A$115:$A$3257,"="&amp;'Output - County'!A2691,Input!$B$115:$B$3257,"="&amp;'Output - County'!B2691)*VLOOKUP(A2691,'Output - State'!$B$2:$G$52,6,FALSE)</f>
        <v>0.96423358435936624</v>
      </c>
    </row>
    <row r="2692" spans="1:7" x14ac:dyDescent="0.25">
      <c r="A2692" s="88">
        <v>48</v>
      </c>
      <c r="B2692" s="88">
        <v>335</v>
      </c>
      <c r="C2692" s="97">
        <f>SUMIFS(Input!$C$115:$C$3257,Input!$A$115:$A$3257,"="&amp;'Output - County'!A2692,Input!$B$115:$B$3257,"="&amp;'Output - County'!B2692)*VLOOKUP(A2692,'Output - State'!$B$2:$G$52,2,FALSE)</f>
        <v>4.3823560309398717</v>
      </c>
      <c r="D2692" s="98">
        <f>SUMIFS(Input!$C$115:$C$3257,Input!$A$115:$A$3257,"="&amp;'Output - County'!A2692,Input!$B$115:$B$3257,"="&amp;'Output - County'!B2692)*VLOOKUP(A2692,'Output - State'!$B$2:$G$52,3,FALSE)</f>
        <v>0.73064917495652493</v>
      </c>
      <c r="E2692" s="98">
        <f>SUMIFS(Input!$C$115:$C$3257,Input!$A$115:$A$3257,"="&amp;'Output - County'!A2692,Input!$B$115:$B$3257,"="&amp;'Output - County'!B2692)*VLOOKUP(A2692,'Output - State'!$B$2:$G$52,4,FALSE)</f>
        <v>9.615057795347175</v>
      </c>
      <c r="F2692" s="98">
        <f>SUMIFS(Input!$C$115:$C$3257,Input!$A$115:$A$3257,"="&amp;'Output - County'!A2692,Input!$B$115:$B$3257,"="&amp;'Output - County'!B2692)*VLOOKUP(A2692,'Output - State'!$B$2:$G$52,5,FALSE)</f>
        <v>17.668892813683598</v>
      </c>
      <c r="G2692" s="99">
        <f>SUMIFS(Input!$D$115:$D$3257,Input!$A$115:$A$3257,"="&amp;'Output - County'!A2692,Input!$B$115:$B$3257,"="&amp;'Output - County'!B2692)*VLOOKUP(A2692,'Output - State'!$B$2:$G$52,6,FALSE)</f>
        <v>1.6854328841363513</v>
      </c>
    </row>
    <row r="2693" spans="1:7" x14ac:dyDescent="0.25">
      <c r="A2693" s="88">
        <v>48</v>
      </c>
      <c r="B2693" s="88">
        <v>337</v>
      </c>
      <c r="C2693" s="97">
        <f>SUMIFS(Input!$C$115:$C$3257,Input!$A$115:$A$3257,"="&amp;'Output - County'!A2693,Input!$B$115:$B$3257,"="&amp;'Output - County'!B2693)*VLOOKUP(A2693,'Output - State'!$B$2:$G$52,2,FALSE)</f>
        <v>4.0554959906001109</v>
      </c>
      <c r="D2693" s="98">
        <f>SUMIFS(Input!$C$115:$C$3257,Input!$A$115:$A$3257,"="&amp;'Output - County'!A2693,Input!$B$115:$B$3257,"="&amp;'Output - County'!B2693)*VLOOKUP(A2693,'Output - State'!$B$2:$G$52,3,FALSE)</f>
        <v>0.67615337016238908</v>
      </c>
      <c r="E2693" s="98">
        <f>SUMIFS(Input!$C$115:$C$3257,Input!$A$115:$A$3257,"="&amp;'Output - County'!A2693,Input!$B$115:$B$3257,"="&amp;'Output - County'!B2693)*VLOOKUP(A2693,'Output - State'!$B$2:$G$52,4,FALSE)</f>
        <v>8.8979142869996135</v>
      </c>
      <c r="F2693" s="98">
        <f>SUMIFS(Input!$C$115:$C$3257,Input!$A$115:$A$3257,"="&amp;'Output - County'!A2693,Input!$B$115:$B$3257,"="&amp;'Output - County'!B2693)*VLOOKUP(A2693,'Output - State'!$B$2:$G$52,5,FALSE)</f>
        <v>16.351050315934522</v>
      </c>
      <c r="G2693" s="99">
        <f>SUMIFS(Input!$D$115:$D$3257,Input!$A$115:$A$3257,"="&amp;'Output - County'!A2693,Input!$B$115:$B$3257,"="&amp;'Output - County'!B2693)*VLOOKUP(A2693,'Output - State'!$B$2:$G$52,6,FALSE)</f>
        <v>3.8727414453777822</v>
      </c>
    </row>
    <row r="2694" spans="1:7" x14ac:dyDescent="0.25">
      <c r="A2694" s="88">
        <v>48</v>
      </c>
      <c r="B2694" s="88">
        <v>339</v>
      </c>
      <c r="C2694" s="97">
        <f>SUMIFS(Input!$C$115:$C$3257,Input!$A$115:$A$3257,"="&amp;'Output - County'!A2694,Input!$B$115:$B$3257,"="&amp;'Output - County'!B2694)*VLOOKUP(A2694,'Output - State'!$B$2:$G$52,2,FALSE)</f>
        <v>84.466117146254334</v>
      </c>
      <c r="D2694" s="98">
        <f>SUMIFS(Input!$C$115:$C$3257,Input!$A$115:$A$3257,"="&amp;'Output - County'!A2694,Input!$B$115:$B$3257,"="&amp;'Output - County'!B2694)*VLOOKUP(A2694,'Output - State'!$B$2:$G$52,3,FALSE)</f>
        <v>14.082630066789903</v>
      </c>
      <c r="E2694" s="98">
        <f>SUMIFS(Input!$C$115:$C$3257,Input!$A$115:$A$3257,"="&amp;'Output - County'!A2694,Input!$B$115:$B$3257,"="&amp;'Output - County'!B2694)*VLOOKUP(A2694,'Output - State'!$B$2:$G$52,4,FALSE)</f>
        <v>185.32191186110032</v>
      </c>
      <c r="F2694" s="98">
        <f>SUMIFS(Input!$C$115:$C$3257,Input!$A$115:$A$3257,"="&amp;'Output - County'!A2694,Input!$B$115:$B$3257,"="&amp;'Output - County'!B2694)*VLOOKUP(A2694,'Output - State'!$B$2:$G$52,5,FALSE)</f>
        <v>340.55260679610603</v>
      </c>
      <c r="G2694" s="99">
        <f>SUMIFS(Input!$D$115:$D$3257,Input!$A$115:$A$3257,"="&amp;'Output - County'!A2694,Input!$B$115:$B$3257,"="&amp;'Output - County'!B2694)*VLOOKUP(A2694,'Output - State'!$B$2:$G$52,6,FALSE)</f>
        <v>116.5774210598414</v>
      </c>
    </row>
    <row r="2695" spans="1:7" x14ac:dyDescent="0.25">
      <c r="A2695" s="88">
        <v>48</v>
      </c>
      <c r="B2695" s="88">
        <v>341</v>
      </c>
      <c r="C2695" s="97">
        <f>SUMIFS(Input!$C$115:$C$3257,Input!$A$115:$A$3257,"="&amp;'Output - County'!A2695,Input!$B$115:$B$3257,"="&amp;'Output - County'!B2695)*VLOOKUP(A2695,'Output - State'!$B$2:$G$52,2,FALSE)</f>
        <v>3.192057261936855</v>
      </c>
      <c r="D2695" s="98">
        <f>SUMIFS(Input!$C$115:$C$3257,Input!$A$115:$A$3257,"="&amp;'Output - County'!A2695,Input!$B$115:$B$3257,"="&amp;'Output - County'!B2695)*VLOOKUP(A2695,'Output - State'!$B$2:$G$52,3,FALSE)</f>
        <v>0.53219637756085059</v>
      </c>
      <c r="E2695" s="98">
        <f>SUMIFS(Input!$C$115:$C$3257,Input!$A$115:$A$3257,"="&amp;'Output - County'!A2695,Input!$B$115:$B$3257,"="&amp;'Output - County'!B2695)*VLOOKUP(A2695,'Output - State'!$B$2:$G$52,4,FALSE)</f>
        <v>7.003496485199566</v>
      </c>
      <c r="F2695" s="98">
        <f>SUMIFS(Input!$C$115:$C$3257,Input!$A$115:$A$3257,"="&amp;'Output - County'!A2695,Input!$B$115:$B$3257,"="&amp;'Output - County'!B2695)*VLOOKUP(A2695,'Output - State'!$B$2:$G$52,5,FALSE)</f>
        <v>12.869816422516147</v>
      </c>
      <c r="G2695" s="99">
        <f>SUMIFS(Input!$D$115:$D$3257,Input!$A$115:$A$3257,"="&amp;'Output - County'!A2695,Input!$B$115:$B$3257,"="&amp;'Output - County'!B2695)*VLOOKUP(A2695,'Output - State'!$B$2:$G$52,6,FALSE)</f>
        <v>4.1691247192587353</v>
      </c>
    </row>
    <row r="2696" spans="1:7" x14ac:dyDescent="0.25">
      <c r="A2696" s="88">
        <v>48</v>
      </c>
      <c r="B2696" s="88">
        <v>343</v>
      </c>
      <c r="C2696" s="97">
        <f>SUMIFS(Input!$C$115:$C$3257,Input!$A$115:$A$3257,"="&amp;'Output - County'!A2696,Input!$B$115:$B$3257,"="&amp;'Output - County'!B2696)*VLOOKUP(A2696,'Output - State'!$B$2:$G$52,2,FALSE)</f>
        <v>2.9368907210542963</v>
      </c>
      <c r="D2696" s="98">
        <f>SUMIFS(Input!$C$115:$C$3257,Input!$A$115:$A$3257,"="&amp;'Output - County'!A2696,Input!$B$115:$B$3257,"="&amp;'Output - County'!B2696)*VLOOKUP(A2696,'Output - State'!$B$2:$G$52,3,FALSE)</f>
        <v>0.4896536856261729</v>
      </c>
      <c r="E2696" s="98">
        <f>SUMIFS(Input!$C$115:$C$3257,Input!$A$115:$A$3257,"="&amp;'Output - County'!A2696,Input!$B$115:$B$3257,"="&amp;'Output - County'!B2696)*VLOOKUP(A2696,'Output - State'!$B$2:$G$52,4,FALSE)</f>
        <v>6.4436512739243801</v>
      </c>
      <c r="F2696" s="98">
        <f>SUMIFS(Input!$C$115:$C$3257,Input!$A$115:$A$3257,"="&amp;'Output - County'!A2696,Input!$B$115:$B$3257,"="&amp;'Output - County'!B2696)*VLOOKUP(A2696,'Output - State'!$B$2:$G$52,5,FALSE)</f>
        <v>11.841029571639174</v>
      </c>
      <c r="G2696" s="99">
        <f>SUMIFS(Input!$D$115:$D$3257,Input!$A$115:$A$3257,"="&amp;'Output - County'!A2696,Input!$B$115:$B$3257,"="&amp;'Output - County'!B2696)*VLOOKUP(A2696,'Output - State'!$B$2:$G$52,6,FALSE)</f>
        <v>2.4303428458238123</v>
      </c>
    </row>
    <row r="2697" spans="1:7" x14ac:dyDescent="0.25">
      <c r="A2697" s="88">
        <v>48</v>
      </c>
      <c r="B2697" s="88">
        <v>345</v>
      </c>
      <c r="C2697" s="97">
        <f>SUMIFS(Input!$C$115:$C$3257,Input!$A$115:$A$3257,"="&amp;'Output - County'!A2697,Input!$B$115:$B$3257,"="&amp;'Output - County'!B2697)*VLOOKUP(A2697,'Output - State'!$B$2:$G$52,2,FALSE)</f>
        <v>0.23494518565317202</v>
      </c>
      <c r="D2697" s="98">
        <f>SUMIFS(Input!$C$115:$C$3257,Input!$A$115:$A$3257,"="&amp;'Output - County'!A2697,Input!$B$115:$B$3257,"="&amp;'Output - County'!B2697)*VLOOKUP(A2697,'Output - State'!$B$2:$G$52,3,FALSE)</f>
        <v>3.9171282489497257E-2</v>
      </c>
      <c r="E2697" s="98">
        <f>SUMIFS(Input!$C$115:$C$3257,Input!$A$115:$A$3257,"="&amp;'Output - County'!A2697,Input!$B$115:$B$3257,"="&amp;'Output - County'!B2697)*VLOOKUP(A2697,'Output - State'!$B$2:$G$52,4,FALSE)</f>
        <v>0.51547877964386579</v>
      </c>
      <c r="F2697" s="98">
        <f>SUMIFS(Input!$C$115:$C$3257,Input!$A$115:$A$3257,"="&amp;'Output - County'!A2697,Input!$B$115:$B$3257,"="&amp;'Output - County'!B2697)*VLOOKUP(A2697,'Output - State'!$B$2:$G$52,5,FALSE)</f>
        <v>0.94725788436376512</v>
      </c>
      <c r="G2697" s="99">
        <f>SUMIFS(Input!$D$115:$D$3257,Input!$A$115:$A$3257,"="&amp;'Output - County'!A2697,Input!$B$115:$B$3257,"="&amp;'Output - County'!B2697)*VLOOKUP(A2697,'Output - State'!$B$2:$G$52,6,FALSE)</f>
        <v>0.24303428458238122</v>
      </c>
    </row>
    <row r="2698" spans="1:7" x14ac:dyDescent="0.25">
      <c r="A2698" s="88">
        <v>48</v>
      </c>
      <c r="B2698" s="88">
        <v>347</v>
      </c>
      <c r="C2698" s="97">
        <f>SUMIFS(Input!$C$115:$C$3257,Input!$A$115:$A$3257,"="&amp;'Output - County'!A2698,Input!$B$115:$B$3257,"="&amp;'Output - County'!B2698)*VLOOKUP(A2698,'Output - State'!$B$2:$G$52,2,FALSE)</f>
        <v>9.805733960952745</v>
      </c>
      <c r="D2698" s="98">
        <f>SUMIFS(Input!$C$115:$C$3257,Input!$A$115:$A$3257,"="&amp;'Output - County'!A2698,Input!$B$115:$B$3257,"="&amp;'Output - County'!B2698)*VLOOKUP(A2698,'Output - State'!$B$2:$G$52,3,FALSE)</f>
        <v>1.6348629316812351</v>
      </c>
      <c r="E2698" s="98">
        <f>SUMIFS(Input!$C$115:$C$3257,Input!$A$115:$A$3257,"="&amp;'Output - County'!A2698,Input!$B$115:$B$3257,"="&amp;'Output - County'!B2698)*VLOOKUP(A2698,'Output - State'!$B$2:$G$52,4,FALSE)</f>
        <v>21.514157703005857</v>
      </c>
      <c r="F2698" s="98">
        <f>SUMIFS(Input!$C$115:$C$3257,Input!$A$115:$A$3257,"="&amp;'Output - County'!A2698,Input!$B$115:$B$3257,"="&amp;'Output - County'!B2698)*VLOOKUP(A2698,'Output - State'!$B$2:$G$52,5,FALSE)</f>
        <v>39.535003795301712</v>
      </c>
      <c r="G2698" s="99">
        <f>SUMIFS(Input!$D$115:$D$3257,Input!$A$115:$A$3257,"="&amp;'Output - County'!A2698,Input!$B$115:$B$3257,"="&amp;'Output - County'!B2698)*VLOOKUP(A2698,'Output - State'!$B$2:$G$52,6,FALSE)</f>
        <v>12.882792971358745</v>
      </c>
    </row>
    <row r="2699" spans="1:7" x14ac:dyDescent="0.25">
      <c r="A2699" s="88">
        <v>48</v>
      </c>
      <c r="B2699" s="88">
        <v>349</v>
      </c>
      <c r="C2699" s="97">
        <f>SUMIFS(Input!$C$115:$C$3257,Input!$A$115:$A$3257,"="&amp;'Output - County'!A2699,Input!$B$115:$B$3257,"="&amp;'Output - County'!B2699)*VLOOKUP(A2699,'Output - State'!$B$2:$G$52,2,FALSE)</f>
        <v>13.724407494833734</v>
      </c>
      <c r="D2699" s="98">
        <f>SUMIFS(Input!$C$115:$C$3257,Input!$A$115:$A$3257,"="&amp;'Output - County'!A2699,Input!$B$115:$B$3257,"="&amp;'Output - County'!B2699)*VLOOKUP(A2699,'Output - State'!$B$2:$G$52,3,FALSE)</f>
        <v>2.2882045507189872</v>
      </c>
      <c r="E2699" s="98">
        <f>SUMIFS(Input!$C$115:$C$3257,Input!$A$115:$A$3257,"="&amp;'Output - County'!A2699,Input!$B$115:$B$3257,"="&amp;'Output - County'!B2699)*VLOOKUP(A2699,'Output - State'!$B$2:$G$52,4,FALSE)</f>
        <v>30.111878254086299</v>
      </c>
      <c r="F2699" s="98">
        <f>SUMIFS(Input!$C$115:$C$3257,Input!$A$115:$A$3257,"="&amp;'Output - County'!A2699,Input!$B$115:$B$3257,"="&amp;'Output - County'!B2699)*VLOOKUP(A2699,'Output - State'!$B$2:$G$52,5,FALSE)</f>
        <v>55.334409903141946</v>
      </c>
      <c r="G2699" s="99">
        <f>SUMIFS(Input!$D$115:$D$3257,Input!$A$115:$A$3257,"="&amp;'Output - County'!A2699,Input!$B$115:$B$3257,"="&amp;'Output - County'!B2699)*VLOOKUP(A2699,'Output - State'!$B$2:$G$52,6,FALSE)</f>
        <v>9.7806480380714387</v>
      </c>
    </row>
    <row r="2700" spans="1:7" x14ac:dyDescent="0.25">
      <c r="A2700" s="88">
        <v>48</v>
      </c>
      <c r="B2700" s="88">
        <v>351</v>
      </c>
      <c r="C2700" s="97">
        <f>SUMIFS(Input!$C$115:$C$3257,Input!$A$115:$A$3257,"="&amp;'Output - County'!A2700,Input!$B$115:$B$3257,"="&amp;'Output - County'!B2700)*VLOOKUP(A2700,'Output - State'!$B$2:$G$52,2,FALSE)</f>
        <v>1.8601042961019341</v>
      </c>
      <c r="D2700" s="98">
        <f>SUMIFS(Input!$C$115:$C$3257,Input!$A$115:$A$3257,"="&amp;'Output - County'!A2700,Input!$B$115:$B$3257,"="&amp;'Output - County'!B2700)*VLOOKUP(A2700,'Output - State'!$B$2:$G$52,3,FALSE)</f>
        <v>0.31012625621576589</v>
      </c>
      <c r="E2700" s="98">
        <f>SUMIFS(Input!$C$115:$C$3257,Input!$A$115:$A$3257,"="&amp;'Output - County'!A2700,Input!$B$115:$B$3257,"="&amp;'Output - County'!B2700)*VLOOKUP(A2700,'Output - State'!$B$2:$G$52,4,FALSE)</f>
        <v>4.0811404153664625</v>
      </c>
      <c r="F2700" s="98">
        <f>SUMIFS(Input!$C$115:$C$3257,Input!$A$115:$A$3257,"="&amp;'Output - County'!A2700,Input!$B$115:$B$3257,"="&amp;'Output - County'!B2700)*VLOOKUP(A2700,'Output - State'!$B$2:$G$52,5,FALSE)</f>
        <v>7.4996150924434986</v>
      </c>
      <c r="G2700" s="99">
        <f>SUMIFS(Input!$D$115:$D$3257,Input!$A$115:$A$3257,"="&amp;'Output - County'!A2700,Input!$B$115:$B$3257,"="&amp;'Output - County'!B2700)*VLOOKUP(A2700,'Output - State'!$B$2:$G$52,6,FALSE)</f>
        <v>2.726726119704765</v>
      </c>
    </row>
    <row r="2701" spans="1:7" x14ac:dyDescent="0.25">
      <c r="A2701" s="88">
        <v>48</v>
      </c>
      <c r="B2701" s="88">
        <v>353</v>
      </c>
      <c r="C2701" s="97">
        <f>SUMIFS(Input!$C$115:$C$3257,Input!$A$115:$A$3257,"="&amp;'Output - County'!A2701,Input!$B$115:$B$3257,"="&amp;'Output - County'!B2701)*VLOOKUP(A2701,'Output - State'!$B$2:$G$52,2,FALSE)</f>
        <v>6.6518834694840994</v>
      </c>
      <c r="D2701" s="98">
        <f>SUMIFS(Input!$C$115:$C$3257,Input!$A$115:$A$3257,"="&amp;'Output - County'!A2701,Input!$B$115:$B$3257,"="&amp;'Output - County'!B2701)*VLOOKUP(A2701,'Output - State'!$B$2:$G$52,3,FALSE)</f>
        <v>1.1090365854741271</v>
      </c>
      <c r="E2701" s="98">
        <f>SUMIFS(Input!$C$115:$C$3257,Input!$A$115:$A$3257,"="&amp;'Output - County'!A2701,Input!$B$115:$B$3257,"="&amp;'Output - County'!B2701)*VLOOKUP(A2701,'Output - State'!$B$2:$G$52,4,FALSE)</f>
        <v>14.594488342675151</v>
      </c>
      <c r="F2701" s="98">
        <f>SUMIFS(Input!$C$115:$C$3257,Input!$A$115:$A$3257,"="&amp;'Output - County'!A2701,Input!$B$115:$B$3257,"="&amp;'Output - County'!B2701)*VLOOKUP(A2701,'Output - State'!$B$2:$G$52,5,FALSE)</f>
        <v>26.819230386952768</v>
      </c>
      <c r="G2701" s="99">
        <f>SUMIFS(Input!$D$115:$D$3257,Input!$A$115:$A$3257,"="&amp;'Output - County'!A2701,Input!$B$115:$B$3257,"="&amp;'Output - County'!B2701)*VLOOKUP(A2701,'Output - State'!$B$2:$G$52,6,FALSE)</f>
        <v>2.9243149689587336</v>
      </c>
    </row>
    <row r="2702" spans="1:7" x14ac:dyDescent="0.25">
      <c r="A2702" s="88">
        <v>48</v>
      </c>
      <c r="B2702" s="88">
        <v>355</v>
      </c>
      <c r="C2702" s="97">
        <f>SUMIFS(Input!$C$115:$C$3257,Input!$A$115:$A$3257,"="&amp;'Output - County'!A2702,Input!$B$115:$B$3257,"="&amp;'Output - County'!B2702)*VLOOKUP(A2702,'Output - State'!$B$2:$G$52,2,FALSE)</f>
        <v>53.459975992202622</v>
      </c>
      <c r="D2702" s="98">
        <f>SUMIFS(Input!$C$115:$C$3257,Input!$A$115:$A$3257,"="&amp;'Output - County'!A2702,Input!$B$115:$B$3257,"="&amp;'Output - County'!B2702)*VLOOKUP(A2702,'Output - State'!$B$2:$G$52,3,FALSE)</f>
        <v>8.9131250578746961</v>
      </c>
      <c r="E2702" s="98">
        <f>SUMIFS(Input!$C$115:$C$3257,Input!$A$115:$A$3257,"="&amp;'Output - County'!A2702,Input!$B$115:$B$3257,"="&amp;'Output - County'!B2702)*VLOOKUP(A2702,'Output - State'!$B$2:$G$52,4,FALSE)</f>
        <v>117.29324483767697</v>
      </c>
      <c r="F2702" s="98">
        <f>SUMIFS(Input!$C$115:$C$3257,Input!$A$115:$A$3257,"="&amp;'Output - County'!A2702,Input!$B$115:$B$3257,"="&amp;'Output - County'!B2702)*VLOOKUP(A2702,'Output - State'!$B$2:$G$52,5,FALSE)</f>
        <v>215.541270257256</v>
      </c>
      <c r="G2702" s="99">
        <f>SUMIFS(Input!$D$115:$D$3257,Input!$A$115:$A$3257,"="&amp;'Output - County'!A2702,Input!$B$115:$B$3257,"="&amp;'Output - County'!B2702)*VLOOKUP(A2702,'Output - State'!$B$2:$G$52,6,FALSE)</f>
        <v>71.527163429936593</v>
      </c>
    </row>
    <row r="2703" spans="1:7" x14ac:dyDescent="0.25">
      <c r="A2703" s="88">
        <v>48</v>
      </c>
      <c r="B2703" s="88">
        <v>357</v>
      </c>
      <c r="C2703" s="97">
        <f>SUMIFS(Input!$C$115:$C$3257,Input!$A$115:$A$3257,"="&amp;'Output - County'!A2703,Input!$B$115:$B$3257,"="&amp;'Output - County'!B2703)*VLOOKUP(A2703,'Output - State'!$B$2:$G$52,2,FALSE)</f>
        <v>1.4297670444730741</v>
      </c>
      <c r="D2703" s="98">
        <f>SUMIFS(Input!$C$115:$C$3257,Input!$A$115:$A$3257,"="&amp;'Output - County'!A2703,Input!$B$115:$B$3257,"="&amp;'Output - County'!B2703)*VLOOKUP(A2703,'Output - State'!$B$2:$G$52,3,FALSE)</f>
        <v>0.23837819292839052</v>
      </c>
      <c r="E2703" s="98">
        <f>SUMIFS(Input!$C$115:$C$3257,Input!$A$115:$A$3257,"="&amp;'Output - County'!A2703,Input!$B$115:$B$3257,"="&amp;'Output - County'!B2703)*VLOOKUP(A2703,'Output - State'!$B$2:$G$52,4,FALSE)</f>
        <v>3.1369639229295974</v>
      </c>
      <c r="F2703" s="98">
        <f>SUMIFS(Input!$C$115:$C$3257,Input!$A$115:$A$3257,"="&amp;'Output - County'!A2703,Input!$B$115:$B$3257,"="&amp;'Output - County'!B2703)*VLOOKUP(A2703,'Output - State'!$B$2:$G$52,5,FALSE)</f>
        <v>5.7645705823481395</v>
      </c>
      <c r="G2703" s="99">
        <f>SUMIFS(Input!$D$115:$D$3257,Input!$A$115:$A$3257,"="&amp;'Output - County'!A2703,Input!$B$115:$B$3257,"="&amp;'Output - County'!B2703)*VLOOKUP(A2703,'Output - State'!$B$2:$G$52,6,FALSE)</f>
        <v>1.950201942136669</v>
      </c>
    </row>
    <row r="2704" spans="1:7" x14ac:dyDescent="0.25">
      <c r="A2704" s="88">
        <v>48</v>
      </c>
      <c r="B2704" s="88">
        <v>359</v>
      </c>
      <c r="C2704" s="97">
        <f>SUMIFS(Input!$C$115:$C$3257,Input!$A$115:$A$3257,"="&amp;'Output - County'!A2704,Input!$B$115:$B$3257,"="&amp;'Output - County'!B2704)*VLOOKUP(A2704,'Output - State'!$B$2:$G$52,2,FALSE)</f>
        <v>4.9683839484375447</v>
      </c>
      <c r="D2704" s="98">
        <f>SUMIFS(Input!$C$115:$C$3257,Input!$A$115:$A$3257,"="&amp;'Output - County'!A2704,Input!$B$115:$B$3257,"="&amp;'Output - County'!B2704)*VLOOKUP(A2704,'Output - State'!$B$2:$G$52,3,FALSE)</f>
        <v>0.82835479526627731</v>
      </c>
      <c r="E2704" s="98">
        <f>SUMIFS(Input!$C$115:$C$3257,Input!$A$115:$A$3257,"="&amp;'Output - County'!A2704,Input!$B$115:$B$3257,"="&amp;'Output - County'!B2704)*VLOOKUP(A2704,'Output - State'!$B$2:$G$52,4,FALSE)</f>
        <v>10.900825600757228</v>
      </c>
      <c r="F2704" s="98">
        <f>SUMIFS(Input!$C$115:$C$3257,Input!$A$115:$A$3257,"="&amp;'Output - County'!A2704,Input!$B$115:$B$3257,"="&amp;'Output - County'!B2704)*VLOOKUP(A2704,'Output - State'!$B$2:$G$52,5,FALSE)</f>
        <v>20.031654850129073</v>
      </c>
      <c r="G2704" s="99">
        <f>SUMIFS(Input!$D$115:$D$3257,Input!$A$115:$A$3257,"="&amp;'Output - County'!A2704,Input!$B$115:$B$3257,"="&amp;'Output - County'!B2704)*VLOOKUP(A2704,'Output - State'!$B$2:$G$52,6,FALSE)</f>
        <v>0.41888836041841315</v>
      </c>
    </row>
    <row r="2705" spans="1:7" x14ac:dyDescent="0.25">
      <c r="A2705" s="88">
        <v>48</v>
      </c>
      <c r="B2705" s="88">
        <v>361</v>
      </c>
      <c r="C2705" s="97">
        <f>SUMIFS(Input!$C$115:$C$3257,Input!$A$115:$A$3257,"="&amp;'Output - County'!A2705,Input!$B$115:$B$3257,"="&amp;'Output - County'!B2705)*VLOOKUP(A2705,'Output - State'!$B$2:$G$52,2,FALSE)</f>
        <v>17.783646326010093</v>
      </c>
      <c r="D2705" s="98">
        <f>SUMIFS(Input!$C$115:$C$3257,Input!$A$115:$A$3257,"="&amp;'Output - County'!A2705,Input!$B$115:$B$3257,"="&amp;'Output - County'!B2705)*VLOOKUP(A2705,'Output - State'!$B$2:$G$52,3,FALSE)</f>
        <v>2.9649819467158185</v>
      </c>
      <c r="E2705" s="98">
        <f>SUMIFS(Input!$C$115:$C$3257,Input!$A$115:$A$3257,"="&amp;'Output - County'!A2705,Input!$B$115:$B$3257,"="&amp;'Output - County'!B2705)*VLOOKUP(A2705,'Output - State'!$B$2:$G$52,4,FALSE)</f>
        <v>39.018004477360677</v>
      </c>
      <c r="F2705" s="98">
        <f>SUMIFS(Input!$C$115:$C$3257,Input!$A$115:$A$3257,"="&amp;'Output - County'!A2705,Input!$B$115:$B$3257,"="&amp;'Output - County'!B2705)*VLOOKUP(A2705,'Output - State'!$B$2:$G$52,5,FALSE)</f>
        <v>71.700550697461509</v>
      </c>
      <c r="G2705" s="99">
        <f>SUMIFS(Input!$D$115:$D$3257,Input!$A$115:$A$3257,"="&amp;'Output - County'!A2705,Input!$B$115:$B$3257,"="&amp;'Output - County'!B2705)*VLOOKUP(A2705,'Output - State'!$B$2:$G$52,6,FALSE)</f>
        <v>16.498668912706368</v>
      </c>
    </row>
    <row r="2706" spans="1:7" x14ac:dyDescent="0.25">
      <c r="A2706" s="88">
        <v>48</v>
      </c>
      <c r="B2706" s="88">
        <v>363</v>
      </c>
      <c r="C2706" s="97">
        <f>SUMIFS(Input!$C$115:$C$3257,Input!$A$115:$A$3257,"="&amp;'Output - County'!A2706,Input!$B$115:$B$3257,"="&amp;'Output - County'!B2706)*VLOOKUP(A2706,'Output - State'!$B$2:$G$52,2,FALSE)</f>
        <v>6.3366057916781129</v>
      </c>
      <c r="D2706" s="98">
        <f>SUMIFS(Input!$C$115:$C$3257,Input!$A$115:$A$3257,"="&amp;'Output - County'!A2706,Input!$B$115:$B$3257,"="&amp;'Output - County'!B2706)*VLOOKUP(A2706,'Output - State'!$B$2:$G$52,3,FALSE)</f>
        <v>1.0564718523614345</v>
      </c>
      <c r="E2706" s="98">
        <f>SUMIFS(Input!$C$115:$C$3257,Input!$A$115:$A$3257,"="&amp;'Output - County'!A2706,Input!$B$115:$B$3257,"="&amp;'Output - County'!B2706)*VLOOKUP(A2706,'Output - State'!$B$2:$G$52,4,FALSE)</f>
        <v>13.90275698349636</v>
      </c>
      <c r="F2706" s="98">
        <f>SUMIFS(Input!$C$115:$C$3257,Input!$A$115:$A$3257,"="&amp;'Output - County'!A2706,Input!$B$115:$B$3257,"="&amp;'Output - County'!B2706)*VLOOKUP(A2706,'Output - State'!$B$2:$G$52,5,FALSE)</f>
        <v>25.548085948579434</v>
      </c>
      <c r="G2706" s="99">
        <f>SUMIFS(Input!$D$115:$D$3257,Input!$A$115:$A$3257,"="&amp;'Output - County'!A2706,Input!$B$115:$B$3257,"="&amp;'Output - County'!B2706)*VLOOKUP(A2706,'Output - State'!$B$2:$G$52,6,FALSE)</f>
        <v>5.7103177434396892</v>
      </c>
    </row>
    <row r="2707" spans="1:7" x14ac:dyDescent="0.25">
      <c r="A2707" s="88">
        <v>48</v>
      </c>
      <c r="B2707" s="88">
        <v>365</v>
      </c>
      <c r="C2707" s="97">
        <f>SUMIFS(Input!$C$115:$C$3257,Input!$A$115:$A$3257,"="&amp;'Output - County'!A2707,Input!$B$115:$B$3257,"="&amp;'Output - County'!B2707)*VLOOKUP(A2707,'Output - State'!$B$2:$G$52,2,FALSE)</f>
        <v>5.1612459127552928</v>
      </c>
      <c r="D2707" s="98">
        <f>SUMIFS(Input!$C$115:$C$3257,Input!$A$115:$A$3257,"="&amp;'Output - County'!A2707,Input!$B$115:$B$3257,"="&amp;'Output - County'!B2707)*VLOOKUP(A2707,'Output - State'!$B$2:$G$52,3,FALSE)</f>
        <v>0.8605097443654347</v>
      </c>
      <c r="E2707" s="98">
        <f>SUMIFS(Input!$C$115:$C$3257,Input!$A$115:$A$3257,"="&amp;'Output - County'!A2707,Input!$B$115:$B$3257,"="&amp;'Output - County'!B2707)*VLOOKUP(A2707,'Output - State'!$B$2:$G$52,4,FALSE)</f>
        <v>11.323972173136839</v>
      </c>
      <c r="F2707" s="98">
        <f>SUMIFS(Input!$C$115:$C$3257,Input!$A$115:$A$3257,"="&amp;'Output - County'!A2707,Input!$B$115:$B$3257,"="&amp;'Output - County'!B2707)*VLOOKUP(A2707,'Output - State'!$B$2:$G$52,5,FALSE)</f>
        <v>20.809240548622842</v>
      </c>
      <c r="G2707" s="99">
        <f>SUMIFS(Input!$D$115:$D$3257,Input!$A$115:$A$3257,"="&amp;'Output - County'!A2707,Input!$B$115:$B$3257,"="&amp;'Output - County'!B2707)*VLOOKUP(A2707,'Output - State'!$B$2:$G$52,6,FALSE)</f>
        <v>4.5643024177666724</v>
      </c>
    </row>
    <row r="2708" spans="1:7" x14ac:dyDescent="0.25">
      <c r="A2708" s="88">
        <v>48</v>
      </c>
      <c r="B2708" s="88">
        <v>367</v>
      </c>
      <c r="C2708" s="97">
        <f>SUMIFS(Input!$C$115:$C$3257,Input!$A$115:$A$3257,"="&amp;'Output - County'!A2708,Input!$B$115:$B$3257,"="&amp;'Output - County'!B2708)*VLOOKUP(A2708,'Output - State'!$B$2:$G$52,2,FALSE)</f>
        <v>24.086101004921559</v>
      </c>
      <c r="D2708" s="98">
        <f>SUMIFS(Input!$C$115:$C$3257,Input!$A$115:$A$3257,"="&amp;'Output - County'!A2708,Input!$B$115:$B$3257,"="&amp;'Output - County'!B2708)*VLOOKUP(A2708,'Output - State'!$B$2:$G$52,3,FALSE)</f>
        <v>4.0157599480549653</v>
      </c>
      <c r="E2708" s="98">
        <f>SUMIFS(Input!$C$115:$C$3257,Input!$A$115:$A$3257,"="&amp;'Output - County'!A2708,Input!$B$115:$B$3257,"="&amp;'Output - County'!B2708)*VLOOKUP(A2708,'Output - State'!$B$2:$G$52,4,FALSE)</f>
        <v>52.845832605075259</v>
      </c>
      <c r="F2708" s="98">
        <f>SUMIFS(Input!$C$115:$C$3257,Input!$A$115:$A$3257,"="&amp;'Output - County'!A2708,Input!$B$115:$B$3257,"="&amp;'Output - County'!B2708)*VLOOKUP(A2708,'Output - State'!$B$2:$G$52,5,FALSE)</f>
        <v>97.110945334179988</v>
      </c>
      <c r="G2708" s="99">
        <f>SUMIFS(Input!$D$115:$D$3257,Input!$A$115:$A$3257,"="&amp;'Output - County'!A2708,Input!$B$115:$B$3257,"="&amp;'Output - County'!B2708)*VLOOKUP(A2708,'Output - State'!$B$2:$G$52,6,FALSE)</f>
        <v>27.267261197047649</v>
      </c>
    </row>
    <row r="2709" spans="1:7" x14ac:dyDescent="0.25">
      <c r="A2709" s="88">
        <v>48</v>
      </c>
      <c r="B2709" s="88">
        <v>369</v>
      </c>
      <c r="C2709" s="97">
        <f>SUMIFS(Input!$C$115:$C$3257,Input!$A$115:$A$3257,"="&amp;'Output - County'!A2709,Input!$B$115:$B$3257,"="&amp;'Output - County'!B2709)*VLOOKUP(A2709,'Output - State'!$B$2:$G$52,2,FALSE)</f>
        <v>2.2225376185897963</v>
      </c>
      <c r="D2709" s="98">
        <f>SUMIFS(Input!$C$115:$C$3257,Input!$A$115:$A$3257,"="&amp;'Output - County'!A2709,Input!$B$115:$B$3257,"="&amp;'Output - County'!B2709)*VLOOKUP(A2709,'Output - State'!$B$2:$G$52,3,FALSE)</f>
        <v>0.37055302350325059</v>
      </c>
      <c r="E2709" s="98">
        <f>SUMIFS(Input!$C$115:$C$3257,Input!$A$115:$A$3257,"="&amp;'Output - County'!A2709,Input!$B$115:$B$3257,"="&amp;'Output - County'!B2709)*VLOOKUP(A2709,'Output - State'!$B$2:$G$52,4,FALSE)</f>
        <v>4.8763330738536634</v>
      </c>
      <c r="F2709" s="98">
        <f>SUMIFS(Input!$C$115:$C$3257,Input!$A$115:$A$3257,"="&amp;'Output - County'!A2709,Input!$B$115:$B$3257,"="&amp;'Output - County'!B2709)*VLOOKUP(A2709,'Output - State'!$B$2:$G$52,5,FALSE)</f>
        <v>8.9608828401878231</v>
      </c>
      <c r="G2709" s="99">
        <f>SUMIFS(Input!$D$115:$D$3257,Input!$A$115:$A$3257,"="&amp;'Output - County'!A2709,Input!$B$115:$B$3257,"="&amp;'Output - County'!B2709)*VLOOKUP(A2709,'Output - State'!$B$2:$G$52,6,FALSE)</f>
        <v>1.9205636147485736</v>
      </c>
    </row>
    <row r="2710" spans="1:7" x14ac:dyDescent="0.25">
      <c r="A2710" s="88">
        <v>48</v>
      </c>
      <c r="B2710" s="88">
        <v>371</v>
      </c>
      <c r="C2710" s="97">
        <f>SUMIFS(Input!$C$115:$C$3257,Input!$A$115:$A$3257,"="&amp;'Output - County'!A2710,Input!$B$115:$B$3257,"="&amp;'Output - County'!B2710)*VLOOKUP(A2710,'Output - State'!$B$2:$G$52,2,FALSE)</f>
        <v>7.2984465759899795</v>
      </c>
      <c r="D2710" s="98">
        <f>SUMIFS(Input!$C$115:$C$3257,Input!$A$115:$A$3257,"="&amp;'Output - County'!A2710,Input!$B$115:$B$3257,"="&amp;'Output - County'!B2710)*VLOOKUP(A2710,'Output - State'!$B$2:$G$52,3,FALSE)</f>
        <v>1.2168349471294972</v>
      </c>
      <c r="E2710" s="98">
        <f>SUMIFS(Input!$C$115:$C$3257,Input!$A$115:$A$3257,"="&amp;'Output - County'!A2710,Input!$B$115:$B$3257,"="&amp;'Output - County'!B2710)*VLOOKUP(A2710,'Output - State'!$B$2:$G$52,4,FALSE)</f>
        <v>16.013072682583278</v>
      </c>
      <c r="F2710" s="98">
        <f>SUMIFS(Input!$C$115:$C$3257,Input!$A$115:$A$3257,"="&amp;'Output - County'!A2710,Input!$B$115:$B$3257,"="&amp;'Output - County'!B2710)*VLOOKUP(A2710,'Output - State'!$B$2:$G$52,5,FALSE)</f>
        <v>29.426059714711563</v>
      </c>
      <c r="G2710" s="99">
        <f>SUMIFS(Input!$D$115:$D$3257,Input!$A$115:$A$3257,"="&amp;'Output - County'!A2710,Input!$B$115:$B$3257,"="&amp;'Output - County'!B2710)*VLOOKUP(A2710,'Output - State'!$B$2:$G$52,6,FALSE)</f>
        <v>3.1021449332873052</v>
      </c>
    </row>
    <row r="2711" spans="1:7" x14ac:dyDescent="0.25">
      <c r="A2711" s="88">
        <v>48</v>
      </c>
      <c r="B2711" s="88">
        <v>373</v>
      </c>
      <c r="C2711" s="97">
        <f>SUMIFS(Input!$C$115:$C$3257,Input!$A$115:$A$3257,"="&amp;'Output - County'!A2711,Input!$B$115:$B$3257,"="&amp;'Output - County'!B2711)*VLOOKUP(A2711,'Output - State'!$B$2:$G$52,2,FALSE)</f>
        <v>9.4265315153966025</v>
      </c>
      <c r="D2711" s="98">
        <f>SUMIFS(Input!$C$115:$C$3257,Input!$A$115:$A$3257,"="&amp;'Output - County'!A2711,Input!$B$115:$B$3257,"="&amp;'Output - County'!B2711)*VLOOKUP(A2711,'Output - State'!$B$2:$G$52,3,FALSE)</f>
        <v>1.5716403290375902</v>
      </c>
      <c r="E2711" s="98">
        <f>SUMIFS(Input!$C$115:$C$3257,Input!$A$115:$A$3257,"="&amp;'Output - County'!A2711,Input!$B$115:$B$3257,"="&amp;'Output - County'!B2711)*VLOOKUP(A2711,'Output - State'!$B$2:$G$52,4,FALSE)</f>
        <v>20.682172943114647</v>
      </c>
      <c r="F2711" s="98">
        <f>SUMIFS(Input!$C$115:$C$3257,Input!$A$115:$A$3257,"="&amp;'Output - County'!A2711,Input!$B$115:$B$3257,"="&amp;'Output - County'!B2711)*VLOOKUP(A2711,'Output - State'!$B$2:$G$52,5,FALSE)</f>
        <v>38.006125877141962</v>
      </c>
      <c r="G2711" s="99">
        <f>SUMIFS(Input!$D$115:$D$3257,Input!$A$115:$A$3257,"="&amp;'Output - County'!A2711,Input!$B$115:$B$3257,"="&amp;'Output - County'!B2711)*VLOOKUP(A2711,'Output - State'!$B$2:$G$52,6,FALSE)</f>
        <v>9.8794424626984245</v>
      </c>
    </row>
    <row r="2712" spans="1:7" x14ac:dyDescent="0.25">
      <c r="A2712" s="88">
        <v>48</v>
      </c>
      <c r="B2712" s="88">
        <v>375</v>
      </c>
      <c r="C2712" s="97">
        <f>SUMIFS(Input!$C$115:$C$3257,Input!$A$115:$A$3257,"="&amp;'Output - County'!A2712,Input!$B$115:$B$3257,"="&amp;'Output - County'!B2712)*VLOOKUP(A2712,'Output - State'!$B$2:$G$52,2,FALSE)</f>
        <v>20.514830446951443</v>
      </c>
      <c r="D2712" s="98">
        <f>SUMIFS(Input!$C$115:$C$3257,Input!$A$115:$A$3257,"="&amp;'Output - County'!A2712,Input!$B$115:$B$3257,"="&amp;'Output - County'!B2712)*VLOOKUP(A2712,'Output - State'!$B$2:$G$52,3,FALSE)</f>
        <v>3.4203391588025283</v>
      </c>
      <c r="E2712" s="98">
        <f>SUMIFS(Input!$C$115:$C$3257,Input!$A$115:$A$3257,"="&amp;'Output - County'!A2712,Input!$B$115:$B$3257,"="&amp;'Output - County'!B2712)*VLOOKUP(A2712,'Output - State'!$B$2:$G$52,4,FALSE)</f>
        <v>45.01032755362008</v>
      </c>
      <c r="F2712" s="98">
        <f>SUMIFS(Input!$C$115:$C$3257,Input!$A$115:$A$3257,"="&amp;'Output - County'!A2712,Input!$B$115:$B$3257,"="&amp;'Output - County'!B2712)*VLOOKUP(A2712,'Output - State'!$B$2:$G$52,5,FALSE)</f>
        <v>82.712207246278666</v>
      </c>
      <c r="G2712" s="99">
        <f>SUMIFS(Input!$D$115:$D$3257,Input!$A$115:$A$3257,"="&amp;'Output - County'!A2712,Input!$B$115:$B$3257,"="&amp;'Output - County'!B2712)*VLOOKUP(A2712,'Output - State'!$B$2:$G$52,6,FALSE)</f>
        <v>23.513073061222251</v>
      </c>
    </row>
    <row r="2713" spans="1:7" x14ac:dyDescent="0.25">
      <c r="A2713" s="88">
        <v>48</v>
      </c>
      <c r="B2713" s="88">
        <v>377</v>
      </c>
      <c r="C2713" s="97">
        <f>SUMIFS(Input!$C$115:$C$3257,Input!$A$115:$A$3257,"="&amp;'Output - County'!A2713,Input!$B$115:$B$3257,"="&amp;'Output - County'!B2713)*VLOOKUP(A2713,'Output - State'!$B$2:$G$52,2,FALSE)</f>
        <v>0.98956660380017381</v>
      </c>
      <c r="D2713" s="98">
        <f>SUMIFS(Input!$C$115:$C$3257,Input!$A$115:$A$3257,"="&amp;'Output - County'!A2713,Input!$B$115:$B$3257,"="&amp;'Output - County'!B2713)*VLOOKUP(A2713,'Output - State'!$B$2:$G$52,3,FALSE)</f>
        <v>0.16498568749925641</v>
      </c>
      <c r="E2713" s="98">
        <f>SUMIFS(Input!$C$115:$C$3257,Input!$A$115:$A$3257,"="&amp;'Output - County'!A2713,Input!$B$115:$B$3257,"="&amp;'Output - County'!B2713)*VLOOKUP(A2713,'Output - State'!$B$2:$G$52,4,FALSE)</f>
        <v>2.1711472141261625</v>
      </c>
      <c r="F2713" s="98">
        <f>SUMIFS(Input!$C$115:$C$3257,Input!$A$115:$A$3257,"="&amp;'Output - County'!A2713,Input!$B$115:$B$3257,"="&amp;'Output - County'!B2713)*VLOOKUP(A2713,'Output - State'!$B$2:$G$52,5,FALSE)</f>
        <v>3.9897594196143653</v>
      </c>
      <c r="G2713" s="99">
        <f>SUMIFS(Input!$D$115:$D$3257,Input!$A$115:$A$3257,"="&amp;'Output - County'!A2713,Input!$B$115:$B$3257,"="&amp;'Output - County'!B2713)*VLOOKUP(A2713,'Output - State'!$B$2:$G$52,6,FALSE)</f>
        <v>1.3554595058822239</v>
      </c>
    </row>
    <row r="2714" spans="1:7" x14ac:dyDescent="0.25">
      <c r="A2714" s="88">
        <v>48</v>
      </c>
      <c r="B2714" s="88">
        <v>379</v>
      </c>
      <c r="C2714" s="97">
        <f>SUMIFS(Input!$C$115:$C$3257,Input!$A$115:$A$3257,"="&amp;'Output - County'!A2714,Input!$B$115:$B$3257,"="&amp;'Output - County'!B2714)*VLOOKUP(A2714,'Output - State'!$B$2:$G$52,2,FALSE)</f>
        <v>1.7022006505431306</v>
      </c>
      <c r="D2714" s="98">
        <f>SUMIFS(Input!$C$115:$C$3257,Input!$A$115:$A$3257,"="&amp;'Output - County'!A2714,Input!$B$115:$B$3257,"="&amp;'Output - County'!B2714)*VLOOKUP(A2714,'Output - State'!$B$2:$G$52,3,FALSE)</f>
        <v>0.28379973971741929</v>
      </c>
      <c r="E2714" s="98">
        <f>SUMIFS(Input!$C$115:$C$3257,Input!$A$115:$A$3257,"="&amp;'Output - County'!A2714,Input!$B$115:$B$3257,"="&amp;'Output - County'!B2714)*VLOOKUP(A2714,'Output - State'!$B$2:$G$52,4,FALSE)</f>
        <v>3.7346937397826223</v>
      </c>
      <c r="F2714" s="98">
        <f>SUMIFS(Input!$C$115:$C$3257,Input!$A$115:$A$3257,"="&amp;'Output - County'!A2714,Input!$B$115:$B$3257,"="&amp;'Output - County'!B2714)*VLOOKUP(A2714,'Output - State'!$B$2:$G$52,5,FALSE)</f>
        <v>6.8629752191491278</v>
      </c>
      <c r="G2714" s="99">
        <f>SUMIFS(Input!$D$115:$D$3257,Input!$A$115:$A$3257,"="&amp;'Output - County'!A2714,Input!$B$115:$B$3257,"="&amp;'Output - County'!B2714)*VLOOKUP(A2714,'Output - State'!$B$2:$G$52,6,FALSE)</f>
        <v>2.3908250759730185</v>
      </c>
    </row>
    <row r="2715" spans="1:7" x14ac:dyDescent="0.25">
      <c r="A2715" s="88">
        <v>48</v>
      </c>
      <c r="B2715" s="88">
        <v>381</v>
      </c>
      <c r="C2715" s="97">
        <f>SUMIFS(Input!$C$115:$C$3257,Input!$A$115:$A$3257,"="&amp;'Output - County'!A2715,Input!$B$115:$B$3257,"="&amp;'Output - County'!B2715)*VLOOKUP(A2715,'Output - State'!$B$2:$G$52,2,FALSE)</f>
        <v>15.208172607258653</v>
      </c>
      <c r="D2715" s="98">
        <f>SUMIFS(Input!$C$115:$C$3257,Input!$A$115:$A$3257,"="&amp;'Output - County'!A2715,Input!$B$115:$B$3257,"="&amp;'Output - County'!B2715)*VLOOKUP(A2715,'Output - State'!$B$2:$G$52,3,FALSE)</f>
        <v>2.5355855821935198</v>
      </c>
      <c r="E2715" s="98">
        <f>SUMIFS(Input!$C$115:$C$3257,Input!$A$115:$A$3257,"="&amp;'Output - County'!A2715,Input!$B$115:$B$3257,"="&amp;'Output - County'!B2715)*VLOOKUP(A2715,'Output - State'!$B$2:$G$52,4,FALSE)</f>
        <v>33.367316016322548</v>
      </c>
      <c r="F2715" s="98">
        <f>SUMIFS(Input!$C$115:$C$3257,Input!$A$115:$A$3257,"="&amp;'Output - County'!A2715,Input!$B$115:$B$3257,"="&amp;'Output - County'!B2715)*VLOOKUP(A2715,'Output - State'!$B$2:$G$52,5,FALSE)</f>
        <v>61.316691248388224</v>
      </c>
      <c r="G2715" s="99">
        <f>SUMIFS(Input!$D$115:$D$3257,Input!$A$115:$A$3257,"="&amp;'Output - County'!A2715,Input!$B$115:$B$3257,"="&amp;'Output - County'!B2715)*VLOOKUP(A2715,'Output - State'!$B$2:$G$52,6,FALSE)</f>
        <v>26.872083498539713</v>
      </c>
    </row>
    <row r="2716" spans="1:7" x14ac:dyDescent="0.25">
      <c r="A2716" s="88">
        <v>48</v>
      </c>
      <c r="B2716" s="88">
        <v>383</v>
      </c>
      <c r="C2716" s="97">
        <f>SUMIFS(Input!$C$115:$C$3257,Input!$A$115:$A$3257,"="&amp;'Output - County'!A2716,Input!$B$115:$B$3257,"="&amp;'Output - County'!B2716)*VLOOKUP(A2716,'Output - State'!$B$2:$G$52,2,FALSE)</f>
        <v>1.0081043551818103</v>
      </c>
      <c r="D2716" s="98">
        <f>SUMIFS(Input!$C$115:$C$3257,Input!$A$115:$A$3257,"="&amp;'Output - County'!A2716,Input!$B$115:$B$3257,"="&amp;'Output - County'!B2716)*VLOOKUP(A2716,'Output - State'!$B$2:$G$52,3,FALSE)</f>
        <v>0.16807639776033872</v>
      </c>
      <c r="E2716" s="98">
        <f>SUMIFS(Input!$C$115:$C$3257,Input!$A$115:$A$3257,"="&amp;'Output - County'!A2716,Input!$B$115:$B$3257,"="&amp;'Output - County'!B2716)*VLOOKUP(A2716,'Output - State'!$B$2:$G$52,4,FALSE)</f>
        <v>2.2118197541187623</v>
      </c>
      <c r="F2716" s="98">
        <f>SUMIFS(Input!$C$115:$C$3257,Input!$A$115:$A$3257,"="&amp;'Output - County'!A2716,Input!$B$115:$B$3257,"="&amp;'Output - County'!B2716)*VLOOKUP(A2716,'Output - State'!$B$2:$G$52,5,FALSE)</f>
        <v>4.0645003899637331</v>
      </c>
      <c r="G2716" s="99">
        <f>SUMIFS(Input!$D$115:$D$3257,Input!$A$115:$A$3257,"="&amp;'Output - County'!A2716,Input!$B$115:$B$3257,"="&amp;'Output - County'!B2716)*VLOOKUP(A2716,'Output - State'!$B$2:$G$52,6,FALSE)</f>
        <v>0.73898229620984213</v>
      </c>
    </row>
    <row r="2717" spans="1:7" x14ac:dyDescent="0.25">
      <c r="A2717" s="88">
        <v>48</v>
      </c>
      <c r="B2717" s="88">
        <v>385</v>
      </c>
      <c r="C2717" s="97">
        <f>SUMIFS(Input!$C$115:$C$3257,Input!$A$115:$A$3257,"="&amp;'Output - County'!A2717,Input!$B$115:$B$3257,"="&amp;'Output - County'!B2717)*VLOOKUP(A2717,'Output - State'!$B$2:$G$52,2,FALSE)</f>
        <v>0.51872888796188099</v>
      </c>
      <c r="D2717" s="98">
        <f>SUMIFS(Input!$C$115:$C$3257,Input!$A$115:$A$3257,"="&amp;'Output - County'!A2717,Input!$B$115:$B$3257,"="&amp;'Output - County'!B2717)*VLOOKUP(A2717,'Output - State'!$B$2:$G$52,3,FALSE)</f>
        <v>8.6485176316032683E-2</v>
      </c>
      <c r="E2717" s="98">
        <f>SUMIFS(Input!$C$115:$C$3257,Input!$A$115:$A$3257,"="&amp;'Output - County'!A2717,Input!$B$115:$B$3257,"="&amp;'Output - County'!B2717)*VLOOKUP(A2717,'Output - State'!$B$2:$G$52,4,FALSE)</f>
        <v>1.138111144474945</v>
      </c>
      <c r="F2717" s="98">
        <f>SUMIFS(Input!$C$115:$C$3257,Input!$A$115:$A$3257,"="&amp;'Output - County'!A2717,Input!$B$115:$B$3257,"="&amp;'Output - County'!B2717)*VLOOKUP(A2717,'Output - State'!$B$2:$G$52,5,FALSE)</f>
        <v>2.0914241234740789</v>
      </c>
      <c r="G2717" s="99">
        <f>SUMIFS(Input!$D$115:$D$3257,Input!$A$115:$A$3257,"="&amp;'Output - County'!A2717,Input!$B$115:$B$3257,"="&amp;'Output - County'!B2717)*VLOOKUP(A2717,'Output - State'!$B$2:$G$52,6,FALSE)</f>
        <v>0.68760919540381027</v>
      </c>
    </row>
    <row r="2718" spans="1:7" x14ac:dyDescent="0.25">
      <c r="A2718" s="88">
        <v>48</v>
      </c>
      <c r="B2718" s="88">
        <v>387</v>
      </c>
      <c r="C2718" s="97">
        <f>SUMIFS(Input!$C$115:$C$3257,Input!$A$115:$A$3257,"="&amp;'Output - County'!A2718,Input!$B$115:$B$3257,"="&amp;'Output - County'!B2718)*VLOOKUP(A2718,'Output - State'!$B$2:$G$52,2,FALSE)</f>
        <v>2.085424515404549</v>
      </c>
      <c r="D2718" s="98">
        <f>SUMIFS(Input!$C$115:$C$3257,Input!$A$115:$A$3257,"="&amp;'Output - County'!A2718,Input!$B$115:$B$3257,"="&amp;'Output - County'!B2718)*VLOOKUP(A2718,'Output - State'!$B$2:$G$52,3,FALSE)</f>
        <v>0.34769281428913423</v>
      </c>
      <c r="E2718" s="98">
        <f>SUMIFS(Input!$C$115:$C$3257,Input!$A$115:$A$3257,"="&amp;'Output - County'!A2718,Input!$B$115:$B$3257,"="&amp;'Output - County'!B2718)*VLOOKUP(A2718,'Output - State'!$B$2:$G$52,4,FALSE)</f>
        <v>4.5755016484017217</v>
      </c>
      <c r="F2718" s="98">
        <f>SUMIFS(Input!$C$115:$C$3257,Input!$A$115:$A$3257,"="&amp;'Output - County'!A2718,Input!$B$115:$B$3257,"="&amp;'Output - County'!B2718)*VLOOKUP(A2718,'Output - State'!$B$2:$G$52,5,FALSE)</f>
        <v>8.4080667963913758</v>
      </c>
      <c r="G2718" s="99">
        <f>SUMIFS(Input!$D$115:$D$3257,Input!$A$115:$A$3257,"="&amp;'Output - County'!A2718,Input!$B$115:$B$3257,"="&amp;'Output - County'!B2718)*VLOOKUP(A2718,'Output - State'!$B$2:$G$52,6,FALSE)</f>
        <v>2.3908250759730185</v>
      </c>
    </row>
    <row r="2719" spans="1:7" x14ac:dyDescent="0.25">
      <c r="A2719" s="88">
        <v>48</v>
      </c>
      <c r="B2719" s="88">
        <v>389</v>
      </c>
      <c r="C2719" s="97">
        <f>SUMIFS(Input!$C$115:$C$3257,Input!$A$115:$A$3257,"="&amp;'Output - County'!A2719,Input!$B$115:$B$3257,"="&amp;'Output - County'!B2719)*VLOOKUP(A2719,'Output - State'!$B$2:$G$52,2,FALSE)</f>
        <v>9.2500733607067414</v>
      </c>
      <c r="D2719" s="98">
        <f>SUMIFS(Input!$C$115:$C$3257,Input!$A$115:$A$3257,"="&amp;'Output - County'!A2719,Input!$B$115:$B$3257,"="&amp;'Output - County'!B2719)*VLOOKUP(A2719,'Output - State'!$B$2:$G$52,3,FALSE)</f>
        <v>1.5422203083390786</v>
      </c>
      <c r="E2719" s="98">
        <f>SUMIFS(Input!$C$115:$C$3257,Input!$A$115:$A$3257,"="&amp;'Output - County'!A2719,Input!$B$115:$B$3257,"="&amp;'Output - County'!B2719)*VLOOKUP(A2719,'Output - State'!$B$2:$G$52,4,FALSE)</f>
        <v>20.295016960391024</v>
      </c>
      <c r="F2719" s="98">
        <f>SUMIFS(Input!$C$115:$C$3257,Input!$A$115:$A$3257,"="&amp;'Output - County'!A2719,Input!$B$115:$B$3257,"="&amp;'Output - County'!B2719)*VLOOKUP(A2719,'Output - State'!$B$2:$G$52,5,FALSE)</f>
        <v>37.294677469184364</v>
      </c>
      <c r="G2719" s="99">
        <f>SUMIFS(Input!$D$115:$D$3257,Input!$A$115:$A$3257,"="&amp;'Output - County'!A2719,Input!$B$115:$B$3257,"="&amp;'Output - County'!B2719)*VLOOKUP(A2719,'Output - State'!$B$2:$G$52,6,FALSE)</f>
        <v>3.0626271634365114</v>
      </c>
    </row>
    <row r="2720" spans="1:7" x14ac:dyDescent="0.25">
      <c r="A2720" s="88">
        <v>48</v>
      </c>
      <c r="B2720" s="88">
        <v>391</v>
      </c>
      <c r="C2720" s="97">
        <f>SUMIFS(Input!$C$115:$C$3257,Input!$A$115:$A$3257,"="&amp;'Output - County'!A2720,Input!$B$115:$B$3257,"="&amp;'Output - County'!B2720)*VLOOKUP(A2720,'Output - State'!$B$2:$G$52,2,FALSE)</f>
        <v>3.7027115428875015</v>
      </c>
      <c r="D2720" s="98">
        <f>SUMIFS(Input!$C$115:$C$3257,Input!$A$115:$A$3257,"="&amp;'Output - County'!A2720,Input!$B$115:$B$3257,"="&amp;'Output - County'!B2720)*VLOOKUP(A2720,'Output - State'!$B$2:$G$52,3,FALSE)</f>
        <v>0.61733531342786363</v>
      </c>
      <c r="E2720" s="98">
        <f>SUMIFS(Input!$C$115:$C$3257,Input!$A$115:$A$3257,"="&amp;'Output - County'!A2720,Input!$B$115:$B$3257,"="&amp;'Output - County'!B2720)*VLOOKUP(A2720,'Output - State'!$B$2:$G$52,4,FALSE)</f>
        <v>8.1238916311249643</v>
      </c>
      <c r="F2720" s="98">
        <f>SUMIFS(Input!$C$115:$C$3257,Input!$A$115:$A$3257,"="&amp;'Output - County'!A2720,Input!$B$115:$B$3257,"="&amp;'Output - County'!B2720)*VLOOKUP(A2720,'Output - State'!$B$2:$G$52,5,FALSE)</f>
        <v>14.928685143191627</v>
      </c>
      <c r="G2720" s="99">
        <f>SUMIFS(Input!$D$115:$D$3257,Input!$A$115:$A$3257,"="&amp;'Output - County'!A2720,Input!$B$115:$B$3257,"="&amp;'Output - County'!B2720)*VLOOKUP(A2720,'Output - State'!$B$2:$G$52,6,FALSE)</f>
        <v>1.3831219447777794</v>
      </c>
    </row>
    <row r="2721" spans="1:7" x14ac:dyDescent="0.25">
      <c r="A2721" s="88">
        <v>48</v>
      </c>
      <c r="B2721" s="88">
        <v>393</v>
      </c>
      <c r="C2721" s="97">
        <f>SUMIFS(Input!$C$115:$C$3257,Input!$A$115:$A$3257,"="&amp;'Output - County'!A2721,Input!$B$115:$B$3257,"="&amp;'Output - County'!B2721)*VLOOKUP(A2721,'Output - State'!$B$2:$G$52,2,FALSE)</f>
        <v>0.38757433929091067</v>
      </c>
      <c r="D2721" s="98">
        <f>SUMIFS(Input!$C$115:$C$3257,Input!$A$115:$A$3257,"="&amp;'Output - County'!A2721,Input!$B$115:$B$3257,"="&amp;'Output - County'!B2721)*VLOOKUP(A2721,'Output - State'!$B$2:$G$52,3,FALSE)</f>
        <v>6.4618408280372214E-2</v>
      </c>
      <c r="E2721" s="98">
        <f>SUMIFS(Input!$C$115:$C$3257,Input!$A$115:$A$3257,"="&amp;'Output - County'!A2721,Input!$B$115:$B$3257,"="&amp;'Output - County'!B2721)*VLOOKUP(A2721,'Output - State'!$B$2:$G$52,4,FALSE)</f>
        <v>0.85035301695384591</v>
      </c>
      <c r="F2721" s="98">
        <f>SUMIFS(Input!$C$115:$C$3257,Input!$A$115:$A$3257,"="&amp;'Output - County'!A2721,Input!$B$115:$B$3257,"="&amp;'Output - County'!B2721)*VLOOKUP(A2721,'Output - State'!$B$2:$G$52,5,FALSE)</f>
        <v>1.5626319290166544</v>
      </c>
      <c r="G2721" s="99">
        <f>SUMIFS(Input!$D$115:$D$3257,Input!$A$115:$A$3257,"="&amp;'Output - County'!A2721,Input!$B$115:$B$3257,"="&amp;'Output - County'!B2721)*VLOOKUP(A2721,'Output - State'!$B$2:$G$52,6,FALSE)</f>
        <v>0.17743478663006368</v>
      </c>
    </row>
    <row r="2722" spans="1:7" x14ac:dyDescent="0.25">
      <c r="A2722" s="88">
        <v>48</v>
      </c>
      <c r="B2722" s="88">
        <v>395</v>
      </c>
      <c r="C2722" s="97">
        <f>SUMIFS(Input!$C$115:$C$3257,Input!$A$115:$A$3257,"="&amp;'Output - County'!A2722,Input!$B$115:$B$3257,"="&amp;'Output - County'!B2722)*VLOOKUP(A2722,'Output - State'!$B$2:$G$52,2,FALSE)</f>
        <v>4.257245123869235</v>
      </c>
      <c r="D2722" s="98">
        <f>SUMIFS(Input!$C$115:$C$3257,Input!$A$115:$A$3257,"="&amp;'Output - County'!A2722,Input!$B$115:$B$3257,"="&amp;'Output - County'!B2722)*VLOOKUP(A2722,'Output - State'!$B$2:$G$52,3,FALSE)</f>
        <v>0.70979003426055132</v>
      </c>
      <c r="E2722" s="98">
        <f>SUMIFS(Input!$C$115:$C$3257,Input!$A$115:$A$3257,"="&amp;'Output - County'!A2722,Input!$B$115:$B$3257,"="&amp;'Output - County'!B2722)*VLOOKUP(A2722,'Output - State'!$B$2:$G$52,4,FALSE)</f>
        <v>9.3405596500984682</v>
      </c>
      <c r="F2722" s="98">
        <f>SUMIFS(Input!$C$115:$C$3257,Input!$A$115:$A$3257,"="&amp;'Output - County'!A2722,Input!$B$115:$B$3257,"="&amp;'Output - County'!B2722)*VLOOKUP(A2722,'Output - State'!$B$2:$G$52,5,FALSE)</f>
        <v>17.16446752481</v>
      </c>
      <c r="G2722" s="99">
        <f>SUMIFS(Input!$D$115:$D$3257,Input!$A$115:$A$3257,"="&amp;'Output - County'!A2722,Input!$B$115:$B$3257,"="&amp;'Output - County'!B2722)*VLOOKUP(A2722,'Output - State'!$B$2:$G$52,6,FALSE)</f>
        <v>3.3985282071682579</v>
      </c>
    </row>
    <row r="2723" spans="1:7" x14ac:dyDescent="0.25">
      <c r="A2723" s="88">
        <v>48</v>
      </c>
      <c r="B2723" s="88">
        <v>397</v>
      </c>
      <c r="C2723" s="97">
        <f>SUMIFS(Input!$C$115:$C$3257,Input!$A$115:$A$3257,"="&amp;'Output - County'!A2723,Input!$B$115:$B$3257,"="&amp;'Output - County'!B2723)*VLOOKUP(A2723,'Output - State'!$B$2:$G$52,2,FALSE)</f>
        <v>15.662138780332</v>
      </c>
      <c r="D2723" s="98">
        <f>SUMIFS(Input!$C$115:$C$3257,Input!$A$115:$A$3257,"="&amp;'Output - County'!A2723,Input!$B$115:$B$3257,"="&amp;'Output - County'!B2723)*VLOOKUP(A2723,'Output - State'!$B$2:$G$52,3,FALSE)</f>
        <v>2.6112731820764243</v>
      </c>
      <c r="E2723" s="98">
        <f>SUMIFS(Input!$C$115:$C$3257,Input!$A$115:$A$3257,"="&amp;'Output - County'!A2723,Input!$B$115:$B$3257,"="&amp;'Output - County'!B2723)*VLOOKUP(A2723,'Output - State'!$B$2:$G$52,4,FALSE)</f>
        <v>34.363335271813447</v>
      </c>
      <c r="F2723" s="98">
        <f>SUMIFS(Input!$C$115:$C$3257,Input!$A$115:$A$3257,"="&amp;'Output - County'!A2723,Input!$B$115:$B$3257,"="&amp;'Output - County'!B2723)*VLOOKUP(A2723,'Output - State'!$B$2:$G$52,5,FALSE)</f>
        <v>63.147003435814689</v>
      </c>
      <c r="G2723" s="99">
        <f>SUMIFS(Input!$D$115:$D$3257,Input!$A$115:$A$3257,"="&amp;'Output - County'!A2723,Input!$B$115:$B$3257,"="&amp;'Output - County'!B2723)*VLOOKUP(A2723,'Output - State'!$B$2:$G$52,6,FALSE)</f>
        <v>19.956473774650817</v>
      </c>
    </row>
    <row r="2724" spans="1:7" x14ac:dyDescent="0.25">
      <c r="A2724" s="88">
        <v>48</v>
      </c>
      <c r="B2724" s="88">
        <v>399</v>
      </c>
      <c r="C2724" s="97">
        <f>SUMIFS(Input!$C$115:$C$3257,Input!$A$115:$A$3257,"="&amp;'Output - County'!A2724,Input!$B$115:$B$3257,"="&amp;'Output - County'!B2724)*VLOOKUP(A2724,'Output - State'!$B$2:$G$52,2,FALSE)</f>
        <v>2.0643851478908264</v>
      </c>
      <c r="D2724" s="98">
        <f>SUMIFS(Input!$C$115:$C$3257,Input!$A$115:$A$3257,"="&amp;'Output - County'!A2724,Input!$B$115:$B$3257,"="&amp;'Output - County'!B2724)*VLOOKUP(A2724,'Output - State'!$B$2:$G$52,3,FALSE)</f>
        <v>0.3441850215842564</v>
      </c>
      <c r="E2724" s="98">
        <f>SUMIFS(Input!$C$115:$C$3257,Input!$A$115:$A$3257,"="&amp;'Output - County'!A2724,Input!$B$115:$B$3257,"="&amp;'Output - County'!B2724)*VLOOKUP(A2724,'Output - State'!$B$2:$G$52,4,FALSE)</f>
        <v>4.529340466335781</v>
      </c>
      <c r="F2724" s="98">
        <f>SUMIFS(Input!$C$115:$C$3257,Input!$A$115:$A$3257,"="&amp;'Output - County'!A2724,Input!$B$115:$B$3257,"="&amp;'Output - County'!B2724)*VLOOKUP(A2724,'Output - State'!$B$2:$G$52,5,FALSE)</f>
        <v>8.3232397474608195</v>
      </c>
      <c r="G2724" s="99">
        <f>SUMIFS(Input!$D$115:$D$3257,Input!$A$115:$A$3257,"="&amp;'Output - County'!A2724,Input!$B$115:$B$3257,"="&amp;'Output - County'!B2724)*VLOOKUP(A2724,'Output - State'!$B$2:$G$52,6,FALSE)</f>
        <v>2.0154062623904787</v>
      </c>
    </row>
    <row r="2725" spans="1:7" x14ac:dyDescent="0.25">
      <c r="A2725" s="88">
        <v>48</v>
      </c>
      <c r="B2725" s="88">
        <v>401</v>
      </c>
      <c r="C2725" s="97">
        <f>SUMIFS(Input!$C$115:$C$3257,Input!$A$115:$A$3257,"="&amp;'Output - County'!A2725,Input!$B$115:$B$3257,"="&amp;'Output - County'!B2725)*VLOOKUP(A2725,'Output - State'!$B$2:$G$52,2,FALSE)</f>
        <v>7.0686014211601771</v>
      </c>
      <c r="D2725" s="98">
        <f>SUMIFS(Input!$C$115:$C$3257,Input!$A$115:$A$3257,"="&amp;'Output - County'!A2725,Input!$B$115:$B$3257,"="&amp;'Output - County'!B2725)*VLOOKUP(A2725,'Output - State'!$B$2:$G$52,3,FALSE)</f>
        <v>1.1785139682864951</v>
      </c>
      <c r="E2725" s="98">
        <f>SUMIFS(Input!$C$115:$C$3257,Input!$A$115:$A$3257,"="&amp;'Output - County'!A2725,Input!$B$115:$B$3257,"="&amp;'Output - County'!B2725)*VLOOKUP(A2725,'Output - State'!$B$2:$G$52,4,FALSE)</f>
        <v>15.508783566850457</v>
      </c>
      <c r="F2725" s="98">
        <f>SUMIFS(Input!$C$115:$C$3257,Input!$A$115:$A$3257,"="&amp;'Output - County'!A2725,Input!$B$115:$B$3257,"="&amp;'Output - County'!B2725)*VLOOKUP(A2725,'Output - State'!$B$2:$G$52,5,FALSE)</f>
        <v>28.499364262365738</v>
      </c>
      <c r="G2725" s="99">
        <f>SUMIFS(Input!$D$115:$D$3257,Input!$A$115:$A$3257,"="&amp;'Output - County'!A2725,Input!$B$115:$B$3257,"="&amp;'Output - County'!B2725)*VLOOKUP(A2725,'Output - State'!$B$2:$G$52,6,FALSE)</f>
        <v>10.729074514490488</v>
      </c>
    </row>
    <row r="2726" spans="1:7" x14ac:dyDescent="0.25">
      <c r="A2726" s="88">
        <v>48</v>
      </c>
      <c r="B2726" s="88">
        <v>403</v>
      </c>
      <c r="C2726" s="97">
        <f>SUMIFS(Input!$C$115:$C$3257,Input!$A$115:$A$3257,"="&amp;'Output - County'!A2726,Input!$B$115:$B$3257,"="&amp;'Output - County'!B2726)*VLOOKUP(A2726,'Output - State'!$B$2:$G$52,2,FALSE)</f>
        <v>1.4410134736429412</v>
      </c>
      <c r="D2726" s="98">
        <f>SUMIFS(Input!$C$115:$C$3257,Input!$A$115:$A$3257,"="&amp;'Output - County'!A2726,Input!$B$115:$B$3257,"="&amp;'Output - County'!B2726)*VLOOKUP(A2726,'Output - State'!$B$2:$G$52,3,FALSE)</f>
        <v>0.24025325605337541</v>
      </c>
      <c r="E2726" s="98">
        <f>SUMIFS(Input!$C$115:$C$3257,Input!$A$115:$A$3257,"="&amp;'Output - County'!A2726,Input!$B$115:$B$3257,"="&amp;'Output - County'!B2726)*VLOOKUP(A2726,'Output - State'!$B$2:$G$52,4,FALSE)</f>
        <v>3.161639021368909</v>
      </c>
      <c r="F2726" s="98">
        <f>SUMIFS(Input!$C$115:$C$3257,Input!$A$115:$A$3257,"="&amp;'Output - County'!A2726,Input!$B$115:$B$3257,"="&amp;'Output - County'!B2726)*VLOOKUP(A2726,'Output - State'!$B$2:$G$52,5,FALSE)</f>
        <v>5.8099142171729099</v>
      </c>
      <c r="G2726" s="99">
        <f>SUMIFS(Input!$D$115:$D$3257,Input!$A$115:$A$3257,"="&amp;'Output - County'!A2726,Input!$B$115:$B$3257,"="&amp;'Output - County'!B2726)*VLOOKUP(A2726,'Output - State'!$B$2:$G$52,6,FALSE)</f>
        <v>2.0944418020920659</v>
      </c>
    </row>
    <row r="2727" spans="1:7" x14ac:dyDescent="0.25">
      <c r="A2727" s="88">
        <v>48</v>
      </c>
      <c r="B2727" s="88">
        <v>405</v>
      </c>
      <c r="C2727" s="97">
        <f>SUMIFS(Input!$C$115:$C$3257,Input!$A$115:$A$3257,"="&amp;'Output - County'!A2727,Input!$B$115:$B$3257,"="&amp;'Output - County'!B2727)*VLOOKUP(A2727,'Output - State'!$B$2:$G$52,2,FALSE)</f>
        <v>1.5394683107978437</v>
      </c>
      <c r="D2727" s="98">
        <f>SUMIFS(Input!$C$115:$C$3257,Input!$A$115:$A$3257,"="&amp;'Output - County'!A2727,Input!$B$115:$B$3257,"="&amp;'Output - County'!B2727)*VLOOKUP(A2727,'Output - State'!$B$2:$G$52,3,FALSE)</f>
        <v>0.25666815822696276</v>
      </c>
      <c r="E2727" s="98">
        <f>SUMIFS(Input!$C$115:$C$3257,Input!$A$115:$A$3257,"="&amp;'Output - County'!A2727,Input!$B$115:$B$3257,"="&amp;'Output - County'!B2727)*VLOOKUP(A2727,'Output - State'!$B$2:$G$52,4,FALSE)</f>
        <v>3.377652723311984</v>
      </c>
      <c r="F2727" s="98">
        <f>SUMIFS(Input!$C$115:$C$3257,Input!$A$115:$A$3257,"="&amp;'Output - County'!A2727,Input!$B$115:$B$3257,"="&amp;'Output - County'!B2727)*VLOOKUP(A2727,'Output - State'!$B$2:$G$52,5,FALSE)</f>
        <v>6.2068668956857875</v>
      </c>
      <c r="G2727" s="99">
        <f>SUMIFS(Input!$D$115:$D$3257,Input!$A$115:$A$3257,"="&amp;'Output - County'!A2727,Input!$B$115:$B$3257,"="&amp;'Output - County'!B2727)*VLOOKUP(A2727,'Output - State'!$B$2:$G$52,6,FALSE)</f>
        <v>1.63010800634524</v>
      </c>
    </row>
    <row r="2728" spans="1:7" x14ac:dyDescent="0.25">
      <c r="A2728" s="88">
        <v>48</v>
      </c>
      <c r="B2728" s="88">
        <v>407</v>
      </c>
      <c r="C2728" s="97">
        <f>SUMIFS(Input!$C$115:$C$3257,Input!$A$115:$A$3257,"="&amp;'Output - County'!A2728,Input!$B$115:$B$3257,"="&amp;'Output - County'!B2728)*VLOOKUP(A2728,'Output - State'!$B$2:$G$52,2,FALSE)</f>
        <v>4.0784666822283411</v>
      </c>
      <c r="D2728" s="98">
        <f>SUMIFS(Input!$C$115:$C$3257,Input!$A$115:$A$3257,"="&amp;'Output - County'!A2728,Input!$B$115:$B$3257,"="&amp;'Output - County'!B2728)*VLOOKUP(A2728,'Output - State'!$B$2:$G$52,3,FALSE)</f>
        <v>0.67998316326177533</v>
      </c>
      <c r="E2728" s="98">
        <f>SUMIFS(Input!$C$115:$C$3257,Input!$A$115:$A$3257,"="&amp;'Output - County'!A2728,Input!$B$115:$B$3257,"="&amp;'Output - County'!B2728)*VLOOKUP(A2728,'Output - State'!$B$2:$G$52,4,FALSE)</f>
        <v>8.9483128685035354</v>
      </c>
      <c r="F2728" s="98">
        <f>SUMIFS(Input!$C$115:$C$3257,Input!$A$115:$A$3257,"="&amp;'Output - County'!A2728,Input!$B$115:$B$3257,"="&amp;'Output - County'!B2728)*VLOOKUP(A2728,'Output - State'!$B$2:$G$52,5,FALSE)</f>
        <v>16.443664125805267</v>
      </c>
      <c r="G2728" s="99">
        <f>SUMIFS(Input!$D$115:$D$3257,Input!$A$115:$A$3257,"="&amp;'Output - County'!A2728,Input!$B$115:$B$3257,"="&amp;'Output - County'!B2728)*VLOOKUP(A2728,'Output - State'!$B$2:$G$52,6,FALSE)</f>
        <v>5.6707999735888954</v>
      </c>
    </row>
    <row r="2729" spans="1:7" x14ac:dyDescent="0.25">
      <c r="A2729" s="88">
        <v>48</v>
      </c>
      <c r="B2729" s="88">
        <v>409</v>
      </c>
      <c r="C2729" s="97">
        <f>SUMIFS(Input!$C$115:$C$3257,Input!$A$115:$A$3257,"="&amp;'Output - County'!A2729,Input!$B$115:$B$3257,"="&amp;'Output - County'!B2729)*VLOOKUP(A2729,'Output - State'!$B$2:$G$52,2,FALSE)</f>
        <v>13.761776380870726</v>
      </c>
      <c r="D2729" s="98">
        <f>SUMIFS(Input!$C$115:$C$3257,Input!$A$115:$A$3257,"="&amp;'Output - County'!A2729,Input!$B$115:$B$3257,"="&amp;'Output - County'!B2729)*VLOOKUP(A2729,'Output - State'!$B$2:$G$52,3,FALSE)</f>
        <v>2.2944348856254182</v>
      </c>
      <c r="E2729" s="98">
        <f>SUMIFS(Input!$C$115:$C$3257,Input!$A$115:$A$3257,"="&amp;'Output - County'!A2729,Input!$B$115:$B$3257,"="&amp;'Output - County'!B2729)*VLOOKUP(A2729,'Output - State'!$B$2:$G$52,4,FALSE)</f>
        <v>30.193867028265466</v>
      </c>
      <c r="F2729" s="98">
        <f>SUMIFS(Input!$C$115:$C$3257,Input!$A$115:$A$3257,"="&amp;'Output - County'!A2729,Input!$B$115:$B$3257,"="&amp;'Output - County'!B2729)*VLOOKUP(A2729,'Output - State'!$B$2:$G$52,5,FALSE)</f>
        <v>55.485074713872258</v>
      </c>
      <c r="G2729" s="99">
        <f>SUMIFS(Input!$D$115:$D$3257,Input!$A$115:$A$3257,"="&amp;'Output - County'!A2729,Input!$B$115:$B$3257,"="&amp;'Output - County'!B2729)*VLOOKUP(A2729,'Output - State'!$B$2:$G$52,6,FALSE)</f>
        <v>13.179176245239697</v>
      </c>
    </row>
    <row r="2730" spans="1:7" x14ac:dyDescent="0.25">
      <c r="A2730" s="88">
        <v>48</v>
      </c>
      <c r="B2730" s="88">
        <v>411</v>
      </c>
      <c r="C2730" s="97">
        <f>SUMIFS(Input!$C$115:$C$3257,Input!$A$115:$A$3257,"="&amp;'Output - County'!A2730,Input!$B$115:$B$3257,"="&amp;'Output - County'!B2730)*VLOOKUP(A2730,'Output - State'!$B$2:$G$52,2,FALSE)</f>
        <v>0.92025136627571735</v>
      </c>
      <c r="D2730" s="98">
        <f>SUMIFS(Input!$C$115:$C$3257,Input!$A$115:$A$3257,"="&amp;'Output - County'!A2730,Input!$B$115:$B$3257,"="&amp;'Output - County'!B2730)*VLOOKUP(A2730,'Output - State'!$B$2:$G$52,3,FALSE)</f>
        <v>0.15342909083034131</v>
      </c>
      <c r="E2730" s="98">
        <f>SUMIFS(Input!$C$115:$C$3257,Input!$A$115:$A$3257,"="&amp;'Output - County'!A2730,Input!$B$115:$B$3257,"="&amp;'Output - County'!B2730)*VLOOKUP(A2730,'Output - State'!$B$2:$G$52,4,FALSE)</f>
        <v>2.0190669152662521</v>
      </c>
      <c r="F2730" s="98">
        <f>SUMIFS(Input!$C$115:$C$3257,Input!$A$115:$A$3257,"="&amp;'Output - County'!A2730,Input!$B$115:$B$3257,"="&amp;'Output - County'!B2730)*VLOOKUP(A2730,'Output - State'!$B$2:$G$52,5,FALSE)</f>
        <v>3.7102925087728065</v>
      </c>
      <c r="G2730" s="99">
        <f>SUMIFS(Input!$D$115:$D$3257,Input!$A$115:$A$3257,"="&amp;'Output - County'!A2730,Input!$B$115:$B$3257,"="&amp;'Output - County'!B2730)*VLOOKUP(A2730,'Output - State'!$B$2:$G$52,6,FALSE)</f>
        <v>1.1973884264790491</v>
      </c>
    </row>
    <row r="2731" spans="1:7" x14ac:dyDescent="0.25">
      <c r="A2731" s="88">
        <v>48</v>
      </c>
      <c r="B2731" s="88">
        <v>413</v>
      </c>
      <c r="C2731" s="97">
        <f>SUMIFS(Input!$C$115:$C$3257,Input!$A$115:$A$3257,"="&amp;'Output - County'!A2731,Input!$B$115:$B$3257,"="&amp;'Output - County'!B2731)*VLOOKUP(A2731,'Output - State'!$B$2:$G$52,2,FALSE)</f>
        <v>0.67628557443216897</v>
      </c>
      <c r="D2731" s="98">
        <f>SUMIFS(Input!$C$115:$C$3257,Input!$A$115:$A$3257,"="&amp;'Output - County'!A2731,Input!$B$115:$B$3257,"="&amp;'Output - County'!B2731)*VLOOKUP(A2731,'Output - State'!$B$2:$G$52,3,FALSE)</f>
        <v>0.11275384599180764</v>
      </c>
      <c r="E2731" s="98">
        <f>SUMIFS(Input!$C$115:$C$3257,Input!$A$115:$A$3257,"="&amp;'Output - County'!A2731,Input!$B$115:$B$3257,"="&amp;'Output - County'!B2731)*VLOOKUP(A2731,'Output - State'!$B$2:$G$52,4,FALSE)</f>
        <v>1.483796578465189</v>
      </c>
      <c r="F2731" s="98">
        <f>SUMIFS(Input!$C$115:$C$3257,Input!$A$115:$A$3257,"="&amp;'Output - County'!A2731,Input!$B$115:$B$3257,"="&amp;'Output - County'!B2731)*VLOOKUP(A2731,'Output - State'!$B$2:$G$52,5,FALSE)</f>
        <v>2.7266651184248301</v>
      </c>
      <c r="G2731" s="99">
        <f>SUMIFS(Input!$D$115:$D$3257,Input!$A$115:$A$3257,"="&amp;'Output - County'!A2731,Input!$B$115:$B$3257,"="&amp;'Output - County'!B2731)*VLOOKUP(A2731,'Output - State'!$B$2:$G$52,6,FALSE)</f>
        <v>0.56905588585142919</v>
      </c>
    </row>
    <row r="2732" spans="1:7" x14ac:dyDescent="0.25">
      <c r="A2732" s="88">
        <v>48</v>
      </c>
      <c r="B2732" s="88">
        <v>415</v>
      </c>
      <c r="C2732" s="97">
        <f>SUMIFS(Input!$C$115:$C$3257,Input!$A$115:$A$3257,"="&amp;'Output - County'!A2732,Input!$B$115:$B$3257,"="&amp;'Output - County'!B2732)*VLOOKUP(A2732,'Output - State'!$B$2:$G$52,2,FALSE)</f>
        <v>2.9834417548088519</v>
      </c>
      <c r="D2732" s="98">
        <f>SUMIFS(Input!$C$115:$C$3257,Input!$A$115:$A$3257,"="&amp;'Output - County'!A2732,Input!$B$115:$B$3257,"="&amp;'Output - County'!B2732)*VLOOKUP(A2732,'Output - State'!$B$2:$G$52,3,FALSE)</f>
        <v>0.49741491592467169</v>
      </c>
      <c r="E2732" s="98">
        <f>SUMIFS(Input!$C$115:$C$3257,Input!$A$115:$A$3257,"="&amp;'Output - County'!A2732,Input!$B$115:$B$3257,"="&amp;'Output - County'!B2732)*VLOOKUP(A2732,'Output - State'!$B$2:$G$52,4,FALSE)</f>
        <v>6.5457860335886275</v>
      </c>
      <c r="F2732" s="98">
        <f>SUMIFS(Input!$C$115:$C$3257,Input!$A$115:$A$3257,"="&amp;'Output - County'!A2732,Input!$B$115:$B$3257,"="&amp;'Output - County'!B2732)*VLOOKUP(A2732,'Output - State'!$B$2:$G$52,5,FALSE)</f>
        <v>12.028715195529255</v>
      </c>
      <c r="G2732" s="99">
        <f>SUMIFS(Input!$D$115:$D$3257,Input!$A$115:$A$3257,"="&amp;'Output - County'!A2732,Input!$B$115:$B$3257,"="&amp;'Output - County'!B2732)*VLOOKUP(A2732,'Output - State'!$B$2:$G$52,6,FALSE)</f>
        <v>3.3194926674666707</v>
      </c>
    </row>
    <row r="2733" spans="1:7" x14ac:dyDescent="0.25">
      <c r="A2733" s="88">
        <v>48</v>
      </c>
      <c r="B2733" s="88">
        <v>417</v>
      </c>
      <c r="C2733" s="97">
        <f>SUMIFS(Input!$C$115:$C$3257,Input!$A$115:$A$3257,"="&amp;'Output - County'!A2733,Input!$B$115:$B$3257,"="&amp;'Output - County'!B2733)*VLOOKUP(A2733,'Output - State'!$B$2:$G$52,2,FALSE)</f>
        <v>0.71175643795076537</v>
      </c>
      <c r="D2733" s="98">
        <f>SUMIFS(Input!$C$115:$C$3257,Input!$A$115:$A$3257,"="&amp;'Output - County'!A2733,Input!$B$115:$B$3257,"="&amp;'Output - County'!B2733)*VLOOKUP(A2733,'Output - State'!$B$2:$G$52,3,FALSE)</f>
        <v>0.11866773271892044</v>
      </c>
      <c r="E2733" s="98">
        <f>SUMIFS(Input!$C$115:$C$3257,Input!$A$115:$A$3257,"="&amp;'Output - County'!A2733,Input!$B$115:$B$3257,"="&amp;'Output - County'!B2733)*VLOOKUP(A2733,'Output - State'!$B$2:$G$52,4,FALSE)</f>
        <v>1.5616210181899166</v>
      </c>
      <c r="F2733" s="98">
        <f>SUMIFS(Input!$C$115:$C$3257,Input!$A$115:$A$3257,"="&amp;'Output - County'!A2733,Input!$B$115:$B$3257,"="&amp;'Output - County'!B2733)*VLOOKUP(A2733,'Output - State'!$B$2:$G$52,5,FALSE)</f>
        <v>2.869677434424283</v>
      </c>
      <c r="G2733" s="99">
        <f>SUMIFS(Input!$D$115:$D$3257,Input!$A$115:$A$3257,"="&amp;'Output - County'!A2733,Input!$B$115:$B$3257,"="&amp;'Output - County'!B2733)*VLOOKUP(A2733,'Output - State'!$B$2:$G$52,6,FALSE)</f>
        <v>0.64413964856793726</v>
      </c>
    </row>
    <row r="2734" spans="1:7" x14ac:dyDescent="0.25">
      <c r="A2734" s="88">
        <v>48</v>
      </c>
      <c r="B2734" s="88">
        <v>419</v>
      </c>
      <c r="C2734" s="97">
        <f>SUMIFS(Input!$C$115:$C$3257,Input!$A$115:$A$3257,"="&amp;'Output - County'!A2734,Input!$B$115:$B$3257,"="&amp;'Output - County'!B2734)*VLOOKUP(A2734,'Output - State'!$B$2:$G$52,2,FALSE)</f>
        <v>4.0133683783617835</v>
      </c>
      <c r="D2734" s="98">
        <f>SUMIFS(Input!$C$115:$C$3257,Input!$A$115:$A$3257,"="&amp;'Output - County'!A2734,Input!$B$115:$B$3257,"="&amp;'Output - County'!B2734)*VLOOKUP(A2734,'Output - State'!$B$2:$G$52,3,FALSE)</f>
        <v>0.66912963568999373</v>
      </c>
      <c r="E2734" s="98">
        <f>SUMIFS(Input!$C$115:$C$3257,Input!$A$115:$A$3257,"="&amp;'Output - County'!A2734,Input!$B$115:$B$3257,"="&amp;'Output - County'!B2734)*VLOOKUP(A2734,'Output - State'!$B$2:$G$52,4,FALSE)</f>
        <v>8.8054846843859202</v>
      </c>
      <c r="F2734" s="98">
        <f>SUMIFS(Input!$C$115:$C$3257,Input!$A$115:$A$3257,"="&amp;'Output - County'!A2734,Input!$B$115:$B$3257,"="&amp;'Output - County'!B2734)*VLOOKUP(A2734,'Output - State'!$B$2:$G$52,5,FALSE)</f>
        <v>16.181199153710306</v>
      </c>
      <c r="G2734" s="99">
        <f>SUMIFS(Input!$D$115:$D$3257,Input!$A$115:$A$3257,"="&amp;'Output - County'!A2734,Input!$B$115:$B$3257,"="&amp;'Output - County'!B2734)*VLOOKUP(A2734,'Output - State'!$B$2:$G$52,6,FALSE)</f>
        <v>4.9989978861254025</v>
      </c>
    </row>
    <row r="2735" spans="1:7" x14ac:dyDescent="0.25">
      <c r="A2735" s="88">
        <v>48</v>
      </c>
      <c r="B2735" s="88">
        <v>421</v>
      </c>
      <c r="C2735" s="97">
        <f>SUMIFS(Input!$C$115:$C$3257,Input!$A$115:$A$3257,"="&amp;'Output - County'!A2735,Input!$B$115:$B$3257,"="&amp;'Output - County'!B2735)*VLOOKUP(A2735,'Output - State'!$B$2:$G$52,2,FALSE)</f>
        <v>1.3977604771135119</v>
      </c>
      <c r="D2735" s="98">
        <f>SUMIFS(Input!$C$115:$C$3257,Input!$A$115:$A$3257,"="&amp;'Output - County'!A2735,Input!$B$115:$B$3257,"="&amp;'Output - County'!B2735)*VLOOKUP(A2735,'Output - State'!$B$2:$G$52,3,FALSE)</f>
        <v>0.2330418916627357</v>
      </c>
      <c r="E2735" s="98">
        <f>SUMIFS(Input!$C$115:$C$3257,Input!$A$115:$A$3257,"="&amp;'Output - County'!A2735,Input!$B$115:$B$3257,"="&amp;'Output - County'!B2735)*VLOOKUP(A2735,'Output - State'!$B$2:$G$52,4,FALSE)</f>
        <v>3.066740282307943</v>
      </c>
      <c r="F2735" s="98">
        <f>SUMIFS(Input!$C$115:$C$3257,Input!$A$115:$A$3257,"="&amp;'Output - County'!A2735,Input!$B$115:$B$3257,"="&amp;'Output - County'!B2735)*VLOOKUP(A2735,'Output - State'!$B$2:$G$52,5,FALSE)</f>
        <v>5.6355257023754914</v>
      </c>
      <c r="G2735" s="99">
        <f>SUMIFS(Input!$D$115:$D$3257,Input!$A$115:$A$3257,"="&amp;'Output - County'!A2735,Input!$B$115:$B$3257,"="&amp;'Output - County'!B2735)*VLOOKUP(A2735,'Output - State'!$B$2:$G$52,6,FALSE)</f>
        <v>0.6125254326873022</v>
      </c>
    </row>
    <row r="2736" spans="1:7" x14ac:dyDescent="0.25">
      <c r="A2736" s="88">
        <v>48</v>
      </c>
      <c r="B2736" s="88">
        <v>423</v>
      </c>
      <c r="C2736" s="97">
        <f>SUMIFS(Input!$C$115:$C$3257,Input!$A$115:$A$3257,"="&amp;'Output - County'!A2736,Input!$B$115:$B$3257,"="&amp;'Output - County'!B2736)*VLOOKUP(A2736,'Output - State'!$B$2:$G$52,2,FALSE)</f>
        <v>37.431835390209656</v>
      </c>
      <c r="D2736" s="98">
        <f>SUMIFS(Input!$C$115:$C$3257,Input!$A$115:$A$3257,"="&amp;'Output - County'!A2736,Input!$B$115:$B$3257,"="&amp;'Output - County'!B2736)*VLOOKUP(A2736,'Output - State'!$B$2:$G$52,3,FALSE)</f>
        <v>6.2408301497812246</v>
      </c>
      <c r="E2736" s="98">
        <f>SUMIFS(Input!$C$115:$C$3257,Input!$A$115:$A$3257,"="&amp;'Output - County'!A2736,Input!$B$115:$B$3257,"="&amp;'Output - County'!B2736)*VLOOKUP(A2736,'Output - State'!$B$2:$G$52,4,FALSE)</f>
        <v>82.126887482849924</v>
      </c>
      <c r="F2736" s="98">
        <f>SUMIFS(Input!$C$115:$C$3257,Input!$A$115:$A$3257,"="&amp;'Output - County'!A2736,Input!$B$115:$B$3257,"="&amp;'Output - County'!B2736)*VLOOKUP(A2736,'Output - State'!$B$2:$G$52,5,FALSE)</f>
        <v>150.91861150934801</v>
      </c>
      <c r="G2736" s="99">
        <f>SUMIFS(Input!$D$115:$D$3257,Input!$A$115:$A$3257,"="&amp;'Output - County'!A2736,Input!$B$115:$B$3257,"="&amp;'Output - County'!B2736)*VLOOKUP(A2736,'Output - State'!$B$2:$G$52,6,FALSE)</f>
        <v>45.445435328412749</v>
      </c>
    </row>
    <row r="2737" spans="1:7" x14ac:dyDescent="0.25">
      <c r="A2737" s="88">
        <v>48</v>
      </c>
      <c r="B2737" s="88">
        <v>425</v>
      </c>
      <c r="C2737" s="97">
        <f>SUMIFS(Input!$C$115:$C$3257,Input!$A$115:$A$3257,"="&amp;'Output - County'!A2737,Input!$B$115:$B$3257,"="&amp;'Output - County'!B2737)*VLOOKUP(A2737,'Output - State'!$B$2:$G$52,2,FALSE)</f>
        <v>1.2122910640836797</v>
      </c>
      <c r="D2737" s="98">
        <f>SUMIFS(Input!$C$115:$C$3257,Input!$A$115:$A$3257,"="&amp;'Output - County'!A2737,Input!$B$115:$B$3257,"="&amp;'Output - County'!B2737)*VLOOKUP(A2737,'Output - State'!$B$2:$G$52,3,FALSE)</f>
        <v>0.20211946713739315</v>
      </c>
      <c r="E2737" s="98">
        <f>SUMIFS(Input!$C$115:$C$3257,Input!$A$115:$A$3257,"="&amp;'Output - County'!A2737,Input!$B$115:$B$3257,"="&amp;'Output - County'!B2737)*VLOOKUP(A2737,'Output - State'!$B$2:$G$52,4,FALSE)</f>
        <v>2.6598132519706805</v>
      </c>
      <c r="F2737" s="98">
        <f>SUMIFS(Input!$C$115:$C$3257,Input!$A$115:$A$3257,"="&amp;'Output - County'!A2737,Input!$B$115:$B$3257,"="&amp;'Output - County'!B2737)*VLOOKUP(A2737,'Output - State'!$B$2:$G$52,5,FALSE)</f>
        <v>4.8877454773310873</v>
      </c>
      <c r="G2737" s="99">
        <f>SUMIFS(Input!$D$115:$D$3257,Input!$A$115:$A$3257,"="&amp;'Output - County'!A2737,Input!$B$115:$B$3257,"="&amp;'Output - County'!B2737)*VLOOKUP(A2737,'Output - State'!$B$2:$G$52,6,FALSE)</f>
        <v>1.7842273087633351</v>
      </c>
    </row>
    <row r="2738" spans="1:7" x14ac:dyDescent="0.25">
      <c r="A2738" s="88">
        <v>48</v>
      </c>
      <c r="B2738" s="88">
        <v>427</v>
      </c>
      <c r="C2738" s="97">
        <f>SUMIFS(Input!$C$115:$C$3257,Input!$A$115:$A$3257,"="&amp;'Output - County'!A2738,Input!$B$115:$B$3257,"="&amp;'Output - County'!B2738)*VLOOKUP(A2738,'Output - State'!$B$2:$G$52,2,FALSE)</f>
        <v>6.6378967926738168</v>
      </c>
      <c r="D2738" s="98">
        <f>SUMIFS(Input!$C$115:$C$3257,Input!$A$115:$A$3257,"="&amp;'Output - County'!A2738,Input!$B$115:$B$3257,"="&amp;'Output - County'!B2738)*VLOOKUP(A2738,'Output - State'!$B$2:$G$52,3,FALSE)</f>
        <v>1.1067046540199807</v>
      </c>
      <c r="E2738" s="98">
        <f>SUMIFS(Input!$C$115:$C$3257,Input!$A$115:$A$3257,"="&amp;'Output - County'!A2738,Input!$B$115:$B$3257,"="&amp;'Output - County'!B2738)*VLOOKUP(A2738,'Output - State'!$B$2:$G$52,4,FALSE)</f>
        <v>14.563801035449025</v>
      </c>
      <c r="F2738" s="98">
        <f>SUMIFS(Input!$C$115:$C$3257,Input!$A$115:$A$3257,"="&amp;'Output - County'!A2738,Input!$B$115:$B$3257,"="&amp;'Output - County'!B2738)*VLOOKUP(A2738,'Output - State'!$B$2:$G$52,5,FALSE)</f>
        <v>26.76283855305434</v>
      </c>
      <c r="G2738" s="99">
        <f>SUMIFS(Input!$D$115:$D$3257,Input!$A$115:$A$3257,"="&amp;'Output - County'!A2738,Input!$B$115:$B$3257,"="&amp;'Output - County'!B2738)*VLOOKUP(A2738,'Output - State'!$B$2:$G$52,6,FALSE)</f>
        <v>12.685204122104777</v>
      </c>
    </row>
    <row r="2739" spans="1:7" x14ac:dyDescent="0.25">
      <c r="A2739" s="88">
        <v>48</v>
      </c>
      <c r="B2739" s="88">
        <v>429</v>
      </c>
      <c r="C2739" s="97">
        <f>SUMIFS(Input!$C$115:$C$3257,Input!$A$115:$A$3257,"="&amp;'Output - County'!A2739,Input!$B$115:$B$3257,"="&amp;'Output - County'!B2739)*VLOOKUP(A2739,'Output - State'!$B$2:$G$52,2,FALSE)</f>
        <v>1.2854697588665016</v>
      </c>
      <c r="D2739" s="98">
        <f>SUMIFS(Input!$C$115:$C$3257,Input!$A$115:$A$3257,"="&amp;'Output - County'!A2739,Input!$B$115:$B$3257,"="&amp;'Output - County'!B2739)*VLOOKUP(A2739,'Output - State'!$B$2:$G$52,3,FALSE)</f>
        <v>0.21432019948090317</v>
      </c>
      <c r="E2739" s="98">
        <f>SUMIFS(Input!$C$115:$C$3257,Input!$A$115:$A$3257,"="&amp;'Output - County'!A2739,Input!$B$115:$B$3257,"="&amp;'Output - County'!B2739)*VLOOKUP(A2739,'Output - State'!$B$2:$G$52,4,FALSE)</f>
        <v>2.8203701247480848</v>
      </c>
      <c r="F2739" s="98">
        <f>SUMIFS(Input!$C$115:$C$3257,Input!$A$115:$A$3257,"="&amp;'Output - County'!A2739,Input!$B$115:$B$3257,"="&amp;'Output - County'!B2739)*VLOOKUP(A2739,'Output - State'!$B$2:$G$52,5,FALSE)</f>
        <v>5.1827891719178192</v>
      </c>
      <c r="G2739" s="99">
        <f>SUMIFS(Input!$D$115:$D$3257,Input!$A$115:$A$3257,"="&amp;'Output - County'!A2739,Input!$B$115:$B$3257,"="&amp;'Output - County'!B2739)*VLOOKUP(A2739,'Output - State'!$B$2:$G$52,6,FALSE)</f>
        <v>1.8593110714798435</v>
      </c>
    </row>
    <row r="2740" spans="1:7" x14ac:dyDescent="0.25">
      <c r="A2740" s="88">
        <v>48</v>
      </c>
      <c r="B2740" s="88">
        <v>431</v>
      </c>
      <c r="C2740" s="97">
        <f>SUMIFS(Input!$C$115:$C$3257,Input!$A$115:$A$3257,"="&amp;'Output - County'!A2740,Input!$B$115:$B$3257,"="&amp;'Output - County'!B2740)*VLOOKUP(A2740,'Output - State'!$B$2:$G$52,2,FALSE)</f>
        <v>1.0465073104581779</v>
      </c>
      <c r="D2740" s="98">
        <f>SUMIFS(Input!$C$115:$C$3257,Input!$A$115:$A$3257,"="&amp;'Output - County'!A2740,Input!$B$115:$B$3257,"="&amp;'Output - County'!B2740)*VLOOKUP(A2740,'Output - State'!$B$2:$G$52,3,FALSE)</f>
        <v>0.17447913806497631</v>
      </c>
      <c r="E2740" s="98">
        <f>SUMIFS(Input!$C$115:$C$3257,Input!$A$115:$A$3257,"="&amp;'Output - County'!A2740,Input!$B$115:$B$3257,"="&amp;'Output - County'!B2740)*VLOOKUP(A2740,'Output - State'!$B$2:$G$52,4,FALSE)</f>
        <v>2.2960773160072736</v>
      </c>
      <c r="F2740" s="98">
        <f>SUMIFS(Input!$C$115:$C$3257,Input!$A$115:$A$3257,"="&amp;'Output - County'!A2740,Input!$B$115:$B$3257,"="&amp;'Output - County'!B2740)*VLOOKUP(A2740,'Output - State'!$B$2:$G$52,5,FALSE)</f>
        <v>4.2193343869544568</v>
      </c>
      <c r="G2740" s="99">
        <f>SUMIFS(Input!$D$115:$D$3257,Input!$A$115:$A$3257,"="&amp;'Output - County'!A2740,Input!$B$115:$B$3257,"="&amp;'Output - County'!B2740)*VLOOKUP(A2740,'Output - State'!$B$2:$G$52,6,FALSE)</f>
        <v>0.25686550403015901</v>
      </c>
    </row>
    <row r="2741" spans="1:7" x14ac:dyDescent="0.25">
      <c r="A2741" s="88">
        <v>48</v>
      </c>
      <c r="B2741" s="88">
        <v>433</v>
      </c>
      <c r="C2741" s="97">
        <f>SUMIFS(Input!$C$115:$C$3257,Input!$A$115:$A$3257,"="&amp;'Output - County'!A2741,Input!$B$115:$B$3257,"="&amp;'Output - County'!B2741)*VLOOKUP(A2741,'Output - State'!$B$2:$G$52,2,FALSE)</f>
        <v>0.34757960751769629</v>
      </c>
      <c r="D2741" s="98">
        <f>SUMIFS(Input!$C$115:$C$3257,Input!$A$115:$A$3257,"="&amp;'Output - County'!A2741,Input!$B$115:$B$3257,"="&amp;'Output - County'!B2741)*VLOOKUP(A2741,'Output - State'!$B$2:$G$52,3,FALSE)</f>
        <v>5.7950278724855607E-2</v>
      </c>
      <c r="E2741" s="98">
        <f>SUMIFS(Input!$C$115:$C$3257,Input!$A$115:$A$3257,"="&amp;'Output - County'!A2741,Input!$B$115:$B$3257,"="&amp;'Output - County'!B2741)*VLOOKUP(A2741,'Output - State'!$B$2:$G$52,4,FALSE)</f>
        <v>0.76260303616864922</v>
      </c>
      <c r="F2741" s="98">
        <f>SUMIFS(Input!$C$115:$C$3257,Input!$A$115:$A$3257,"="&amp;'Output - County'!A2741,Input!$B$115:$B$3257,"="&amp;'Output - County'!B2741)*VLOOKUP(A2741,'Output - State'!$B$2:$G$52,5,FALSE)</f>
        <v>1.4013801676755304</v>
      </c>
      <c r="G2741" s="99">
        <f>SUMIFS(Input!$D$115:$D$3257,Input!$A$115:$A$3257,"="&amp;'Output - County'!A2741,Input!$B$115:$B$3257,"="&amp;'Output - County'!B2741)*VLOOKUP(A2741,'Output - State'!$B$2:$G$52,6,FALSE)</f>
        <v>0.26674494649285746</v>
      </c>
    </row>
    <row r="2742" spans="1:7" x14ac:dyDescent="0.25">
      <c r="A2742" s="88">
        <v>48</v>
      </c>
      <c r="B2742" s="88">
        <v>435</v>
      </c>
      <c r="C2742" s="97">
        <f>SUMIFS(Input!$C$115:$C$3257,Input!$A$115:$A$3257,"="&amp;'Output - County'!A2742,Input!$B$115:$B$3257,"="&amp;'Output - County'!B2742)*VLOOKUP(A2742,'Output - State'!$B$2:$G$52,2,FALSE)</f>
        <v>3.8739690516933787</v>
      </c>
      <c r="D2742" s="98">
        <f>SUMIFS(Input!$C$115:$C$3257,Input!$A$115:$A$3257,"="&amp;'Output - County'!A2742,Input!$B$115:$B$3257,"="&amp;'Output - County'!B2742)*VLOOKUP(A2742,'Output - State'!$B$2:$G$52,3,FALSE)</f>
        <v>0.6458882554140235</v>
      </c>
      <c r="E2742" s="98">
        <f>SUMIFS(Input!$C$115:$C$3257,Input!$A$115:$A$3257,"="&amp;'Output - County'!A2742,Input!$B$115:$B$3257,"="&amp;'Output - County'!B2742)*VLOOKUP(A2742,'Output - State'!$B$2:$G$52,4,FALSE)</f>
        <v>8.4996371966221904</v>
      </c>
      <c r="F2742" s="98">
        <f>SUMIFS(Input!$C$115:$C$3257,Input!$A$115:$A$3257,"="&amp;'Output - County'!A2742,Input!$B$115:$B$3257,"="&amp;'Output - County'!B2742)*VLOOKUP(A2742,'Output - State'!$B$2:$G$52,5,FALSE)</f>
        <v>15.619165456809723</v>
      </c>
      <c r="G2742" s="99">
        <f>SUMIFS(Input!$D$115:$D$3257,Input!$A$115:$A$3257,"="&amp;'Output - County'!A2742,Input!$B$115:$B$3257,"="&amp;'Output - County'!B2742)*VLOOKUP(A2742,'Output - State'!$B$2:$G$52,6,FALSE)</f>
        <v>0.74095818470238184</v>
      </c>
    </row>
    <row r="2743" spans="1:7" x14ac:dyDescent="0.25">
      <c r="A2743" s="88">
        <v>48</v>
      </c>
      <c r="B2743" s="88">
        <v>437</v>
      </c>
      <c r="C2743" s="97">
        <f>SUMIFS(Input!$C$115:$C$3257,Input!$A$115:$A$3257,"="&amp;'Output - County'!A2743,Input!$B$115:$B$3257,"="&amp;'Output - County'!B2743)*VLOOKUP(A2743,'Output - State'!$B$2:$G$52,2,FALSE)</f>
        <v>2.4683184209815123</v>
      </c>
      <c r="D2743" s="98">
        <f>SUMIFS(Input!$C$115:$C$3257,Input!$A$115:$A$3257,"="&amp;'Output - County'!A2743,Input!$B$115:$B$3257,"="&amp;'Output - County'!B2743)*VLOOKUP(A2743,'Output - State'!$B$2:$G$52,3,FALSE)</f>
        <v>0.41153087633396779</v>
      </c>
      <c r="E2743" s="98">
        <f>SUMIFS(Input!$C$115:$C$3257,Input!$A$115:$A$3257,"="&amp;'Output - County'!A2743,Input!$B$115:$B$3257,"="&amp;'Output - County'!B2743)*VLOOKUP(A2743,'Output - State'!$B$2:$G$52,4,FALSE)</f>
        <v>5.4155856136516061</v>
      </c>
      <c r="F2743" s="98">
        <f>SUMIFS(Input!$C$115:$C$3257,Input!$A$115:$A$3257,"="&amp;'Output - County'!A2743,Input!$B$115:$B$3257,"="&amp;'Output - County'!B2743)*VLOOKUP(A2743,'Output - State'!$B$2:$G$52,5,FALSE)</f>
        <v>9.9518280355258248</v>
      </c>
      <c r="G2743" s="99">
        <f>SUMIFS(Input!$D$115:$D$3257,Input!$A$115:$A$3257,"="&amp;'Output - County'!A2743,Input!$B$115:$B$3257,"="&amp;'Output - County'!B2743)*VLOOKUP(A2743,'Output - State'!$B$2:$G$52,6,FALSE)</f>
        <v>1.4641333729719064</v>
      </c>
    </row>
    <row r="2744" spans="1:7" x14ac:dyDescent="0.25">
      <c r="A2744" s="88">
        <v>48</v>
      </c>
      <c r="B2744" s="88">
        <v>439</v>
      </c>
      <c r="C2744" s="97">
        <f>SUMIFS(Input!$C$115:$C$3257,Input!$A$115:$A$3257,"="&amp;'Output - County'!A2744,Input!$B$115:$B$3257,"="&amp;'Output - County'!B2744)*VLOOKUP(A2744,'Output - State'!$B$2:$G$52,2,FALSE)</f>
        <v>282.55104944733995</v>
      </c>
      <c r="D2744" s="98">
        <f>SUMIFS(Input!$C$115:$C$3257,Input!$A$115:$A$3257,"="&amp;'Output - County'!A2744,Input!$B$115:$B$3257,"="&amp;'Output - County'!B2744)*VLOOKUP(A2744,'Output - State'!$B$2:$G$52,3,FALSE)</f>
        <v>47.108379534723326</v>
      </c>
      <c r="E2744" s="98">
        <f>SUMIFS(Input!$C$115:$C$3257,Input!$A$115:$A$3257,"="&amp;'Output - County'!A2744,Input!$B$115:$B$3257,"="&amp;'Output - County'!B2744)*VLOOKUP(A2744,'Output - State'!$B$2:$G$52,4,FALSE)</f>
        <v>619.92787701220118</v>
      </c>
      <c r="F2744" s="98">
        <f>SUMIFS(Input!$C$115:$C$3257,Input!$A$115:$A$3257,"="&amp;'Output - County'!A2744,Input!$B$115:$B$3257,"="&amp;'Output - County'!B2744)*VLOOKUP(A2744,'Output - State'!$B$2:$G$52,5,FALSE)</f>
        <v>1139.1963984286701</v>
      </c>
      <c r="G2744" s="99">
        <f>SUMIFS(Input!$D$115:$D$3257,Input!$A$115:$A$3257,"="&amp;'Output - County'!A2744,Input!$B$115:$B$3257,"="&amp;'Output - County'!B2744)*VLOOKUP(A2744,'Output - State'!$B$2:$G$52,6,FALSE)</f>
        <v>410.9848064482544</v>
      </c>
    </row>
    <row r="2745" spans="1:7" x14ac:dyDescent="0.25">
      <c r="A2745" s="88">
        <v>48</v>
      </c>
      <c r="B2745" s="88">
        <v>441</v>
      </c>
      <c r="C2745" s="97">
        <f>SUMIFS(Input!$C$115:$C$3257,Input!$A$115:$A$3257,"="&amp;'Output - County'!A2745,Input!$B$115:$B$3257,"="&amp;'Output - County'!B2745)*VLOOKUP(A2745,'Output - State'!$B$2:$G$52,2,FALSE)</f>
        <v>20.524315994442365</v>
      </c>
      <c r="D2745" s="98">
        <f>SUMIFS(Input!$C$115:$C$3257,Input!$A$115:$A$3257,"="&amp;'Output - County'!A2745,Input!$B$115:$B$3257,"="&amp;'Output - County'!B2745)*VLOOKUP(A2745,'Output - State'!$B$2:$G$52,3,FALSE)</f>
        <v>3.4219206385817436</v>
      </c>
      <c r="E2745" s="98">
        <f>SUMIFS(Input!$C$115:$C$3257,Input!$A$115:$A$3257,"="&amp;'Output - County'!A2745,Input!$B$115:$B$3257,"="&amp;'Output - County'!B2745)*VLOOKUP(A2745,'Output - State'!$B$2:$G$52,4,FALSE)</f>
        <v>45.031139209884842</v>
      </c>
      <c r="F2745" s="98">
        <f>SUMIFS(Input!$C$115:$C$3257,Input!$A$115:$A$3257,"="&amp;'Output - County'!A2745,Input!$B$115:$B$3257,"="&amp;'Output - County'!B2745)*VLOOKUP(A2745,'Output - State'!$B$2:$G$52,5,FALSE)</f>
        <v>82.750451314244145</v>
      </c>
      <c r="G2745" s="99">
        <f>SUMIFS(Input!$D$115:$D$3257,Input!$A$115:$A$3257,"="&amp;'Output - County'!A2745,Input!$B$115:$B$3257,"="&amp;'Output - County'!B2745)*VLOOKUP(A2745,'Output - State'!$B$2:$G$52,6,FALSE)</f>
        <v>27.069672347793681</v>
      </c>
    </row>
    <row r="2746" spans="1:7" x14ac:dyDescent="0.25">
      <c r="A2746" s="88">
        <v>48</v>
      </c>
      <c r="B2746" s="88">
        <v>443</v>
      </c>
      <c r="C2746" s="97">
        <f>SUMIFS(Input!$C$115:$C$3257,Input!$A$115:$A$3257,"="&amp;'Output - County'!A2746,Input!$B$115:$B$3257,"="&amp;'Output - County'!B2746)*VLOOKUP(A2746,'Output - State'!$B$2:$G$52,2,FALSE)</f>
        <v>0.32782295927314703</v>
      </c>
      <c r="D2746" s="98">
        <f>SUMIFS(Input!$C$115:$C$3257,Input!$A$115:$A$3257,"="&amp;'Output - County'!A2746,Input!$B$115:$B$3257,"="&amp;'Output - County'!B2746)*VLOOKUP(A2746,'Output - State'!$B$2:$G$52,3,FALSE)</f>
        <v>5.4656347643521189E-2</v>
      </c>
      <c r="E2746" s="98">
        <f>SUMIFS(Input!$C$115:$C$3257,Input!$A$115:$A$3257,"="&amp;'Output - County'!A2746,Input!$B$115:$B$3257,"="&amp;'Output - County'!B2746)*VLOOKUP(A2746,'Output - State'!$B$2:$G$52,4,FALSE)</f>
        <v>0.71925618954721104</v>
      </c>
      <c r="F2746" s="98">
        <f>SUMIFS(Input!$C$115:$C$3257,Input!$A$115:$A$3257,"="&amp;'Output - County'!A2746,Input!$B$115:$B$3257,"="&amp;'Output - County'!B2746)*VLOOKUP(A2746,'Output - State'!$B$2:$G$52,5,FALSE)</f>
        <v>1.3217248184236521</v>
      </c>
      <c r="G2746" s="99">
        <f>SUMIFS(Input!$D$115:$D$3257,Input!$A$115:$A$3257,"="&amp;'Output - County'!A2746,Input!$B$115:$B$3257,"="&amp;'Output - County'!B2746)*VLOOKUP(A2746,'Output - State'!$B$2:$G$52,6,FALSE)</f>
        <v>0.16004696789571446</v>
      </c>
    </row>
    <row r="2747" spans="1:7" x14ac:dyDescent="0.25">
      <c r="A2747" s="88">
        <v>48</v>
      </c>
      <c r="B2747" s="88">
        <v>445</v>
      </c>
      <c r="C2747" s="97">
        <f>SUMIFS(Input!$C$115:$C$3257,Input!$A$115:$A$3257,"="&amp;'Output - County'!A2747,Input!$B$115:$B$3257,"="&amp;'Output - County'!B2747)*VLOOKUP(A2747,'Output - State'!$B$2:$G$52,2,FALSE)</f>
        <v>2.8272469862514757</v>
      </c>
      <c r="D2747" s="98">
        <f>SUMIFS(Input!$C$115:$C$3257,Input!$A$115:$A$3257,"="&amp;'Output - County'!A2747,Input!$B$115:$B$3257,"="&amp;'Output - County'!B2747)*VLOOKUP(A2747,'Output - State'!$B$2:$G$52,3,FALSE)</f>
        <v>0.47137331228196255</v>
      </c>
      <c r="E2747" s="98">
        <f>SUMIFS(Input!$C$115:$C$3257,Input!$A$115:$A$3257,"="&amp;'Output - County'!A2747,Input!$B$115:$B$3257,"="&amp;'Output - County'!B2747)*VLOOKUP(A2747,'Output - State'!$B$2:$G$52,4,FALSE)</f>
        <v>6.2030886999153632</v>
      </c>
      <c r="F2747" s="98">
        <f>SUMIFS(Input!$C$115:$C$3257,Input!$A$115:$A$3257,"="&amp;'Output - County'!A2747,Input!$B$115:$B$3257,"="&amp;'Output - County'!B2747)*VLOOKUP(A2747,'Output - State'!$B$2:$G$52,5,FALSE)</f>
        <v>11.398965215332755</v>
      </c>
      <c r="G2747" s="99">
        <f>SUMIFS(Input!$D$115:$D$3257,Input!$A$115:$A$3257,"="&amp;'Output - County'!A2747,Input!$B$115:$B$3257,"="&amp;'Output - County'!B2747)*VLOOKUP(A2747,'Output - State'!$B$2:$G$52,6,FALSE)</f>
        <v>2.4303428458238123</v>
      </c>
    </row>
    <row r="2748" spans="1:7" x14ac:dyDescent="0.25">
      <c r="A2748" s="88">
        <v>48</v>
      </c>
      <c r="B2748" s="88">
        <v>447</v>
      </c>
      <c r="C2748" s="97">
        <f>SUMIFS(Input!$C$115:$C$3257,Input!$A$115:$A$3257,"="&amp;'Output - County'!A2748,Input!$B$115:$B$3257,"="&amp;'Output - County'!B2748)*VLOOKUP(A2748,'Output - State'!$B$2:$G$52,2,FALSE)</f>
        <v>0.31286081515913344</v>
      </c>
      <c r="D2748" s="98">
        <f>SUMIFS(Input!$C$115:$C$3257,Input!$A$115:$A$3257,"="&amp;'Output - County'!A2748,Input!$B$115:$B$3257,"="&amp;'Output - County'!B2748)*VLOOKUP(A2748,'Output - State'!$B$2:$G$52,3,FALSE)</f>
        <v>5.2161781210464837E-2</v>
      </c>
      <c r="E2748" s="98">
        <f>SUMIFS(Input!$C$115:$C$3257,Input!$A$115:$A$3257,"="&amp;'Output - County'!A2748,Input!$B$115:$B$3257,"="&amp;'Output - County'!B2748)*VLOOKUP(A2748,'Output - State'!$B$2:$G$52,4,FALSE)</f>
        <v>0.68642866951395154</v>
      </c>
      <c r="F2748" s="98">
        <f>SUMIFS(Input!$C$115:$C$3257,Input!$A$115:$A$3257,"="&amp;'Output - County'!A2748,Input!$B$115:$B$3257,"="&amp;'Output - County'!B2748)*VLOOKUP(A2748,'Output - State'!$B$2:$G$52,5,FALSE)</f>
        <v>1.2614000710167885</v>
      </c>
      <c r="G2748" s="99">
        <f>SUMIFS(Input!$D$115:$D$3257,Input!$A$115:$A$3257,"="&amp;'Output - County'!A2748,Input!$B$115:$B$3257,"="&amp;'Output - County'!B2748)*VLOOKUP(A2748,'Output - State'!$B$2:$G$52,6,FALSE)</f>
        <v>0.2963832738809527</v>
      </c>
    </row>
    <row r="2749" spans="1:7" x14ac:dyDescent="0.25">
      <c r="A2749" s="88">
        <v>48</v>
      </c>
      <c r="B2749" s="88">
        <v>449</v>
      </c>
      <c r="C2749" s="97">
        <f>SUMIFS(Input!$C$115:$C$3257,Input!$A$115:$A$3257,"="&amp;'Output - County'!A2749,Input!$B$115:$B$3257,"="&amp;'Output - County'!B2749)*VLOOKUP(A2749,'Output - State'!$B$2:$G$52,2,FALSE)</f>
        <v>8.3066819521899102</v>
      </c>
      <c r="D2749" s="98">
        <f>SUMIFS(Input!$C$115:$C$3257,Input!$A$115:$A$3257,"="&amp;'Output - County'!A2749,Input!$B$115:$B$3257,"="&amp;'Output - County'!B2749)*VLOOKUP(A2749,'Output - State'!$B$2:$G$52,3,FALSE)</f>
        <v>1.3849331893949641</v>
      </c>
      <c r="E2749" s="98">
        <f>SUMIFS(Input!$C$115:$C$3257,Input!$A$115:$A$3257,"="&amp;'Output - County'!A2749,Input!$B$115:$B$3257,"="&amp;'Output - County'!B2749)*VLOOKUP(A2749,'Output - State'!$B$2:$G$52,4,FALSE)</f>
        <v>18.225179901858397</v>
      </c>
      <c r="F2749" s="98">
        <f>SUMIFS(Input!$C$115:$C$3257,Input!$A$115:$A$3257,"="&amp;'Output - County'!A2749,Input!$B$115:$B$3257,"="&amp;'Output - County'!B2749)*VLOOKUP(A2749,'Output - State'!$B$2:$G$52,5,FALSE)</f>
        <v>33.491088358497933</v>
      </c>
      <c r="G2749" s="99">
        <f>SUMIFS(Input!$D$115:$D$3257,Input!$A$115:$A$3257,"="&amp;'Output - County'!A2749,Input!$B$115:$B$3257,"="&amp;'Output - County'!B2749)*VLOOKUP(A2749,'Output - State'!$B$2:$G$52,6,FALSE)</f>
        <v>6.4611553706047689</v>
      </c>
    </row>
    <row r="2750" spans="1:7" x14ac:dyDescent="0.25">
      <c r="A2750" s="88">
        <v>48</v>
      </c>
      <c r="B2750" s="88">
        <v>451</v>
      </c>
      <c r="C2750" s="97">
        <f>SUMIFS(Input!$C$115:$C$3257,Input!$A$115:$A$3257,"="&amp;'Output - County'!A2750,Input!$B$115:$B$3257,"="&amp;'Output - County'!B2750)*VLOOKUP(A2750,'Output - State'!$B$2:$G$52,2,FALSE)</f>
        <v>13.806786187255</v>
      </c>
      <c r="D2750" s="98">
        <f>SUMIFS(Input!$C$115:$C$3257,Input!$A$115:$A$3257,"="&amp;'Output - County'!A2750,Input!$B$115:$B$3257,"="&amp;'Output - County'!B2750)*VLOOKUP(A2750,'Output - State'!$B$2:$G$52,3,FALSE)</f>
        <v>2.3019391544861501</v>
      </c>
      <c r="E2750" s="98">
        <f>SUMIFS(Input!$C$115:$C$3257,Input!$A$115:$A$3257,"="&amp;'Output - County'!A2750,Input!$B$115:$B$3257,"="&amp;'Output - County'!B2750)*VLOOKUP(A2750,'Output - State'!$B$2:$G$52,4,FALSE)</f>
        <v>30.292620275762193</v>
      </c>
      <c r="F2750" s="98">
        <f>SUMIFS(Input!$C$115:$C$3257,Input!$A$115:$A$3257,"="&amp;'Output - County'!A2750,Input!$B$115:$B$3257,"="&amp;'Output - County'!B2750)*VLOOKUP(A2750,'Output - State'!$B$2:$G$52,5,FALSE)</f>
        <v>55.666546378646565</v>
      </c>
      <c r="G2750" s="99">
        <f>SUMIFS(Input!$D$115:$D$3257,Input!$A$115:$A$3257,"="&amp;'Output - County'!A2750,Input!$B$115:$B$3257,"="&amp;'Output - County'!B2750)*VLOOKUP(A2750,'Output - State'!$B$2:$G$52,6,FALSE)</f>
        <v>23.315484211968283</v>
      </c>
    </row>
    <row r="2751" spans="1:7" x14ac:dyDescent="0.25">
      <c r="A2751" s="88">
        <v>48</v>
      </c>
      <c r="B2751" s="88">
        <v>453</v>
      </c>
      <c r="C2751" s="97">
        <f>SUMIFS(Input!$C$115:$C$3257,Input!$A$115:$A$3257,"="&amp;'Output - County'!A2751,Input!$B$115:$B$3257,"="&amp;'Output - County'!B2751)*VLOOKUP(A2751,'Output - State'!$B$2:$G$52,2,FALSE)</f>
        <v>157.17911327492979</v>
      </c>
      <c r="D2751" s="98">
        <f>SUMIFS(Input!$C$115:$C$3257,Input!$A$115:$A$3257,"="&amp;'Output - County'!A2751,Input!$B$115:$B$3257,"="&amp;'Output - County'!B2751)*VLOOKUP(A2751,'Output - State'!$B$2:$G$52,3,FALSE)</f>
        <v>26.205718710192425</v>
      </c>
      <c r="E2751" s="98">
        <f>SUMIFS(Input!$C$115:$C$3257,Input!$A$115:$A$3257,"="&amp;'Output - County'!A2751,Input!$B$115:$B$3257,"="&amp;'Output - County'!B2751)*VLOOKUP(A2751,'Output - State'!$B$2:$G$52,4,FALSE)</f>
        <v>344.85702386799204</v>
      </c>
      <c r="F2751" s="98">
        <f>SUMIFS(Input!$C$115:$C$3257,Input!$A$115:$A$3257,"="&amp;'Output - County'!A2751,Input!$B$115:$B$3257,"="&amp;'Output - County'!B2751)*VLOOKUP(A2751,'Output - State'!$B$2:$G$52,5,FALSE)</f>
        <v>633.71868588434904</v>
      </c>
      <c r="G2751" s="99">
        <f>SUMIFS(Input!$D$115:$D$3257,Input!$A$115:$A$3257,"="&amp;'Output - County'!A2751,Input!$B$115:$B$3257,"="&amp;'Output - County'!B2751)*VLOOKUP(A2751,'Output - State'!$B$2:$G$52,6,FALSE)</f>
        <v>246.98606156746058</v>
      </c>
    </row>
    <row r="2752" spans="1:7" x14ac:dyDescent="0.25">
      <c r="A2752" s="88">
        <v>48</v>
      </c>
      <c r="B2752" s="88">
        <v>455</v>
      </c>
      <c r="C2752" s="97">
        <f>SUMIFS(Input!$C$115:$C$3257,Input!$A$115:$A$3257,"="&amp;'Output - County'!A2752,Input!$B$115:$B$3257,"="&amp;'Output - County'!B2752)*VLOOKUP(A2752,'Output - State'!$B$2:$G$52,2,FALSE)</f>
        <v>1.8309041909334749</v>
      </c>
      <c r="D2752" s="98">
        <f>SUMIFS(Input!$C$115:$C$3257,Input!$A$115:$A$3257,"="&amp;'Output - County'!A2752,Input!$B$115:$B$3257,"="&amp;'Output - County'!B2752)*VLOOKUP(A2752,'Output - State'!$B$2:$G$52,3,FALSE)</f>
        <v>0.30525786291331602</v>
      </c>
      <c r="E2752" s="98">
        <f>SUMIFS(Input!$C$115:$C$3257,Input!$A$115:$A$3257,"="&amp;'Output - County'!A2752,Input!$B$115:$B$3257,"="&amp;'Output - County'!B2752)*VLOOKUP(A2752,'Output - State'!$B$2:$G$52,4,FALSE)</f>
        <v>4.0170742608042236</v>
      </c>
      <c r="F2752" s="98">
        <f>SUMIFS(Input!$C$115:$C$3257,Input!$A$115:$A$3257,"="&amp;'Output - County'!A2752,Input!$B$115:$B$3257,"="&amp;'Output - County'!B2752)*VLOOKUP(A2752,'Output - State'!$B$2:$G$52,5,FALSE)</f>
        <v>7.3818853770284916</v>
      </c>
      <c r="G2752" s="99">
        <f>SUMIFS(Input!$D$115:$D$3257,Input!$A$115:$A$3257,"="&amp;'Output - County'!A2752,Input!$B$115:$B$3257,"="&amp;'Output - County'!B2752)*VLOOKUP(A2752,'Output - State'!$B$2:$G$52,6,FALSE)</f>
        <v>2.9045560840333366</v>
      </c>
    </row>
    <row r="2753" spans="1:7" x14ac:dyDescent="0.25">
      <c r="A2753" s="88">
        <v>48</v>
      </c>
      <c r="B2753" s="88">
        <v>457</v>
      </c>
      <c r="C2753" s="97">
        <f>SUMIFS(Input!$C$115:$C$3257,Input!$A$115:$A$3257,"="&amp;'Output - County'!A2753,Input!$B$115:$B$3257,"="&amp;'Output - County'!B2753)*VLOOKUP(A2753,'Output - State'!$B$2:$G$52,2,FALSE)</f>
        <v>2.3860364302535659</v>
      </c>
      <c r="D2753" s="98">
        <f>SUMIFS(Input!$C$115:$C$3257,Input!$A$115:$A$3257,"="&amp;'Output - County'!A2753,Input!$B$115:$B$3257,"="&amp;'Output - County'!B2753)*VLOOKUP(A2753,'Output - State'!$B$2:$G$52,3,FALSE)</f>
        <v>0.39781239517572625</v>
      </c>
      <c r="E2753" s="98">
        <f>SUMIFS(Input!$C$115:$C$3257,Input!$A$115:$A$3257,"="&amp;'Output - County'!A2753,Input!$B$115:$B$3257,"="&amp;'Output - County'!B2753)*VLOOKUP(A2753,'Output - State'!$B$2:$G$52,4,FALSE)</f>
        <v>5.2350557592126101</v>
      </c>
      <c r="F2753" s="98">
        <f>SUMIFS(Input!$C$115:$C$3257,Input!$A$115:$A$3257,"="&amp;'Output - County'!A2753,Input!$B$115:$B$3257,"="&amp;'Output - County'!B2753)*VLOOKUP(A2753,'Output - State'!$B$2:$G$52,5,FALSE)</f>
        <v>9.6200814443304949</v>
      </c>
      <c r="G2753" s="99">
        <f>SUMIFS(Input!$D$115:$D$3257,Input!$A$115:$A$3257,"="&amp;'Output - County'!A2753,Input!$B$115:$B$3257,"="&amp;'Output - County'!B2753)*VLOOKUP(A2753,'Output - State'!$B$2:$G$52,6,FALSE)</f>
        <v>4.2679191438857194</v>
      </c>
    </row>
    <row r="2754" spans="1:7" x14ac:dyDescent="0.25">
      <c r="A2754" s="88">
        <v>48</v>
      </c>
      <c r="B2754" s="88">
        <v>459</v>
      </c>
      <c r="C2754" s="97">
        <f>SUMIFS(Input!$C$115:$C$3257,Input!$A$115:$A$3257,"="&amp;'Output - County'!A2754,Input!$B$115:$B$3257,"="&amp;'Output - County'!B2754)*VLOOKUP(A2754,'Output - State'!$B$2:$G$52,2,FALSE)</f>
        <v>5.6141804431741766</v>
      </c>
      <c r="D2754" s="98">
        <f>SUMIFS(Input!$C$115:$C$3257,Input!$A$115:$A$3257,"="&amp;'Output - County'!A2754,Input!$B$115:$B$3257,"="&amp;'Output - County'!B2754)*VLOOKUP(A2754,'Output - State'!$B$2:$G$52,3,FALSE)</f>
        <v>0.93602534342298183</v>
      </c>
      <c r="E2754" s="98">
        <f>SUMIFS(Input!$C$115:$C$3257,Input!$A$115:$A$3257,"="&amp;'Output - County'!A2754,Input!$B$115:$B$3257,"="&amp;'Output - County'!B2754)*VLOOKUP(A2754,'Output - State'!$B$2:$G$52,4,FALSE)</f>
        <v>12.317727964939087</v>
      </c>
      <c r="F2754" s="98">
        <f>SUMIFS(Input!$C$115:$C$3257,Input!$A$115:$A$3257,"="&amp;'Output - County'!A2754,Input!$B$115:$B$3257,"="&amp;'Output - County'!B2754)*VLOOKUP(A2754,'Output - State'!$B$2:$G$52,5,FALSE)</f>
        <v>22.635393333354717</v>
      </c>
      <c r="G2754" s="99">
        <f>SUMIFS(Input!$D$115:$D$3257,Input!$A$115:$A$3257,"="&amp;'Output - County'!A2754,Input!$B$115:$B$3257,"="&amp;'Output - County'!B2754)*VLOOKUP(A2754,'Output - State'!$B$2:$G$52,6,FALSE)</f>
        <v>8.1406605892635007</v>
      </c>
    </row>
    <row r="2755" spans="1:7" x14ac:dyDescent="0.25">
      <c r="A2755" s="88">
        <v>48</v>
      </c>
      <c r="B2755" s="88">
        <v>461</v>
      </c>
      <c r="C2755" s="97">
        <f>SUMIFS(Input!$C$115:$C$3257,Input!$A$115:$A$3257,"="&amp;'Output - County'!A2755,Input!$B$115:$B$3257,"="&amp;'Output - County'!B2755)*VLOOKUP(A2755,'Output - State'!$B$2:$G$52,2,FALSE)</f>
        <v>1.3689801221078495</v>
      </c>
      <c r="D2755" s="98">
        <f>SUMIFS(Input!$C$115:$C$3257,Input!$A$115:$A$3257,"="&amp;'Output - County'!A2755,Input!$B$115:$B$3257,"="&amp;'Output - County'!B2755)*VLOOKUP(A2755,'Output - State'!$B$2:$G$52,3,FALSE)</f>
        <v>0.2282434812890963</v>
      </c>
      <c r="E2755" s="98">
        <f>SUMIFS(Input!$C$115:$C$3257,Input!$A$115:$A$3257,"="&amp;'Output - County'!A2755,Input!$B$115:$B$3257,"="&amp;'Output - County'!B2755)*VLOOKUP(A2755,'Output - State'!$B$2:$G$52,4,FALSE)</f>
        <v>3.0035950757577794</v>
      </c>
      <c r="F2755" s="98">
        <f>SUMIFS(Input!$C$115:$C$3257,Input!$A$115:$A$3257,"="&amp;'Output - County'!A2755,Input!$B$115:$B$3257,"="&amp;'Output - County'!B2755)*VLOOKUP(A2755,'Output - State'!$B$2:$G$52,5,FALSE)</f>
        <v>5.5194883461806432</v>
      </c>
      <c r="G2755" s="99">
        <f>SUMIFS(Input!$D$115:$D$3257,Input!$A$115:$A$3257,"="&amp;'Output - County'!A2755,Input!$B$115:$B$3257,"="&amp;'Output - County'!B2755)*VLOOKUP(A2755,'Output - State'!$B$2:$G$52,6,FALSE)</f>
        <v>0.71922341128444534</v>
      </c>
    </row>
    <row r="2756" spans="1:7" x14ac:dyDescent="0.25">
      <c r="A2756" s="88">
        <v>48</v>
      </c>
      <c r="B2756" s="88">
        <v>463</v>
      </c>
      <c r="C2756" s="97">
        <f>SUMIFS(Input!$C$115:$C$3257,Input!$A$115:$A$3257,"="&amp;'Output - County'!A2756,Input!$B$115:$B$3257,"="&amp;'Output - County'!B2756)*VLOOKUP(A2756,'Output - State'!$B$2:$G$52,2,FALSE)</f>
        <v>4.2206655154836543</v>
      </c>
      <c r="D2756" s="98">
        <f>SUMIFS(Input!$C$115:$C$3257,Input!$A$115:$A$3257,"="&amp;'Output - County'!A2756,Input!$B$115:$B$3257,"="&amp;'Output - County'!B2756)*VLOOKUP(A2756,'Output - State'!$B$2:$G$52,3,FALSE)</f>
        <v>0.70369129182646717</v>
      </c>
      <c r="E2756" s="98">
        <f>SUMIFS(Input!$C$115:$C$3257,Input!$A$115:$A$3257,"="&amp;'Output - County'!A2756,Input!$B$115:$B$3257,"="&amp;'Output - County'!B2756)*VLOOKUP(A2756,'Output - State'!$B$2:$G$52,4,FALSE)</f>
        <v>9.2603025814633817</v>
      </c>
      <c r="F2756" s="98">
        <f>SUMIFS(Input!$C$115:$C$3257,Input!$A$115:$A$3257,"="&amp;'Output - County'!A2756,Input!$B$115:$B$3257,"="&amp;'Output - County'!B2756)*VLOOKUP(A2756,'Output - State'!$B$2:$G$52,5,FALSE)</f>
        <v>17.016984943484278</v>
      </c>
      <c r="G2756" s="99">
        <f>SUMIFS(Input!$D$115:$D$3257,Input!$A$115:$A$3257,"="&amp;'Output - County'!A2756,Input!$B$115:$B$3257,"="&amp;'Output - County'!B2756)*VLOOKUP(A2756,'Output - State'!$B$2:$G$52,6,FALSE)</f>
        <v>5.2953811600063547</v>
      </c>
    </row>
    <row r="2757" spans="1:7" x14ac:dyDescent="0.25">
      <c r="A2757" s="88">
        <v>48</v>
      </c>
      <c r="B2757" s="88">
        <v>465</v>
      </c>
      <c r="C2757" s="97">
        <f>SUMIFS(Input!$C$115:$C$3257,Input!$A$115:$A$3257,"="&amp;'Output - County'!A2757,Input!$B$115:$B$3257,"="&amp;'Output - County'!B2757)*VLOOKUP(A2757,'Output - State'!$B$2:$G$52,2,FALSE)</f>
        <v>4.2875762755502373</v>
      </c>
      <c r="D2757" s="98">
        <f>SUMIFS(Input!$C$115:$C$3257,Input!$A$115:$A$3257,"="&amp;'Output - County'!A2757,Input!$B$115:$B$3257,"="&amp;'Output - County'!B2757)*VLOOKUP(A2757,'Output - State'!$B$2:$G$52,3,FALSE)</f>
        <v>0.7148470015162337</v>
      </c>
      <c r="E2757" s="98">
        <f>SUMIFS(Input!$C$115:$C$3257,Input!$A$115:$A$3257,"="&amp;'Output - County'!A2757,Input!$B$115:$B$3257,"="&amp;'Output - County'!B2757)*VLOOKUP(A2757,'Output - State'!$B$2:$G$52,4,FALSE)</f>
        <v>9.4071073642397423</v>
      </c>
      <c r="F2757" s="98">
        <f>SUMIFS(Input!$C$115:$C$3257,Input!$A$115:$A$3257,"="&amp;'Output - County'!A2757,Input!$B$115:$B$3257,"="&amp;'Output - County'!B2757)*VLOOKUP(A2757,'Output - State'!$B$2:$G$52,5,FALSE)</f>
        <v>17.286757421884442</v>
      </c>
      <c r="G2757" s="99">
        <f>SUMIFS(Input!$D$115:$D$3257,Input!$A$115:$A$3257,"="&amp;'Output - County'!A2757,Input!$B$115:$B$3257,"="&amp;'Output - County'!B2757)*VLOOKUP(A2757,'Output - State'!$B$2:$G$52,6,FALSE)</f>
        <v>9.6818536134444564</v>
      </c>
    </row>
    <row r="2758" spans="1:7" x14ac:dyDescent="0.25">
      <c r="A2758" s="88">
        <v>48</v>
      </c>
      <c r="B2758" s="88">
        <v>467</v>
      </c>
      <c r="C2758" s="97">
        <f>SUMIFS(Input!$C$115:$C$3257,Input!$A$115:$A$3257,"="&amp;'Output - County'!A2758,Input!$B$115:$B$3257,"="&amp;'Output - County'!B2758)*VLOOKUP(A2758,'Output - State'!$B$2:$G$52,2,FALSE)</f>
        <v>13.705620091884777</v>
      </c>
      <c r="D2758" s="98">
        <f>SUMIFS(Input!$C$115:$C$3257,Input!$A$115:$A$3257,"="&amp;'Output - County'!A2758,Input!$B$115:$B$3257,"="&amp;'Output - County'!B2758)*VLOOKUP(A2758,'Output - State'!$B$2:$G$52,3,FALSE)</f>
        <v>2.2850722172510269</v>
      </c>
      <c r="E2758" s="98">
        <f>SUMIFS(Input!$C$115:$C$3257,Input!$A$115:$A$3257,"="&amp;'Output - County'!A2758,Input!$B$115:$B$3257,"="&amp;'Output - County'!B2758)*VLOOKUP(A2758,'Output - State'!$B$2:$G$52,4,FALSE)</f>
        <v>30.070657968946676</v>
      </c>
      <c r="F2758" s="98">
        <f>SUMIFS(Input!$C$115:$C$3257,Input!$A$115:$A$3257,"="&amp;'Output - County'!A2758,Input!$B$115:$B$3257,"="&amp;'Output - County'!B2758)*VLOOKUP(A2758,'Output - State'!$B$2:$G$52,5,FALSE)</f>
        <v>55.258662381350248</v>
      </c>
      <c r="G2758" s="99">
        <f>SUMIFS(Input!$D$115:$D$3257,Input!$A$115:$A$3257,"="&amp;'Output - County'!A2758,Input!$B$115:$B$3257,"="&amp;'Output - County'!B2758)*VLOOKUP(A2758,'Output - State'!$B$2:$G$52,6,FALSE)</f>
        <v>11.064975558222235</v>
      </c>
    </row>
    <row r="2759" spans="1:7" x14ac:dyDescent="0.25">
      <c r="A2759" s="88">
        <v>48</v>
      </c>
      <c r="B2759" s="88">
        <v>469</v>
      </c>
      <c r="C2759" s="97">
        <f>SUMIFS(Input!$C$115:$C$3257,Input!$A$115:$A$3257,"="&amp;'Output - County'!A2759,Input!$B$115:$B$3257,"="&amp;'Output - County'!B2759)*VLOOKUP(A2759,'Output - State'!$B$2:$G$52,2,FALSE)</f>
        <v>15.959818706202643</v>
      </c>
      <c r="D2759" s="98">
        <f>SUMIFS(Input!$C$115:$C$3257,Input!$A$115:$A$3257,"="&amp;'Output - County'!A2759,Input!$B$115:$B$3257,"="&amp;'Output - County'!B2759)*VLOOKUP(A2759,'Output - State'!$B$2:$G$52,3,FALSE)</f>
        <v>2.6609039265214069</v>
      </c>
      <c r="E2759" s="98">
        <f>SUMIFS(Input!$C$115:$C$3257,Input!$A$115:$A$3257,"="&amp;'Output - County'!A2759,Input!$B$115:$B$3257,"="&amp;'Output - County'!B2759)*VLOOKUP(A2759,'Output - State'!$B$2:$G$52,4,FALSE)</f>
        <v>35.016456485962507</v>
      </c>
      <c r="F2759" s="98">
        <f>SUMIFS(Input!$C$115:$C$3257,Input!$A$115:$A$3257,"="&amp;'Output - County'!A2759,Input!$B$115:$B$3257,"="&amp;'Output - County'!B2759)*VLOOKUP(A2759,'Output - State'!$B$2:$G$52,5,FALSE)</f>
        <v>64.347196817151072</v>
      </c>
      <c r="G2759" s="99">
        <f>SUMIFS(Input!$D$115:$D$3257,Input!$A$115:$A$3257,"="&amp;'Output - County'!A2759,Input!$B$115:$B$3257,"="&amp;'Output - County'!B2759)*VLOOKUP(A2759,'Output - State'!$B$2:$G$52,6,FALSE)</f>
        <v>18.158415246439702</v>
      </c>
    </row>
    <row r="2760" spans="1:7" x14ac:dyDescent="0.25">
      <c r="A2760" s="88">
        <v>48</v>
      </c>
      <c r="B2760" s="88">
        <v>471</v>
      </c>
      <c r="C2760" s="97">
        <f>SUMIFS(Input!$C$115:$C$3257,Input!$A$115:$A$3257,"="&amp;'Output - County'!A2760,Input!$B$115:$B$3257,"="&amp;'Output - County'!B2760)*VLOOKUP(A2760,'Output - State'!$B$2:$G$52,2,FALSE)</f>
        <v>15.093217017414521</v>
      </c>
      <c r="D2760" s="98">
        <f>SUMIFS(Input!$C$115:$C$3257,Input!$A$115:$A$3257,"="&amp;'Output - County'!A2760,Input!$B$115:$B$3257,"="&amp;'Output - County'!B2760)*VLOOKUP(A2760,'Output - State'!$B$2:$G$52,3,FALSE)</f>
        <v>2.5164195887682332</v>
      </c>
      <c r="E2760" s="98">
        <f>SUMIFS(Input!$C$115:$C$3257,Input!$A$115:$A$3257,"="&amp;'Output - County'!A2760,Input!$B$115:$B$3257,"="&amp;'Output - County'!B2760)*VLOOKUP(A2760,'Output - State'!$B$2:$G$52,4,FALSE)</f>
        <v>33.115099027915853</v>
      </c>
      <c r="F2760" s="98">
        <f>SUMIFS(Input!$C$115:$C$3257,Input!$A$115:$A$3257,"="&amp;'Output - County'!A2760,Input!$B$115:$B$3257,"="&amp;'Output - County'!B2760)*VLOOKUP(A2760,'Output - State'!$B$2:$G$52,5,FALSE)</f>
        <v>60.853210421876248</v>
      </c>
      <c r="G2760" s="99">
        <f>SUMIFS(Input!$D$115:$D$3257,Input!$A$115:$A$3257,"="&amp;'Output - County'!A2760,Input!$B$115:$B$3257,"="&amp;'Output - County'!B2760)*VLOOKUP(A2760,'Output - State'!$B$2:$G$52,6,FALSE)</f>
        <v>14.443744880465095</v>
      </c>
    </row>
    <row r="2761" spans="1:7" x14ac:dyDescent="0.25">
      <c r="A2761" s="88">
        <v>48</v>
      </c>
      <c r="B2761" s="88">
        <v>473</v>
      </c>
      <c r="C2761" s="97">
        <f>SUMIFS(Input!$C$115:$C$3257,Input!$A$115:$A$3257,"="&amp;'Output - County'!A2761,Input!$B$115:$B$3257,"="&amp;'Output - County'!B2761)*VLOOKUP(A2761,'Output - State'!$B$2:$G$52,2,FALSE)</f>
        <v>11.716944042177134</v>
      </c>
      <c r="D2761" s="98">
        <f>SUMIFS(Input!$C$115:$C$3257,Input!$A$115:$A$3257,"="&amp;'Output - County'!A2761,Input!$B$115:$B$3257,"="&amp;'Output - County'!B2761)*VLOOKUP(A2761,'Output - State'!$B$2:$G$52,3,FALSE)</f>
        <v>1.953509810017066</v>
      </c>
      <c r="E2761" s="98">
        <f>SUMIFS(Input!$C$115:$C$3257,Input!$A$115:$A$3257,"="&amp;'Output - County'!A2761,Input!$B$115:$B$3257,"="&amp;'Output - County'!B2761)*VLOOKUP(A2761,'Output - State'!$B$2:$G$52,4,FALSE)</f>
        <v>25.707426177836172</v>
      </c>
      <c r="F2761" s="98">
        <f>SUMIFS(Input!$C$115:$C$3257,Input!$A$115:$A$3257,"="&amp;'Output - County'!A2761,Input!$B$115:$B$3257,"="&amp;'Output - County'!B2761)*VLOOKUP(A2761,'Output - State'!$B$2:$G$52,5,FALSE)</f>
        <v>47.240668472286643</v>
      </c>
      <c r="G2761" s="99">
        <f>SUMIFS(Input!$D$115:$D$3257,Input!$A$115:$A$3257,"="&amp;'Output - County'!A2761,Input!$B$115:$B$3257,"="&amp;'Output - County'!B2761)*VLOOKUP(A2761,'Output - State'!$B$2:$G$52,6,FALSE)</f>
        <v>10.571003435087313</v>
      </c>
    </row>
    <row r="2762" spans="1:7" x14ac:dyDescent="0.25">
      <c r="A2762" s="88">
        <v>48</v>
      </c>
      <c r="B2762" s="88">
        <v>475</v>
      </c>
      <c r="C2762" s="97">
        <f>SUMIFS(Input!$C$115:$C$3257,Input!$A$115:$A$3257,"="&amp;'Output - County'!A2762,Input!$B$115:$B$3257,"="&amp;'Output - County'!B2762)*VLOOKUP(A2762,'Output - State'!$B$2:$G$52,2,FALSE)</f>
        <v>7.3121695178793615</v>
      </c>
      <c r="D2762" s="98">
        <f>SUMIFS(Input!$C$115:$C$3257,Input!$A$115:$A$3257,"="&amp;'Output - County'!A2762,Input!$B$115:$B$3257,"="&amp;'Output - County'!B2762)*VLOOKUP(A2762,'Output - State'!$B$2:$G$52,3,FALSE)</f>
        <v>1.2191229073268577</v>
      </c>
      <c r="E2762" s="98">
        <f>SUMIFS(Input!$C$115:$C$3257,Input!$A$115:$A$3257,"="&amp;'Output - County'!A2762,Input!$B$115:$B$3257,"="&amp;'Output - County'!B2762)*VLOOKUP(A2762,'Output - State'!$B$2:$G$52,4,FALSE)</f>
        <v>16.043181345242598</v>
      </c>
      <c r="F2762" s="98">
        <f>SUMIFS(Input!$C$115:$C$3257,Input!$A$115:$A$3257,"="&amp;'Output - County'!A2762,Input!$B$115:$B$3257,"="&amp;'Output - County'!B2762)*VLOOKUP(A2762,'Output - State'!$B$2:$G$52,5,FALSE)</f>
        <v>29.481388215549934</v>
      </c>
      <c r="G2762" s="99">
        <f>SUMIFS(Input!$D$115:$D$3257,Input!$A$115:$A$3257,"="&amp;'Output - County'!A2762,Input!$B$115:$B$3257,"="&amp;'Output - County'!B2762)*VLOOKUP(A2762,'Output - State'!$B$2:$G$52,6,FALSE)</f>
        <v>2.3117895362714309</v>
      </c>
    </row>
    <row r="2763" spans="1:7" x14ac:dyDescent="0.25">
      <c r="A2763" s="88">
        <v>48</v>
      </c>
      <c r="B2763" s="88">
        <v>477</v>
      </c>
      <c r="C2763" s="97">
        <f>SUMIFS(Input!$C$115:$C$3257,Input!$A$115:$A$3257,"="&amp;'Output - County'!A2763,Input!$B$115:$B$3257,"="&amp;'Output - County'!B2763)*VLOOKUP(A2763,'Output - State'!$B$2:$G$52,2,FALSE)</f>
        <v>7.317372262050462</v>
      </c>
      <c r="D2763" s="98">
        <f>SUMIFS(Input!$C$115:$C$3257,Input!$A$115:$A$3257,"="&amp;'Output - County'!A2763,Input!$B$115:$B$3257,"="&amp;'Output - County'!B2763)*VLOOKUP(A2763,'Output - State'!$B$2:$G$52,3,FALSE)</f>
        <v>1.2199903358765434</v>
      </c>
      <c r="E2763" s="98">
        <f>SUMIFS(Input!$C$115:$C$3257,Input!$A$115:$A$3257,"="&amp;'Output - County'!A2763,Input!$B$115:$B$3257,"="&amp;'Output - County'!B2763)*VLOOKUP(A2763,'Output - State'!$B$2:$G$52,4,FALSE)</f>
        <v>16.054596366191685</v>
      </c>
      <c r="F2763" s="98">
        <f>SUMIFS(Input!$C$115:$C$3257,Input!$A$115:$A$3257,"="&amp;'Output - County'!A2763,Input!$B$115:$B$3257,"="&amp;'Output - County'!B2763)*VLOOKUP(A2763,'Output - State'!$B$2:$G$52,5,FALSE)</f>
        <v>29.502364769815991</v>
      </c>
      <c r="G2763" s="99">
        <f>SUMIFS(Input!$D$115:$D$3257,Input!$A$115:$A$3257,"="&amp;'Output - County'!A2763,Input!$B$115:$B$3257,"="&amp;'Output - County'!B2763)*VLOOKUP(A2763,'Output - State'!$B$2:$G$52,6,FALSE)</f>
        <v>7.0144041485158803</v>
      </c>
    </row>
    <row r="2764" spans="1:7" x14ac:dyDescent="0.25">
      <c r="A2764" s="88">
        <v>48</v>
      </c>
      <c r="B2764" s="88">
        <v>479</v>
      </c>
      <c r="C2764" s="97">
        <f>SUMIFS(Input!$C$115:$C$3257,Input!$A$115:$A$3257,"="&amp;'Output - County'!A2764,Input!$B$115:$B$3257,"="&amp;'Output - County'!B2764)*VLOOKUP(A2764,'Output - State'!$B$2:$G$52,2,FALSE)</f>
        <v>31.742354017871939</v>
      </c>
      <c r="D2764" s="98">
        <f>SUMIFS(Input!$C$115:$C$3257,Input!$A$115:$A$3257,"="&amp;'Output - County'!A2764,Input!$B$115:$B$3257,"="&amp;'Output - County'!B2764)*VLOOKUP(A2764,'Output - State'!$B$2:$G$52,3,FALSE)</f>
        <v>5.2922502440683781</v>
      </c>
      <c r="E2764" s="98">
        <f>SUMIFS(Input!$C$115:$C$3257,Input!$A$115:$A$3257,"="&amp;'Output - County'!A2764,Input!$B$115:$B$3257,"="&amp;'Output - County'!B2764)*VLOOKUP(A2764,'Output - State'!$B$2:$G$52,4,FALSE)</f>
        <v>69.643946381223827</v>
      </c>
      <c r="F2764" s="98">
        <f>SUMIFS(Input!$C$115:$C$3257,Input!$A$115:$A$3257,"="&amp;'Output - County'!A2764,Input!$B$115:$B$3257,"="&amp;'Output - County'!B2764)*VLOOKUP(A2764,'Output - State'!$B$2:$G$52,5,FALSE)</f>
        <v>127.9796180036732</v>
      </c>
      <c r="G2764" s="99">
        <f>SUMIFS(Input!$D$115:$D$3257,Input!$A$115:$A$3257,"="&amp;'Output - County'!A2764,Input!$B$115:$B$3257,"="&amp;'Output - County'!B2764)*VLOOKUP(A2764,'Output - State'!$B$2:$G$52,6,FALSE)</f>
        <v>54.336933544841337</v>
      </c>
    </row>
    <row r="2765" spans="1:7" x14ac:dyDescent="0.25">
      <c r="A2765" s="88">
        <v>48</v>
      </c>
      <c r="B2765" s="88">
        <v>481</v>
      </c>
      <c r="C2765" s="97">
        <f>SUMIFS(Input!$C$115:$C$3257,Input!$A$115:$A$3257,"="&amp;'Output - County'!A2765,Input!$B$115:$B$3257,"="&amp;'Output - County'!B2765)*VLOOKUP(A2765,'Output - State'!$B$2:$G$52,2,FALSE)</f>
        <v>9.1605478743550535</v>
      </c>
      <c r="D2765" s="98">
        <f>SUMIFS(Input!$C$115:$C$3257,Input!$A$115:$A$3257,"="&amp;'Output - County'!A2765,Input!$B$115:$B$3257,"="&amp;'Output - County'!B2765)*VLOOKUP(A2765,'Output - State'!$B$2:$G$52,3,FALSE)</f>
        <v>1.5272941539420763</v>
      </c>
      <c r="E2765" s="98">
        <f>SUMIFS(Input!$C$115:$C$3257,Input!$A$115:$A$3257,"="&amp;'Output - County'!A2765,Input!$B$115:$B$3257,"="&amp;'Output - County'!B2765)*VLOOKUP(A2765,'Output - State'!$B$2:$G$52,4,FALSE)</f>
        <v>20.098594597773573</v>
      </c>
      <c r="F2765" s="98">
        <f>SUMIFS(Input!$C$115:$C$3257,Input!$A$115:$A$3257,"="&amp;'Output - County'!A2765,Input!$B$115:$B$3257,"="&amp;'Output - County'!B2765)*VLOOKUP(A2765,'Output - State'!$B$2:$G$52,5,FALSE)</f>
        <v>36.93372637089999</v>
      </c>
      <c r="G2765" s="99">
        <f>SUMIFS(Input!$D$115:$D$3257,Input!$A$115:$A$3257,"="&amp;'Output - County'!A2765,Input!$B$115:$B$3257,"="&amp;'Output - County'!B2765)*VLOOKUP(A2765,'Output - State'!$B$2:$G$52,6,FALSE)</f>
        <v>8.1999372440396918</v>
      </c>
    </row>
    <row r="2766" spans="1:7" x14ac:dyDescent="0.25">
      <c r="A2766" s="88">
        <v>48</v>
      </c>
      <c r="B2766" s="88">
        <v>483</v>
      </c>
      <c r="C2766" s="97">
        <f>SUMIFS(Input!$C$115:$C$3257,Input!$A$115:$A$3257,"="&amp;'Output - County'!A2766,Input!$B$115:$B$3257,"="&amp;'Output - County'!B2766)*VLOOKUP(A2766,'Output - State'!$B$2:$G$52,2,FALSE)</f>
        <v>3.2398967811950299</v>
      </c>
      <c r="D2766" s="98">
        <f>SUMIFS(Input!$C$115:$C$3257,Input!$A$115:$A$3257,"="&amp;'Output - County'!A2766,Input!$B$115:$B$3257,"="&amp;'Output - County'!B2766)*VLOOKUP(A2766,'Output - State'!$B$2:$G$52,3,FALSE)</f>
        <v>0.54017243085946998</v>
      </c>
      <c r="E2766" s="98">
        <f>SUMIFS(Input!$C$115:$C$3257,Input!$A$115:$A$3257,"="&amp;'Output - County'!A2766,Input!$B$115:$B$3257,"="&amp;'Output - County'!B2766)*VLOOKUP(A2766,'Output - State'!$B$2:$G$52,4,FALSE)</f>
        <v>7.1084582316486165</v>
      </c>
      <c r="F2766" s="98">
        <f>SUMIFS(Input!$C$115:$C$3257,Input!$A$115:$A$3257,"="&amp;'Output - County'!A2766,Input!$B$115:$B$3257,"="&amp;'Output - County'!B2766)*VLOOKUP(A2766,'Output - State'!$B$2:$G$52,5,FALSE)</f>
        <v>13.062696994533379</v>
      </c>
      <c r="G2766" s="99">
        <f>SUMIFS(Input!$D$115:$D$3257,Input!$A$115:$A$3257,"="&amp;'Output - County'!A2766,Input!$B$115:$B$3257,"="&amp;'Output - County'!B2766)*VLOOKUP(A2766,'Output - State'!$B$2:$G$52,6,FALSE)</f>
        <v>1.0195584621504772</v>
      </c>
    </row>
    <row r="2767" spans="1:7" x14ac:dyDescent="0.25">
      <c r="A2767" s="88">
        <v>48</v>
      </c>
      <c r="B2767" s="88">
        <v>485</v>
      </c>
      <c r="C2767" s="97">
        <f>SUMIFS(Input!$C$115:$C$3257,Input!$A$115:$A$3257,"="&amp;'Output - County'!A2767,Input!$B$115:$B$3257,"="&amp;'Output - County'!B2767)*VLOOKUP(A2767,'Output - State'!$B$2:$G$52,2,FALSE)</f>
        <v>16.834957356997808</v>
      </c>
      <c r="D2767" s="98">
        <f>SUMIFS(Input!$C$115:$C$3257,Input!$A$115:$A$3257,"="&amp;'Output - County'!A2767,Input!$B$115:$B$3257,"="&amp;'Output - County'!B2767)*VLOOKUP(A2767,'Output - State'!$B$2:$G$52,3,FALSE)</f>
        <v>2.8068115909516109</v>
      </c>
      <c r="E2767" s="98">
        <f>SUMIFS(Input!$C$115:$C$3257,Input!$A$115:$A$3257,"="&amp;'Output - County'!A2767,Input!$B$115:$B$3257,"="&amp;'Output - County'!B2767)*VLOOKUP(A2767,'Output - State'!$B$2:$G$52,4,FALSE)</f>
        <v>36.936544367214147</v>
      </c>
      <c r="F2767" s="98">
        <f>SUMIFS(Input!$C$115:$C$3257,Input!$A$115:$A$3257,"="&amp;'Output - County'!A2767,Input!$B$115:$B$3257,"="&amp;'Output - County'!B2767)*VLOOKUP(A2767,'Output - State'!$B$2:$G$52,5,FALSE)</f>
        <v>67.875602749677569</v>
      </c>
      <c r="G2767" s="99">
        <f>SUMIFS(Input!$D$115:$D$3257,Input!$A$115:$A$3257,"="&amp;'Output - County'!A2767,Input!$B$115:$B$3257,"="&amp;'Output - County'!B2767)*VLOOKUP(A2767,'Output - State'!$B$2:$G$52,6,FALSE)</f>
        <v>26.08172810152384</v>
      </c>
    </row>
    <row r="2768" spans="1:7" x14ac:dyDescent="0.25">
      <c r="A2768" s="88">
        <v>48</v>
      </c>
      <c r="B2768" s="88">
        <v>487</v>
      </c>
      <c r="C2768" s="97">
        <f>SUMIFS(Input!$C$115:$C$3257,Input!$A$115:$A$3257,"="&amp;'Output - County'!A2768,Input!$B$115:$B$3257,"="&amp;'Output - County'!B2768)*VLOOKUP(A2768,'Output - State'!$B$2:$G$52,2,FALSE)</f>
        <v>3.3709215558765164</v>
      </c>
      <c r="D2768" s="98">
        <f>SUMIFS(Input!$C$115:$C$3257,Input!$A$115:$A$3257,"="&amp;'Output - County'!A2768,Input!$B$115:$B$3257,"="&amp;'Output - County'!B2768)*VLOOKUP(A2768,'Output - State'!$B$2:$G$52,3,FALSE)</f>
        <v>0.56201756230109789</v>
      </c>
      <c r="E2768" s="98">
        <f>SUMIFS(Input!$C$115:$C$3257,Input!$A$115:$A$3257,"="&amp;'Output - County'!A2768,Input!$B$115:$B$3257,"="&amp;'Output - County'!B2768)*VLOOKUP(A2768,'Output - State'!$B$2:$G$52,4,FALSE)</f>
        <v>7.3959316300421847</v>
      </c>
      <c r="F2768" s="98">
        <f>SUMIFS(Input!$C$115:$C$3257,Input!$A$115:$A$3257,"="&amp;'Output - County'!A2768,Input!$B$115:$B$3257,"="&amp;'Output - County'!B2768)*VLOOKUP(A2768,'Output - State'!$B$2:$G$52,5,FALSE)</f>
        <v>13.590965962969456</v>
      </c>
      <c r="G2768" s="99">
        <f>SUMIFS(Input!$D$115:$D$3257,Input!$A$115:$A$3257,"="&amp;'Output - County'!A2768,Input!$B$115:$B$3257,"="&amp;'Output - County'!B2768)*VLOOKUP(A2768,'Output - State'!$B$2:$G$52,6,FALSE)</f>
        <v>2.5291372704507964</v>
      </c>
    </row>
    <row r="2769" spans="1:7" x14ac:dyDescent="0.25">
      <c r="A2769" s="88">
        <v>48</v>
      </c>
      <c r="B2769" s="88">
        <v>489</v>
      </c>
      <c r="C2769" s="97">
        <f>SUMIFS(Input!$C$115:$C$3257,Input!$A$115:$A$3257,"="&amp;'Output - County'!A2769,Input!$B$115:$B$3257,"="&amp;'Output - County'!B2769)*VLOOKUP(A2769,'Output - State'!$B$2:$G$52,2,FALSE)</f>
        <v>2.6764103351727551</v>
      </c>
      <c r="D2769" s="98">
        <f>SUMIFS(Input!$C$115:$C$3257,Input!$A$115:$A$3257,"="&amp;'Output - County'!A2769,Input!$B$115:$B$3257,"="&amp;'Output - County'!B2769)*VLOOKUP(A2769,'Output - State'!$B$2:$G$52,3,FALSE)</f>
        <v>0.44622504183433387</v>
      </c>
      <c r="E2769" s="98">
        <f>SUMIFS(Input!$C$115:$C$3257,Input!$A$115:$A$3257,"="&amp;'Output - County'!A2769,Input!$B$115:$B$3257,"="&amp;'Output - County'!B2769)*VLOOKUP(A2769,'Output - State'!$B$2:$G$52,4,FALSE)</f>
        <v>5.8721472822078029</v>
      </c>
      <c r="F2769" s="98">
        <f>SUMIFS(Input!$C$115:$C$3257,Input!$A$115:$A$3257,"="&amp;'Output - County'!A2769,Input!$B$115:$B$3257,"="&amp;'Output - County'!B2769)*VLOOKUP(A2769,'Output - State'!$B$2:$G$52,5,FALSE)</f>
        <v>10.790818227395462</v>
      </c>
      <c r="G2769" s="99">
        <f>SUMIFS(Input!$D$115:$D$3257,Input!$A$115:$A$3257,"="&amp;'Output - County'!A2769,Input!$B$115:$B$3257,"="&amp;'Output - County'!B2769)*VLOOKUP(A2769,'Output - State'!$B$2:$G$52,6,FALSE)</f>
        <v>4.248160258960322</v>
      </c>
    </row>
    <row r="2770" spans="1:7" x14ac:dyDescent="0.25">
      <c r="A2770" s="88">
        <v>48</v>
      </c>
      <c r="B2770" s="88">
        <v>491</v>
      </c>
      <c r="C2770" s="97">
        <f>SUMIFS(Input!$C$115:$C$3257,Input!$A$115:$A$3257,"="&amp;'Output - County'!A2770,Input!$B$115:$B$3257,"="&amp;'Output - County'!B2770)*VLOOKUP(A2770,'Output - State'!$B$2:$G$52,2,FALSE)</f>
        <v>74.289390247579931</v>
      </c>
      <c r="D2770" s="98">
        <f>SUMIFS(Input!$C$115:$C$3257,Input!$A$115:$A$3257,"="&amp;'Output - County'!A2770,Input!$B$115:$B$3257,"="&amp;'Output - County'!B2770)*VLOOKUP(A2770,'Output - State'!$B$2:$G$52,3,FALSE)</f>
        <v>12.38591326428045</v>
      </c>
      <c r="E2770" s="98">
        <f>SUMIFS(Input!$C$115:$C$3257,Input!$A$115:$A$3257,"="&amp;'Output - County'!A2770,Input!$B$115:$B$3257,"="&amp;'Output - County'!B2770)*VLOOKUP(A2770,'Output - State'!$B$2:$G$52,4,FALSE)</f>
        <v>162.99378137435093</v>
      </c>
      <c r="F2770" s="98">
        <f>SUMIFS(Input!$C$115:$C$3257,Input!$A$115:$A$3257,"="&amp;'Output - County'!A2770,Input!$B$115:$B$3257,"="&amp;'Output - County'!B2770)*VLOOKUP(A2770,'Output - State'!$B$2:$G$52,5,FALSE)</f>
        <v>299.52182438196138</v>
      </c>
      <c r="G2770" s="99">
        <f>SUMIFS(Input!$D$115:$D$3257,Input!$A$115:$A$3257,"="&amp;'Output - County'!A2770,Input!$B$115:$B$3257,"="&amp;'Output - County'!B2770)*VLOOKUP(A2770,'Output - State'!$B$2:$G$52,6,FALSE)</f>
        <v>111.83528867774616</v>
      </c>
    </row>
    <row r="2771" spans="1:7" x14ac:dyDescent="0.25">
      <c r="A2771" s="88">
        <v>48</v>
      </c>
      <c r="B2771" s="88">
        <v>493</v>
      </c>
      <c r="C2771" s="97">
        <f>SUMIFS(Input!$C$115:$C$3257,Input!$A$115:$A$3257,"="&amp;'Output - County'!A2771,Input!$B$115:$B$3257,"="&amp;'Output - County'!B2771)*VLOOKUP(A2771,'Output - State'!$B$2:$G$52,2,FALSE)</f>
        <v>6.1732547935645874</v>
      </c>
      <c r="D2771" s="98">
        <f>SUMIFS(Input!$C$115:$C$3257,Input!$A$115:$A$3257,"="&amp;'Output - County'!A2771,Input!$B$115:$B$3257,"="&amp;'Output - County'!B2771)*VLOOKUP(A2771,'Output - State'!$B$2:$G$52,3,FALSE)</f>
        <v>1.0292371249323224</v>
      </c>
      <c r="E2771" s="98">
        <f>SUMIFS(Input!$C$115:$C$3257,Input!$A$115:$A$3257,"="&amp;'Output - County'!A2771,Input!$B$115:$B$3257,"="&amp;'Output - County'!B2771)*VLOOKUP(A2771,'Output - State'!$B$2:$G$52,4,FALSE)</f>
        <v>13.544358606755539</v>
      </c>
      <c r="F2771" s="98">
        <f>SUMIFS(Input!$C$115:$C$3257,Input!$A$115:$A$3257,"="&amp;'Output - County'!A2771,Input!$B$115:$B$3257,"="&amp;'Output - County'!B2771)*VLOOKUP(A2771,'Output - State'!$B$2:$G$52,5,FALSE)</f>
        <v>24.88948330281103</v>
      </c>
      <c r="G2771" s="99">
        <f>SUMIFS(Input!$D$115:$D$3257,Input!$A$115:$A$3257,"="&amp;'Output - County'!A2771,Input!$B$115:$B$3257,"="&amp;'Output - County'!B2771)*VLOOKUP(A2771,'Output - State'!$B$2:$G$52,6,FALSE)</f>
        <v>9.9189602325492174</v>
      </c>
    </row>
    <row r="2772" spans="1:7" x14ac:dyDescent="0.25">
      <c r="A2772" s="88">
        <v>48</v>
      </c>
      <c r="B2772" s="88">
        <v>495</v>
      </c>
      <c r="C2772" s="97">
        <f>SUMIFS(Input!$C$115:$C$3257,Input!$A$115:$A$3257,"="&amp;'Output - County'!A2772,Input!$B$115:$B$3257,"="&amp;'Output - County'!B2772)*VLOOKUP(A2772,'Output - State'!$B$2:$G$52,2,FALSE)</f>
        <v>3.2295194620735512</v>
      </c>
      <c r="D2772" s="98">
        <f>SUMIFS(Input!$C$115:$C$3257,Input!$A$115:$A$3257,"="&amp;'Output - County'!A2772,Input!$B$115:$B$3257,"="&amp;'Output - County'!B2772)*VLOOKUP(A2772,'Output - State'!$B$2:$G$52,3,FALSE)</f>
        <v>0.53844227027898817</v>
      </c>
      <c r="E2772" s="98">
        <f>SUMIFS(Input!$C$115:$C$3257,Input!$A$115:$A$3257,"="&amp;'Output - County'!A2772,Input!$B$115:$B$3257,"="&amp;'Output - County'!B2772)*VLOOKUP(A2772,'Output - State'!$B$2:$G$52,4,FALSE)</f>
        <v>7.0856899941048539</v>
      </c>
      <c r="F2772" s="98">
        <f>SUMIFS(Input!$C$115:$C$3257,Input!$A$115:$A$3257,"="&amp;'Output - County'!A2772,Input!$B$115:$B$3257,"="&amp;'Output - County'!B2772)*VLOOKUP(A2772,'Output - State'!$B$2:$G$52,5,FALSE)</f>
        <v>13.020857459370948</v>
      </c>
      <c r="G2772" s="99">
        <f>SUMIFS(Input!$D$115:$D$3257,Input!$A$115:$A$3257,"="&amp;'Output - County'!A2772,Input!$B$115:$B$3257,"="&amp;'Output - County'!B2772)*VLOOKUP(A2772,'Output - State'!$B$2:$G$52,6,FALSE)</f>
        <v>1.5372412471958747</v>
      </c>
    </row>
    <row r="2773" spans="1:7" x14ac:dyDescent="0.25">
      <c r="A2773" s="88">
        <v>48</v>
      </c>
      <c r="B2773" s="88">
        <v>497</v>
      </c>
      <c r="C2773" s="97">
        <f>SUMIFS(Input!$C$115:$C$3257,Input!$A$115:$A$3257,"="&amp;'Output - County'!A2773,Input!$B$115:$B$3257,"="&amp;'Output - County'!B2773)*VLOOKUP(A2773,'Output - State'!$B$2:$G$52,2,FALSE)</f>
        <v>12.830734763681987</v>
      </c>
      <c r="D2773" s="98">
        <f>SUMIFS(Input!$C$115:$C$3257,Input!$A$115:$A$3257,"="&amp;'Output - County'!A2773,Input!$B$115:$B$3257,"="&amp;'Output - County'!B2773)*VLOOKUP(A2773,'Output - State'!$B$2:$G$52,3,FALSE)</f>
        <v>2.1392067880800787</v>
      </c>
      <c r="E2773" s="98">
        <f>SUMIFS(Input!$C$115:$C$3257,Input!$A$115:$A$3257,"="&amp;'Output - County'!A2773,Input!$B$115:$B$3257,"="&amp;'Output - County'!B2773)*VLOOKUP(A2773,'Output - State'!$B$2:$G$52,4,FALSE)</f>
        <v>28.151125887212324</v>
      </c>
      <c r="F2773" s="98">
        <f>SUMIFS(Input!$C$115:$C$3257,Input!$A$115:$A$3257,"="&amp;'Output - County'!A2773,Input!$B$115:$B$3257,"="&amp;'Output - County'!B2773)*VLOOKUP(A2773,'Output - State'!$B$2:$G$52,5,FALSE)</f>
        <v>51.731277801196867</v>
      </c>
      <c r="G2773" s="99">
        <f>SUMIFS(Input!$D$115:$D$3257,Input!$A$115:$A$3257,"="&amp;'Output - County'!A2773,Input!$B$115:$B$3257,"="&amp;'Output - County'!B2773)*VLOOKUP(A2773,'Output - State'!$B$2:$G$52,6,FALSE)</f>
        <v>13.495318404046047</v>
      </c>
    </row>
    <row r="2774" spans="1:7" x14ac:dyDescent="0.25">
      <c r="A2774" s="88">
        <v>48</v>
      </c>
      <c r="B2774" s="88">
        <v>499</v>
      </c>
      <c r="C2774" s="97">
        <f>SUMIFS(Input!$C$115:$C$3257,Input!$A$115:$A$3257,"="&amp;'Output - County'!A2774,Input!$B$115:$B$3257,"="&amp;'Output - County'!B2774)*VLOOKUP(A2774,'Output - State'!$B$2:$G$52,2,FALSE)</f>
        <v>5.291440153636298</v>
      </c>
      <c r="D2774" s="98">
        <f>SUMIFS(Input!$C$115:$C$3257,Input!$A$115:$A$3257,"="&amp;'Output - County'!A2774,Input!$B$115:$B$3257,"="&amp;'Output - County'!B2774)*VLOOKUP(A2774,'Output - State'!$B$2:$G$52,3,FALSE)</f>
        <v>0.88221640489511244</v>
      </c>
      <c r="E2774" s="98">
        <f>SUMIFS(Input!$C$115:$C$3257,Input!$A$115:$A$3257,"="&amp;'Output - County'!A2774,Input!$B$115:$B$3257,"="&amp;'Output - County'!B2774)*VLOOKUP(A2774,'Output - State'!$B$2:$G$52,4,FALSE)</f>
        <v>11.60962334840745</v>
      </c>
      <c r="F2774" s="98">
        <f>SUMIFS(Input!$C$115:$C$3257,Input!$A$115:$A$3257,"="&amp;'Output - County'!A2774,Input!$B$115:$B$3257,"="&amp;'Output - County'!B2774)*VLOOKUP(A2774,'Output - State'!$B$2:$G$52,5,FALSE)</f>
        <v>21.334160950079138</v>
      </c>
      <c r="G2774" s="99">
        <f>SUMIFS(Input!$D$115:$D$3257,Input!$A$115:$A$3257,"="&amp;'Output - County'!A2774,Input!$B$115:$B$3257,"="&amp;'Output - County'!B2774)*VLOOKUP(A2774,'Output - State'!$B$2:$G$52,6,FALSE)</f>
        <v>8.931015986279375</v>
      </c>
    </row>
    <row r="2775" spans="1:7" x14ac:dyDescent="0.25">
      <c r="A2775" s="88">
        <v>48</v>
      </c>
      <c r="B2775" s="88">
        <v>501</v>
      </c>
      <c r="C2775" s="97">
        <f>SUMIFS(Input!$C$115:$C$3257,Input!$A$115:$A$3257,"="&amp;'Output - County'!A2775,Input!$B$115:$B$3257,"="&amp;'Output - County'!B2775)*VLOOKUP(A2775,'Output - State'!$B$2:$G$52,2,FALSE)</f>
        <v>1.3244078385159044</v>
      </c>
      <c r="D2775" s="98">
        <f>SUMIFS(Input!$C$115:$C$3257,Input!$A$115:$A$3257,"="&amp;'Output - County'!A2775,Input!$B$115:$B$3257,"="&amp;'Output - County'!B2775)*VLOOKUP(A2775,'Output - State'!$B$2:$G$52,3,FALSE)</f>
        <v>0.2208121585023444</v>
      </c>
      <c r="E2775" s="98">
        <f>SUMIFS(Input!$C$115:$C$3257,Input!$A$115:$A$3257,"="&amp;'Output - County'!A2775,Input!$B$115:$B$3257,"="&amp;'Output - County'!B2775)*VLOOKUP(A2775,'Output - State'!$B$2:$G$52,4,FALSE)</f>
        <v>2.9058017701063341</v>
      </c>
      <c r="F2775" s="98">
        <f>SUMIFS(Input!$C$115:$C$3257,Input!$A$115:$A$3257,"="&amp;'Output - County'!A2775,Input!$B$115:$B$3257,"="&amp;'Output - County'!B2775)*VLOOKUP(A2775,'Output - State'!$B$2:$G$52,5,FALSE)</f>
        <v>5.339780696759405</v>
      </c>
      <c r="G2775" s="99">
        <f>SUMIFS(Input!$D$115:$D$3257,Input!$A$115:$A$3257,"="&amp;'Output - County'!A2775,Input!$B$115:$B$3257,"="&amp;'Output - County'!B2775)*VLOOKUP(A2775,'Output - State'!$B$2:$G$52,6,FALSE)</f>
        <v>1.6972882150915891</v>
      </c>
    </row>
    <row r="2776" spans="1:7" x14ac:dyDescent="0.25">
      <c r="A2776" s="88">
        <v>48</v>
      </c>
      <c r="B2776" s="88">
        <v>503</v>
      </c>
      <c r="C2776" s="97">
        <f>SUMIFS(Input!$C$115:$C$3257,Input!$A$115:$A$3257,"="&amp;'Output - County'!A2776,Input!$B$115:$B$3257,"="&amp;'Output - County'!B2776)*VLOOKUP(A2776,'Output - State'!$B$2:$G$52,2,FALSE)</f>
        <v>2.1609711334243533</v>
      </c>
      <c r="D2776" s="98">
        <f>SUMIFS(Input!$C$115:$C$3257,Input!$A$115:$A$3257,"="&amp;'Output - County'!A2776,Input!$B$115:$B$3257,"="&amp;'Output - County'!B2776)*VLOOKUP(A2776,'Output - State'!$B$2:$G$52,3,FALSE)</f>
        <v>0.36028833910209374</v>
      </c>
      <c r="E2776" s="98">
        <f>SUMIFS(Input!$C$115:$C$3257,Input!$A$115:$A$3257,"="&amp;'Output - County'!A2776,Input!$B$115:$B$3257,"="&amp;'Output - County'!B2776)*VLOOKUP(A2776,'Output - State'!$B$2:$G$52,4,FALSE)</f>
        <v>4.741253835895181</v>
      </c>
      <c r="F2776" s="98">
        <f>SUMIFS(Input!$C$115:$C$3257,Input!$A$115:$A$3257,"="&amp;'Output - County'!A2776,Input!$B$115:$B$3257,"="&amp;'Output - County'!B2776)*VLOOKUP(A2776,'Output - State'!$B$2:$G$52,5,FALSE)</f>
        <v>8.712657543196114</v>
      </c>
      <c r="G2776" s="99">
        <f>SUMIFS(Input!$D$115:$D$3257,Input!$A$115:$A$3257,"="&amp;'Output - County'!A2776,Input!$B$115:$B$3257,"="&amp;'Output - County'!B2776)*VLOOKUP(A2776,'Output - State'!$B$2:$G$52,6,FALSE)</f>
        <v>3.5565992865714326</v>
      </c>
    </row>
    <row r="2777" spans="1:7" x14ac:dyDescent="0.25">
      <c r="A2777" s="88">
        <v>48</v>
      </c>
      <c r="B2777" s="88">
        <v>505</v>
      </c>
      <c r="C2777" s="97">
        <f>SUMIFS(Input!$C$115:$C$3257,Input!$A$115:$A$3257,"="&amp;'Output - County'!A2777,Input!$B$115:$B$3257,"="&amp;'Output - County'!B2777)*VLOOKUP(A2777,'Output - State'!$B$2:$G$52,2,FALSE)</f>
        <v>1.6317248473304995</v>
      </c>
      <c r="D2777" s="98">
        <f>SUMIFS(Input!$C$115:$C$3257,Input!$A$115:$A$3257,"="&amp;'Output - County'!A2777,Input!$B$115:$B$3257,"="&amp;'Output - County'!B2777)*VLOOKUP(A2777,'Output - State'!$B$2:$G$52,3,FALSE)</f>
        <v>0.27204964750488314</v>
      </c>
      <c r="E2777" s="98">
        <f>SUMIFS(Input!$C$115:$C$3257,Input!$A$115:$A$3257,"="&amp;'Output - County'!A2777,Input!$B$115:$B$3257,"="&amp;'Output - County'!B2777)*VLOOKUP(A2777,'Output - State'!$B$2:$G$52,4,FALSE)</f>
        <v>3.5800671151362371</v>
      </c>
      <c r="F2777" s="98">
        <f>SUMIFS(Input!$C$115:$C$3257,Input!$A$115:$A$3257,"="&amp;'Output - County'!A2777,Input!$B$115:$B$3257,"="&amp;'Output - County'!B2777)*VLOOKUP(A2777,'Output - State'!$B$2:$G$52,5,FALSE)</f>
        <v>6.5788291104964314</v>
      </c>
      <c r="G2777" s="99">
        <f>SUMIFS(Input!$D$115:$D$3257,Input!$A$115:$A$3257,"="&amp;'Output - County'!A2777,Input!$B$115:$B$3257,"="&amp;'Output - County'!B2777)*VLOOKUP(A2777,'Output - State'!$B$2:$G$52,6,FALSE)</f>
        <v>2.7860027744809557</v>
      </c>
    </row>
    <row r="2778" spans="1:7" x14ac:dyDescent="0.25">
      <c r="A2778" s="88">
        <v>48</v>
      </c>
      <c r="B2778" s="88">
        <v>507</v>
      </c>
      <c r="C2778" s="97">
        <f>SUMIFS(Input!$C$115:$C$3257,Input!$A$115:$A$3257,"="&amp;'Output - County'!A2778,Input!$B$115:$B$3257,"="&amp;'Output - County'!B2778)*VLOOKUP(A2778,'Output - State'!$B$2:$G$52,2,FALSE)</f>
        <v>2.0395202126809657</v>
      </c>
      <c r="D2778" s="98">
        <f>SUMIFS(Input!$C$115:$C$3257,Input!$A$115:$A$3257,"="&amp;'Output - County'!A2778,Input!$B$115:$B$3257,"="&amp;'Output - County'!B2778)*VLOOKUP(A2778,'Output - State'!$B$2:$G$52,3,FALSE)</f>
        <v>0.34003941034953072</v>
      </c>
      <c r="E2778" s="98">
        <f>SUMIFS(Input!$C$115:$C$3257,Input!$A$115:$A$3257,"="&amp;'Output - County'!A2778,Input!$B$115:$B$3257,"="&amp;'Output - County'!B2778)*VLOOKUP(A2778,'Output - State'!$B$2:$G$52,4,FALSE)</f>
        <v>4.4747858415101254</v>
      </c>
      <c r="F2778" s="98">
        <f>SUMIFS(Input!$C$115:$C$3257,Input!$A$115:$A$3257,"="&amp;'Output - County'!A2778,Input!$B$115:$B$3257,"="&amp;'Output - County'!B2778)*VLOOKUP(A2778,'Output - State'!$B$2:$G$52,5,FALSE)</f>
        <v>8.2229886788711255</v>
      </c>
      <c r="G2778" s="99">
        <f>SUMIFS(Input!$D$115:$D$3257,Input!$A$115:$A$3257,"="&amp;'Output - County'!A2778,Input!$B$115:$B$3257,"="&amp;'Output - County'!B2778)*VLOOKUP(A2778,'Output - State'!$B$2:$G$52,6,FALSE)</f>
        <v>2.3710661910476216</v>
      </c>
    </row>
    <row r="2779" spans="1:7" x14ac:dyDescent="0.25">
      <c r="A2779" s="88">
        <v>49</v>
      </c>
      <c r="B2779" s="88">
        <v>1</v>
      </c>
      <c r="C2779" s="97">
        <f>SUMIFS(Input!$C$115:$C$3257,Input!$A$115:$A$3257,"="&amp;'Output - County'!A2779,Input!$B$115:$B$3257,"="&amp;'Output - County'!B2779)*VLOOKUP(A2779,'Output - State'!$B$2:$G$52,2,FALSE)</f>
        <v>2.9280736240754437</v>
      </c>
      <c r="D2779" s="98">
        <f>SUMIFS(Input!$C$115:$C$3257,Input!$A$115:$A$3257,"="&amp;'Output - County'!A2779,Input!$B$115:$B$3257,"="&amp;'Output - County'!B2779)*VLOOKUP(A2779,'Output - State'!$B$2:$G$52,3,FALSE)</f>
        <v>1.2294995715023258</v>
      </c>
      <c r="E2779" s="98">
        <f>SUMIFS(Input!$C$115:$C$3257,Input!$A$115:$A$3257,"="&amp;'Output - County'!A2779,Input!$B$115:$B$3257,"="&amp;'Output - County'!B2779)*VLOOKUP(A2779,'Output - State'!$B$2:$G$52,4,FALSE)</f>
        <v>2.4627788388253617</v>
      </c>
      <c r="F2779" s="98">
        <f>SUMIFS(Input!$C$115:$C$3257,Input!$A$115:$A$3257,"="&amp;'Output - County'!A2779,Input!$B$115:$B$3257,"="&amp;'Output - County'!B2779)*VLOOKUP(A2779,'Output - State'!$B$2:$G$52,5,FALSE)</f>
        <v>39.091961301745997</v>
      </c>
      <c r="G2779" s="99">
        <f>SUMIFS(Input!$D$115:$D$3257,Input!$A$115:$A$3257,"="&amp;'Output - County'!A2779,Input!$B$115:$B$3257,"="&amp;'Output - County'!B2779)*VLOOKUP(A2779,'Output - State'!$B$2:$G$52,6,FALSE)</f>
        <v>7.236108986038374E-2</v>
      </c>
    </row>
    <row r="2780" spans="1:7" x14ac:dyDescent="0.25">
      <c r="A2780" s="88">
        <v>49</v>
      </c>
      <c r="B2780" s="88">
        <v>3</v>
      </c>
      <c r="C2780" s="97">
        <f>SUMIFS(Input!$C$115:$C$3257,Input!$A$115:$A$3257,"="&amp;'Output - County'!A2780,Input!$B$115:$B$3257,"="&amp;'Output - County'!B2780)*VLOOKUP(A2780,'Output - State'!$B$2:$G$52,2,FALSE)</f>
        <v>10.194086228895916</v>
      </c>
      <c r="D2780" s="98">
        <f>SUMIFS(Input!$C$115:$C$3257,Input!$A$115:$A$3257,"="&amp;'Output - County'!A2780,Input!$B$115:$B$3257,"="&amp;'Output - County'!B2780)*VLOOKUP(A2780,'Output - State'!$B$2:$G$52,3,FALSE)</f>
        <v>4.2805018791980878</v>
      </c>
      <c r="E2780" s="98">
        <f>SUMIFS(Input!$C$115:$C$3257,Input!$A$115:$A$3257,"="&amp;'Output - County'!A2780,Input!$B$115:$B$3257,"="&amp;'Output - County'!B2780)*VLOOKUP(A2780,'Output - State'!$B$2:$G$52,4,FALSE)</f>
        <v>8.5741627666938172</v>
      </c>
      <c r="F2780" s="98">
        <f>SUMIFS(Input!$C$115:$C$3257,Input!$A$115:$A$3257,"="&amp;'Output - County'!A2780,Input!$B$115:$B$3257,"="&amp;'Output - County'!B2780)*VLOOKUP(A2780,'Output - State'!$B$2:$G$52,5,FALSE)</f>
        <v>136.09863532461273</v>
      </c>
      <c r="G2780" s="99">
        <f>SUMIFS(Input!$D$115:$D$3257,Input!$A$115:$A$3257,"="&amp;'Output - County'!A2780,Input!$B$115:$B$3257,"="&amp;'Output - County'!B2780)*VLOOKUP(A2780,'Output - State'!$B$2:$G$52,6,FALSE)</f>
        <v>0.59918911513349427</v>
      </c>
    </row>
    <row r="2781" spans="1:7" x14ac:dyDescent="0.25">
      <c r="A2781" s="88">
        <v>49</v>
      </c>
      <c r="B2781" s="88">
        <v>5</v>
      </c>
      <c r="C2781" s="97">
        <f>SUMIFS(Input!$C$115:$C$3257,Input!$A$115:$A$3257,"="&amp;'Output - County'!A2781,Input!$B$115:$B$3257,"="&amp;'Output - County'!B2781)*VLOOKUP(A2781,'Output - State'!$B$2:$G$52,2,FALSE)</f>
        <v>7.27228921043117</v>
      </c>
      <c r="D2781" s="98">
        <f>SUMIFS(Input!$C$115:$C$3257,Input!$A$115:$A$3257,"="&amp;'Output - County'!A2781,Input!$B$115:$B$3257,"="&amp;'Output - County'!B2781)*VLOOKUP(A2781,'Output - State'!$B$2:$G$52,3,FALSE)</f>
        <v>3.0536378575143823</v>
      </c>
      <c r="E2781" s="98">
        <f>SUMIFS(Input!$C$115:$C$3257,Input!$A$115:$A$3257,"="&amp;'Output - County'!A2781,Input!$B$115:$B$3257,"="&amp;'Output - County'!B2781)*VLOOKUP(A2781,'Output - State'!$B$2:$G$52,4,FALSE)</f>
        <v>6.1166631296448646</v>
      </c>
      <c r="F2781" s="98">
        <f>SUMIFS(Input!$C$115:$C$3257,Input!$A$115:$A$3257,"="&amp;'Output - County'!A2781,Input!$B$115:$B$3257,"="&amp;'Output - County'!B2781)*VLOOKUP(A2781,'Output - State'!$B$2:$G$52,5,FALSE)</f>
        <v>97.090471377421693</v>
      </c>
      <c r="G2781" s="99">
        <f>SUMIFS(Input!$D$115:$D$3257,Input!$A$115:$A$3257,"="&amp;'Output - County'!A2781,Input!$B$115:$B$3257,"="&amp;'Output - County'!B2781)*VLOOKUP(A2781,'Output - State'!$B$2:$G$52,6,FALSE)</f>
        <v>1.3751881330932654</v>
      </c>
    </row>
    <row r="2782" spans="1:7" x14ac:dyDescent="0.25">
      <c r="A2782" s="88">
        <v>49</v>
      </c>
      <c r="B2782" s="88">
        <v>7</v>
      </c>
      <c r="C2782" s="97">
        <f>SUMIFS(Input!$C$115:$C$3257,Input!$A$115:$A$3257,"="&amp;'Output - County'!A2782,Input!$B$115:$B$3257,"="&amp;'Output - County'!B2782)*VLOOKUP(A2782,'Output - State'!$B$2:$G$52,2,FALSE)</f>
        <v>1.954111594612949</v>
      </c>
      <c r="D2782" s="98">
        <f>SUMIFS(Input!$C$115:$C$3257,Input!$A$115:$A$3257,"="&amp;'Output - County'!A2782,Input!$B$115:$B$3257,"="&amp;'Output - County'!B2782)*VLOOKUP(A2782,'Output - State'!$B$2:$G$52,3,FALSE)</f>
        <v>0.82053243077280069</v>
      </c>
      <c r="E2782" s="98">
        <f>SUMIFS(Input!$C$115:$C$3257,Input!$A$115:$A$3257,"="&amp;'Output - County'!A2782,Input!$B$115:$B$3257,"="&amp;'Output - County'!B2782)*VLOOKUP(A2782,'Output - State'!$B$2:$G$52,4,FALSE)</f>
        <v>1.643587321147242</v>
      </c>
      <c r="F2782" s="98">
        <f>SUMIFS(Input!$C$115:$C$3257,Input!$A$115:$A$3257,"="&amp;'Output - County'!A2782,Input!$B$115:$B$3257,"="&amp;'Output - County'!B2782)*VLOOKUP(A2782,'Output - State'!$B$2:$G$52,5,FALSE)</f>
        <v>26.088843602770805</v>
      </c>
      <c r="G2782" s="99">
        <f>SUMIFS(Input!$D$115:$D$3257,Input!$A$115:$A$3257,"="&amp;'Output - County'!A2782,Input!$B$115:$B$3257,"="&amp;'Output - County'!B2782)*VLOOKUP(A2782,'Output - State'!$B$2:$G$52,6,FALSE)</f>
        <v>0.22046666895622194</v>
      </c>
    </row>
    <row r="2783" spans="1:7" x14ac:dyDescent="0.25">
      <c r="A2783" s="88">
        <v>49</v>
      </c>
      <c r="B2783" s="88">
        <v>9</v>
      </c>
      <c r="C2783" s="97">
        <f>SUMIFS(Input!$C$115:$C$3257,Input!$A$115:$A$3257,"="&amp;'Output - County'!A2783,Input!$B$115:$B$3257,"="&amp;'Output - County'!B2783)*VLOOKUP(A2783,'Output - State'!$B$2:$G$52,2,FALSE)</f>
        <v>0.12636700373755158</v>
      </c>
      <c r="D2783" s="98">
        <f>SUMIFS(Input!$C$115:$C$3257,Input!$A$115:$A$3257,"="&amp;'Output - County'!A2783,Input!$B$115:$B$3257,"="&amp;'Output - County'!B2783)*VLOOKUP(A2783,'Output - State'!$B$2:$G$52,3,FALSE)</f>
        <v>5.3061567738554007E-2</v>
      </c>
      <c r="E2783" s="98">
        <f>SUMIFS(Input!$C$115:$C$3257,Input!$A$115:$A$3257,"="&amp;'Output - County'!A2783,Input!$B$115:$B$3257,"="&amp;'Output - County'!B2783)*VLOOKUP(A2783,'Output - State'!$B$2:$G$52,4,FALSE)</f>
        <v>0.10628625597789573</v>
      </c>
      <c r="F2783" s="98">
        <f>SUMIFS(Input!$C$115:$C$3257,Input!$A$115:$A$3257,"="&amp;'Output - County'!A2783,Input!$B$115:$B$3257,"="&amp;'Output - County'!B2783)*VLOOKUP(A2783,'Output - State'!$B$2:$G$52,5,FALSE)</f>
        <v>1.6870935140798486</v>
      </c>
      <c r="G2783" s="99">
        <f>SUMIFS(Input!$D$115:$D$3257,Input!$A$115:$A$3257,"="&amp;'Output - County'!A2783,Input!$B$115:$B$3257,"="&amp;'Output - County'!B2783)*VLOOKUP(A2783,'Output - State'!$B$2:$G$52,6,FALSE)</f>
        <v>1.0630422552641591E-2</v>
      </c>
    </row>
    <row r="2784" spans="1:7" x14ac:dyDescent="0.25">
      <c r="A2784" s="88">
        <v>49</v>
      </c>
      <c r="B2784" s="88">
        <v>11</v>
      </c>
      <c r="C2784" s="97">
        <f>SUMIFS(Input!$C$115:$C$3257,Input!$A$115:$A$3257,"="&amp;'Output - County'!A2784,Input!$B$115:$B$3257,"="&amp;'Output - County'!B2784)*VLOOKUP(A2784,'Output - State'!$B$2:$G$52,2,FALSE)</f>
        <v>29.746102708244365</v>
      </c>
      <c r="D2784" s="98">
        <f>SUMIFS(Input!$C$115:$C$3257,Input!$A$115:$A$3257,"="&amp;'Output - County'!A2784,Input!$B$115:$B$3257,"="&amp;'Output - County'!B2784)*VLOOKUP(A2784,'Output - State'!$B$2:$G$52,3,FALSE)</f>
        <v>12.490403326247884</v>
      </c>
      <c r="E2784" s="98">
        <f>SUMIFS(Input!$C$115:$C$3257,Input!$A$115:$A$3257,"="&amp;'Output - County'!A2784,Input!$B$115:$B$3257,"="&amp;'Output - County'!B2784)*VLOOKUP(A2784,'Output - State'!$B$2:$G$52,4,FALSE)</f>
        <v>25.019204327733281</v>
      </c>
      <c r="F2784" s="98">
        <f>SUMIFS(Input!$C$115:$C$3257,Input!$A$115:$A$3257,"="&amp;'Output - County'!A2784,Input!$B$115:$B$3257,"="&amp;'Output - County'!B2784)*VLOOKUP(A2784,'Output - State'!$B$2:$G$52,5,FALSE)</f>
        <v>397.13260158054328</v>
      </c>
      <c r="G2784" s="99">
        <f>SUMIFS(Input!$D$115:$D$3257,Input!$A$115:$A$3257,"="&amp;'Output - County'!A2784,Input!$B$115:$B$3257,"="&amp;'Output - County'!B2784)*VLOOKUP(A2784,'Output - State'!$B$2:$G$52,6,FALSE)</f>
        <v>3.8308812279026681</v>
      </c>
    </row>
    <row r="2785" spans="1:7" x14ac:dyDescent="0.25">
      <c r="A2785" s="88">
        <v>49</v>
      </c>
      <c r="B2785" s="88">
        <v>13</v>
      </c>
      <c r="C2785" s="97">
        <f>SUMIFS(Input!$C$115:$C$3257,Input!$A$115:$A$3257,"="&amp;'Output - County'!A2785,Input!$B$115:$B$3257,"="&amp;'Output - County'!B2785)*VLOOKUP(A2785,'Output - State'!$B$2:$G$52,2,FALSE)</f>
        <v>1.7827381345972899</v>
      </c>
      <c r="D2785" s="98">
        <f>SUMIFS(Input!$C$115:$C$3257,Input!$A$115:$A$3257,"="&amp;'Output - County'!A2785,Input!$B$115:$B$3257,"="&amp;'Output - County'!B2785)*VLOOKUP(A2785,'Output - State'!$B$2:$G$52,3,FALSE)</f>
        <v>0.74857262965179749</v>
      </c>
      <c r="E2785" s="98">
        <f>SUMIFS(Input!$C$115:$C$3257,Input!$A$115:$A$3257,"="&amp;'Output - County'!A2785,Input!$B$115:$B$3257,"="&amp;'Output - County'!B2785)*VLOOKUP(A2785,'Output - State'!$B$2:$G$52,4,FALSE)</f>
        <v>1.499446501943587</v>
      </c>
      <c r="F2785" s="98">
        <f>SUMIFS(Input!$C$115:$C$3257,Input!$A$115:$A$3257,"="&amp;'Output - County'!A2785,Input!$B$115:$B$3257,"="&amp;'Output - County'!B2785)*VLOOKUP(A2785,'Output - State'!$B$2:$G$52,5,FALSE)</f>
        <v>23.800880413595941</v>
      </c>
      <c r="G2785" s="99">
        <f>SUMIFS(Input!$D$115:$D$3257,Input!$A$115:$A$3257,"="&amp;'Output - County'!A2785,Input!$B$115:$B$3257,"="&amp;'Output - County'!B2785)*VLOOKUP(A2785,'Output - State'!$B$2:$G$52,6,FALSE)</f>
        <v>0.21719241149647606</v>
      </c>
    </row>
    <row r="2786" spans="1:7" x14ac:dyDescent="0.25">
      <c r="A2786" s="88">
        <v>49</v>
      </c>
      <c r="B2786" s="88">
        <v>15</v>
      </c>
      <c r="C2786" s="97">
        <f>SUMIFS(Input!$C$115:$C$3257,Input!$A$115:$A$3257,"="&amp;'Output - County'!A2786,Input!$B$115:$B$3257,"="&amp;'Output - County'!B2786)*VLOOKUP(A2786,'Output - State'!$B$2:$G$52,2,FALSE)</f>
        <v>2.4547897638952252</v>
      </c>
      <c r="D2786" s="98">
        <f>SUMIFS(Input!$C$115:$C$3257,Input!$A$115:$A$3257,"="&amp;'Output - County'!A2786,Input!$B$115:$B$3257,"="&amp;'Output - County'!B2786)*VLOOKUP(A2786,'Output - State'!$B$2:$G$52,3,FALSE)</f>
        <v>1.0307674431480451</v>
      </c>
      <c r="E2786" s="98">
        <f>SUMIFS(Input!$C$115:$C$3257,Input!$A$115:$A$3257,"="&amp;'Output - County'!A2786,Input!$B$115:$B$3257,"="&amp;'Output - County'!B2786)*VLOOKUP(A2786,'Output - State'!$B$2:$G$52,4,FALSE)</f>
        <v>2.0647036449417158</v>
      </c>
      <c r="F2786" s="98">
        <f>SUMIFS(Input!$C$115:$C$3257,Input!$A$115:$A$3257,"="&amp;'Output - County'!A2786,Input!$B$115:$B$3257,"="&amp;'Output - County'!B2786)*VLOOKUP(A2786,'Output - State'!$B$2:$G$52,5,FALSE)</f>
        <v>32.773269655886843</v>
      </c>
      <c r="G2786" s="99">
        <f>SUMIFS(Input!$D$115:$D$3257,Input!$A$115:$A$3257,"="&amp;'Output - County'!A2786,Input!$B$115:$B$3257,"="&amp;'Output - County'!B2786)*VLOOKUP(A2786,'Output - State'!$B$2:$G$52,6,FALSE)</f>
        <v>0.10914191532486234</v>
      </c>
    </row>
    <row r="2787" spans="1:7" x14ac:dyDescent="0.25">
      <c r="A2787" s="88">
        <v>49</v>
      </c>
      <c r="B2787" s="88">
        <v>17</v>
      </c>
      <c r="C2787" s="97">
        <f>SUMIFS(Input!$C$115:$C$3257,Input!$A$115:$A$3257,"="&amp;'Output - County'!A2787,Input!$B$115:$B$3257,"="&amp;'Output - County'!B2787)*VLOOKUP(A2787,'Output - State'!$B$2:$G$52,2,FALSE)</f>
        <v>0.55704361389261103</v>
      </c>
      <c r="D2787" s="98">
        <f>SUMIFS(Input!$C$115:$C$3257,Input!$A$115:$A$3257,"="&amp;'Output - County'!A2787,Input!$B$115:$B$3257,"="&amp;'Output - County'!B2787)*VLOOKUP(A2787,'Output - State'!$B$2:$G$52,3,FALSE)</f>
        <v>0.23390289060963376</v>
      </c>
      <c r="E2787" s="98">
        <f>SUMIFS(Input!$C$115:$C$3257,Input!$A$115:$A$3257,"="&amp;'Output - County'!A2787,Input!$B$115:$B$3257,"="&amp;'Output - County'!B2787)*VLOOKUP(A2787,'Output - State'!$B$2:$G$52,4,FALSE)</f>
        <v>0.46852483944310164</v>
      </c>
      <c r="F2787" s="98">
        <f>SUMIFS(Input!$C$115:$C$3257,Input!$A$115:$A$3257,"="&amp;'Output - County'!A2787,Input!$B$115:$B$3257,"="&amp;'Output - County'!B2787)*VLOOKUP(A2787,'Output - State'!$B$2:$G$52,5,FALSE)</f>
        <v>7.4369466732758704</v>
      </c>
      <c r="G2787" s="99">
        <f>SUMIFS(Input!$D$115:$D$3257,Input!$A$115:$A$3257,"="&amp;'Output - County'!A2787,Input!$B$115:$B$3257,"="&amp;'Output - County'!B2787)*VLOOKUP(A2787,'Output - State'!$B$2:$G$52,6,FALSE)</f>
        <v>5.4570957662431169E-2</v>
      </c>
    </row>
    <row r="2788" spans="1:7" x14ac:dyDescent="0.25">
      <c r="A2788" s="88">
        <v>49</v>
      </c>
      <c r="B2788" s="88">
        <v>19</v>
      </c>
      <c r="C2788" s="97">
        <f>SUMIFS(Input!$C$115:$C$3257,Input!$A$115:$A$3257,"="&amp;'Output - County'!A2788,Input!$B$115:$B$3257,"="&amp;'Output - County'!B2788)*VLOOKUP(A2788,'Output - State'!$B$2:$G$52,2,FALSE)</f>
        <v>3.7063364771219933</v>
      </c>
      <c r="D2788" s="98">
        <f>SUMIFS(Input!$C$115:$C$3257,Input!$A$115:$A$3257,"="&amp;'Output - County'!A2788,Input!$B$115:$B$3257,"="&amp;'Output - County'!B2788)*VLOOKUP(A2788,'Output - State'!$B$2:$G$52,3,FALSE)</f>
        <v>1.5562925306920214</v>
      </c>
      <c r="E2788" s="98">
        <f>SUMIFS(Input!$C$115:$C$3257,Input!$A$115:$A$3257,"="&amp;'Output - County'!A2788,Input!$B$115:$B$3257,"="&amp;'Output - County'!B2788)*VLOOKUP(A2788,'Output - State'!$B$2:$G$52,4,FALSE)</f>
        <v>3.1173693756777614</v>
      </c>
      <c r="F2788" s="98">
        <f>SUMIFS(Input!$C$115:$C$3257,Input!$A$115:$A$3257,"="&amp;'Output - County'!A2788,Input!$B$115:$B$3257,"="&amp;'Output - County'!B2788)*VLOOKUP(A2788,'Output - State'!$B$2:$G$52,5,FALSE)</f>
        <v>49.482349399821459</v>
      </c>
      <c r="G2788" s="99">
        <f>SUMIFS(Input!$D$115:$D$3257,Input!$A$115:$A$3257,"="&amp;'Output - County'!A2788,Input!$B$115:$B$3257,"="&amp;'Output - County'!B2788)*VLOOKUP(A2788,'Output - State'!$B$2:$G$52,6,FALSE)</f>
        <v>0.10575851594979162</v>
      </c>
    </row>
    <row r="2789" spans="1:7" x14ac:dyDescent="0.25">
      <c r="A2789" s="88">
        <v>49</v>
      </c>
      <c r="B2789" s="88">
        <v>21</v>
      </c>
      <c r="C2789" s="97">
        <f>SUMIFS(Input!$C$115:$C$3257,Input!$A$115:$A$3257,"="&amp;'Output - County'!A2789,Input!$B$115:$B$3257,"="&amp;'Output - County'!B2789)*VLOOKUP(A2789,'Output - State'!$B$2:$G$52,2,FALSE)</f>
        <v>8.7764772395353194</v>
      </c>
      <c r="D2789" s="98">
        <f>SUMIFS(Input!$C$115:$C$3257,Input!$A$115:$A$3257,"="&amp;'Output - County'!A2789,Input!$B$115:$B$3257,"="&amp;'Output - County'!B2789)*VLOOKUP(A2789,'Output - State'!$B$2:$G$52,3,FALSE)</f>
        <v>3.6852471592874685</v>
      </c>
      <c r="E2789" s="98">
        <f>SUMIFS(Input!$C$115:$C$3257,Input!$A$115:$A$3257,"="&amp;'Output - County'!A2789,Input!$B$115:$B$3257,"="&amp;'Output - County'!B2789)*VLOOKUP(A2789,'Output - State'!$B$2:$G$52,4,FALSE)</f>
        <v>7.3818234101900106</v>
      </c>
      <c r="F2789" s="98">
        <f>SUMIFS(Input!$C$115:$C$3257,Input!$A$115:$A$3257,"="&amp;'Output - County'!A2789,Input!$B$115:$B$3257,"="&amp;'Output - County'!B2789)*VLOOKUP(A2789,'Output - State'!$B$2:$G$52,5,FALSE)</f>
        <v>117.17250064772598</v>
      </c>
      <c r="G2789" s="99">
        <f>SUMIFS(Input!$D$115:$D$3257,Input!$A$115:$A$3257,"="&amp;'Output - County'!A2789,Input!$B$115:$B$3257,"="&amp;'Output - County'!B2789)*VLOOKUP(A2789,'Output - State'!$B$2:$G$52,6,FALSE)</f>
        <v>0.57517789376202455</v>
      </c>
    </row>
    <row r="2790" spans="1:7" x14ac:dyDescent="0.25">
      <c r="A2790" s="88">
        <v>49</v>
      </c>
      <c r="B2790" s="88">
        <v>23</v>
      </c>
      <c r="C2790" s="97">
        <f>SUMIFS(Input!$C$115:$C$3257,Input!$A$115:$A$3257,"="&amp;'Output - County'!A2790,Input!$B$115:$B$3257,"="&amp;'Output - County'!B2790)*VLOOKUP(A2790,'Output - State'!$B$2:$G$52,2,FALSE)</f>
        <v>4.6577562163816051</v>
      </c>
      <c r="D2790" s="98">
        <f>SUMIFS(Input!$C$115:$C$3257,Input!$A$115:$A$3257,"="&amp;'Output - County'!A2790,Input!$B$115:$B$3257,"="&amp;'Output - County'!B2790)*VLOOKUP(A2790,'Output - State'!$B$2:$G$52,3,FALSE)</f>
        <v>1.9557941525502864</v>
      </c>
      <c r="E2790" s="98">
        <f>SUMIFS(Input!$C$115:$C$3257,Input!$A$115:$A$3257,"="&amp;'Output - County'!A2790,Input!$B$115:$B$3257,"="&amp;'Output - County'!B2790)*VLOOKUP(A2790,'Output - State'!$B$2:$G$52,4,FALSE)</f>
        <v>3.9176007569597719</v>
      </c>
      <c r="F2790" s="98">
        <f>SUMIFS(Input!$C$115:$C$3257,Input!$A$115:$A$3257,"="&amp;'Output - County'!A2790,Input!$B$115:$B$3257,"="&amp;'Output - County'!B2790)*VLOOKUP(A2790,'Output - State'!$B$2:$G$52,5,FALSE)</f>
        <v>62.184510753635735</v>
      </c>
      <c r="G2790" s="99">
        <f>SUMIFS(Input!$D$115:$D$3257,Input!$A$115:$A$3257,"="&amp;'Output - County'!A2790,Input!$B$115:$B$3257,"="&amp;'Output - County'!B2790)*VLOOKUP(A2790,'Output - State'!$B$2:$G$52,6,FALSE)</f>
        <v>0.12660462177684031</v>
      </c>
    </row>
    <row r="2791" spans="1:7" x14ac:dyDescent="0.25">
      <c r="A2791" s="88">
        <v>49</v>
      </c>
      <c r="B2791" s="88">
        <v>25</v>
      </c>
      <c r="C2791" s="97">
        <f>SUMIFS(Input!$C$115:$C$3257,Input!$A$115:$A$3257,"="&amp;'Output - County'!A2791,Input!$B$115:$B$3257,"="&amp;'Output - County'!B2791)*VLOOKUP(A2791,'Output - State'!$B$2:$G$52,2,FALSE)</f>
        <v>0.65314262902115805</v>
      </c>
      <c r="D2791" s="98">
        <f>SUMIFS(Input!$C$115:$C$3257,Input!$A$115:$A$3257,"="&amp;'Output - County'!A2791,Input!$B$115:$B$3257,"="&amp;'Output - County'!B2791)*VLOOKUP(A2791,'Output - State'!$B$2:$G$52,3,FALSE)</f>
        <v>0.27425491487256592</v>
      </c>
      <c r="E2791" s="98">
        <f>SUMIFS(Input!$C$115:$C$3257,Input!$A$115:$A$3257,"="&amp;'Output - County'!A2791,Input!$B$115:$B$3257,"="&amp;'Output - County'!B2791)*VLOOKUP(A2791,'Output - State'!$B$2:$G$52,4,FALSE)</f>
        <v>0.54935293711953004</v>
      </c>
      <c r="F2791" s="98">
        <f>SUMIFS(Input!$C$115:$C$3257,Input!$A$115:$A$3257,"="&amp;'Output - County'!A2791,Input!$B$115:$B$3257,"="&amp;'Output - County'!B2791)*VLOOKUP(A2791,'Output - State'!$B$2:$G$52,5,FALSE)</f>
        <v>8.7199400207287585</v>
      </c>
      <c r="G2791" s="99">
        <f>SUMIFS(Input!$D$115:$D$3257,Input!$A$115:$A$3257,"="&amp;'Output - County'!A2791,Input!$B$115:$B$3257,"="&amp;'Output - County'!B2791)*VLOOKUP(A2791,'Output - State'!$B$2:$G$52,6,FALSE)</f>
        <v>8.3820990969494275E-2</v>
      </c>
    </row>
    <row r="2792" spans="1:7" x14ac:dyDescent="0.25">
      <c r="A2792" s="88">
        <v>49</v>
      </c>
      <c r="B2792" s="88">
        <v>27</v>
      </c>
      <c r="C2792" s="97">
        <f>SUMIFS(Input!$C$115:$C$3257,Input!$A$115:$A$3257,"="&amp;'Output - County'!A2792,Input!$B$115:$B$3257,"="&amp;'Output - County'!B2792)*VLOOKUP(A2792,'Output - State'!$B$2:$G$52,2,FALSE)</f>
        <v>4.9879541386714115</v>
      </c>
      <c r="D2792" s="98">
        <f>SUMIFS(Input!$C$115:$C$3257,Input!$A$115:$A$3257,"="&amp;'Output - County'!A2792,Input!$B$115:$B$3257,"="&amp;'Output - County'!B2792)*VLOOKUP(A2792,'Output - State'!$B$2:$G$52,3,FALSE)</f>
        <v>2.0944444243973495</v>
      </c>
      <c r="E2792" s="98">
        <f>SUMIFS(Input!$C$115:$C$3257,Input!$A$115:$A$3257,"="&amp;'Output - County'!A2792,Input!$B$115:$B$3257,"="&amp;'Output - County'!B2792)*VLOOKUP(A2792,'Output - State'!$B$2:$G$52,4,FALSE)</f>
        <v>4.1953275357378192</v>
      </c>
      <c r="F2792" s="98">
        <f>SUMIFS(Input!$C$115:$C$3257,Input!$A$115:$A$3257,"="&amp;'Output - County'!A2792,Input!$B$115:$B$3257,"="&amp;'Output - County'!B2792)*VLOOKUP(A2792,'Output - State'!$B$2:$G$52,5,FALSE)</f>
        <v>66.592898675966694</v>
      </c>
      <c r="G2792" s="99">
        <f>SUMIFS(Input!$D$115:$D$3257,Input!$A$115:$A$3257,"="&amp;'Output - County'!A2792,Input!$B$115:$B$3257,"="&amp;'Output - County'!B2792)*VLOOKUP(A2792,'Output - State'!$B$2:$G$52,6,FALSE)</f>
        <v>0.14188448992232106</v>
      </c>
    </row>
    <row r="2793" spans="1:7" x14ac:dyDescent="0.25">
      <c r="A2793" s="88">
        <v>49</v>
      </c>
      <c r="B2793" s="88">
        <v>29</v>
      </c>
      <c r="C2793" s="97">
        <f>SUMIFS(Input!$C$115:$C$3257,Input!$A$115:$A$3257,"="&amp;'Output - County'!A2793,Input!$B$115:$B$3257,"="&amp;'Output - County'!B2793)*VLOOKUP(A2793,'Output - State'!$B$2:$G$52,2,FALSE)</f>
        <v>1.4894351223173921</v>
      </c>
      <c r="D2793" s="98">
        <f>SUMIFS(Input!$C$115:$C$3257,Input!$A$115:$A$3257,"="&amp;'Output - County'!A2793,Input!$B$115:$B$3257,"="&amp;'Output - County'!B2793)*VLOOKUP(A2793,'Output - State'!$B$2:$G$52,3,FALSE)</f>
        <v>0.62541454887357173</v>
      </c>
      <c r="E2793" s="98">
        <f>SUMIFS(Input!$C$115:$C$3257,Input!$A$115:$A$3257,"="&amp;'Output - County'!A2793,Input!$B$115:$B$3257,"="&amp;'Output - County'!B2793)*VLOOKUP(A2793,'Output - State'!$B$2:$G$52,4,FALSE)</f>
        <v>1.2527517309967837</v>
      </c>
      <c r="F2793" s="98">
        <f>SUMIFS(Input!$C$115:$C$3257,Input!$A$115:$A$3257,"="&amp;'Output - County'!A2793,Input!$B$115:$B$3257,"="&amp;'Output - County'!B2793)*VLOOKUP(A2793,'Output - State'!$B$2:$G$52,5,FALSE)</f>
        <v>19.885066988873163</v>
      </c>
      <c r="G2793" s="99">
        <f>SUMIFS(Input!$D$115:$D$3257,Input!$A$115:$A$3257,"="&amp;'Output - County'!A2793,Input!$B$115:$B$3257,"="&amp;'Output - County'!B2793)*VLOOKUP(A2793,'Output - State'!$B$2:$G$52,6,FALSE)</f>
        <v>0.13097029838983482</v>
      </c>
    </row>
    <row r="2794" spans="1:7" x14ac:dyDescent="0.25">
      <c r="A2794" s="88">
        <v>49</v>
      </c>
      <c r="B2794" s="88">
        <v>31</v>
      </c>
      <c r="C2794" s="97">
        <f>SUMIFS(Input!$C$115:$C$3257,Input!$A$115:$A$3257,"="&amp;'Output - County'!A2794,Input!$B$115:$B$3257,"="&amp;'Output - County'!B2794)*VLOOKUP(A2794,'Output - State'!$B$2:$G$52,2,FALSE)</f>
        <v>0.11264071358093622</v>
      </c>
      <c r="D2794" s="98">
        <f>SUMIFS(Input!$C$115:$C$3257,Input!$A$115:$A$3257,"="&amp;'Output - County'!A2794,Input!$B$115:$B$3257,"="&amp;'Output - County'!B2794)*VLOOKUP(A2794,'Output - State'!$B$2:$G$52,3,FALSE)</f>
        <v>4.7297891672791137E-2</v>
      </c>
      <c r="E2794" s="98">
        <f>SUMIFS(Input!$C$115:$C$3257,Input!$A$115:$A$3257,"="&amp;'Output - County'!A2794,Input!$B$115:$B$3257,"="&amp;'Output - County'!B2794)*VLOOKUP(A2794,'Output - State'!$B$2:$G$52,4,FALSE)</f>
        <v>9.4741185302303257E-2</v>
      </c>
      <c r="F2794" s="98">
        <f>SUMIFS(Input!$C$115:$C$3257,Input!$A$115:$A$3257,"="&amp;'Output - County'!A2794,Input!$B$115:$B$3257,"="&amp;'Output - County'!B2794)*VLOOKUP(A2794,'Output - State'!$B$2:$G$52,5,FALSE)</f>
        <v>1.5038373284406044</v>
      </c>
      <c r="G2794" s="99">
        <f>SUMIFS(Input!$D$115:$D$3257,Input!$A$115:$A$3257,"="&amp;'Output - County'!A2794,Input!$B$115:$B$3257,"="&amp;'Output - County'!B2794)*VLOOKUP(A2794,'Output - State'!$B$2:$G$52,6,FALSE)</f>
        <v>1.5716435806780178E-2</v>
      </c>
    </row>
    <row r="2795" spans="1:7" x14ac:dyDescent="0.25">
      <c r="A2795" s="88">
        <v>49</v>
      </c>
      <c r="B2795" s="88">
        <v>33</v>
      </c>
      <c r="C2795" s="97">
        <f>SUMIFS(Input!$C$115:$C$3257,Input!$A$115:$A$3257,"="&amp;'Output - County'!A2795,Input!$B$115:$B$3257,"="&amp;'Output - County'!B2795)*VLOOKUP(A2795,'Output - State'!$B$2:$G$52,2,FALSE)</f>
        <v>0.26020408343286006</v>
      </c>
      <c r="D2795" s="98">
        <f>SUMIFS(Input!$C$115:$C$3257,Input!$A$115:$A$3257,"="&amp;'Output - County'!A2795,Input!$B$115:$B$3257,"="&amp;'Output - County'!B2795)*VLOOKUP(A2795,'Output - State'!$B$2:$G$52,3,FALSE)</f>
        <v>0.10925982408822583</v>
      </c>
      <c r="E2795" s="98">
        <f>SUMIFS(Input!$C$115:$C$3257,Input!$A$115:$A$3257,"="&amp;'Output - County'!A2795,Input!$B$115:$B$3257,"="&amp;'Output - County'!B2795)*VLOOKUP(A2795,'Output - State'!$B$2:$G$52,4,FALSE)</f>
        <v>0.21885553190512447</v>
      </c>
      <c r="F2795" s="98">
        <f>SUMIFS(Input!$C$115:$C$3257,Input!$A$115:$A$3257,"="&amp;'Output - County'!A2795,Input!$B$115:$B$3257,"="&amp;'Output - County'!B2795)*VLOOKUP(A2795,'Output - State'!$B$2:$G$52,5,FALSE)</f>
        <v>3.4739180997627699</v>
      </c>
      <c r="G2795" s="99">
        <f>SUMIFS(Input!$D$115:$D$3257,Input!$A$115:$A$3257,"="&amp;'Output - County'!A2795,Input!$B$115:$B$3257,"="&amp;'Output - County'!B2795)*VLOOKUP(A2795,'Output - State'!$B$2:$G$52,6,FALSE)</f>
        <v>2.6848911169916133E-2</v>
      </c>
    </row>
    <row r="2796" spans="1:7" x14ac:dyDescent="0.25">
      <c r="A2796" s="88">
        <v>49</v>
      </c>
      <c r="B2796" s="88">
        <v>35</v>
      </c>
      <c r="C2796" s="97">
        <f>SUMIFS(Input!$C$115:$C$3257,Input!$A$115:$A$3257,"="&amp;'Output - County'!A2796,Input!$B$115:$B$3257,"="&amp;'Output - County'!B2796)*VLOOKUP(A2796,'Output - State'!$B$2:$G$52,2,FALSE)</f>
        <v>99.326713521397892</v>
      </c>
      <c r="D2796" s="98">
        <f>SUMIFS(Input!$C$115:$C$3257,Input!$A$115:$A$3257,"="&amp;'Output - County'!A2796,Input!$B$115:$B$3257,"="&amp;'Output - County'!B2796)*VLOOKUP(A2796,'Output - State'!$B$2:$G$52,3,FALSE)</f>
        <v>41.70733642391037</v>
      </c>
      <c r="E2796" s="98">
        <f>SUMIFS(Input!$C$115:$C$3257,Input!$A$115:$A$3257,"="&amp;'Output - County'!A2796,Input!$B$115:$B$3257,"="&amp;'Output - County'!B2796)*VLOOKUP(A2796,'Output - State'!$B$2:$G$52,4,FALSE)</f>
        <v>83.542888464017977</v>
      </c>
      <c r="F2796" s="98">
        <f>SUMIFS(Input!$C$115:$C$3257,Input!$A$115:$A$3257,"="&amp;'Output - County'!A2796,Input!$B$115:$B$3257,"="&amp;'Output - County'!B2796)*VLOOKUP(A2796,'Output - State'!$B$2:$G$52,5,FALSE)</f>
        <v>1326.0855223318158</v>
      </c>
      <c r="G2796" s="99">
        <f>SUMIFS(Input!$D$115:$D$3257,Input!$A$115:$A$3257,"="&amp;'Output - County'!A2796,Input!$B$115:$B$3257,"="&amp;'Output - County'!B2796)*VLOOKUP(A2796,'Output - State'!$B$2:$G$52,6,FALSE)</f>
        <v>12.55132026235917</v>
      </c>
    </row>
    <row r="2797" spans="1:7" x14ac:dyDescent="0.25">
      <c r="A2797" s="88">
        <v>49</v>
      </c>
      <c r="B2797" s="88">
        <v>37</v>
      </c>
      <c r="C2797" s="97">
        <f>SUMIFS(Input!$C$115:$C$3257,Input!$A$115:$A$3257,"="&amp;'Output - County'!A2797,Input!$B$115:$B$3257,"="&amp;'Output - County'!B2797)*VLOOKUP(A2797,'Output - State'!$B$2:$G$52,2,FALSE)</f>
        <v>1.3396803505896961</v>
      </c>
      <c r="D2797" s="98">
        <f>SUMIFS(Input!$C$115:$C$3257,Input!$A$115:$A$3257,"="&amp;'Output - County'!A2797,Input!$B$115:$B$3257,"="&amp;'Output - County'!B2797)*VLOOKUP(A2797,'Output - State'!$B$2:$G$52,3,FALSE)</f>
        <v>0.56253244572025063</v>
      </c>
      <c r="E2797" s="98">
        <f>SUMIFS(Input!$C$115:$C$3257,Input!$A$115:$A$3257,"="&amp;'Output - County'!A2797,Input!$B$115:$B$3257,"="&amp;'Output - County'!B2797)*VLOOKUP(A2797,'Output - State'!$B$2:$G$52,4,FALSE)</f>
        <v>1.1267942141530782</v>
      </c>
      <c r="F2797" s="98">
        <f>SUMIFS(Input!$C$115:$C$3257,Input!$A$115:$A$3257,"="&amp;'Output - County'!A2797,Input!$B$115:$B$3257,"="&amp;'Output - County'!B2797)*VLOOKUP(A2797,'Output - State'!$B$2:$G$52,5,FALSE)</f>
        <v>17.885729372156167</v>
      </c>
      <c r="G2797" s="99">
        <f>SUMIFS(Input!$D$115:$D$3257,Input!$A$115:$A$3257,"="&amp;'Output - County'!A2797,Input!$B$115:$B$3257,"="&amp;'Output - County'!B2797)*VLOOKUP(A2797,'Output - State'!$B$2:$G$52,6,FALSE)</f>
        <v>0.16807854960028798</v>
      </c>
    </row>
    <row r="2798" spans="1:7" x14ac:dyDescent="0.25">
      <c r="A2798" s="88">
        <v>49</v>
      </c>
      <c r="B2798" s="88">
        <v>39</v>
      </c>
      <c r="C2798" s="97">
        <f>SUMIFS(Input!$C$115:$C$3257,Input!$A$115:$A$3257,"="&amp;'Output - County'!A2798,Input!$B$115:$B$3257,"="&amp;'Output - County'!B2798)*VLOOKUP(A2798,'Output - State'!$B$2:$G$52,2,FALSE)</f>
        <v>1.2936256000139548</v>
      </c>
      <c r="D2798" s="98">
        <f>SUMIFS(Input!$C$115:$C$3257,Input!$A$115:$A$3257,"="&amp;'Output - County'!A2798,Input!$B$115:$B$3257,"="&amp;'Output - County'!B2798)*VLOOKUP(A2798,'Output - State'!$B$2:$G$52,3,FALSE)</f>
        <v>0.54319403304068559</v>
      </c>
      <c r="E2798" s="98">
        <f>SUMIFS(Input!$C$115:$C$3257,Input!$A$115:$A$3257,"="&amp;'Output - County'!A2798,Input!$B$115:$B$3257,"="&amp;'Output - County'!B2798)*VLOOKUP(A2798,'Output - State'!$B$2:$G$52,4,FALSE)</f>
        <v>1.0880579391452634</v>
      </c>
      <c r="F2798" s="98">
        <f>SUMIFS(Input!$C$115:$C$3257,Input!$A$115:$A$3257,"="&amp;'Output - County'!A2798,Input!$B$115:$B$3257,"="&amp;'Output - County'!B2798)*VLOOKUP(A2798,'Output - State'!$B$2:$G$52,5,FALSE)</f>
        <v>17.270864188280566</v>
      </c>
      <c r="G2798" s="99">
        <f>SUMIFS(Input!$D$115:$D$3257,Input!$A$115:$A$3257,"="&amp;'Output - County'!A2798,Input!$B$115:$B$3257,"="&amp;'Output - County'!B2798)*VLOOKUP(A2798,'Output - State'!$B$2:$G$52,6,FALSE)</f>
        <v>0.33288284174083016</v>
      </c>
    </row>
    <row r="2799" spans="1:7" x14ac:dyDescent="0.25">
      <c r="A2799" s="88">
        <v>49</v>
      </c>
      <c r="B2799" s="88">
        <v>41</v>
      </c>
      <c r="C2799" s="97">
        <f>SUMIFS(Input!$C$115:$C$3257,Input!$A$115:$A$3257,"="&amp;'Output - County'!A2799,Input!$B$115:$B$3257,"="&amp;'Output - County'!B2799)*VLOOKUP(A2799,'Output - State'!$B$2:$G$52,2,FALSE)</f>
        <v>3.0686198243965546</v>
      </c>
      <c r="D2799" s="98">
        <f>SUMIFS(Input!$C$115:$C$3257,Input!$A$115:$A$3257,"="&amp;'Output - County'!A2799,Input!$B$115:$B$3257,"="&amp;'Output - County'!B2799)*VLOOKUP(A2799,'Output - State'!$B$2:$G$52,3,FALSE)</f>
        <v>1.2885149909406433</v>
      </c>
      <c r="E2799" s="98">
        <f>SUMIFS(Input!$C$115:$C$3257,Input!$A$115:$A$3257,"="&amp;'Output - County'!A2799,Input!$B$115:$B$3257,"="&amp;'Output - County'!B2799)*VLOOKUP(A2799,'Output - State'!$B$2:$G$52,4,FALSE)</f>
        <v>2.5809911013798721</v>
      </c>
      <c r="F2799" s="98">
        <f>SUMIFS(Input!$C$115:$C$3257,Input!$A$115:$A$3257,"="&amp;'Output - County'!A2799,Input!$B$115:$B$3257,"="&amp;'Output - County'!B2799)*VLOOKUP(A2799,'Output - State'!$B$2:$G$52,5,FALSE)</f>
        <v>40.968357639216904</v>
      </c>
      <c r="G2799" s="99">
        <f>SUMIFS(Input!$D$115:$D$3257,Input!$A$115:$A$3257,"="&amp;'Output - County'!A2799,Input!$B$115:$B$3257,"="&amp;'Output - County'!B2799)*VLOOKUP(A2799,'Output - State'!$B$2:$G$52,6,FALSE)</f>
        <v>0.23465511794845403</v>
      </c>
    </row>
    <row r="2800" spans="1:7" x14ac:dyDescent="0.25">
      <c r="A2800" s="88">
        <v>49</v>
      </c>
      <c r="B2800" s="88">
        <v>43</v>
      </c>
      <c r="C2800" s="97">
        <f>SUMIFS(Input!$C$115:$C$3257,Input!$A$115:$A$3257,"="&amp;'Output - County'!A2800,Input!$B$115:$B$3257,"="&amp;'Output - County'!B2800)*VLOOKUP(A2800,'Output - State'!$B$2:$G$52,2,FALSE)</f>
        <v>8.3214482808713992</v>
      </c>
      <c r="D2800" s="98">
        <f>SUMIFS(Input!$C$115:$C$3257,Input!$A$115:$A$3257,"="&amp;'Output - County'!A2800,Input!$B$115:$B$3257,"="&amp;'Output - County'!B2800)*VLOOKUP(A2800,'Output - State'!$B$2:$G$52,3,FALSE)</f>
        <v>3.4941802731619216</v>
      </c>
      <c r="E2800" s="98">
        <f>SUMIFS(Input!$C$115:$C$3257,Input!$A$115:$A$3257,"="&amp;'Output - County'!A2800,Input!$B$115:$B$3257,"="&amp;'Output - County'!B2800)*VLOOKUP(A2800,'Output - State'!$B$2:$G$52,4,FALSE)</f>
        <v>6.9991022650534731</v>
      </c>
      <c r="F2800" s="98">
        <f>SUMIFS(Input!$C$115:$C$3257,Input!$A$115:$A$3257,"="&amp;'Output - County'!A2800,Input!$B$115:$B$3257,"="&amp;'Output - County'!B2800)*VLOOKUP(A2800,'Output - State'!$B$2:$G$52,5,FALSE)</f>
        <v>111.09752551834191</v>
      </c>
      <c r="G2800" s="99">
        <f>SUMIFS(Input!$D$115:$D$3257,Input!$A$115:$A$3257,"="&amp;'Output - County'!A2800,Input!$B$115:$B$3257,"="&amp;'Output - County'!B2800)*VLOOKUP(A2800,'Output - State'!$B$2:$G$52,6,FALSE)</f>
        <v>0.45730462521117321</v>
      </c>
    </row>
    <row r="2801" spans="1:7" x14ac:dyDescent="0.25">
      <c r="A2801" s="88">
        <v>49</v>
      </c>
      <c r="B2801" s="88">
        <v>45</v>
      </c>
      <c r="C2801" s="97">
        <f>SUMIFS(Input!$C$115:$C$3257,Input!$A$115:$A$3257,"="&amp;'Output - County'!A2801,Input!$B$115:$B$3257,"="&amp;'Output - County'!B2801)*VLOOKUP(A2801,'Output - State'!$B$2:$G$52,2,FALSE)</f>
        <v>7.9325635441479605</v>
      </c>
      <c r="D2801" s="98">
        <f>SUMIFS(Input!$C$115:$C$3257,Input!$A$115:$A$3257,"="&amp;'Output - County'!A2801,Input!$B$115:$B$3257,"="&amp;'Output - County'!B2801)*VLOOKUP(A2801,'Output - State'!$B$2:$G$52,3,FALSE)</f>
        <v>3.3308873787367563</v>
      </c>
      <c r="E2801" s="98">
        <f>SUMIFS(Input!$C$115:$C$3257,Input!$A$115:$A$3257,"="&amp;'Output - County'!A2801,Input!$B$115:$B$3257,"="&amp;'Output - County'!B2801)*VLOOKUP(A2801,'Output - State'!$B$2:$G$52,4,FALSE)</f>
        <v>6.6720144854054908</v>
      </c>
      <c r="F2801" s="98">
        <f>SUMIFS(Input!$C$115:$C$3257,Input!$A$115:$A$3257,"="&amp;'Output - County'!A2801,Input!$B$115:$B$3257,"="&amp;'Output - County'!B2801)*VLOOKUP(A2801,'Output - State'!$B$2:$G$52,5,FALSE)</f>
        <v>105.90562496166362</v>
      </c>
      <c r="G2801" s="99">
        <f>SUMIFS(Input!$D$115:$D$3257,Input!$A$115:$A$3257,"="&amp;'Output - County'!A2801,Input!$B$115:$B$3257,"="&amp;'Output - County'!B2801)*VLOOKUP(A2801,'Output - State'!$B$2:$G$52,6,FALSE)</f>
        <v>0.76399340727403631</v>
      </c>
    </row>
    <row r="2802" spans="1:7" x14ac:dyDescent="0.25">
      <c r="A2802" s="88">
        <v>49</v>
      </c>
      <c r="B2802" s="88">
        <v>47</v>
      </c>
      <c r="C2802" s="97">
        <f>SUMIFS(Input!$C$115:$C$3257,Input!$A$115:$A$3257,"="&amp;'Output - County'!A2802,Input!$B$115:$B$3257,"="&amp;'Output - County'!B2802)*VLOOKUP(A2802,'Output - State'!$B$2:$G$52,2,FALSE)</f>
        <v>2.2726629531865896</v>
      </c>
      <c r="D2802" s="98">
        <f>SUMIFS(Input!$C$115:$C$3257,Input!$A$115:$A$3257,"="&amp;'Output - County'!A2802,Input!$B$115:$B$3257,"="&amp;'Output - County'!B2802)*VLOOKUP(A2802,'Output - State'!$B$2:$G$52,3,FALSE)</f>
        <v>0.95429230472113546</v>
      </c>
      <c r="E2802" s="98">
        <f>SUMIFS(Input!$C$115:$C$3257,Input!$A$115:$A$3257,"="&amp;'Output - County'!A2802,Input!$B$115:$B$3257,"="&amp;'Output - County'!B2802)*VLOOKUP(A2802,'Output - State'!$B$2:$G$52,4,FALSE)</f>
        <v>1.9115182701929476</v>
      </c>
      <c r="F2802" s="98">
        <f>SUMIFS(Input!$C$115:$C$3257,Input!$A$115:$A$3257,"="&amp;'Output - County'!A2802,Input!$B$115:$B$3257,"="&amp;'Output - County'!B2802)*VLOOKUP(A2802,'Output - State'!$B$2:$G$52,5,FALSE)</f>
        <v>30.341741234711815</v>
      </c>
      <c r="G2802" s="99">
        <f>SUMIFS(Input!$D$115:$D$3257,Input!$A$115:$A$3257,"="&amp;'Output - County'!A2802,Input!$B$115:$B$3257,"="&amp;'Output - County'!B2802)*VLOOKUP(A2802,'Output - State'!$B$2:$G$52,6,FALSE)</f>
        <v>0.38636238025001268</v>
      </c>
    </row>
    <row r="2803" spans="1:7" x14ac:dyDescent="0.25">
      <c r="A2803" s="88">
        <v>49</v>
      </c>
      <c r="B2803" s="88">
        <v>49</v>
      </c>
      <c r="C2803" s="97">
        <f>SUMIFS(Input!$C$115:$C$3257,Input!$A$115:$A$3257,"="&amp;'Output - County'!A2803,Input!$B$115:$B$3257,"="&amp;'Output - County'!B2803)*VLOOKUP(A2803,'Output - State'!$B$2:$G$52,2,FALSE)</f>
        <v>49.414647127359238</v>
      </c>
      <c r="D2803" s="98">
        <f>SUMIFS(Input!$C$115:$C$3257,Input!$A$115:$A$3257,"="&amp;'Output - County'!A2803,Input!$B$115:$B$3257,"="&amp;'Output - County'!B2803)*VLOOKUP(A2803,'Output - State'!$B$2:$G$52,3,FALSE)</f>
        <v>20.749234913179706</v>
      </c>
      <c r="E2803" s="98">
        <f>SUMIFS(Input!$C$115:$C$3257,Input!$A$115:$A$3257,"="&amp;'Output - County'!A2803,Input!$B$115:$B$3257,"="&amp;'Output - County'!B2803)*VLOOKUP(A2803,'Output - State'!$B$2:$G$52,4,FALSE)</f>
        <v>41.562256588308792</v>
      </c>
      <c r="F2803" s="98">
        <f>SUMIFS(Input!$C$115:$C$3257,Input!$A$115:$A$3257,"="&amp;'Output - County'!A2803,Input!$B$115:$B$3257,"="&amp;'Output - County'!B2803)*VLOOKUP(A2803,'Output - State'!$B$2:$G$52,5,FALSE)</f>
        <v>659.72230252649877</v>
      </c>
      <c r="G2803" s="99">
        <f>SUMIFS(Input!$D$115:$D$3257,Input!$A$115:$A$3257,"="&amp;'Output - County'!A2803,Input!$B$115:$B$3257,"="&amp;'Output - County'!B2803)*VLOOKUP(A2803,'Output - State'!$B$2:$G$52,6,FALSE)</f>
        <v>6.7886271332064378</v>
      </c>
    </row>
    <row r="2804" spans="1:7" x14ac:dyDescent="0.25">
      <c r="A2804" s="88">
        <v>49</v>
      </c>
      <c r="B2804" s="88">
        <v>51</v>
      </c>
      <c r="C2804" s="97">
        <f>SUMIFS(Input!$C$115:$C$3257,Input!$A$115:$A$3257,"="&amp;'Output - County'!A2804,Input!$B$115:$B$3257,"="&amp;'Output - County'!B2804)*VLOOKUP(A2804,'Output - State'!$B$2:$G$52,2,FALSE)</f>
        <v>3.1315768035005367</v>
      </c>
      <c r="D2804" s="98">
        <f>SUMIFS(Input!$C$115:$C$3257,Input!$A$115:$A$3257,"="&amp;'Output - County'!A2804,Input!$B$115:$B$3257,"="&amp;'Output - County'!B2804)*VLOOKUP(A2804,'Output - State'!$B$2:$G$52,3,FALSE)</f>
        <v>1.3149506577882855</v>
      </c>
      <c r="E2804" s="98">
        <f>SUMIFS(Input!$C$115:$C$3257,Input!$A$115:$A$3257,"="&amp;'Output - County'!A2804,Input!$B$115:$B$3257,"="&amp;'Output - County'!B2804)*VLOOKUP(A2804,'Output - State'!$B$2:$G$52,4,FALSE)</f>
        <v>2.6339437029192596</v>
      </c>
      <c r="F2804" s="98">
        <f>SUMIFS(Input!$C$115:$C$3257,Input!$A$115:$A$3257,"="&amp;'Output - County'!A2804,Input!$B$115:$B$3257,"="&amp;'Output - County'!B2804)*VLOOKUP(A2804,'Output - State'!$B$2:$G$52,5,FALSE)</f>
        <v>41.808880148819028</v>
      </c>
      <c r="G2804" s="99">
        <f>SUMIFS(Input!$D$115:$D$3257,Input!$A$115:$A$3257,"="&amp;'Output - County'!A2804,Input!$B$115:$B$3257,"="&amp;'Output - County'!B2804)*VLOOKUP(A2804,'Output - State'!$B$2:$G$52,6,FALSE)</f>
        <v>0.36125973972529435</v>
      </c>
    </row>
    <row r="2805" spans="1:7" x14ac:dyDescent="0.25">
      <c r="A2805" s="88">
        <v>49</v>
      </c>
      <c r="B2805" s="88">
        <v>53</v>
      </c>
      <c r="C2805" s="97">
        <f>SUMIFS(Input!$C$115:$C$3257,Input!$A$115:$A$3257,"="&amp;'Output - County'!A2805,Input!$B$115:$B$3257,"="&amp;'Output - County'!B2805)*VLOOKUP(A2805,'Output - State'!$B$2:$G$52,2,FALSE)</f>
        <v>17.557830141033897</v>
      </c>
      <c r="D2805" s="98">
        <f>SUMIFS(Input!$C$115:$C$3257,Input!$A$115:$A$3257,"="&amp;'Output - County'!A2805,Input!$B$115:$B$3257,"="&amp;'Output - County'!B2805)*VLOOKUP(A2805,'Output - State'!$B$2:$G$52,3,FALSE)</f>
        <v>7.3725416114590105</v>
      </c>
      <c r="E2805" s="98">
        <f>SUMIFS(Input!$C$115:$C$3257,Input!$A$115:$A$3257,"="&amp;'Output - County'!A2805,Input!$B$115:$B$3257,"="&amp;'Output - County'!B2805)*VLOOKUP(A2805,'Output - State'!$B$2:$G$52,4,FALSE)</f>
        <v>14.767747699883063</v>
      </c>
      <c r="F2805" s="98">
        <f>SUMIFS(Input!$C$115:$C$3257,Input!$A$115:$A$3257,"="&amp;'Output - County'!A2805,Input!$B$115:$B$3257,"="&amp;'Output - County'!B2805)*VLOOKUP(A2805,'Output - State'!$B$2:$G$52,5,FALSE)</f>
        <v>234.41009501004331</v>
      </c>
      <c r="G2805" s="99">
        <f>SUMIFS(Input!$D$115:$D$3257,Input!$A$115:$A$3257,"="&amp;'Output - County'!A2805,Input!$B$115:$B$3257,"="&amp;'Output - County'!B2805)*VLOOKUP(A2805,'Output - State'!$B$2:$G$52,6,FALSE)</f>
        <v>1.8772409435876323</v>
      </c>
    </row>
    <row r="2806" spans="1:7" x14ac:dyDescent="0.25">
      <c r="A2806" s="88">
        <v>49</v>
      </c>
      <c r="B2806" s="88">
        <v>55</v>
      </c>
      <c r="C2806" s="97">
        <f>SUMIFS(Input!$C$115:$C$3257,Input!$A$115:$A$3257,"="&amp;'Output - County'!A2806,Input!$B$115:$B$3257,"="&amp;'Output - County'!B2806)*VLOOKUP(A2806,'Output - State'!$B$2:$G$52,2,FALSE)</f>
        <v>0.1924701230620669</v>
      </c>
      <c r="D2806" s="98">
        <f>SUMIFS(Input!$C$115:$C$3257,Input!$A$115:$A$3257,"="&amp;'Output - County'!A2806,Input!$B$115:$B$3257,"="&amp;'Output - County'!B2806)*VLOOKUP(A2806,'Output - State'!$B$2:$G$52,3,FALSE)</f>
        <v>8.0818300430042039E-2</v>
      </c>
      <c r="E2806" s="98">
        <f>SUMIFS(Input!$C$115:$C$3257,Input!$A$115:$A$3257,"="&amp;'Output - County'!A2806,Input!$B$115:$B$3257,"="&amp;'Output - County'!B2806)*VLOOKUP(A2806,'Output - State'!$B$2:$G$52,4,FALSE)</f>
        <v>0.16188505039146464</v>
      </c>
      <c r="F2806" s="98">
        <f>SUMIFS(Input!$C$115:$C$3257,Input!$A$115:$A$3257,"="&amp;'Output - County'!A2806,Input!$B$115:$B$3257,"="&amp;'Output - County'!B2806)*VLOOKUP(A2806,'Output - State'!$B$2:$G$52,5,FALSE)</f>
        <v>2.5696193362830373</v>
      </c>
      <c r="G2806" s="99">
        <f>SUMIFS(Input!$D$115:$D$3257,Input!$A$115:$A$3257,"="&amp;'Output - County'!A2806,Input!$B$115:$B$3257,"="&amp;'Output - County'!B2806)*VLOOKUP(A2806,'Output - State'!$B$2:$G$52,6,FALSE)</f>
        <v>2.9140891391738245E-2</v>
      </c>
    </row>
    <row r="2807" spans="1:7" x14ac:dyDescent="0.25">
      <c r="A2807" s="88">
        <v>49</v>
      </c>
      <c r="B2807" s="88">
        <v>57</v>
      </c>
      <c r="C2807" s="97">
        <f>SUMIFS(Input!$C$115:$C$3257,Input!$A$115:$A$3257,"="&amp;'Output - County'!A2807,Input!$B$115:$B$3257,"="&amp;'Output - County'!B2807)*VLOOKUP(A2807,'Output - State'!$B$2:$G$52,2,FALSE)</f>
        <v>18.157502947621136</v>
      </c>
      <c r="D2807" s="98">
        <f>SUMIFS(Input!$C$115:$C$3257,Input!$A$115:$A$3257,"="&amp;'Output - County'!A2807,Input!$B$115:$B$3257,"="&amp;'Output - County'!B2807)*VLOOKUP(A2807,'Output - State'!$B$2:$G$52,3,FALSE)</f>
        <v>7.6243445212896725</v>
      </c>
      <c r="E2807" s="98">
        <f>SUMIFS(Input!$C$115:$C$3257,Input!$A$115:$A$3257,"="&amp;'Output - County'!A2807,Input!$B$115:$B$3257,"="&amp;'Output - County'!B2807)*VLOOKUP(A2807,'Output - State'!$B$2:$G$52,4,FALSE)</f>
        <v>15.272127605544895</v>
      </c>
      <c r="F2807" s="98">
        <f>SUMIFS(Input!$C$115:$C$3257,Input!$A$115:$A$3257,"="&amp;'Output - County'!A2807,Input!$B$115:$B$3257,"="&amp;'Output - County'!B2807)*VLOOKUP(A2807,'Output - State'!$B$2:$G$52,5,FALSE)</f>
        <v>242.41617312094456</v>
      </c>
      <c r="G2807" s="99">
        <f>SUMIFS(Input!$D$115:$D$3257,Input!$A$115:$A$3257,"="&amp;'Output - County'!A2807,Input!$B$115:$B$3257,"="&amp;'Output - County'!B2807)*VLOOKUP(A2807,'Output - State'!$B$2:$G$52,6,FALSE)</f>
        <v>2.7940330323164759</v>
      </c>
    </row>
    <row r="2808" spans="1:7" x14ac:dyDescent="0.25">
      <c r="A2808" s="88">
        <v>50</v>
      </c>
      <c r="B2808" s="88">
        <v>1</v>
      </c>
      <c r="C2808" s="97">
        <f>SUMIFS(Input!$C$115:$C$3257,Input!$A$115:$A$3257,"="&amp;'Output - County'!A2808,Input!$B$115:$B$3257,"="&amp;'Output - County'!B2808)*VLOOKUP(A2808,'Output - State'!$B$2:$G$52,2,FALSE)</f>
        <v>16.458493433558878</v>
      </c>
      <c r="D2808" s="98">
        <f>SUMIFS(Input!$C$115:$C$3257,Input!$A$115:$A$3257,"="&amp;'Output - County'!A2808,Input!$B$115:$B$3257,"="&amp;'Output - County'!B2808)*VLOOKUP(A2808,'Output - State'!$B$2:$G$52,3,FALSE)</f>
        <v>0</v>
      </c>
      <c r="E2808" s="98">
        <f>SUMIFS(Input!$C$115:$C$3257,Input!$A$115:$A$3257,"="&amp;'Output - County'!A2808,Input!$B$115:$B$3257,"="&amp;'Output - County'!B2808)*VLOOKUP(A2808,'Output - State'!$B$2:$G$52,4,FALSE)</f>
        <v>0</v>
      </c>
      <c r="F2808" s="98">
        <f>SUMIFS(Input!$C$115:$C$3257,Input!$A$115:$A$3257,"="&amp;'Output - County'!A2808,Input!$B$115:$B$3257,"="&amp;'Output - County'!B2808)*VLOOKUP(A2808,'Output - State'!$B$2:$G$52,5,FALSE)</f>
        <v>1.1312179048950348</v>
      </c>
      <c r="G2808" s="99">
        <f>SUMIFS(Input!$D$115:$D$3257,Input!$A$115:$A$3257,"="&amp;'Output - County'!A2808,Input!$B$115:$B$3257,"="&amp;'Output - County'!B2808)*VLOOKUP(A2808,'Output - State'!$B$2:$G$52,6,FALSE)</f>
        <v>0.48292106688424297</v>
      </c>
    </row>
    <row r="2809" spans="1:7" x14ac:dyDescent="0.25">
      <c r="A2809" s="88">
        <v>50</v>
      </c>
      <c r="B2809" s="88">
        <v>3</v>
      </c>
      <c r="C2809" s="97">
        <f>SUMIFS(Input!$C$115:$C$3257,Input!$A$115:$A$3257,"="&amp;'Output - County'!A2809,Input!$B$115:$B$3257,"="&amp;'Output - County'!B2809)*VLOOKUP(A2809,'Output - State'!$B$2:$G$52,2,FALSE)</f>
        <v>19.167535174704575</v>
      </c>
      <c r="D2809" s="98">
        <f>SUMIFS(Input!$C$115:$C$3257,Input!$A$115:$A$3257,"="&amp;'Output - County'!A2809,Input!$B$115:$B$3257,"="&amp;'Output - County'!B2809)*VLOOKUP(A2809,'Output - State'!$B$2:$G$52,3,FALSE)</f>
        <v>0</v>
      </c>
      <c r="E2809" s="98">
        <f>SUMIFS(Input!$C$115:$C$3257,Input!$A$115:$A$3257,"="&amp;'Output - County'!A2809,Input!$B$115:$B$3257,"="&amp;'Output - County'!B2809)*VLOOKUP(A2809,'Output - State'!$B$2:$G$52,4,FALSE)</f>
        <v>0</v>
      </c>
      <c r="F2809" s="98">
        <f>SUMIFS(Input!$C$115:$C$3257,Input!$A$115:$A$3257,"="&amp;'Output - County'!A2809,Input!$B$115:$B$3257,"="&amp;'Output - County'!B2809)*VLOOKUP(A2809,'Output - State'!$B$2:$G$52,5,FALSE)</f>
        <v>1.3174145659116188</v>
      </c>
      <c r="G2809" s="99">
        <f>SUMIFS(Input!$D$115:$D$3257,Input!$A$115:$A$3257,"="&amp;'Output - County'!A2809,Input!$B$115:$B$3257,"="&amp;'Output - County'!B2809)*VLOOKUP(A2809,'Output - State'!$B$2:$G$52,6,FALSE)</f>
        <v>0.46459885838456982</v>
      </c>
    </row>
    <row r="2810" spans="1:7" x14ac:dyDescent="0.25">
      <c r="A2810" s="88">
        <v>50</v>
      </c>
      <c r="B2810" s="88">
        <v>5</v>
      </c>
      <c r="C2810" s="97">
        <f>SUMIFS(Input!$C$115:$C$3257,Input!$A$115:$A$3257,"="&amp;'Output - County'!A2810,Input!$B$115:$B$3257,"="&amp;'Output - County'!B2810)*VLOOKUP(A2810,'Output - State'!$B$2:$G$52,2,FALSE)</f>
        <v>21.249870035849305</v>
      </c>
      <c r="D2810" s="98">
        <f>SUMIFS(Input!$C$115:$C$3257,Input!$A$115:$A$3257,"="&amp;'Output - County'!A2810,Input!$B$115:$B$3257,"="&amp;'Output - County'!B2810)*VLOOKUP(A2810,'Output - State'!$B$2:$G$52,3,FALSE)</f>
        <v>0</v>
      </c>
      <c r="E2810" s="98">
        <f>SUMIFS(Input!$C$115:$C$3257,Input!$A$115:$A$3257,"="&amp;'Output - County'!A2810,Input!$B$115:$B$3257,"="&amp;'Output - County'!B2810)*VLOOKUP(A2810,'Output - State'!$B$2:$G$52,4,FALSE)</f>
        <v>0</v>
      </c>
      <c r="F2810" s="98">
        <f>SUMIFS(Input!$C$115:$C$3257,Input!$A$115:$A$3257,"="&amp;'Output - County'!A2810,Input!$B$115:$B$3257,"="&amp;'Output - County'!B2810)*VLOOKUP(A2810,'Output - State'!$B$2:$G$52,5,FALSE)</f>
        <v>1.4605366863185216</v>
      </c>
      <c r="G2810" s="99">
        <f>SUMIFS(Input!$D$115:$D$3257,Input!$A$115:$A$3257,"="&amp;'Output - County'!A2810,Input!$B$115:$B$3257,"="&amp;'Output - County'!B2810)*VLOOKUP(A2810,'Output - State'!$B$2:$G$52,6,FALSE)</f>
        <v>0.39523621192152131</v>
      </c>
    </row>
    <row r="2811" spans="1:7" x14ac:dyDescent="0.25">
      <c r="A2811" s="88">
        <v>50</v>
      </c>
      <c r="B2811" s="88">
        <v>7</v>
      </c>
      <c r="C2811" s="97">
        <f>SUMIFS(Input!$C$115:$C$3257,Input!$A$115:$A$3257,"="&amp;'Output - County'!A2811,Input!$B$115:$B$3257,"="&amp;'Output - County'!B2811)*VLOOKUP(A2811,'Output - State'!$B$2:$G$52,2,FALSE)</f>
        <v>104.53703668487006</v>
      </c>
      <c r="D2811" s="98">
        <f>SUMIFS(Input!$C$115:$C$3257,Input!$A$115:$A$3257,"="&amp;'Output - County'!A2811,Input!$B$115:$B$3257,"="&amp;'Output - County'!B2811)*VLOOKUP(A2811,'Output - State'!$B$2:$G$52,3,FALSE)</f>
        <v>0</v>
      </c>
      <c r="E2811" s="98">
        <f>SUMIFS(Input!$C$115:$C$3257,Input!$A$115:$A$3257,"="&amp;'Output - County'!A2811,Input!$B$115:$B$3257,"="&amp;'Output - County'!B2811)*VLOOKUP(A2811,'Output - State'!$B$2:$G$52,4,FALSE)</f>
        <v>0</v>
      </c>
      <c r="F2811" s="98">
        <f>SUMIFS(Input!$C$115:$C$3257,Input!$A$115:$A$3257,"="&amp;'Output - County'!A2811,Input!$B$115:$B$3257,"="&amp;'Output - County'!B2811)*VLOOKUP(A2811,'Output - State'!$B$2:$G$52,5,FALSE)</f>
        <v>7.1849934564164775</v>
      </c>
      <c r="G2811" s="99">
        <f>SUMIFS(Input!$D$115:$D$3257,Input!$A$115:$A$3257,"="&amp;'Output - County'!A2811,Input!$B$115:$B$3257,"="&amp;'Output - County'!B2811)*VLOOKUP(A2811,'Output - State'!$B$2:$G$52,6,FALSE)</f>
        <v>2.1463158528188577</v>
      </c>
    </row>
    <row r="2812" spans="1:7" x14ac:dyDescent="0.25">
      <c r="A2812" s="88">
        <v>50</v>
      </c>
      <c r="B2812" s="88">
        <v>9</v>
      </c>
      <c r="C2812" s="97">
        <f>SUMIFS(Input!$C$115:$C$3257,Input!$A$115:$A$3257,"="&amp;'Output - County'!A2812,Input!$B$115:$B$3257,"="&amp;'Output - County'!B2812)*VLOOKUP(A2812,'Output - State'!$B$2:$G$52,2,FALSE)</f>
        <v>2.5094676217236347</v>
      </c>
      <c r="D2812" s="98">
        <f>SUMIFS(Input!$C$115:$C$3257,Input!$A$115:$A$3257,"="&amp;'Output - County'!A2812,Input!$B$115:$B$3257,"="&amp;'Output - County'!B2812)*VLOOKUP(A2812,'Output - State'!$B$2:$G$52,3,FALSE)</f>
        <v>0</v>
      </c>
      <c r="E2812" s="98">
        <f>SUMIFS(Input!$C$115:$C$3257,Input!$A$115:$A$3257,"="&amp;'Output - County'!A2812,Input!$B$115:$B$3257,"="&amp;'Output - County'!B2812)*VLOOKUP(A2812,'Output - State'!$B$2:$G$52,4,FALSE)</f>
        <v>0</v>
      </c>
      <c r="F2812" s="98">
        <f>SUMIFS(Input!$C$115:$C$3257,Input!$A$115:$A$3257,"="&amp;'Output - County'!A2812,Input!$B$115:$B$3257,"="&amp;'Output - County'!B2812)*VLOOKUP(A2812,'Output - State'!$B$2:$G$52,5,FALSE)</f>
        <v>0.17247962074462497</v>
      </c>
      <c r="G2812" s="99">
        <f>SUMIFS(Input!$D$115:$D$3257,Input!$A$115:$A$3257,"="&amp;'Output - County'!A2812,Input!$B$115:$B$3257,"="&amp;'Output - County'!B2812)*VLOOKUP(A2812,'Output - State'!$B$2:$G$52,6,FALSE)</f>
        <v>8.1533827823545624E-2</v>
      </c>
    </row>
    <row r="2813" spans="1:7" x14ac:dyDescent="0.25">
      <c r="A2813" s="88">
        <v>50</v>
      </c>
      <c r="B2813" s="88">
        <v>11</v>
      </c>
      <c r="C2813" s="97">
        <f>SUMIFS(Input!$C$115:$C$3257,Input!$A$115:$A$3257,"="&amp;'Output - County'!A2813,Input!$B$115:$B$3257,"="&amp;'Output - County'!B2813)*VLOOKUP(A2813,'Output - State'!$B$2:$G$52,2,FALSE)</f>
        <v>25.30724417543388</v>
      </c>
      <c r="D2813" s="98">
        <f>SUMIFS(Input!$C$115:$C$3257,Input!$A$115:$A$3257,"="&amp;'Output - County'!A2813,Input!$B$115:$B$3257,"="&amp;'Output - County'!B2813)*VLOOKUP(A2813,'Output - State'!$B$2:$G$52,3,FALSE)</f>
        <v>0</v>
      </c>
      <c r="E2813" s="98">
        <f>SUMIFS(Input!$C$115:$C$3257,Input!$A$115:$A$3257,"="&amp;'Output - County'!A2813,Input!$B$115:$B$3257,"="&amp;'Output - County'!B2813)*VLOOKUP(A2813,'Output - State'!$B$2:$G$52,4,FALSE)</f>
        <v>0</v>
      </c>
      <c r="F2813" s="98">
        <f>SUMIFS(Input!$C$115:$C$3257,Input!$A$115:$A$3257,"="&amp;'Output - County'!A2813,Input!$B$115:$B$3257,"="&amp;'Output - County'!B2813)*VLOOKUP(A2813,'Output - State'!$B$2:$G$52,5,FALSE)</f>
        <v>1.7394063345086532</v>
      </c>
      <c r="G2813" s="99">
        <f>SUMIFS(Input!$D$115:$D$3257,Input!$A$115:$A$3257,"="&amp;'Output - County'!A2813,Input!$B$115:$B$3257,"="&amp;'Output - County'!B2813)*VLOOKUP(A2813,'Output - State'!$B$2:$G$52,6,FALSE)</f>
        <v>0.64520348502420533</v>
      </c>
    </row>
    <row r="2814" spans="1:7" x14ac:dyDescent="0.25">
      <c r="A2814" s="88">
        <v>50</v>
      </c>
      <c r="B2814" s="88">
        <v>13</v>
      </c>
      <c r="C2814" s="97">
        <f>SUMIFS(Input!$C$115:$C$3257,Input!$A$115:$A$3257,"="&amp;'Output - County'!A2814,Input!$B$115:$B$3257,"="&amp;'Output - County'!B2814)*VLOOKUP(A2814,'Output - State'!$B$2:$G$52,2,FALSE)</f>
        <v>3.2437979204115739</v>
      </c>
      <c r="D2814" s="98">
        <f>SUMIFS(Input!$C$115:$C$3257,Input!$A$115:$A$3257,"="&amp;'Output - County'!A2814,Input!$B$115:$B$3257,"="&amp;'Output - County'!B2814)*VLOOKUP(A2814,'Output - State'!$B$2:$G$52,3,FALSE)</f>
        <v>0</v>
      </c>
      <c r="E2814" s="98">
        <f>SUMIFS(Input!$C$115:$C$3257,Input!$A$115:$A$3257,"="&amp;'Output - County'!A2814,Input!$B$115:$B$3257,"="&amp;'Output - County'!B2814)*VLOOKUP(A2814,'Output - State'!$B$2:$G$52,4,FALSE)</f>
        <v>0</v>
      </c>
      <c r="F2814" s="98">
        <f>SUMIFS(Input!$C$115:$C$3257,Input!$A$115:$A$3257,"="&amp;'Output - County'!A2814,Input!$B$115:$B$3257,"="&amp;'Output - County'!B2814)*VLOOKUP(A2814,'Output - State'!$B$2:$G$52,5,FALSE)</f>
        <v>0.22295128665597402</v>
      </c>
      <c r="G2814" s="99">
        <f>SUMIFS(Input!$D$115:$D$3257,Input!$A$115:$A$3257,"="&amp;'Output - County'!A2814,Input!$B$115:$B$3257,"="&amp;'Output - County'!B2814)*VLOOKUP(A2814,'Output - State'!$B$2:$G$52,6,FALSE)</f>
        <v>9.3050644594768778E-2</v>
      </c>
    </row>
    <row r="2815" spans="1:7" x14ac:dyDescent="0.25">
      <c r="A2815" s="88">
        <v>50</v>
      </c>
      <c r="B2815" s="88">
        <v>15</v>
      </c>
      <c r="C2815" s="97">
        <f>SUMIFS(Input!$C$115:$C$3257,Input!$A$115:$A$3257,"="&amp;'Output - County'!A2815,Input!$B$115:$B$3257,"="&amp;'Output - County'!B2815)*VLOOKUP(A2815,'Output - State'!$B$2:$G$52,2,FALSE)</f>
        <v>11.03743890659325</v>
      </c>
      <c r="D2815" s="98">
        <f>SUMIFS(Input!$C$115:$C$3257,Input!$A$115:$A$3257,"="&amp;'Output - County'!A2815,Input!$B$115:$B$3257,"="&amp;'Output - County'!B2815)*VLOOKUP(A2815,'Output - State'!$B$2:$G$52,3,FALSE)</f>
        <v>0</v>
      </c>
      <c r="E2815" s="98">
        <f>SUMIFS(Input!$C$115:$C$3257,Input!$A$115:$A$3257,"="&amp;'Output - County'!A2815,Input!$B$115:$B$3257,"="&amp;'Output - County'!B2815)*VLOOKUP(A2815,'Output - State'!$B$2:$G$52,4,FALSE)</f>
        <v>0</v>
      </c>
      <c r="F2815" s="98">
        <f>SUMIFS(Input!$C$115:$C$3257,Input!$A$115:$A$3257,"="&amp;'Output - County'!A2815,Input!$B$115:$B$3257,"="&amp;'Output - County'!B2815)*VLOOKUP(A2815,'Output - State'!$B$2:$G$52,5,FALSE)</f>
        <v>0.75862037833091767</v>
      </c>
      <c r="G2815" s="99">
        <f>SUMIFS(Input!$D$115:$D$3257,Input!$A$115:$A$3257,"="&amp;'Output - County'!A2815,Input!$B$115:$B$3257,"="&amp;'Output - County'!B2815)*VLOOKUP(A2815,'Output - State'!$B$2:$G$52,6,FALSE)</f>
        <v>0.3311084821726652</v>
      </c>
    </row>
    <row r="2816" spans="1:7" x14ac:dyDescent="0.25">
      <c r="A2816" s="88">
        <v>50</v>
      </c>
      <c r="B2816" s="88">
        <v>17</v>
      </c>
      <c r="C2816" s="97">
        <f>SUMIFS(Input!$C$115:$C$3257,Input!$A$115:$A$3257,"="&amp;'Output - County'!A2816,Input!$B$115:$B$3257,"="&amp;'Output - County'!B2816)*VLOOKUP(A2816,'Output - State'!$B$2:$G$52,2,FALSE)</f>
        <v>23.2069707711651</v>
      </c>
      <c r="D2816" s="98">
        <f>SUMIFS(Input!$C$115:$C$3257,Input!$A$115:$A$3257,"="&amp;'Output - County'!A2816,Input!$B$115:$B$3257,"="&amp;'Output - County'!B2816)*VLOOKUP(A2816,'Output - State'!$B$2:$G$52,3,FALSE)</f>
        <v>0</v>
      </c>
      <c r="E2816" s="98">
        <f>SUMIFS(Input!$C$115:$C$3257,Input!$A$115:$A$3257,"="&amp;'Output - County'!A2816,Input!$B$115:$B$3257,"="&amp;'Output - County'!B2816)*VLOOKUP(A2816,'Output - State'!$B$2:$G$52,4,FALSE)</f>
        <v>0</v>
      </c>
      <c r="F2816" s="98">
        <f>SUMIFS(Input!$C$115:$C$3257,Input!$A$115:$A$3257,"="&amp;'Output - County'!A2816,Input!$B$115:$B$3257,"="&amp;'Output - County'!B2816)*VLOOKUP(A2816,'Output - State'!$B$2:$G$52,5,FALSE)</f>
        <v>1.5950512700749124</v>
      </c>
      <c r="G2816" s="99">
        <f>SUMIFS(Input!$D$115:$D$3257,Input!$A$115:$A$3257,"="&amp;'Output - County'!A2816,Input!$B$115:$B$3257,"="&amp;'Output - County'!B2816)*VLOOKUP(A2816,'Output - State'!$B$2:$G$52,6,FALSE)</f>
        <v>0.37822273260039629</v>
      </c>
    </row>
    <row r="2817" spans="1:7" x14ac:dyDescent="0.25">
      <c r="A2817" s="88">
        <v>50</v>
      </c>
      <c r="B2817" s="88">
        <v>19</v>
      </c>
      <c r="C2817" s="97">
        <f>SUMIFS(Input!$C$115:$C$3257,Input!$A$115:$A$3257,"="&amp;'Output - County'!A2817,Input!$B$115:$B$3257,"="&amp;'Output - County'!B2817)*VLOOKUP(A2817,'Output - State'!$B$2:$G$52,2,FALSE)</f>
        <v>12.610300889437788</v>
      </c>
      <c r="D2817" s="98">
        <f>SUMIFS(Input!$C$115:$C$3257,Input!$A$115:$A$3257,"="&amp;'Output - County'!A2817,Input!$B$115:$B$3257,"="&amp;'Output - County'!B2817)*VLOOKUP(A2817,'Output - State'!$B$2:$G$52,3,FALSE)</f>
        <v>0</v>
      </c>
      <c r="E2817" s="98">
        <f>SUMIFS(Input!$C$115:$C$3257,Input!$A$115:$A$3257,"="&amp;'Output - County'!A2817,Input!$B$115:$B$3257,"="&amp;'Output - County'!B2817)*VLOOKUP(A2817,'Output - State'!$B$2:$G$52,4,FALSE)</f>
        <v>0</v>
      </c>
      <c r="F2817" s="98">
        <f>SUMIFS(Input!$C$115:$C$3257,Input!$A$115:$A$3257,"="&amp;'Output - County'!A2817,Input!$B$115:$B$3257,"="&amp;'Output - County'!B2817)*VLOOKUP(A2817,'Output - State'!$B$2:$G$52,5,FALSE)</f>
        <v>0.86672563377881651</v>
      </c>
      <c r="G2817" s="99">
        <f>SUMIFS(Input!$D$115:$D$3257,Input!$A$115:$A$3257,"="&amp;'Output - County'!A2817,Input!$B$115:$B$3257,"="&amp;'Output - County'!B2817)*VLOOKUP(A2817,'Output - State'!$B$2:$G$52,6,FALSE)</f>
        <v>0.35204814902943454</v>
      </c>
    </row>
    <row r="2818" spans="1:7" x14ac:dyDescent="0.25">
      <c r="A2818" s="88">
        <v>50</v>
      </c>
      <c r="B2818" s="88">
        <v>21</v>
      </c>
      <c r="C2818" s="97">
        <f>SUMIFS(Input!$C$115:$C$3257,Input!$A$115:$A$3257,"="&amp;'Output - County'!A2818,Input!$B$115:$B$3257,"="&amp;'Output - County'!B2818)*VLOOKUP(A2818,'Output - State'!$B$2:$G$52,2,FALSE)</f>
        <v>29.488403651030072</v>
      </c>
      <c r="D2818" s="98">
        <f>SUMIFS(Input!$C$115:$C$3257,Input!$A$115:$A$3257,"="&amp;'Output - County'!A2818,Input!$B$115:$B$3257,"="&amp;'Output - County'!B2818)*VLOOKUP(A2818,'Output - State'!$B$2:$G$52,3,FALSE)</f>
        <v>0</v>
      </c>
      <c r="E2818" s="98">
        <f>SUMIFS(Input!$C$115:$C$3257,Input!$A$115:$A$3257,"="&amp;'Output - County'!A2818,Input!$B$115:$B$3257,"="&amp;'Output - County'!B2818)*VLOOKUP(A2818,'Output - State'!$B$2:$G$52,4,FALSE)</f>
        <v>0</v>
      </c>
      <c r="F2818" s="98">
        <f>SUMIFS(Input!$C$115:$C$3257,Input!$A$115:$A$3257,"="&amp;'Output - County'!A2818,Input!$B$115:$B$3257,"="&amp;'Output - County'!B2818)*VLOOKUP(A2818,'Output - State'!$B$2:$G$52,5,FALSE)</f>
        <v>2.0267839417671571</v>
      </c>
      <c r="G2818" s="99">
        <f>SUMIFS(Input!$D$115:$D$3257,Input!$A$115:$A$3257,"="&amp;'Output - County'!A2818,Input!$B$115:$B$3257,"="&amp;'Output - County'!B2818)*VLOOKUP(A2818,'Output - State'!$B$2:$G$52,6,FALSE)</f>
        <v>0.76691529862917729</v>
      </c>
    </row>
    <row r="2819" spans="1:7" x14ac:dyDescent="0.25">
      <c r="A2819" s="88">
        <v>50</v>
      </c>
      <c r="B2819" s="88">
        <v>23</v>
      </c>
      <c r="C2819" s="97">
        <f>SUMIFS(Input!$C$115:$C$3257,Input!$A$115:$A$3257,"="&amp;'Output - County'!A2819,Input!$B$115:$B$3257,"="&amp;'Output - County'!B2819)*VLOOKUP(A2819,'Output - State'!$B$2:$G$52,2,FALSE)</f>
        <v>40.388041206659729</v>
      </c>
      <c r="D2819" s="98">
        <f>SUMIFS(Input!$C$115:$C$3257,Input!$A$115:$A$3257,"="&amp;'Output - County'!A2819,Input!$B$115:$B$3257,"="&amp;'Output - County'!B2819)*VLOOKUP(A2819,'Output - State'!$B$2:$G$52,3,FALSE)</f>
        <v>0</v>
      </c>
      <c r="E2819" s="98">
        <f>SUMIFS(Input!$C$115:$C$3257,Input!$A$115:$A$3257,"="&amp;'Output - County'!A2819,Input!$B$115:$B$3257,"="&amp;'Output - County'!B2819)*VLOOKUP(A2819,'Output - State'!$B$2:$G$52,4,FALSE)</f>
        <v>0</v>
      </c>
      <c r="F2819" s="98">
        <f>SUMIFS(Input!$C$115:$C$3257,Input!$A$115:$A$3257,"="&amp;'Output - County'!A2819,Input!$B$115:$B$3257,"="&amp;'Output - County'!B2819)*VLOOKUP(A2819,'Output - State'!$B$2:$G$52,5,FALSE)</f>
        <v>2.775933018477545</v>
      </c>
      <c r="G2819" s="99">
        <f>SUMIFS(Input!$D$115:$D$3257,Input!$A$115:$A$3257,"="&amp;'Output - County'!A2819,Input!$B$115:$B$3257,"="&amp;'Output - County'!B2819)*VLOOKUP(A2819,'Output - State'!$B$2:$G$52,6,FALSE)</f>
        <v>0.76037165273643681</v>
      </c>
    </row>
    <row r="2820" spans="1:7" x14ac:dyDescent="0.25">
      <c r="A2820" s="88">
        <v>50</v>
      </c>
      <c r="B2820" s="88">
        <v>25</v>
      </c>
      <c r="C2820" s="97">
        <f>SUMIFS(Input!$C$115:$C$3257,Input!$A$115:$A$3257,"="&amp;'Output - County'!A2820,Input!$B$115:$B$3257,"="&amp;'Output - County'!B2820)*VLOOKUP(A2820,'Output - State'!$B$2:$G$52,2,FALSE)</f>
        <v>34.383392167658442</v>
      </c>
      <c r="D2820" s="98">
        <f>SUMIFS(Input!$C$115:$C$3257,Input!$A$115:$A$3257,"="&amp;'Output - County'!A2820,Input!$B$115:$B$3257,"="&amp;'Output - County'!B2820)*VLOOKUP(A2820,'Output - State'!$B$2:$G$52,3,FALSE)</f>
        <v>0</v>
      </c>
      <c r="E2820" s="98">
        <f>SUMIFS(Input!$C$115:$C$3257,Input!$A$115:$A$3257,"="&amp;'Output - County'!A2820,Input!$B$115:$B$3257,"="&amp;'Output - County'!B2820)*VLOOKUP(A2820,'Output - State'!$B$2:$G$52,4,FALSE)</f>
        <v>0</v>
      </c>
      <c r="F2820" s="98">
        <f>SUMIFS(Input!$C$115:$C$3257,Input!$A$115:$A$3257,"="&amp;'Output - County'!A2820,Input!$B$115:$B$3257,"="&amp;'Output - County'!B2820)*VLOOKUP(A2820,'Output - State'!$B$2:$G$52,5,FALSE)</f>
        <v>2.3632241315463167</v>
      </c>
      <c r="G2820" s="99">
        <f>SUMIFS(Input!$D$115:$D$3257,Input!$A$115:$A$3257,"="&amp;'Output - County'!A2820,Input!$B$115:$B$3257,"="&amp;'Output - County'!B2820)*VLOOKUP(A2820,'Output - State'!$B$2:$G$52,6,FALSE)</f>
        <v>0.55751863006148372</v>
      </c>
    </row>
    <row r="2821" spans="1:7" x14ac:dyDescent="0.25">
      <c r="A2821" s="88">
        <v>50</v>
      </c>
      <c r="B2821" s="88">
        <v>27</v>
      </c>
      <c r="C2821" s="97">
        <f>SUMIFS(Input!$C$115:$C$3257,Input!$A$115:$A$3257,"="&amp;'Output - County'!A2821,Input!$B$115:$B$3257,"="&amp;'Output - County'!B2821)*VLOOKUP(A2821,'Output - State'!$B$2:$G$52,2,FALSE)</f>
        <v>53.438192866222735</v>
      </c>
      <c r="D2821" s="98">
        <f>SUMIFS(Input!$C$115:$C$3257,Input!$A$115:$A$3257,"="&amp;'Output - County'!A2821,Input!$B$115:$B$3257,"="&amp;'Output - County'!B2821)*VLOOKUP(A2821,'Output - State'!$B$2:$G$52,3,FALSE)</f>
        <v>0</v>
      </c>
      <c r="E2821" s="98">
        <f>SUMIFS(Input!$C$115:$C$3257,Input!$A$115:$A$3257,"="&amp;'Output - County'!A2821,Input!$B$115:$B$3257,"="&amp;'Output - County'!B2821)*VLOOKUP(A2821,'Output - State'!$B$2:$G$52,4,FALSE)</f>
        <v>0</v>
      </c>
      <c r="F2821" s="98">
        <f>SUMIFS(Input!$C$115:$C$3257,Input!$A$115:$A$3257,"="&amp;'Output - County'!A2821,Input!$B$115:$B$3257,"="&amp;'Output - County'!B2821)*VLOOKUP(A2821,'Output - State'!$B$2:$G$52,5,FALSE)</f>
        <v>3.6728902812117181</v>
      </c>
      <c r="G2821" s="99">
        <f>SUMIFS(Input!$D$115:$D$3257,Input!$A$115:$A$3257,"="&amp;'Output - County'!A2821,Input!$B$115:$B$3257,"="&amp;'Output - County'!B2821)*VLOOKUP(A2821,'Output - State'!$B$2:$G$52,6,FALSE)</f>
        <v>0.72241850655854234</v>
      </c>
    </row>
    <row r="2822" spans="1:7" x14ac:dyDescent="0.25">
      <c r="A2822" s="88">
        <v>51</v>
      </c>
      <c r="B2822" s="88">
        <v>1</v>
      </c>
      <c r="C2822" s="97">
        <f>SUMIFS(Input!$C$115:$C$3257,Input!$A$115:$A$3257,"="&amp;'Output - County'!A2822,Input!$B$115:$B$3257,"="&amp;'Output - County'!B2822)*VLOOKUP(A2822,'Output - State'!$B$2:$G$52,2,FALSE)</f>
        <v>6.3893258153562851</v>
      </c>
      <c r="D2822" s="98">
        <f>SUMIFS(Input!$C$115:$C$3257,Input!$A$115:$A$3257,"="&amp;'Output - County'!A2822,Input!$B$115:$B$3257,"="&amp;'Output - County'!B2822)*VLOOKUP(A2822,'Output - State'!$B$2:$G$52,3,FALSE)</f>
        <v>1.957778091708203</v>
      </c>
      <c r="E2822" s="98">
        <f>SUMIFS(Input!$C$115:$C$3257,Input!$A$115:$A$3257,"="&amp;'Output - County'!A2822,Input!$B$115:$B$3257,"="&amp;'Output - County'!B2822)*VLOOKUP(A2822,'Output - State'!$B$2:$G$52,4,FALSE)</f>
        <v>0.29658919242307324</v>
      </c>
      <c r="F2822" s="98">
        <f>SUMIFS(Input!$C$115:$C$3257,Input!$A$115:$A$3257,"="&amp;'Output - County'!A2822,Input!$B$115:$B$3257,"="&amp;'Output - County'!B2822)*VLOOKUP(A2822,'Output - State'!$B$2:$G$52,5,FALSE)</f>
        <v>13.836601859437451</v>
      </c>
      <c r="G2822" s="99">
        <f>SUMIFS(Input!$D$115:$D$3257,Input!$A$115:$A$3257,"="&amp;'Output - County'!A2822,Input!$B$115:$B$3257,"="&amp;'Output - County'!B2822)*VLOOKUP(A2822,'Output - State'!$B$2:$G$52,6,FALSE)</f>
        <v>4.4281033112406947</v>
      </c>
    </row>
    <row r="2823" spans="1:7" x14ac:dyDescent="0.25">
      <c r="A2823" s="88">
        <v>51</v>
      </c>
      <c r="B2823" s="88">
        <v>3</v>
      </c>
      <c r="C2823" s="97">
        <f>SUMIFS(Input!$C$115:$C$3257,Input!$A$115:$A$3257,"="&amp;'Output - County'!A2823,Input!$B$115:$B$3257,"="&amp;'Output - County'!B2823)*VLOOKUP(A2823,'Output - State'!$B$2:$G$52,2,FALSE)</f>
        <v>23.048956291692924</v>
      </c>
      <c r="D2823" s="98">
        <f>SUMIFS(Input!$C$115:$C$3257,Input!$A$115:$A$3257,"="&amp;'Output - County'!A2823,Input!$B$115:$B$3257,"="&amp;'Output - County'!B2823)*VLOOKUP(A2823,'Output - State'!$B$2:$G$52,3,FALSE)</f>
        <v>7.0625200480717822</v>
      </c>
      <c r="E2823" s="98">
        <f>SUMIFS(Input!$C$115:$C$3257,Input!$A$115:$A$3257,"="&amp;'Output - County'!A2823,Input!$B$115:$B$3257,"="&amp;'Output - County'!B2823)*VLOOKUP(A2823,'Output - State'!$B$2:$G$52,4,FALSE)</f>
        <v>1.0699206035663278</v>
      </c>
      <c r="F2823" s="98">
        <f>SUMIFS(Input!$C$115:$C$3257,Input!$A$115:$A$3257,"="&amp;'Output - County'!A2823,Input!$B$115:$B$3257,"="&amp;'Output - County'!B2823)*VLOOKUP(A2823,'Output - State'!$B$2:$G$52,5,FALSE)</f>
        <v>49.914379184926112</v>
      </c>
      <c r="G2823" s="99">
        <f>SUMIFS(Input!$D$115:$D$3257,Input!$A$115:$A$3257,"="&amp;'Output - County'!A2823,Input!$B$115:$B$3257,"="&amp;'Output - County'!B2823)*VLOOKUP(A2823,'Output - State'!$B$2:$G$52,6,FALSE)</f>
        <v>14.669790110858743</v>
      </c>
    </row>
    <row r="2824" spans="1:7" x14ac:dyDescent="0.25">
      <c r="A2824" s="88">
        <v>51</v>
      </c>
      <c r="B2824" s="88">
        <v>5</v>
      </c>
      <c r="C2824" s="97">
        <f>SUMIFS(Input!$C$115:$C$3257,Input!$A$115:$A$3257,"="&amp;'Output - County'!A2824,Input!$B$115:$B$3257,"="&amp;'Output - County'!B2824)*VLOOKUP(A2824,'Output - State'!$B$2:$G$52,2,FALSE)</f>
        <v>4.1849692997068804</v>
      </c>
      <c r="D2824" s="98">
        <f>SUMIFS(Input!$C$115:$C$3257,Input!$A$115:$A$3257,"="&amp;'Output - County'!A2824,Input!$B$115:$B$3257,"="&amp;'Output - County'!B2824)*VLOOKUP(A2824,'Output - State'!$B$2:$G$52,3,FALSE)</f>
        <v>1.2823326664208741</v>
      </c>
      <c r="E2824" s="98">
        <f>SUMIFS(Input!$C$115:$C$3257,Input!$A$115:$A$3257,"="&amp;'Output - County'!A2824,Input!$B$115:$B$3257,"="&amp;'Output - County'!B2824)*VLOOKUP(A2824,'Output - State'!$B$2:$G$52,4,FALSE)</f>
        <v>0.19426410560128937</v>
      </c>
      <c r="F2824" s="98">
        <f>SUMIFS(Input!$C$115:$C$3257,Input!$A$115:$A$3257,"="&amp;'Output - County'!A2824,Input!$B$115:$B$3257,"="&amp;'Output - County'!B2824)*VLOOKUP(A2824,'Output - State'!$B$2:$G$52,5,FALSE)</f>
        <v>9.06288952346749</v>
      </c>
      <c r="G2824" s="99">
        <f>SUMIFS(Input!$D$115:$D$3257,Input!$A$115:$A$3257,"="&amp;'Output - County'!A2824,Input!$B$115:$B$3257,"="&amp;'Output - County'!B2824)*VLOOKUP(A2824,'Output - State'!$B$2:$G$52,6,FALSE)</f>
        <v>2.037470848730381</v>
      </c>
    </row>
    <row r="2825" spans="1:7" x14ac:dyDescent="0.25">
      <c r="A2825" s="88">
        <v>51</v>
      </c>
      <c r="B2825" s="88">
        <v>7</v>
      </c>
      <c r="C2825" s="97">
        <f>SUMIFS(Input!$C$115:$C$3257,Input!$A$115:$A$3257,"="&amp;'Output - County'!A2825,Input!$B$115:$B$3257,"="&amp;'Output - County'!B2825)*VLOOKUP(A2825,'Output - State'!$B$2:$G$52,2,FALSE)</f>
        <v>2.6013227482690553</v>
      </c>
      <c r="D2825" s="98">
        <f>SUMIFS(Input!$C$115:$C$3257,Input!$A$115:$A$3257,"="&amp;'Output - County'!A2825,Input!$B$115:$B$3257,"="&amp;'Output - County'!B2825)*VLOOKUP(A2825,'Output - State'!$B$2:$G$52,3,FALSE)</f>
        <v>0.79708138748897728</v>
      </c>
      <c r="E2825" s="98">
        <f>SUMIFS(Input!$C$115:$C$3257,Input!$A$115:$A$3257,"="&amp;'Output - County'!A2825,Input!$B$115:$B$3257,"="&amp;'Output - County'!B2825)*VLOOKUP(A2825,'Output - State'!$B$2:$G$52,4,FALSE)</f>
        <v>0.12075205357137767</v>
      </c>
      <c r="F2825" s="98">
        <f>SUMIFS(Input!$C$115:$C$3257,Input!$A$115:$A$3257,"="&amp;'Output - County'!A2825,Input!$B$115:$B$3257,"="&amp;'Output - County'!B2825)*VLOOKUP(A2825,'Output - State'!$B$2:$G$52,5,FALSE)</f>
        <v>5.6333748216734909</v>
      </c>
      <c r="G2825" s="99">
        <f>SUMIFS(Input!$D$115:$D$3257,Input!$A$115:$A$3257,"="&amp;'Output - County'!A2825,Input!$B$115:$B$3257,"="&amp;'Output - County'!B2825)*VLOOKUP(A2825,'Output - State'!$B$2:$G$52,6,FALSE)</f>
        <v>1.7793912078911995</v>
      </c>
    </row>
    <row r="2826" spans="1:7" x14ac:dyDescent="0.25">
      <c r="A2826" s="88">
        <v>51</v>
      </c>
      <c r="B2826" s="88">
        <v>9</v>
      </c>
      <c r="C2826" s="97">
        <f>SUMIFS(Input!$C$115:$C$3257,Input!$A$115:$A$3257,"="&amp;'Output - County'!A2826,Input!$B$115:$B$3257,"="&amp;'Output - County'!B2826)*VLOOKUP(A2826,'Output - State'!$B$2:$G$52,2,FALSE)</f>
        <v>6.3713992683768605</v>
      </c>
      <c r="D2826" s="98">
        <f>SUMIFS(Input!$C$115:$C$3257,Input!$A$115:$A$3257,"="&amp;'Output - County'!A2826,Input!$B$115:$B$3257,"="&amp;'Output - County'!B2826)*VLOOKUP(A2826,'Output - State'!$B$2:$G$52,3,FALSE)</f>
        <v>1.9522851489548465</v>
      </c>
      <c r="E2826" s="98">
        <f>SUMIFS(Input!$C$115:$C$3257,Input!$A$115:$A$3257,"="&amp;'Output - County'!A2826,Input!$B$115:$B$3257,"="&amp;'Output - County'!B2826)*VLOOKUP(A2826,'Output - State'!$B$2:$G$52,4,FALSE)</f>
        <v>0.29575705140456648</v>
      </c>
      <c r="F2826" s="98">
        <f>SUMIFS(Input!$C$115:$C$3257,Input!$A$115:$A$3257,"="&amp;'Output - County'!A2826,Input!$B$115:$B$3257,"="&amp;'Output - County'!B2826)*VLOOKUP(A2826,'Output - State'!$B$2:$G$52,5,FALSE)</f>
        <v>13.79778047194886</v>
      </c>
      <c r="G2826" s="99">
        <f>SUMIFS(Input!$D$115:$D$3257,Input!$A$115:$A$3257,"="&amp;'Output - County'!A2826,Input!$B$115:$B$3257,"="&amp;'Output - County'!B2826)*VLOOKUP(A2826,'Output - State'!$B$2:$G$52,6,FALSE)</f>
        <v>4.3058550603168717</v>
      </c>
    </row>
    <row r="2827" spans="1:7" x14ac:dyDescent="0.25">
      <c r="A2827" s="88">
        <v>51</v>
      </c>
      <c r="B2827" s="88">
        <v>11</v>
      </c>
      <c r="C2827" s="97">
        <f>SUMIFS(Input!$C$115:$C$3257,Input!$A$115:$A$3257,"="&amp;'Output - County'!A2827,Input!$B$115:$B$3257,"="&amp;'Output - County'!B2827)*VLOOKUP(A2827,'Output - State'!$B$2:$G$52,2,FALSE)</f>
        <v>2.6025717870907061</v>
      </c>
      <c r="D2827" s="98">
        <f>SUMIFS(Input!$C$115:$C$3257,Input!$A$115:$A$3257,"="&amp;'Output - County'!A2827,Input!$B$115:$B$3257,"="&amp;'Output - County'!B2827)*VLOOKUP(A2827,'Output - State'!$B$2:$G$52,3,FALSE)</f>
        <v>0.79746411031629727</v>
      </c>
      <c r="E2827" s="98">
        <f>SUMIFS(Input!$C$115:$C$3257,Input!$A$115:$A$3257,"="&amp;'Output - County'!A2827,Input!$B$115:$B$3257,"="&amp;'Output - County'!B2827)*VLOOKUP(A2827,'Output - State'!$B$2:$G$52,4,FALSE)</f>
        <v>0.12081003330603578</v>
      </c>
      <c r="F2827" s="98">
        <f>SUMIFS(Input!$C$115:$C$3257,Input!$A$115:$A$3257,"="&amp;'Output - County'!A2827,Input!$B$115:$B$3257,"="&amp;'Output - County'!B2827)*VLOOKUP(A2827,'Output - State'!$B$2:$G$52,5,FALSE)</f>
        <v>5.6360797162713894</v>
      </c>
      <c r="G2827" s="99">
        <f>SUMIFS(Input!$D$115:$D$3257,Input!$A$115:$A$3257,"="&amp;'Output - County'!A2827,Input!$B$115:$B$3257,"="&amp;'Output - County'!B2827)*VLOOKUP(A2827,'Output - State'!$B$2:$G$52,6,FALSE)</f>
        <v>2.1597190996542039</v>
      </c>
    </row>
    <row r="2828" spans="1:7" x14ac:dyDescent="0.25">
      <c r="A2828" s="88">
        <v>51</v>
      </c>
      <c r="B2828" s="88">
        <v>13</v>
      </c>
      <c r="C2828" s="97">
        <f>SUMIFS(Input!$C$115:$C$3257,Input!$A$115:$A$3257,"="&amp;'Output - County'!A2828,Input!$B$115:$B$3257,"="&amp;'Output - County'!B2828)*VLOOKUP(A2828,'Output - State'!$B$2:$G$52,2,FALSE)</f>
        <v>28.49641732210598</v>
      </c>
      <c r="D2828" s="98">
        <f>SUMIFS(Input!$C$115:$C$3257,Input!$A$115:$A$3257,"="&amp;'Output - County'!A2828,Input!$B$115:$B$3257,"="&amp;'Output - County'!B2828)*VLOOKUP(A2828,'Output - State'!$B$2:$G$52,3,FALSE)</f>
        <v>8.7316976998272313</v>
      </c>
      <c r="E2828" s="98">
        <f>SUMIFS(Input!$C$115:$C$3257,Input!$A$115:$A$3257,"="&amp;'Output - County'!A2828,Input!$B$115:$B$3257,"="&amp;'Output - County'!B2828)*VLOOKUP(A2828,'Output - State'!$B$2:$G$52,4,FALSE)</f>
        <v>1.3227889208907087</v>
      </c>
      <c r="F2828" s="98">
        <f>SUMIFS(Input!$C$115:$C$3257,Input!$A$115:$A$3257,"="&amp;'Output - County'!A2828,Input!$B$115:$B$3257,"="&amp;'Output - County'!B2828)*VLOOKUP(A2828,'Output - State'!$B$2:$G$52,5,FALSE)</f>
        <v>61.711296669000809</v>
      </c>
      <c r="G2828" s="99">
        <f>SUMIFS(Input!$D$115:$D$3257,Input!$A$115:$A$3257,"="&amp;'Output - County'!A2828,Input!$B$115:$B$3257,"="&amp;'Output - County'!B2828)*VLOOKUP(A2828,'Output - State'!$B$2:$G$52,6,FALSE)</f>
        <v>32.056208020024663</v>
      </c>
    </row>
    <row r="2829" spans="1:7" x14ac:dyDescent="0.25">
      <c r="A2829" s="88">
        <v>51</v>
      </c>
      <c r="B2829" s="88">
        <v>15</v>
      </c>
      <c r="C2829" s="97">
        <f>SUMIFS(Input!$C$115:$C$3257,Input!$A$115:$A$3257,"="&amp;'Output - County'!A2829,Input!$B$115:$B$3257,"="&amp;'Output - County'!B2829)*VLOOKUP(A2829,'Output - State'!$B$2:$G$52,2,FALSE)</f>
        <v>22.833425313933581</v>
      </c>
      <c r="D2829" s="98">
        <f>SUMIFS(Input!$C$115:$C$3257,Input!$A$115:$A$3257,"="&amp;'Output - County'!A2829,Input!$B$115:$B$3257,"="&amp;'Output - County'!B2829)*VLOOKUP(A2829,'Output - State'!$B$2:$G$52,3,FALSE)</f>
        <v>6.9964783656571008</v>
      </c>
      <c r="E2829" s="98">
        <f>SUMIFS(Input!$C$115:$C$3257,Input!$A$115:$A$3257,"="&amp;'Output - County'!A2829,Input!$B$115:$B$3257,"="&amp;'Output - County'!B2829)*VLOOKUP(A2829,'Output - State'!$B$2:$G$52,4,FALSE)</f>
        <v>1.0599157672998534</v>
      </c>
      <c r="F2829" s="98">
        <f>SUMIFS(Input!$C$115:$C$3257,Input!$A$115:$A$3257,"="&amp;'Output - County'!A2829,Input!$B$115:$B$3257,"="&amp;'Output - County'!B2829)*VLOOKUP(A2829,'Output - State'!$B$2:$G$52,5,FALSE)</f>
        <v>49.447629419174028</v>
      </c>
      <c r="G2829" s="99">
        <f>SUMIFS(Input!$D$115:$D$3257,Input!$A$115:$A$3257,"="&amp;'Output - County'!A2829,Input!$B$115:$B$3257,"="&amp;'Output - County'!B2829)*VLOOKUP(A2829,'Output - State'!$B$2:$G$52,6,FALSE)</f>
        <v>10.255269938609585</v>
      </c>
    </row>
    <row r="2830" spans="1:7" x14ac:dyDescent="0.25">
      <c r="A2830" s="88">
        <v>51</v>
      </c>
      <c r="B2830" s="88">
        <v>17</v>
      </c>
      <c r="C2830" s="97">
        <f>SUMIFS(Input!$C$115:$C$3257,Input!$A$115:$A$3257,"="&amp;'Output - County'!A2830,Input!$B$115:$B$3257,"="&amp;'Output - County'!B2830)*VLOOKUP(A2830,'Output - State'!$B$2:$G$52,2,FALSE)</f>
        <v>0.67006653325679788</v>
      </c>
      <c r="D2830" s="98">
        <f>SUMIFS(Input!$C$115:$C$3257,Input!$A$115:$A$3257,"="&amp;'Output - County'!A2830,Input!$B$115:$B$3257,"="&amp;'Output - County'!B2830)*VLOOKUP(A2830,'Output - State'!$B$2:$G$52,3,FALSE)</f>
        <v>0.20531768401043315</v>
      </c>
      <c r="E2830" s="98">
        <f>SUMIFS(Input!$C$115:$C$3257,Input!$A$115:$A$3257,"="&amp;'Output - County'!A2830,Input!$B$115:$B$3257,"="&amp;'Output - County'!B2830)*VLOOKUP(A2830,'Output - State'!$B$2:$G$52,4,FALSE)</f>
        <v>3.1104141142828865E-2</v>
      </c>
      <c r="F2830" s="98">
        <f>SUMIFS(Input!$C$115:$C$3257,Input!$A$115:$A$3257,"="&amp;'Output - County'!A2830,Input!$B$115:$B$3257,"="&amp;'Output - County'!B2830)*VLOOKUP(A2830,'Output - State'!$B$2:$G$52,5,FALSE)</f>
        <v>1.451083276693226</v>
      </c>
      <c r="G2830" s="99">
        <f>SUMIFS(Input!$D$115:$D$3257,Input!$A$115:$A$3257,"="&amp;'Output - County'!A2830,Input!$B$115:$B$3257,"="&amp;'Output - County'!B2830)*VLOOKUP(A2830,'Output - State'!$B$2:$G$52,6,FALSE)</f>
        <v>0.57728340714027471</v>
      </c>
    </row>
    <row r="2831" spans="1:7" x14ac:dyDescent="0.25">
      <c r="A2831" s="88">
        <v>51</v>
      </c>
      <c r="B2831" s="88">
        <v>19</v>
      </c>
      <c r="C2831" s="97">
        <f>SUMIFS(Input!$C$115:$C$3257,Input!$A$115:$A$3257,"="&amp;'Output - County'!A2831,Input!$B$115:$B$3257,"="&amp;'Output - County'!B2831)*VLOOKUP(A2831,'Output - State'!$B$2:$G$52,2,FALSE)</f>
        <v>10.728119241433138</v>
      </c>
      <c r="D2831" s="98">
        <f>SUMIFS(Input!$C$115:$C$3257,Input!$A$115:$A$3257,"="&amp;'Output - County'!A2831,Input!$B$115:$B$3257,"="&amp;'Output - County'!B2831)*VLOOKUP(A2831,'Output - State'!$B$2:$G$52,3,FALSE)</f>
        <v>3.2872446049990374</v>
      </c>
      <c r="E2831" s="98">
        <f>SUMIFS(Input!$C$115:$C$3257,Input!$A$115:$A$3257,"="&amp;'Output - County'!A2831,Input!$B$115:$B$3257,"="&amp;'Output - County'!B2831)*VLOOKUP(A2831,'Output - State'!$B$2:$G$52,4,FALSE)</f>
        <v>0.49799373423526988</v>
      </c>
      <c r="F2831" s="98">
        <f>SUMIFS(Input!$C$115:$C$3257,Input!$A$115:$A$3257,"="&amp;'Output - County'!A2831,Input!$B$115:$B$3257,"="&amp;'Output - County'!B2831)*VLOOKUP(A2831,'Output - State'!$B$2:$G$52,5,FALSE)</f>
        <v>23.23260997075996</v>
      </c>
      <c r="G2831" s="99">
        <f>SUMIFS(Input!$D$115:$D$3257,Input!$A$115:$A$3257,"="&amp;'Output - County'!A2831,Input!$B$115:$B$3257,"="&amp;'Output - County'!B2831)*VLOOKUP(A2831,'Output - State'!$B$2:$G$52,6,FALSE)</f>
        <v>10.717096664321804</v>
      </c>
    </row>
    <row r="2832" spans="1:7" x14ac:dyDescent="0.25">
      <c r="A2832" s="88">
        <v>51</v>
      </c>
      <c r="B2832" s="88">
        <v>21</v>
      </c>
      <c r="C2832" s="97">
        <f>SUMIFS(Input!$C$115:$C$3257,Input!$A$115:$A$3257,"="&amp;'Output - County'!A2832,Input!$B$115:$B$3257,"="&amp;'Output - County'!B2832)*VLOOKUP(A2832,'Output - State'!$B$2:$G$52,2,FALSE)</f>
        <v>4.4500847687108331</v>
      </c>
      <c r="D2832" s="98">
        <f>SUMIFS(Input!$C$115:$C$3257,Input!$A$115:$A$3257,"="&amp;'Output - County'!A2832,Input!$B$115:$B$3257,"="&amp;'Output - County'!B2832)*VLOOKUP(A2832,'Output - State'!$B$2:$G$52,3,FALSE)</f>
        <v>1.3635677250152278</v>
      </c>
      <c r="E2832" s="98">
        <f>SUMIFS(Input!$C$115:$C$3257,Input!$A$115:$A$3257,"="&amp;'Output - County'!A2832,Input!$B$115:$B$3257,"="&amp;'Output - County'!B2832)*VLOOKUP(A2832,'Output - State'!$B$2:$G$52,4,FALSE)</f>
        <v>0.20657062824907238</v>
      </c>
      <c r="F2832" s="98">
        <f>SUMIFS(Input!$C$115:$C$3257,Input!$A$115:$A$3257,"="&amp;'Output - County'!A2832,Input!$B$115:$B$3257,"="&amp;'Output - County'!B2832)*VLOOKUP(A2832,'Output - State'!$B$2:$G$52,5,FALSE)</f>
        <v>9.6370185156953152</v>
      </c>
      <c r="G2832" s="99">
        <f>SUMIFS(Input!$D$115:$D$3257,Input!$A$115:$A$3257,"="&amp;'Output - County'!A2832,Input!$B$115:$B$3257,"="&amp;'Output - County'!B2832)*VLOOKUP(A2832,'Output - State'!$B$2:$G$52,6,FALSE)</f>
        <v>0.85573775646675998</v>
      </c>
    </row>
    <row r="2833" spans="1:7" x14ac:dyDescent="0.25">
      <c r="A2833" s="88">
        <v>51</v>
      </c>
      <c r="B2833" s="88">
        <v>23</v>
      </c>
      <c r="C2833" s="97">
        <f>SUMIFS(Input!$C$115:$C$3257,Input!$A$115:$A$3257,"="&amp;'Output - County'!A2833,Input!$B$115:$B$3257,"="&amp;'Output - County'!B2833)*VLOOKUP(A2833,'Output - State'!$B$2:$G$52,2,FALSE)</f>
        <v>12.593967089477676</v>
      </c>
      <c r="D2833" s="98">
        <f>SUMIFS(Input!$C$115:$C$3257,Input!$A$115:$A$3257,"="&amp;'Output - County'!A2833,Input!$B$115:$B$3257,"="&amp;'Output - County'!B2833)*VLOOKUP(A2833,'Output - State'!$B$2:$G$52,3,FALSE)</f>
        <v>3.8589662771953388</v>
      </c>
      <c r="E2833" s="98">
        <f>SUMIFS(Input!$C$115:$C$3257,Input!$A$115:$A$3257,"="&amp;'Output - County'!A2833,Input!$B$115:$B$3257,"="&amp;'Output - County'!B2833)*VLOOKUP(A2833,'Output - State'!$B$2:$G$52,4,FALSE)</f>
        <v>0.58460542417379591</v>
      </c>
      <c r="F2833" s="98">
        <f>SUMIFS(Input!$C$115:$C$3257,Input!$A$115:$A$3257,"="&amp;'Output - County'!A2833,Input!$B$115:$B$3257,"="&amp;'Output - County'!B2833)*VLOOKUP(A2833,'Output - State'!$B$2:$G$52,5,FALSE)</f>
        <v>27.273254406457877</v>
      </c>
      <c r="G2833" s="99">
        <f>SUMIFS(Input!$D$115:$D$3257,Input!$A$115:$A$3257,"="&amp;'Output - County'!A2833,Input!$B$115:$B$3257,"="&amp;'Output - County'!B2833)*VLOOKUP(A2833,'Output - State'!$B$2:$G$52,6,FALSE)</f>
        <v>4.5367684231729823</v>
      </c>
    </row>
    <row r="2834" spans="1:7" x14ac:dyDescent="0.25">
      <c r="A2834" s="88">
        <v>51</v>
      </c>
      <c r="B2834" s="88">
        <v>25</v>
      </c>
      <c r="C2834" s="97">
        <f>SUMIFS(Input!$C$115:$C$3257,Input!$A$115:$A$3257,"="&amp;'Output - County'!A2834,Input!$B$115:$B$3257,"="&amp;'Output - County'!B2834)*VLOOKUP(A2834,'Output - State'!$B$2:$G$52,2,FALSE)</f>
        <v>5.8187152258714798</v>
      </c>
      <c r="D2834" s="98">
        <f>SUMIFS(Input!$C$115:$C$3257,Input!$A$115:$A$3257,"="&amp;'Output - County'!A2834,Input!$B$115:$B$3257,"="&amp;'Output - County'!B2834)*VLOOKUP(A2834,'Output - State'!$B$2:$G$52,3,FALSE)</f>
        <v>1.782935088976191</v>
      </c>
      <c r="E2834" s="98">
        <f>SUMIFS(Input!$C$115:$C$3257,Input!$A$115:$A$3257,"="&amp;'Output - County'!A2834,Input!$B$115:$B$3257,"="&amp;'Output - County'!B2834)*VLOOKUP(A2834,'Output - State'!$B$2:$G$52,4,FALSE)</f>
        <v>0.27010174463686026</v>
      </c>
      <c r="F2834" s="98">
        <f>SUMIFS(Input!$C$115:$C$3257,Input!$A$115:$A$3257,"="&amp;'Output - County'!A2834,Input!$B$115:$B$3257,"="&amp;'Output - County'!B2834)*VLOOKUP(A2834,'Output - State'!$B$2:$G$52,5,FALSE)</f>
        <v>12.600898473564666</v>
      </c>
      <c r="G2834" s="99">
        <f>SUMIFS(Input!$D$115:$D$3257,Input!$A$115:$A$3257,"="&amp;'Output - County'!A2834,Input!$B$115:$B$3257,"="&amp;'Output - County'!B2834)*VLOOKUP(A2834,'Output - State'!$B$2:$G$52,6,FALSE)</f>
        <v>2.2140516556203473</v>
      </c>
    </row>
    <row r="2835" spans="1:7" x14ac:dyDescent="0.25">
      <c r="A2835" s="88">
        <v>51</v>
      </c>
      <c r="B2835" s="88">
        <v>27</v>
      </c>
      <c r="C2835" s="97">
        <f>SUMIFS(Input!$C$115:$C$3257,Input!$A$115:$A$3257,"="&amp;'Output - County'!A2835,Input!$B$115:$B$3257,"="&amp;'Output - County'!B2835)*VLOOKUP(A2835,'Output - State'!$B$2:$G$52,2,FALSE)</f>
        <v>2.6565469059985847</v>
      </c>
      <c r="D2835" s="98">
        <f>SUMIFS(Input!$C$115:$C$3257,Input!$A$115:$A$3257,"="&amp;'Output - County'!A2835,Input!$B$115:$B$3257,"="&amp;'Output - County'!B2835)*VLOOKUP(A2835,'Output - State'!$B$2:$G$52,3,FALSE)</f>
        <v>0.81400283573881616</v>
      </c>
      <c r="E2835" s="98">
        <f>SUMIFS(Input!$C$115:$C$3257,Input!$A$115:$A$3257,"="&amp;'Output - County'!A2835,Input!$B$115:$B$3257,"="&amp;'Output - County'!B2835)*VLOOKUP(A2835,'Output - State'!$B$2:$G$52,4,FALSE)</f>
        <v>0.12331553034757838</v>
      </c>
      <c r="F2835" s="98">
        <f>SUMIFS(Input!$C$115:$C$3257,Input!$A$115:$A$3257,"="&amp;'Output - County'!A2835,Input!$B$115:$B$3257,"="&amp;'Output - County'!B2835)*VLOOKUP(A2835,'Output - State'!$B$2:$G$52,5,FALSE)</f>
        <v>5.7529672020917468</v>
      </c>
      <c r="G2835" s="99">
        <f>SUMIFS(Input!$D$115:$D$3257,Input!$A$115:$A$3257,"="&amp;'Output - County'!A2835,Input!$B$115:$B$3257,"="&amp;'Output - County'!B2835)*VLOOKUP(A2835,'Output - State'!$B$2:$G$52,6,FALSE)</f>
        <v>2.906791744188677</v>
      </c>
    </row>
    <row r="2836" spans="1:7" x14ac:dyDescent="0.25">
      <c r="A2836" s="88">
        <v>51</v>
      </c>
      <c r="B2836" s="88">
        <v>29</v>
      </c>
      <c r="C2836" s="97">
        <f>SUMIFS(Input!$C$115:$C$3257,Input!$A$115:$A$3257,"="&amp;'Output - County'!A2836,Input!$B$115:$B$3257,"="&amp;'Output - County'!B2836)*VLOOKUP(A2836,'Output - State'!$B$2:$G$52,2,FALSE)</f>
        <v>2.5273917852494034</v>
      </c>
      <c r="D2836" s="98">
        <f>SUMIFS(Input!$C$115:$C$3257,Input!$A$115:$A$3257,"="&amp;'Output - County'!A2836,Input!$B$115:$B$3257,"="&amp;'Output - County'!B2836)*VLOOKUP(A2836,'Output - State'!$B$2:$G$52,3,FALSE)</f>
        <v>0.77442791451208048</v>
      </c>
      <c r="E2836" s="98">
        <f>SUMIFS(Input!$C$115:$C$3257,Input!$A$115:$A$3257,"="&amp;'Output - County'!A2836,Input!$B$115:$B$3257,"="&amp;'Output - County'!B2836)*VLOOKUP(A2836,'Output - State'!$B$2:$G$52,4,FALSE)</f>
        <v>0.11732021659033684</v>
      </c>
      <c r="F2836" s="98">
        <f>SUMIFS(Input!$C$115:$C$3257,Input!$A$115:$A$3257,"="&amp;'Output - County'!A2836,Input!$B$115:$B$3257,"="&amp;'Output - County'!B2836)*VLOOKUP(A2836,'Output - State'!$B$2:$G$52,5,FALSE)</f>
        <v>5.4732713412829437</v>
      </c>
      <c r="G2836" s="99">
        <f>SUMIFS(Input!$D$115:$D$3257,Input!$A$115:$A$3257,"="&amp;'Output - County'!A2836,Input!$B$115:$B$3257,"="&amp;'Output - County'!B2836)*VLOOKUP(A2836,'Output - State'!$B$2:$G$52,6,FALSE)</f>
        <v>2.3091336285610988</v>
      </c>
    </row>
    <row r="2837" spans="1:7" x14ac:dyDescent="0.25">
      <c r="A2837" s="88">
        <v>51</v>
      </c>
      <c r="B2837" s="88">
        <v>31</v>
      </c>
      <c r="C2837" s="97">
        <f>SUMIFS(Input!$C$115:$C$3257,Input!$A$115:$A$3257,"="&amp;'Output - County'!A2837,Input!$B$115:$B$3257,"="&amp;'Output - County'!B2837)*VLOOKUP(A2837,'Output - State'!$B$2:$G$52,2,FALSE)</f>
        <v>10.297365732283097</v>
      </c>
      <c r="D2837" s="98">
        <f>SUMIFS(Input!$C$115:$C$3257,Input!$A$115:$A$3257,"="&amp;'Output - County'!A2837,Input!$B$115:$B$3257,"="&amp;'Output - County'!B2837)*VLOOKUP(A2837,'Output - State'!$B$2:$G$52,3,FALSE)</f>
        <v>3.1552557524172018</v>
      </c>
      <c r="E2837" s="98">
        <f>SUMIFS(Input!$C$115:$C$3257,Input!$A$115:$A$3257,"="&amp;'Output - County'!A2837,Input!$B$115:$B$3257,"="&amp;'Output - County'!B2837)*VLOOKUP(A2837,'Output - State'!$B$2:$G$52,4,FALSE)</f>
        <v>0.47799837962286917</v>
      </c>
      <c r="F2837" s="98">
        <f>SUMIFS(Input!$C$115:$C$3257,Input!$A$115:$A$3257,"="&amp;'Output - County'!A2837,Input!$B$115:$B$3257,"="&amp;'Output - County'!B2837)*VLOOKUP(A2837,'Output - State'!$B$2:$G$52,5,FALSE)</f>
        <v>22.299778404816049</v>
      </c>
      <c r="G2837" s="99">
        <f>SUMIFS(Input!$D$115:$D$3257,Input!$A$115:$A$3257,"="&amp;'Output - County'!A2837,Input!$B$115:$B$3257,"="&amp;'Output - County'!B2837)*VLOOKUP(A2837,'Output - State'!$B$2:$G$52,6,FALSE)</f>
        <v>7.484309584336267</v>
      </c>
    </row>
    <row r="2838" spans="1:7" x14ac:dyDescent="0.25">
      <c r="A2838" s="88">
        <v>51</v>
      </c>
      <c r="B2838" s="88">
        <v>33</v>
      </c>
      <c r="C2838" s="97">
        <f>SUMIFS(Input!$C$115:$C$3257,Input!$A$115:$A$3257,"="&amp;'Output - County'!A2838,Input!$B$115:$B$3257,"="&amp;'Output - County'!B2838)*VLOOKUP(A2838,'Output - State'!$B$2:$G$52,2,FALSE)</f>
        <v>14.267328959996084</v>
      </c>
      <c r="D2838" s="98">
        <f>SUMIFS(Input!$C$115:$C$3257,Input!$A$115:$A$3257,"="&amp;'Output - County'!A2838,Input!$B$115:$B$3257,"="&amp;'Output - County'!B2838)*VLOOKUP(A2838,'Output - State'!$B$2:$G$52,3,FALSE)</f>
        <v>4.371707574833815</v>
      </c>
      <c r="E2838" s="98">
        <f>SUMIFS(Input!$C$115:$C$3257,Input!$A$115:$A$3257,"="&amp;'Output - County'!A2838,Input!$B$115:$B$3257,"="&amp;'Output - County'!B2838)*VLOOKUP(A2838,'Output - State'!$B$2:$G$52,4,FALSE)</f>
        <v>0.66228201481122972</v>
      </c>
      <c r="F2838" s="98">
        <f>SUMIFS(Input!$C$115:$C$3257,Input!$A$115:$A$3257,"="&amp;'Output - County'!A2838,Input!$B$115:$B$3257,"="&amp;'Output - County'!B2838)*VLOOKUP(A2838,'Output - State'!$B$2:$G$52,5,FALSE)</f>
        <v>30.897054888424005</v>
      </c>
      <c r="G2838" s="99">
        <f>SUMIFS(Input!$D$115:$D$3257,Input!$A$115:$A$3257,"="&amp;'Output - County'!A2838,Input!$B$115:$B$3257,"="&amp;'Output - County'!B2838)*VLOOKUP(A2838,'Output - State'!$B$2:$G$52,6,FALSE)</f>
        <v>4.1836068093930496</v>
      </c>
    </row>
    <row r="2839" spans="1:7" x14ac:dyDescent="0.25">
      <c r="A2839" s="88">
        <v>51</v>
      </c>
      <c r="B2839" s="88">
        <v>35</v>
      </c>
      <c r="C2839" s="97">
        <f>SUMIFS(Input!$C$115:$C$3257,Input!$A$115:$A$3257,"="&amp;'Output - County'!A2839,Input!$B$115:$B$3257,"="&amp;'Output - County'!B2839)*VLOOKUP(A2839,'Output - State'!$B$2:$G$52,2,FALSE)</f>
        <v>9.6919499401529805</v>
      </c>
      <c r="D2839" s="98">
        <f>SUMIFS(Input!$C$115:$C$3257,Input!$A$115:$A$3257,"="&amp;'Output - County'!A2839,Input!$B$115:$B$3257,"="&amp;'Output - County'!B2839)*VLOOKUP(A2839,'Output - State'!$B$2:$G$52,3,FALSE)</f>
        <v>2.9697479526180741</v>
      </c>
      <c r="E2839" s="98">
        <f>SUMIFS(Input!$C$115:$C$3257,Input!$A$115:$A$3257,"="&amp;'Output - County'!A2839,Input!$B$115:$B$3257,"="&amp;'Output - County'!B2839)*VLOOKUP(A2839,'Output - State'!$B$2:$G$52,4,FALSE)</f>
        <v>0.44989529237123965</v>
      </c>
      <c r="F2839" s="98">
        <f>SUMIFS(Input!$C$115:$C$3257,Input!$A$115:$A$3257,"="&amp;'Output - County'!A2839,Input!$B$115:$B$3257,"="&amp;'Output - County'!B2839)*VLOOKUP(A2839,'Output - State'!$B$2:$G$52,5,FALSE)</f>
        <v>20.988701537365166</v>
      </c>
      <c r="G2839" s="99">
        <f>SUMIFS(Input!$D$115:$D$3257,Input!$A$115:$A$3257,"="&amp;'Output - County'!A2839,Input!$B$115:$B$3257,"="&amp;'Output - County'!B2839)*VLOOKUP(A2839,'Output - State'!$B$2:$G$52,6,FALSE)</f>
        <v>4.0341922804861543</v>
      </c>
    </row>
    <row r="2840" spans="1:7" x14ac:dyDescent="0.25">
      <c r="A2840" s="88">
        <v>51</v>
      </c>
      <c r="B2840" s="88">
        <v>36</v>
      </c>
      <c r="C2840" s="97">
        <f>SUMIFS(Input!$C$115:$C$3257,Input!$A$115:$A$3257,"="&amp;'Output - County'!A2840,Input!$B$115:$B$3257,"="&amp;'Output - County'!B2840)*VLOOKUP(A2840,'Output - State'!$B$2:$G$52,2,FALSE)</f>
        <v>1.2229280328641805</v>
      </c>
      <c r="D2840" s="98">
        <f>SUMIFS(Input!$C$115:$C$3257,Input!$A$115:$A$3257,"="&amp;'Output - County'!A2840,Input!$B$115:$B$3257,"="&amp;'Output - County'!B2840)*VLOOKUP(A2840,'Output - State'!$B$2:$G$52,3,FALSE)</f>
        <v>0.37472211930763683</v>
      </c>
      <c r="E2840" s="98">
        <f>SUMIFS(Input!$C$115:$C$3257,Input!$A$115:$A$3257,"="&amp;'Output - County'!A2840,Input!$B$115:$B$3257,"="&amp;'Output - County'!B2840)*VLOOKUP(A2840,'Output - State'!$B$2:$G$52,4,FALSE)</f>
        <v>5.6767685377224625E-2</v>
      </c>
      <c r="F2840" s="98">
        <f>SUMIFS(Input!$C$115:$C$3257,Input!$A$115:$A$3257,"="&amp;'Output - County'!A2840,Input!$B$115:$B$3257,"="&amp;'Output - County'!B2840)*VLOOKUP(A2840,'Output - State'!$B$2:$G$52,5,FALSE)</f>
        <v>2.6483495727855813</v>
      </c>
      <c r="G2840" s="99">
        <f>SUMIFS(Input!$D$115:$D$3257,Input!$A$115:$A$3257,"="&amp;'Output - County'!A2840,Input!$B$115:$B$3257,"="&amp;'Output - County'!B2840)*VLOOKUP(A2840,'Output - State'!$B$2:$G$52,6,FALSE)</f>
        <v>0.95081972940751114</v>
      </c>
    </row>
    <row r="2841" spans="1:7" x14ac:dyDescent="0.25">
      <c r="A2841" s="88">
        <v>51</v>
      </c>
      <c r="B2841" s="88">
        <v>37</v>
      </c>
      <c r="C2841" s="97">
        <f>SUMIFS(Input!$C$115:$C$3257,Input!$A$115:$A$3257,"="&amp;'Output - County'!A2841,Input!$B$115:$B$3257,"="&amp;'Output - County'!B2841)*VLOOKUP(A2841,'Output - State'!$B$2:$G$52,2,FALSE)</f>
        <v>2.1064854780222544</v>
      </c>
      <c r="D2841" s="98">
        <f>SUMIFS(Input!$C$115:$C$3257,Input!$A$115:$A$3257,"="&amp;'Output - County'!A2841,Input!$B$115:$B$3257,"="&amp;'Output - County'!B2841)*VLOOKUP(A2841,'Output - State'!$B$2:$G$52,3,FALSE)</f>
        <v>0.6454563812447377</v>
      </c>
      <c r="E2841" s="98">
        <f>SUMIFS(Input!$C$115:$C$3257,Input!$A$115:$A$3257,"="&amp;'Output - County'!A2841,Input!$B$115:$B$3257,"="&amp;'Output - County'!B2841)*VLOOKUP(A2841,'Output - State'!$B$2:$G$52,4,FALSE)</f>
        <v>9.7781963986870724E-2</v>
      </c>
      <c r="F2841" s="98">
        <f>SUMIFS(Input!$C$115:$C$3257,Input!$A$115:$A$3257,"="&amp;'Output - County'!A2841,Input!$B$115:$B$3257,"="&amp;'Output - County'!B2841)*VLOOKUP(A2841,'Output - State'!$B$2:$G$52,5,FALSE)</f>
        <v>4.5617646876027127</v>
      </c>
      <c r="G2841" s="99">
        <f>SUMIFS(Input!$D$115:$D$3257,Input!$A$115:$A$3257,"="&amp;'Output - County'!A2841,Input!$B$115:$B$3257,"="&amp;'Output - County'!B2841)*VLOOKUP(A2841,'Output - State'!$B$2:$G$52,6,FALSE)</f>
        <v>1.6163935399927691</v>
      </c>
    </row>
    <row r="2842" spans="1:7" x14ac:dyDescent="0.25">
      <c r="A2842" s="88">
        <v>51</v>
      </c>
      <c r="B2842" s="88">
        <v>41</v>
      </c>
      <c r="C2842" s="97">
        <f>SUMIFS(Input!$C$115:$C$3257,Input!$A$115:$A$3257,"="&amp;'Output - County'!A2842,Input!$B$115:$B$3257,"="&amp;'Output - County'!B2842)*VLOOKUP(A2842,'Output - State'!$B$2:$G$52,2,FALSE)</f>
        <v>60.844145406298232</v>
      </c>
      <c r="D2842" s="98">
        <f>SUMIFS(Input!$C$115:$C$3257,Input!$A$115:$A$3257,"="&amp;'Output - County'!A2842,Input!$B$115:$B$3257,"="&amp;'Output - County'!B2842)*VLOOKUP(A2842,'Output - State'!$B$2:$G$52,3,FALSE)</f>
        <v>18.64349046011462</v>
      </c>
      <c r="E2842" s="98">
        <f>SUMIFS(Input!$C$115:$C$3257,Input!$A$115:$A$3257,"="&amp;'Output - County'!A2842,Input!$B$115:$B$3257,"="&amp;'Output - County'!B2842)*VLOOKUP(A2842,'Output - State'!$B$2:$G$52,4,FALSE)</f>
        <v>2.8243536910192386</v>
      </c>
      <c r="F2842" s="98">
        <f>SUMIFS(Input!$C$115:$C$3257,Input!$A$115:$A$3257,"="&amp;'Output - County'!A2842,Input!$B$115:$B$3257,"="&amp;'Output - County'!B2842)*VLOOKUP(A2842,'Output - State'!$B$2:$G$52,5,FALSE)</f>
        <v>131.76291830998503</v>
      </c>
      <c r="G2842" s="99">
        <f>SUMIFS(Input!$D$115:$D$3257,Input!$A$115:$A$3257,"="&amp;'Output - County'!A2842,Input!$B$115:$B$3257,"="&amp;'Output - County'!B2842)*VLOOKUP(A2842,'Output - State'!$B$2:$G$52,6,FALSE)</f>
        <v>47.269323690544837</v>
      </c>
    </row>
    <row r="2843" spans="1:7" x14ac:dyDescent="0.25">
      <c r="A2843" s="88">
        <v>51</v>
      </c>
      <c r="B2843" s="88">
        <v>43</v>
      </c>
      <c r="C2843" s="97">
        <f>SUMIFS(Input!$C$115:$C$3257,Input!$A$115:$A$3257,"="&amp;'Output - County'!A2843,Input!$B$115:$B$3257,"="&amp;'Output - County'!B2843)*VLOOKUP(A2843,'Output - State'!$B$2:$G$52,2,FALSE)</f>
        <v>4.6523040431888658</v>
      </c>
      <c r="D2843" s="98">
        <f>SUMIFS(Input!$C$115:$C$3257,Input!$A$115:$A$3257,"="&amp;'Output - County'!A2843,Input!$B$115:$B$3257,"="&amp;'Output - County'!B2843)*VLOOKUP(A2843,'Output - State'!$B$2:$G$52,3,FALSE)</f>
        <v>1.4255305168238255</v>
      </c>
      <c r="E2843" s="98">
        <f>SUMIFS(Input!$C$115:$C$3257,Input!$A$115:$A$3257,"="&amp;'Output - County'!A2843,Input!$B$115:$B$3257,"="&amp;'Output - County'!B2843)*VLOOKUP(A2843,'Output - State'!$B$2:$G$52,4,FALSE)</f>
        <v>0.21595754214938898</v>
      </c>
      <c r="F2843" s="98">
        <f>SUMIFS(Input!$C$115:$C$3257,Input!$A$115:$A$3257,"="&amp;'Output - County'!A2843,Input!$B$115:$B$3257,"="&amp;'Output - County'!B2843)*VLOOKUP(A2843,'Output - State'!$B$2:$G$52,5,FALSE)</f>
        <v>10.074940711262801</v>
      </c>
      <c r="G2843" s="99">
        <f>SUMIFS(Input!$D$115:$D$3257,Input!$A$115:$A$3257,"="&amp;'Output - County'!A2843,Input!$B$115:$B$3257,"="&amp;'Output - County'!B2843)*VLOOKUP(A2843,'Output - State'!$B$2:$G$52,6,FALSE)</f>
        <v>1.9695551537727018</v>
      </c>
    </row>
    <row r="2844" spans="1:7" x14ac:dyDescent="0.25">
      <c r="A2844" s="88">
        <v>51</v>
      </c>
      <c r="B2844" s="88">
        <v>45</v>
      </c>
      <c r="C2844" s="97">
        <f>SUMIFS(Input!$C$115:$C$3257,Input!$A$115:$A$3257,"="&amp;'Output - County'!A2844,Input!$B$115:$B$3257,"="&amp;'Output - County'!B2844)*VLOOKUP(A2844,'Output - State'!$B$2:$G$52,2,FALSE)</f>
        <v>0.56050920103423796</v>
      </c>
      <c r="D2844" s="98">
        <f>SUMIFS(Input!$C$115:$C$3257,Input!$A$115:$A$3257,"="&amp;'Output - County'!A2844,Input!$B$115:$B$3257,"="&amp;'Output - County'!B2844)*VLOOKUP(A2844,'Output - State'!$B$2:$G$52,3,FALSE)</f>
        <v>0.17174779713820382</v>
      </c>
      <c r="E2844" s="98">
        <f>SUMIFS(Input!$C$115:$C$3257,Input!$A$115:$A$3257,"="&amp;'Output - County'!A2844,Input!$B$115:$B$3257,"="&amp;'Output - County'!B2844)*VLOOKUP(A2844,'Output - State'!$B$2:$G$52,4,FALSE)</f>
        <v>2.6018546570421939E-2</v>
      </c>
      <c r="F2844" s="98">
        <f>SUMIFS(Input!$C$115:$C$3257,Input!$A$115:$A$3257,"="&amp;'Output - County'!A2844,Input!$B$115:$B$3257,"="&amp;'Output - County'!B2844)*VLOOKUP(A2844,'Output - State'!$B$2:$G$52,5,FALSE)</f>
        <v>1.2138280121233209</v>
      </c>
      <c r="G2844" s="99">
        <f>SUMIFS(Input!$D$115:$D$3257,Input!$A$115:$A$3257,"="&amp;'Output - County'!A2844,Input!$B$115:$B$3257,"="&amp;'Output - County'!B2844)*VLOOKUP(A2844,'Output - State'!$B$2:$G$52,6,FALSE)</f>
        <v>0.69274008856832958</v>
      </c>
    </row>
    <row r="2845" spans="1:7" x14ac:dyDescent="0.25">
      <c r="A2845" s="88">
        <v>51</v>
      </c>
      <c r="B2845" s="88">
        <v>47</v>
      </c>
      <c r="C2845" s="97">
        <f>SUMIFS(Input!$C$115:$C$3257,Input!$A$115:$A$3257,"="&amp;'Output - County'!A2845,Input!$B$115:$B$3257,"="&amp;'Output - County'!B2845)*VLOOKUP(A2845,'Output - State'!$B$2:$G$52,2,FALSE)</f>
        <v>9.6437680036411955</v>
      </c>
      <c r="D2845" s="98">
        <f>SUMIFS(Input!$C$115:$C$3257,Input!$A$115:$A$3257,"="&amp;'Output - County'!A2845,Input!$B$115:$B$3257,"="&amp;'Output - County'!B2845)*VLOOKUP(A2845,'Output - State'!$B$2:$G$52,3,FALSE)</f>
        <v>2.9549843386711792</v>
      </c>
      <c r="E2845" s="98">
        <f>SUMIFS(Input!$C$115:$C$3257,Input!$A$115:$A$3257,"="&amp;'Output - County'!A2845,Input!$B$115:$B$3257,"="&amp;'Output - County'!B2845)*VLOOKUP(A2845,'Output - State'!$B$2:$G$52,4,FALSE)</f>
        <v>0.44765871185361061</v>
      </c>
      <c r="F2845" s="98">
        <f>SUMIFS(Input!$C$115:$C$3257,Input!$A$115:$A$3257,"="&amp;'Output - County'!A2845,Input!$B$115:$B$3257,"="&amp;'Output - County'!B2845)*VLOOKUP(A2845,'Output - State'!$B$2:$G$52,5,FALSE)</f>
        <v>20.884359656610243</v>
      </c>
      <c r="G2845" s="99">
        <f>SUMIFS(Input!$D$115:$D$3257,Input!$A$115:$A$3257,"="&amp;'Output - County'!A2845,Input!$B$115:$B$3257,"="&amp;'Output - County'!B2845)*VLOOKUP(A2845,'Output - State'!$B$2:$G$52,6,FALSE)</f>
        <v>7.0360659976155828</v>
      </c>
    </row>
    <row r="2846" spans="1:7" x14ac:dyDescent="0.25">
      <c r="A2846" s="88">
        <v>51</v>
      </c>
      <c r="B2846" s="88">
        <v>49</v>
      </c>
      <c r="C2846" s="97">
        <f>SUMIFS(Input!$C$115:$C$3257,Input!$A$115:$A$3257,"="&amp;'Output - County'!A2846,Input!$B$115:$B$3257,"="&amp;'Output - County'!B2846)*VLOOKUP(A2846,'Output - State'!$B$2:$G$52,2,FALSE)</f>
        <v>1.3493612494929275</v>
      </c>
      <c r="D2846" s="98">
        <f>SUMIFS(Input!$C$115:$C$3257,Input!$A$115:$A$3257,"="&amp;'Output - County'!A2846,Input!$B$115:$B$3257,"="&amp;'Output - County'!B2846)*VLOOKUP(A2846,'Output - State'!$B$2:$G$52,3,FALSE)</f>
        <v>0.41346301134119723</v>
      </c>
      <c r="E2846" s="98">
        <f>SUMIFS(Input!$C$115:$C$3257,Input!$A$115:$A$3257,"="&amp;'Output - County'!A2846,Input!$B$115:$B$3257,"="&amp;'Output - County'!B2846)*VLOOKUP(A2846,'Output - State'!$B$2:$G$52,4,FALSE)</f>
        <v>6.2636649756102614E-2</v>
      </c>
      <c r="F2846" s="98">
        <f>SUMIFS(Input!$C$115:$C$3257,Input!$A$115:$A$3257,"="&amp;'Output - County'!A2846,Input!$B$115:$B$3257,"="&amp;'Output - County'!B2846)*VLOOKUP(A2846,'Output - State'!$B$2:$G$52,5,FALSE)</f>
        <v>2.9221509300579567</v>
      </c>
      <c r="G2846" s="99">
        <f>SUMIFS(Input!$D$115:$D$3257,Input!$A$115:$A$3257,"="&amp;'Output - County'!A2846,Input!$B$115:$B$3257,"="&amp;'Output - County'!B2846)*VLOOKUP(A2846,'Output - State'!$B$2:$G$52,6,FALSE)</f>
        <v>1.3392975045654372</v>
      </c>
    </row>
    <row r="2847" spans="1:7" x14ac:dyDescent="0.25">
      <c r="A2847" s="88">
        <v>51</v>
      </c>
      <c r="B2847" s="88">
        <v>51</v>
      </c>
      <c r="C2847" s="97">
        <f>SUMIFS(Input!$C$115:$C$3257,Input!$A$115:$A$3257,"="&amp;'Output - County'!A2847,Input!$B$115:$B$3257,"="&amp;'Output - County'!B2847)*VLOOKUP(A2847,'Output - State'!$B$2:$G$52,2,FALSE)</f>
        <v>1.3648010144239315</v>
      </c>
      <c r="D2847" s="98">
        <f>SUMIFS(Input!$C$115:$C$3257,Input!$A$115:$A$3257,"="&amp;'Output - County'!A2847,Input!$B$115:$B$3257,"="&amp;'Output - County'!B2847)*VLOOKUP(A2847,'Output - State'!$B$2:$G$52,3,FALSE)</f>
        <v>0.41819396956692967</v>
      </c>
      <c r="E2847" s="98">
        <f>SUMIFS(Input!$C$115:$C$3257,Input!$A$115:$A$3257,"="&amp;'Output - County'!A2847,Input!$B$115:$B$3257,"="&amp;'Output - County'!B2847)*VLOOKUP(A2847,'Output - State'!$B$2:$G$52,4,FALSE)</f>
        <v>6.3353355640952402E-2</v>
      </c>
      <c r="F2847" s="98">
        <f>SUMIFS(Input!$C$115:$C$3257,Input!$A$115:$A$3257,"="&amp;'Output - County'!A2847,Input!$B$115:$B$3257,"="&amp;'Output - County'!B2847)*VLOOKUP(A2847,'Output - State'!$B$2:$G$52,5,FALSE)</f>
        <v>2.9555869898751217</v>
      </c>
      <c r="G2847" s="99">
        <f>SUMIFS(Input!$D$115:$D$3257,Input!$A$115:$A$3257,"="&amp;'Output - County'!A2847,Input!$B$115:$B$3257,"="&amp;'Output - County'!B2847)*VLOOKUP(A2847,'Output - State'!$B$2:$G$52,6,FALSE)</f>
        <v>1.9695551537727018</v>
      </c>
    </row>
    <row r="2848" spans="1:7" x14ac:dyDescent="0.25">
      <c r="A2848" s="88">
        <v>51</v>
      </c>
      <c r="B2848" s="88">
        <v>53</v>
      </c>
      <c r="C2848" s="97">
        <f>SUMIFS(Input!$C$115:$C$3257,Input!$A$115:$A$3257,"="&amp;'Output - County'!A2848,Input!$B$115:$B$3257,"="&amp;'Output - County'!B2848)*VLOOKUP(A2848,'Output - State'!$B$2:$G$52,2,FALSE)</f>
        <v>8.2377583781321047</v>
      </c>
      <c r="D2848" s="98">
        <f>SUMIFS(Input!$C$115:$C$3257,Input!$A$115:$A$3257,"="&amp;'Output - County'!A2848,Input!$B$115:$B$3257,"="&amp;'Output - County'!B2848)*VLOOKUP(A2848,'Output - State'!$B$2:$G$52,3,FALSE)</f>
        <v>2.5241634788338638</v>
      </c>
      <c r="E2848" s="98">
        <f>SUMIFS(Input!$C$115:$C$3257,Input!$A$115:$A$3257,"="&amp;'Output - County'!A2848,Input!$B$115:$B$3257,"="&amp;'Output - County'!B2848)*VLOOKUP(A2848,'Output - State'!$B$2:$G$52,4,FALSE)</f>
        <v>0.38239247384668951</v>
      </c>
      <c r="F2848" s="98">
        <f>SUMIFS(Input!$C$115:$C$3257,Input!$A$115:$A$3257,"="&amp;'Output - County'!A2848,Input!$B$115:$B$3257,"="&amp;'Output - County'!B2848)*VLOOKUP(A2848,'Output - State'!$B$2:$G$52,5,FALSE)</f>
        <v>17.839532086235167</v>
      </c>
      <c r="G2848" s="99">
        <f>SUMIFS(Input!$D$115:$D$3257,Input!$A$115:$A$3257,"="&amp;'Output - County'!A2848,Input!$B$115:$B$3257,"="&amp;'Output - County'!B2848)*VLOOKUP(A2848,'Output - State'!$B$2:$G$52,6,FALSE)</f>
        <v>3.8847777515792603</v>
      </c>
    </row>
    <row r="2849" spans="1:7" x14ac:dyDescent="0.25">
      <c r="A2849" s="88">
        <v>51</v>
      </c>
      <c r="B2849" s="88">
        <v>57</v>
      </c>
      <c r="C2849" s="97">
        <f>SUMIFS(Input!$C$115:$C$3257,Input!$A$115:$A$3257,"="&amp;'Output - County'!A2849,Input!$B$115:$B$3257,"="&amp;'Output - County'!B2849)*VLOOKUP(A2849,'Output - State'!$B$2:$G$52,2,FALSE)</f>
        <v>2.3479988112252603</v>
      </c>
      <c r="D2849" s="98">
        <f>SUMIFS(Input!$C$115:$C$3257,Input!$A$115:$A$3257,"="&amp;'Output - County'!A2849,Input!$B$115:$B$3257,"="&amp;'Output - County'!B2849)*VLOOKUP(A2849,'Output - State'!$B$2:$G$52,3,FALSE)</f>
        <v>0.71945941791315371</v>
      </c>
      <c r="E2849" s="98">
        <f>SUMIFS(Input!$C$115:$C$3257,Input!$A$115:$A$3257,"="&amp;'Output - County'!A2849,Input!$B$115:$B$3257,"="&amp;'Output - County'!B2849)*VLOOKUP(A2849,'Output - State'!$B$2:$G$52,4,FALSE)</f>
        <v>0.10899288772501005</v>
      </c>
      <c r="F2849" s="98">
        <f>SUMIFS(Input!$C$115:$C$3257,Input!$A$115:$A$3257,"="&amp;'Output - County'!A2849,Input!$B$115:$B$3257,"="&amp;'Output - County'!B2849)*VLOOKUP(A2849,'Output - State'!$B$2:$G$52,5,FALSE)</f>
        <v>5.0847813456739059</v>
      </c>
      <c r="G2849" s="99">
        <f>SUMIFS(Input!$D$115:$D$3257,Input!$A$115:$A$3257,"="&amp;'Output - County'!A2849,Input!$B$115:$B$3257,"="&amp;'Output - County'!B2849)*VLOOKUP(A2849,'Output - State'!$B$2:$G$52,6,FALSE)</f>
        <v>1.4805621500774102</v>
      </c>
    </row>
    <row r="2850" spans="1:7" x14ac:dyDescent="0.25">
      <c r="A2850" s="88">
        <v>51</v>
      </c>
      <c r="B2850" s="88">
        <v>59</v>
      </c>
      <c r="C2850" s="97">
        <f>SUMIFS(Input!$C$115:$C$3257,Input!$A$115:$A$3257,"="&amp;'Output - County'!A2850,Input!$B$115:$B$3257,"="&amp;'Output - County'!B2850)*VLOOKUP(A2850,'Output - State'!$B$2:$G$52,2,FALSE)</f>
        <v>186.03180396302213</v>
      </c>
      <c r="D2850" s="98">
        <f>SUMIFS(Input!$C$115:$C$3257,Input!$A$115:$A$3257,"="&amp;'Output - County'!A2850,Input!$B$115:$B$3257,"="&amp;'Output - County'!B2850)*VLOOKUP(A2850,'Output - State'!$B$2:$G$52,3,FALSE)</f>
        <v>57.002726216341927</v>
      </c>
      <c r="E2850" s="98">
        <f>SUMIFS(Input!$C$115:$C$3257,Input!$A$115:$A$3257,"="&amp;'Output - County'!A2850,Input!$B$115:$B$3257,"="&amp;'Output - County'!B2850)*VLOOKUP(A2850,'Output - State'!$B$2:$G$52,4,FALSE)</f>
        <v>8.6354999098325838</v>
      </c>
      <c r="F2850" s="98">
        <f>SUMIFS(Input!$C$115:$C$3257,Input!$A$115:$A$3257,"="&amp;'Output - County'!A2850,Input!$B$115:$B$3257,"="&amp;'Output - County'!B2850)*VLOOKUP(A2850,'Output - State'!$B$2:$G$52,5,FALSE)</f>
        <v>402.86691882932558</v>
      </c>
      <c r="G2850" s="99">
        <f>SUMIFS(Input!$D$115:$D$3257,Input!$A$115:$A$3257,"="&amp;'Output - County'!A2850,Input!$B$115:$B$3257,"="&amp;'Output - County'!B2850)*VLOOKUP(A2850,'Output - State'!$B$2:$G$52,6,FALSE)</f>
        <v>156.20609840266255</v>
      </c>
    </row>
    <row r="2851" spans="1:7" x14ac:dyDescent="0.25">
      <c r="A2851" s="88">
        <v>51</v>
      </c>
      <c r="B2851" s="88">
        <v>61</v>
      </c>
      <c r="C2851" s="97">
        <f>SUMIFS(Input!$C$115:$C$3257,Input!$A$115:$A$3257,"="&amp;'Output - County'!A2851,Input!$B$115:$B$3257,"="&amp;'Output - County'!B2851)*VLOOKUP(A2851,'Output - State'!$B$2:$G$52,2,FALSE)</f>
        <v>25.424253975913114</v>
      </c>
      <c r="D2851" s="98">
        <f>SUMIFS(Input!$C$115:$C$3257,Input!$A$115:$A$3257,"="&amp;'Output - County'!A2851,Input!$B$115:$B$3257,"="&amp;'Output - County'!B2851)*VLOOKUP(A2851,'Output - State'!$B$2:$G$52,3,FALSE)</f>
        <v>7.7903442194851173</v>
      </c>
      <c r="E2851" s="98">
        <f>SUMIFS(Input!$C$115:$C$3257,Input!$A$115:$A$3257,"="&amp;'Output - County'!A2851,Input!$B$115:$B$3257,"="&amp;'Output - County'!B2851)*VLOOKUP(A2851,'Output - State'!$B$2:$G$52,4,FALSE)</f>
        <v>1.1801806908253116</v>
      </c>
      <c r="F2851" s="98">
        <f>SUMIFS(Input!$C$115:$C$3257,Input!$A$115:$A$3257,"="&amp;'Output - County'!A2851,Input!$B$115:$B$3257,"="&amp;'Output - County'!B2851)*VLOOKUP(A2851,'Output - State'!$B$2:$G$52,5,FALSE)</f>
        <v>55.058278448164081</v>
      </c>
      <c r="G2851" s="99">
        <f>SUMIFS(Input!$D$115:$D$3257,Input!$A$115:$A$3257,"="&amp;'Output - County'!A2851,Input!$B$115:$B$3257,"="&amp;'Output - County'!B2851)*VLOOKUP(A2851,'Output - State'!$B$2:$G$52,6,FALSE)</f>
        <v>9.5896961280243271</v>
      </c>
    </row>
    <row r="2852" spans="1:7" x14ac:dyDescent="0.25">
      <c r="A2852" s="88">
        <v>51</v>
      </c>
      <c r="B2852" s="88">
        <v>63</v>
      </c>
      <c r="C2852" s="97">
        <f>SUMIFS(Input!$C$115:$C$3257,Input!$A$115:$A$3257,"="&amp;'Output - County'!A2852,Input!$B$115:$B$3257,"="&amp;'Output - County'!B2852)*VLOOKUP(A2852,'Output - State'!$B$2:$G$52,2,FALSE)</f>
        <v>2.0915503854574009</v>
      </c>
      <c r="D2852" s="98">
        <f>SUMIFS(Input!$C$115:$C$3257,Input!$A$115:$A$3257,"="&amp;'Output - County'!A2852,Input!$B$115:$B$3257,"="&amp;'Output - County'!B2852)*VLOOKUP(A2852,'Output - State'!$B$2:$G$52,3,FALSE)</f>
        <v>0.64088006163511169</v>
      </c>
      <c r="E2852" s="98">
        <f>SUMIFS(Input!$C$115:$C$3257,Input!$A$115:$A$3257,"="&amp;'Output - County'!A2852,Input!$B$115:$B$3257,"="&amp;'Output - County'!B2852)*VLOOKUP(A2852,'Output - State'!$B$2:$G$52,4,FALSE)</f>
        <v>9.7088684731659228E-2</v>
      </c>
      <c r="F2852" s="98">
        <f>SUMIFS(Input!$C$115:$C$3257,Input!$A$115:$A$3257,"="&amp;'Output - County'!A2852,Input!$B$115:$B$3257,"="&amp;'Output - County'!B2852)*VLOOKUP(A2852,'Output - State'!$B$2:$G$52,5,FALSE)</f>
        <v>4.5294215366153185</v>
      </c>
      <c r="G2852" s="99">
        <f>SUMIFS(Input!$D$115:$D$3257,Input!$A$115:$A$3257,"="&amp;'Output - County'!A2852,Input!$B$115:$B$3257,"="&amp;'Output - County'!B2852)*VLOOKUP(A2852,'Output - State'!$B$2:$G$52,6,FALSE)</f>
        <v>2.1461359606626682</v>
      </c>
    </row>
    <row r="2853" spans="1:7" x14ac:dyDescent="0.25">
      <c r="A2853" s="88">
        <v>51</v>
      </c>
      <c r="B2853" s="88">
        <v>65</v>
      </c>
      <c r="C2853" s="97">
        <f>SUMIFS(Input!$C$115:$C$3257,Input!$A$115:$A$3257,"="&amp;'Output - County'!A2853,Input!$B$115:$B$3257,"="&amp;'Output - County'!B2853)*VLOOKUP(A2853,'Output - State'!$B$2:$G$52,2,FALSE)</f>
        <v>2.9159426277640557</v>
      </c>
      <c r="D2853" s="98">
        <f>SUMIFS(Input!$C$115:$C$3257,Input!$A$115:$A$3257,"="&amp;'Output - County'!A2853,Input!$B$115:$B$3257,"="&amp;'Output - County'!B2853)*VLOOKUP(A2853,'Output - State'!$B$2:$G$52,3,FALSE)</f>
        <v>0.89348528440886532</v>
      </c>
      <c r="E2853" s="98">
        <f>SUMIFS(Input!$C$115:$C$3257,Input!$A$115:$A$3257,"="&amp;'Output - County'!A2853,Input!$B$115:$B$3257,"="&amp;'Output - County'!B2853)*VLOOKUP(A2853,'Output - State'!$B$2:$G$52,4,FALSE)</f>
        <v>0.1353565452933988</v>
      </c>
      <c r="F2853" s="98">
        <f>SUMIFS(Input!$C$115:$C$3257,Input!$A$115:$A$3257,"="&amp;'Output - County'!A2853,Input!$B$115:$B$3257,"="&amp;'Output - County'!B2853)*VLOOKUP(A2853,'Output - State'!$B$2:$G$52,5,FALSE)</f>
        <v>6.3147096190278127</v>
      </c>
      <c r="G2853" s="99">
        <f>SUMIFS(Input!$D$115:$D$3257,Input!$A$115:$A$3257,"="&amp;'Output - County'!A2853,Input!$B$115:$B$3257,"="&amp;'Output - County'!B2853)*VLOOKUP(A2853,'Output - State'!$B$2:$G$52,6,FALSE)</f>
        <v>3.6538643887231501</v>
      </c>
    </row>
    <row r="2854" spans="1:7" x14ac:dyDescent="0.25">
      <c r="A2854" s="88">
        <v>51</v>
      </c>
      <c r="B2854" s="88">
        <v>67</v>
      </c>
      <c r="C2854" s="97">
        <f>SUMIFS(Input!$C$115:$C$3257,Input!$A$115:$A$3257,"="&amp;'Output - County'!A2854,Input!$B$115:$B$3257,"="&amp;'Output - County'!B2854)*VLOOKUP(A2854,'Output - State'!$B$2:$G$52,2,FALSE)</f>
        <v>8.4324679017251363</v>
      </c>
      <c r="D2854" s="98">
        <f>SUMIFS(Input!$C$115:$C$3257,Input!$A$115:$A$3257,"="&amp;'Output - County'!A2854,Input!$B$115:$B$3257,"="&amp;'Output - County'!B2854)*VLOOKUP(A2854,'Output - State'!$B$2:$G$52,3,FALSE)</f>
        <v>2.583825178761765</v>
      </c>
      <c r="E2854" s="98">
        <f>SUMIFS(Input!$C$115:$C$3257,Input!$A$115:$A$3257,"="&amp;'Output - County'!A2854,Input!$B$115:$B$3257,"="&amp;'Output - County'!B2854)*VLOOKUP(A2854,'Output - State'!$B$2:$G$52,4,FALSE)</f>
        <v>0.39143078900362571</v>
      </c>
      <c r="F2854" s="98">
        <f>SUMIFS(Input!$C$115:$C$3257,Input!$A$115:$A$3257,"="&amp;'Output - County'!A2854,Input!$B$115:$B$3257,"="&amp;'Output - County'!B2854)*VLOOKUP(A2854,'Output - State'!$B$2:$G$52,5,FALSE)</f>
        <v>18.261191308828323</v>
      </c>
      <c r="G2854" s="99">
        <f>SUMIFS(Input!$D$115:$D$3257,Input!$A$115:$A$3257,"="&amp;'Output - County'!A2854,Input!$B$115:$B$3257,"="&amp;'Output - County'!B2854)*VLOOKUP(A2854,'Output - State'!$B$2:$G$52,6,FALSE)</f>
        <v>7.6337241132431606</v>
      </c>
    </row>
    <row r="2855" spans="1:7" x14ac:dyDescent="0.25">
      <c r="A2855" s="88">
        <v>51</v>
      </c>
      <c r="B2855" s="88">
        <v>69</v>
      </c>
      <c r="C2855" s="97">
        <f>SUMIFS(Input!$C$115:$C$3257,Input!$A$115:$A$3257,"="&amp;'Output - County'!A2855,Input!$B$115:$B$3257,"="&amp;'Output - County'!B2855)*VLOOKUP(A2855,'Output - State'!$B$2:$G$52,2,FALSE)</f>
        <v>21.080762540198361</v>
      </c>
      <c r="D2855" s="98">
        <f>SUMIFS(Input!$C$115:$C$3257,Input!$A$115:$A$3257,"="&amp;'Output - County'!A2855,Input!$B$115:$B$3257,"="&amp;'Output - County'!B2855)*VLOOKUP(A2855,'Output - State'!$B$2:$G$52,3,FALSE)</f>
        <v>6.4594381708490021</v>
      </c>
      <c r="E2855" s="98">
        <f>SUMIFS(Input!$C$115:$C$3257,Input!$A$115:$A$3257,"="&amp;'Output - County'!A2855,Input!$B$115:$B$3257,"="&amp;'Output - County'!B2855)*VLOOKUP(A2855,'Output - State'!$B$2:$G$52,4,FALSE)</f>
        <v>0.97855806984095062</v>
      </c>
      <c r="F2855" s="98">
        <f>SUMIFS(Input!$C$115:$C$3257,Input!$A$115:$A$3257,"="&amp;'Output - County'!A2855,Input!$B$115:$B$3257,"="&amp;'Output - County'!B2855)*VLOOKUP(A2855,'Output - State'!$B$2:$G$52,5,FALSE)</f>
        <v>45.652096416968021</v>
      </c>
      <c r="G2855" s="99">
        <f>SUMIFS(Input!$D$115:$D$3257,Input!$A$115:$A$3257,"="&amp;'Output - County'!A2855,Input!$B$115:$B$3257,"="&amp;'Output - County'!B2855)*VLOOKUP(A2855,'Output - State'!$B$2:$G$52,6,FALSE)</f>
        <v>11.980328590534642</v>
      </c>
    </row>
    <row r="2856" spans="1:7" x14ac:dyDescent="0.25">
      <c r="A2856" s="88">
        <v>51</v>
      </c>
      <c r="B2856" s="88">
        <v>71</v>
      </c>
      <c r="C2856" s="97">
        <f>SUMIFS(Input!$C$115:$C$3257,Input!$A$115:$A$3257,"="&amp;'Output - County'!A2856,Input!$B$115:$B$3257,"="&amp;'Output - County'!B2856)*VLOOKUP(A2856,'Output - State'!$B$2:$G$52,2,FALSE)</f>
        <v>3.4724799754745583</v>
      </c>
      <c r="D2856" s="98">
        <f>SUMIFS(Input!$C$115:$C$3257,Input!$A$115:$A$3257,"="&amp;'Output - County'!A2856,Input!$B$115:$B$3257,"="&amp;'Output - County'!B2856)*VLOOKUP(A2856,'Output - State'!$B$2:$G$52,3,FALSE)</f>
        <v>1.0640160505730032</v>
      </c>
      <c r="E2856" s="98">
        <f>SUMIFS(Input!$C$115:$C$3257,Input!$A$115:$A$3257,"="&amp;'Output - County'!A2856,Input!$B$115:$B$3257,"="&amp;'Output - County'!B2856)*VLOOKUP(A2856,'Output - State'!$B$2:$G$52,4,FALSE)</f>
        <v>0.16119072049135474</v>
      </c>
      <c r="F2856" s="98">
        <f>SUMIFS(Input!$C$115:$C$3257,Input!$A$115:$A$3257,"="&amp;'Output - County'!A2856,Input!$B$115:$B$3257,"="&amp;'Output - County'!B2856)*VLOOKUP(A2856,'Output - State'!$B$2:$G$52,5,FALSE)</f>
        <v>7.5199362615117069</v>
      </c>
      <c r="G2856" s="99">
        <f>SUMIFS(Input!$D$115:$D$3257,Input!$A$115:$A$3257,"="&amp;'Output - County'!A2856,Input!$B$115:$B$3257,"="&amp;'Output - County'!B2856)*VLOOKUP(A2856,'Output - State'!$B$2:$G$52,6,FALSE)</f>
        <v>2.2819673505780269</v>
      </c>
    </row>
    <row r="2857" spans="1:7" x14ac:dyDescent="0.25">
      <c r="A2857" s="88">
        <v>51</v>
      </c>
      <c r="B2857" s="88">
        <v>73</v>
      </c>
      <c r="C2857" s="97">
        <f>SUMIFS(Input!$C$115:$C$3257,Input!$A$115:$A$3257,"="&amp;'Output - County'!A2857,Input!$B$115:$B$3257,"="&amp;'Output - County'!B2857)*VLOOKUP(A2857,'Output - State'!$B$2:$G$52,2,FALSE)</f>
        <v>5.9150333314544188</v>
      </c>
      <c r="D2857" s="98">
        <f>SUMIFS(Input!$C$115:$C$3257,Input!$A$115:$A$3257,"="&amp;'Output - County'!A2857,Input!$B$115:$B$3257,"="&amp;'Output - County'!B2857)*VLOOKUP(A2857,'Output - State'!$B$2:$G$52,3,FALSE)</f>
        <v>1.8124482930910759</v>
      </c>
      <c r="E2857" s="98">
        <f>SUMIFS(Input!$C$115:$C$3257,Input!$A$115:$A$3257,"="&amp;'Output - County'!A2857,Input!$B$115:$B$3257,"="&amp;'Output - County'!B2857)*VLOOKUP(A2857,'Output - State'!$B$2:$G$52,4,FALSE)</f>
        <v>0.27457278117124789</v>
      </c>
      <c r="F2857" s="98">
        <f>SUMIFS(Input!$C$115:$C$3257,Input!$A$115:$A$3257,"="&amp;'Output - County'!A2857,Input!$B$115:$B$3257,"="&amp;'Output - County'!B2857)*VLOOKUP(A2857,'Output - State'!$B$2:$G$52,5,FALSE)</f>
        <v>12.809483121979884</v>
      </c>
      <c r="G2857" s="99">
        <f>SUMIFS(Input!$D$115:$D$3257,Input!$A$115:$A$3257,"="&amp;'Output - County'!A2857,Input!$B$115:$B$3257,"="&amp;'Output - County'!B2857)*VLOOKUP(A2857,'Output - State'!$B$2:$G$52,6,FALSE)</f>
        <v>5.066510843842881</v>
      </c>
    </row>
    <row r="2858" spans="1:7" x14ac:dyDescent="0.25">
      <c r="A2858" s="88">
        <v>51</v>
      </c>
      <c r="B2858" s="88">
        <v>75</v>
      </c>
      <c r="C2858" s="97">
        <f>SUMIFS(Input!$C$115:$C$3257,Input!$A$115:$A$3257,"="&amp;'Output - County'!A2858,Input!$B$115:$B$3257,"="&amp;'Output - County'!B2858)*VLOOKUP(A2858,'Output - State'!$B$2:$G$52,2,FALSE)</f>
        <v>11.532377661508296</v>
      </c>
      <c r="D2858" s="98">
        <f>SUMIFS(Input!$C$115:$C$3257,Input!$A$115:$A$3257,"="&amp;'Output - County'!A2858,Input!$B$115:$B$3257,"="&amp;'Output - County'!B2858)*VLOOKUP(A2858,'Output - State'!$B$2:$G$52,3,FALSE)</f>
        <v>3.5336805452528051</v>
      </c>
      <c r="E2858" s="98">
        <f>SUMIFS(Input!$C$115:$C$3257,Input!$A$115:$A$3257,"="&amp;'Output - County'!A2858,Input!$B$115:$B$3257,"="&amp;'Output - County'!B2858)*VLOOKUP(A2858,'Output - State'!$B$2:$G$52,4,FALSE)</f>
        <v>0.53532699320544919</v>
      </c>
      <c r="F2858" s="98">
        <f>SUMIFS(Input!$C$115:$C$3257,Input!$A$115:$A$3257,"="&amp;'Output - County'!A2858,Input!$B$115:$B$3257,"="&amp;'Output - County'!B2858)*VLOOKUP(A2858,'Output - State'!$B$2:$G$52,5,FALSE)</f>
        <v>24.974296632588086</v>
      </c>
      <c r="G2858" s="99">
        <f>SUMIFS(Input!$D$115:$D$3257,Input!$A$115:$A$3257,"="&amp;'Output - County'!A2858,Input!$B$115:$B$3257,"="&amp;'Output - County'!B2858)*VLOOKUP(A2858,'Output - State'!$B$2:$G$52,6,FALSE)</f>
        <v>3.1512882460363225</v>
      </c>
    </row>
    <row r="2859" spans="1:7" x14ac:dyDescent="0.25">
      <c r="A2859" s="88">
        <v>51</v>
      </c>
      <c r="B2859" s="88">
        <v>77</v>
      </c>
      <c r="C2859" s="97">
        <f>SUMIFS(Input!$C$115:$C$3257,Input!$A$115:$A$3257,"="&amp;'Output - County'!A2859,Input!$B$115:$B$3257,"="&amp;'Output - County'!B2859)*VLOOKUP(A2859,'Output - State'!$B$2:$G$52,2,FALSE)</f>
        <v>1.6957208874023706</v>
      </c>
      <c r="D2859" s="98">
        <f>SUMIFS(Input!$C$115:$C$3257,Input!$A$115:$A$3257,"="&amp;'Output - County'!A2859,Input!$B$115:$B$3257,"="&amp;'Output - County'!B2859)*VLOOKUP(A2859,'Output - State'!$B$2:$G$52,3,FALSE)</f>
        <v>0.51959241067803186</v>
      </c>
      <c r="E2859" s="98">
        <f>SUMIFS(Input!$C$115:$C$3257,Input!$A$115:$A$3257,"="&amp;'Output - County'!A2859,Input!$B$115:$B$3257,"="&amp;'Output - County'!B2859)*VLOOKUP(A2859,'Output - State'!$B$2:$G$52,4,FALSE)</f>
        <v>7.8714484611325353E-2</v>
      </c>
      <c r="F2859" s="98">
        <f>SUMIFS(Input!$C$115:$C$3257,Input!$A$115:$A$3257,"="&amp;'Output - County'!A2859,Input!$B$115:$B$3257,"="&amp;'Output - County'!B2859)*VLOOKUP(A2859,'Output - State'!$B$2:$G$52,5,FALSE)</f>
        <v>3.6722207415572541</v>
      </c>
      <c r="G2859" s="99">
        <f>SUMIFS(Input!$D$115:$D$3257,Input!$A$115:$A$3257,"="&amp;'Output - County'!A2859,Input!$B$115:$B$3257,"="&amp;'Output - County'!B2859)*VLOOKUP(A2859,'Output - State'!$B$2:$G$52,6,FALSE)</f>
        <v>2.1189696826795963</v>
      </c>
    </row>
    <row r="2860" spans="1:7" x14ac:dyDescent="0.25">
      <c r="A2860" s="88">
        <v>51</v>
      </c>
      <c r="B2860" s="88">
        <v>79</v>
      </c>
      <c r="C2860" s="97">
        <f>SUMIFS(Input!$C$115:$C$3257,Input!$A$115:$A$3257,"="&amp;'Output - County'!A2860,Input!$B$115:$B$3257,"="&amp;'Output - County'!B2860)*VLOOKUP(A2860,'Output - State'!$B$2:$G$52,2,FALSE)</f>
        <v>2.4530091590814909</v>
      </c>
      <c r="D2860" s="98">
        <f>SUMIFS(Input!$C$115:$C$3257,Input!$A$115:$A$3257,"="&amp;'Output - County'!A2860,Input!$B$115:$B$3257,"="&amp;'Output - County'!B2860)*VLOOKUP(A2860,'Output - State'!$B$2:$G$52,3,FALSE)</f>
        <v>0.7516360456790242</v>
      </c>
      <c r="E2860" s="98">
        <f>SUMIFS(Input!$C$115:$C$3257,Input!$A$115:$A$3257,"="&amp;'Output - County'!A2860,Input!$B$115:$B$3257,"="&amp;'Output - County'!B2860)*VLOOKUP(A2860,'Output - State'!$B$2:$G$52,4,FALSE)</f>
        <v>0.11386741364007465</v>
      </c>
      <c r="F2860" s="98">
        <f>SUMIFS(Input!$C$115:$C$3257,Input!$A$115:$A$3257,"="&amp;'Output - County'!A2860,Input!$B$115:$B$3257,"="&amp;'Output - County'!B2860)*VLOOKUP(A2860,'Output - State'!$B$2:$G$52,5,FALSE)</f>
        <v>5.3121897478116633</v>
      </c>
      <c r="G2860" s="99">
        <f>SUMIFS(Input!$D$115:$D$3257,Input!$A$115:$A$3257,"="&amp;'Output - County'!A2860,Input!$B$115:$B$3257,"="&amp;'Output - County'!B2860)*VLOOKUP(A2860,'Output - State'!$B$2:$G$52,6,FALSE)</f>
        <v>2.6758783813325673</v>
      </c>
    </row>
    <row r="2861" spans="1:7" x14ac:dyDescent="0.25">
      <c r="A2861" s="88">
        <v>51</v>
      </c>
      <c r="B2861" s="88">
        <v>81</v>
      </c>
      <c r="C2861" s="97">
        <f>SUMIFS(Input!$C$115:$C$3257,Input!$A$115:$A$3257,"="&amp;'Output - County'!A2861,Input!$B$115:$B$3257,"="&amp;'Output - County'!B2861)*VLOOKUP(A2861,'Output - State'!$B$2:$G$52,2,FALSE)</f>
        <v>5.5591566990052188</v>
      </c>
      <c r="D2861" s="98">
        <f>SUMIFS(Input!$C$115:$C$3257,Input!$A$115:$A$3257,"="&amp;'Output - County'!A2861,Input!$B$115:$B$3257,"="&amp;'Output - County'!B2861)*VLOOKUP(A2861,'Output - State'!$B$2:$G$52,3,FALSE)</f>
        <v>1.7034027545640844</v>
      </c>
      <c r="E2861" s="98">
        <f>SUMIFS(Input!$C$115:$C$3257,Input!$A$115:$A$3257,"="&amp;'Output - County'!A2861,Input!$B$115:$B$3257,"="&amp;'Output - County'!B2861)*VLOOKUP(A2861,'Output - State'!$B$2:$G$52,4,FALSE)</f>
        <v>0.25805317236265168</v>
      </c>
      <c r="F2861" s="98">
        <f>SUMIFS(Input!$C$115:$C$3257,Input!$A$115:$A$3257,"="&amp;'Output - County'!A2861,Input!$B$115:$B$3257,"="&amp;'Output - County'!B2861)*VLOOKUP(A2861,'Output - State'!$B$2:$G$52,5,FALSE)</f>
        <v>12.038803489014205</v>
      </c>
      <c r="G2861" s="99">
        <f>SUMIFS(Input!$D$115:$D$3257,Input!$A$115:$A$3257,"="&amp;'Output - County'!A2861,Input!$B$115:$B$3257,"="&amp;'Output - County'!B2861)*VLOOKUP(A2861,'Output - State'!$B$2:$G$52,6,FALSE)</f>
        <v>1.5484778450350896</v>
      </c>
    </row>
    <row r="2862" spans="1:7" x14ac:dyDescent="0.25">
      <c r="A2862" s="88">
        <v>51</v>
      </c>
      <c r="B2862" s="88">
        <v>83</v>
      </c>
      <c r="C2862" s="97">
        <f>SUMIFS(Input!$C$115:$C$3257,Input!$A$115:$A$3257,"="&amp;'Output - County'!A2862,Input!$B$115:$B$3257,"="&amp;'Output - County'!B2862)*VLOOKUP(A2862,'Output - State'!$B$2:$G$52,2,FALSE)</f>
        <v>5.8111465673039167</v>
      </c>
      <c r="D2862" s="98">
        <f>SUMIFS(Input!$C$115:$C$3257,Input!$A$115:$A$3257,"="&amp;'Output - County'!A2862,Input!$B$115:$B$3257,"="&amp;'Output - County'!B2862)*VLOOKUP(A2862,'Output - State'!$B$2:$G$52,3,FALSE)</f>
        <v>1.780615946964121</v>
      </c>
      <c r="E2862" s="98">
        <f>SUMIFS(Input!$C$115:$C$3257,Input!$A$115:$A$3257,"="&amp;'Output - County'!A2862,Input!$B$115:$B$3257,"="&amp;'Output - County'!B2862)*VLOOKUP(A2862,'Output - State'!$B$2:$G$52,4,FALSE)</f>
        <v>0.26975041142939032</v>
      </c>
      <c r="F2862" s="98">
        <f>SUMIFS(Input!$C$115:$C$3257,Input!$A$115:$A$3257,"="&amp;'Output - County'!A2862,Input!$B$115:$B$3257,"="&amp;'Output - County'!B2862)*VLOOKUP(A2862,'Output - State'!$B$2:$G$52,5,FALSE)</f>
        <v>12.584507931238948</v>
      </c>
      <c r="G2862" s="99">
        <f>SUMIFS(Input!$D$115:$D$3257,Input!$A$115:$A$3257,"="&amp;'Output - County'!A2862,Input!$B$115:$B$3257,"="&amp;'Output - County'!B2862)*VLOOKUP(A2862,'Output - State'!$B$2:$G$52,6,FALSE)</f>
        <v>4.6454335351052691</v>
      </c>
    </row>
    <row r="2863" spans="1:7" x14ac:dyDescent="0.25">
      <c r="A2863" s="88">
        <v>51</v>
      </c>
      <c r="B2863" s="88">
        <v>85</v>
      </c>
      <c r="C2863" s="97">
        <f>SUMIFS(Input!$C$115:$C$3257,Input!$A$115:$A$3257,"="&amp;'Output - County'!A2863,Input!$B$115:$B$3257,"="&amp;'Output - County'!B2863)*VLOOKUP(A2863,'Output - State'!$B$2:$G$52,2,FALSE)</f>
        <v>29.777279612220823</v>
      </c>
      <c r="D2863" s="98">
        <f>SUMIFS(Input!$C$115:$C$3257,Input!$A$115:$A$3257,"="&amp;'Output - County'!A2863,Input!$B$115:$B$3257,"="&amp;'Output - County'!B2863)*VLOOKUP(A2863,'Output - State'!$B$2:$G$52,3,FALSE)</f>
        <v>9.1241716794848493</v>
      </c>
      <c r="E2863" s="98">
        <f>SUMIFS(Input!$C$115:$C$3257,Input!$A$115:$A$3257,"="&amp;'Output - County'!A2863,Input!$B$115:$B$3257,"="&amp;'Output - County'!B2863)*VLOOKUP(A2863,'Output - State'!$B$2:$G$52,4,FALSE)</f>
        <v>1.3822458844591168</v>
      </c>
      <c r="F2863" s="98">
        <f>SUMIFS(Input!$C$115:$C$3257,Input!$A$115:$A$3257,"="&amp;'Output - County'!A2863,Input!$B$115:$B$3257,"="&amp;'Output - County'!B2863)*VLOOKUP(A2863,'Output - State'!$B$2:$G$52,5,FALSE)</f>
        <v>64.485107561926455</v>
      </c>
      <c r="G2863" s="99">
        <f>SUMIFS(Input!$D$115:$D$3257,Input!$A$115:$A$3257,"="&amp;'Output - County'!A2863,Input!$B$115:$B$3257,"="&amp;'Output - County'!B2863)*VLOOKUP(A2863,'Output - State'!$B$2:$G$52,6,FALSE)</f>
        <v>14.533958720943385</v>
      </c>
    </row>
    <row r="2864" spans="1:7" x14ac:dyDescent="0.25">
      <c r="A2864" s="88">
        <v>51</v>
      </c>
      <c r="B2864" s="88">
        <v>87</v>
      </c>
      <c r="C2864" s="97">
        <f>SUMIFS(Input!$C$115:$C$3257,Input!$A$115:$A$3257,"="&amp;'Output - County'!A2864,Input!$B$115:$B$3257,"="&amp;'Output - County'!B2864)*VLOOKUP(A2864,'Output - State'!$B$2:$G$52,2,FALSE)</f>
        <v>54.963237535596562</v>
      </c>
      <c r="D2864" s="98">
        <f>SUMIFS(Input!$C$115:$C$3257,Input!$A$115:$A$3257,"="&amp;'Output - County'!A2864,Input!$B$115:$B$3257,"="&amp;'Output - County'!B2864)*VLOOKUP(A2864,'Output - State'!$B$2:$G$52,3,FALSE)</f>
        <v>16.841498681742298</v>
      </c>
      <c r="E2864" s="98">
        <f>SUMIFS(Input!$C$115:$C$3257,Input!$A$115:$A$3257,"="&amp;'Output - County'!A2864,Input!$B$115:$B$3257,"="&amp;'Output - County'!B2864)*VLOOKUP(A2864,'Output - State'!$B$2:$G$52,4,FALSE)</f>
        <v>2.5513649960471012</v>
      </c>
      <c r="F2864" s="98">
        <f>SUMIFS(Input!$C$115:$C$3257,Input!$A$115:$A$3257,"="&amp;'Output - County'!A2864,Input!$B$115:$B$3257,"="&amp;'Output - County'!B2864)*VLOOKUP(A2864,'Output - State'!$B$2:$G$52,5,FALSE)</f>
        <v>119.02733663353338</v>
      </c>
      <c r="G2864" s="99">
        <f>SUMIFS(Input!$D$115:$D$3257,Input!$A$115:$A$3257,"="&amp;'Output - County'!A2864,Input!$B$115:$B$3257,"="&amp;'Output - County'!B2864)*VLOOKUP(A2864,'Output - State'!$B$2:$G$52,6,FALSE)</f>
        <v>44.688527282153025</v>
      </c>
    </row>
    <row r="2865" spans="1:7" x14ac:dyDescent="0.25">
      <c r="A2865" s="88">
        <v>51</v>
      </c>
      <c r="B2865" s="88">
        <v>89</v>
      </c>
      <c r="C2865" s="97">
        <f>SUMIFS(Input!$C$115:$C$3257,Input!$A$115:$A$3257,"="&amp;'Output - County'!A2865,Input!$B$115:$B$3257,"="&amp;'Output - County'!B2865)*VLOOKUP(A2865,'Output - State'!$B$2:$G$52,2,FALSE)</f>
        <v>8.8237925014698391</v>
      </c>
      <c r="D2865" s="98">
        <f>SUMIFS(Input!$C$115:$C$3257,Input!$A$115:$A$3257,"="&amp;'Output - County'!A2865,Input!$B$115:$B$3257,"="&amp;'Output - County'!B2865)*VLOOKUP(A2865,'Output - State'!$B$2:$G$52,3,FALSE)</f>
        <v>2.7037324663640545</v>
      </c>
      <c r="E2865" s="98">
        <f>SUMIFS(Input!$C$115:$C$3257,Input!$A$115:$A$3257,"="&amp;'Output - County'!A2865,Input!$B$115:$B$3257,"="&amp;'Output - County'!B2865)*VLOOKUP(A2865,'Output - State'!$B$2:$G$52,4,FALSE)</f>
        <v>0.40959587407952147</v>
      </c>
      <c r="F2865" s="98">
        <f>SUMIFS(Input!$C$115:$C$3257,Input!$A$115:$A$3257,"="&amp;'Output - County'!A2865,Input!$B$115:$B$3257,"="&amp;'Output - County'!B2865)*VLOOKUP(A2865,'Output - State'!$B$2:$G$52,5,FALSE)</f>
        <v>19.10863638221268</v>
      </c>
      <c r="G2865" s="99">
        <f>SUMIFS(Input!$D$115:$D$3257,Input!$A$115:$A$3257,"="&amp;'Output - County'!A2865,Input!$B$115:$B$3257,"="&amp;'Output - County'!B2865)*VLOOKUP(A2865,'Output - State'!$B$2:$G$52,6,FALSE)</f>
        <v>6.9409840246748313</v>
      </c>
    </row>
    <row r="2866" spans="1:7" x14ac:dyDescent="0.25">
      <c r="A2866" s="88">
        <v>51</v>
      </c>
      <c r="B2866" s="88">
        <v>91</v>
      </c>
      <c r="C2866" s="97">
        <f>SUMIFS(Input!$C$115:$C$3257,Input!$A$115:$A$3257,"="&amp;'Output - County'!A2866,Input!$B$115:$B$3257,"="&amp;'Output - County'!B2866)*VLOOKUP(A2866,'Output - State'!$B$2:$G$52,2,FALSE)</f>
        <v>0.34802759384795606</v>
      </c>
      <c r="D2866" s="98">
        <f>SUMIFS(Input!$C$115:$C$3257,Input!$A$115:$A$3257,"="&amp;'Output - County'!A2866,Input!$B$115:$B$3257,"="&amp;'Output - County'!B2866)*VLOOKUP(A2866,'Output - State'!$B$2:$G$52,3,FALSE)</f>
        <v>0.10664048418189088</v>
      </c>
      <c r="E2866" s="98">
        <f>SUMIFS(Input!$C$115:$C$3257,Input!$A$115:$A$3257,"="&amp;'Output - County'!A2866,Input!$B$115:$B$3257,"="&amp;'Output - County'!B2866)*VLOOKUP(A2866,'Output - State'!$B$2:$G$52,4,FALSE)</f>
        <v>1.6155260505298669E-2</v>
      </c>
      <c r="F2866" s="98">
        <f>SUMIFS(Input!$C$115:$C$3257,Input!$A$115:$A$3257,"="&amp;'Output - County'!A2866,Input!$B$115:$B$3257,"="&amp;'Output - County'!B2866)*VLOOKUP(A2866,'Output - State'!$B$2:$G$52,5,FALSE)</f>
        <v>0.75368190499824206</v>
      </c>
      <c r="G2866" s="99">
        <f>SUMIFS(Input!$D$115:$D$3257,Input!$A$115:$A$3257,"="&amp;'Output - County'!A2866,Input!$B$115:$B$3257,"="&amp;'Output - County'!B2866)*VLOOKUP(A2866,'Output - State'!$B$2:$G$52,6,FALSE)</f>
        <v>0.3001873717129428</v>
      </c>
    </row>
    <row r="2867" spans="1:7" x14ac:dyDescent="0.25">
      <c r="A2867" s="88">
        <v>51</v>
      </c>
      <c r="B2867" s="88">
        <v>93</v>
      </c>
      <c r="C2867" s="97">
        <f>SUMIFS(Input!$C$115:$C$3257,Input!$A$115:$A$3257,"="&amp;'Output - County'!A2867,Input!$B$115:$B$3257,"="&amp;'Output - County'!B2867)*VLOOKUP(A2867,'Output - State'!$B$2:$G$52,2,FALSE)</f>
        <v>6.5665812464353852</v>
      </c>
      <c r="D2867" s="98">
        <f>SUMIFS(Input!$C$115:$C$3257,Input!$A$115:$A$3257,"="&amp;'Output - County'!A2867,Input!$B$115:$B$3257,"="&amp;'Output - County'!B2867)*VLOOKUP(A2867,'Output - State'!$B$2:$G$52,3,FALSE)</f>
        <v>2.012091615487019</v>
      </c>
      <c r="E2867" s="98">
        <f>SUMIFS(Input!$C$115:$C$3257,Input!$A$115:$A$3257,"="&amp;'Output - County'!A2867,Input!$B$115:$B$3257,"="&amp;'Output - County'!B2867)*VLOOKUP(A2867,'Output - State'!$B$2:$G$52,4,FALSE)</f>
        <v>0.30481729765289273</v>
      </c>
      <c r="F2867" s="98">
        <f>SUMIFS(Input!$C$115:$C$3257,Input!$A$115:$A$3257,"="&amp;'Output - County'!A2867,Input!$B$115:$B$3257,"="&amp;'Output - County'!B2867)*VLOOKUP(A2867,'Output - State'!$B$2:$G$52,5,FALSE)</f>
        <v>14.220462832901941</v>
      </c>
      <c r="G2867" s="99">
        <f>SUMIFS(Input!$D$115:$D$3257,Input!$A$115:$A$3257,"="&amp;'Output - County'!A2867,Input!$B$115:$B$3257,"="&amp;'Output - County'!B2867)*VLOOKUP(A2867,'Output - State'!$B$2:$G$52,6,FALSE)</f>
        <v>5.0257614268682742</v>
      </c>
    </row>
    <row r="2868" spans="1:7" x14ac:dyDescent="0.25">
      <c r="A2868" s="88">
        <v>51</v>
      </c>
      <c r="B2868" s="88">
        <v>95</v>
      </c>
      <c r="C2868" s="97">
        <f>SUMIFS(Input!$C$115:$C$3257,Input!$A$115:$A$3257,"="&amp;'Output - County'!A2868,Input!$B$115:$B$3257,"="&amp;'Output - County'!B2868)*VLOOKUP(A2868,'Output - State'!$B$2:$G$52,2,FALSE)</f>
        <v>12.80426418283399</v>
      </c>
      <c r="D2868" s="98">
        <f>SUMIFS(Input!$C$115:$C$3257,Input!$A$115:$A$3257,"="&amp;'Output - County'!A2868,Input!$B$115:$B$3257,"="&amp;'Output - County'!B2868)*VLOOKUP(A2868,'Output - State'!$B$2:$G$52,3,FALSE)</f>
        <v>3.9234042248006058</v>
      </c>
      <c r="E2868" s="98">
        <f>SUMIFS(Input!$C$115:$C$3257,Input!$A$115:$A$3257,"="&amp;'Output - County'!A2868,Input!$B$115:$B$3257,"="&amp;'Output - County'!B2868)*VLOOKUP(A2868,'Output - State'!$B$2:$G$52,4,FALSE)</f>
        <v>0.59436730623928125</v>
      </c>
      <c r="F2868" s="98">
        <f>SUMIFS(Input!$C$115:$C$3257,Input!$A$115:$A$3257,"="&amp;'Output - County'!A2868,Input!$B$115:$B$3257,"="&amp;'Output - County'!B2868)*VLOOKUP(A2868,'Output - State'!$B$2:$G$52,5,FALSE)</f>
        <v>27.728669772187821</v>
      </c>
      <c r="G2868" s="99">
        <f>SUMIFS(Input!$D$115:$D$3257,Input!$A$115:$A$3257,"="&amp;'Output - County'!A2868,Input!$B$115:$B$3257,"="&amp;'Output - County'!B2868)*VLOOKUP(A2868,'Output - State'!$B$2:$G$52,6,FALSE)</f>
        <v>10.323185633567265</v>
      </c>
    </row>
    <row r="2869" spans="1:7" x14ac:dyDescent="0.25">
      <c r="A2869" s="88">
        <v>51</v>
      </c>
      <c r="B2869" s="88">
        <v>97</v>
      </c>
      <c r="C2869" s="97">
        <f>SUMIFS(Input!$C$115:$C$3257,Input!$A$115:$A$3257,"="&amp;'Output - County'!A2869,Input!$B$115:$B$3257,"="&amp;'Output - County'!B2869)*VLOOKUP(A2869,'Output - State'!$B$2:$G$52,2,FALSE)</f>
        <v>1.5772009451134548</v>
      </c>
      <c r="D2869" s="98">
        <f>SUMIFS(Input!$C$115:$C$3257,Input!$A$115:$A$3257,"="&amp;'Output - County'!A2869,Input!$B$115:$B$3257,"="&amp;'Output - County'!B2869)*VLOOKUP(A2869,'Output - State'!$B$2:$G$52,3,FALSE)</f>
        <v>0.48327625571124672</v>
      </c>
      <c r="E2869" s="98">
        <f>SUMIFS(Input!$C$115:$C$3257,Input!$A$115:$A$3257,"="&amp;'Output - County'!A2869,Input!$B$115:$B$3257,"="&amp;'Output - County'!B2869)*VLOOKUP(A2869,'Output - State'!$B$2:$G$52,4,FALSE)</f>
        <v>7.3212850325433385E-2</v>
      </c>
      <c r="F2869" s="98">
        <f>SUMIFS(Input!$C$115:$C$3257,Input!$A$115:$A$3257,"="&amp;'Output - County'!A2869,Input!$B$115:$B$3257,"="&amp;'Output - County'!B2869)*VLOOKUP(A2869,'Output - State'!$B$2:$G$52,5,FALSE)</f>
        <v>3.4155562199399938</v>
      </c>
      <c r="G2869" s="99">
        <f>SUMIFS(Input!$D$115:$D$3257,Input!$A$115:$A$3257,"="&amp;'Output - County'!A2869,Input!$B$115:$B$3257,"="&amp;'Output - County'!B2869)*VLOOKUP(A2869,'Output - State'!$B$2:$G$52,6,FALSE)</f>
        <v>0.95761129890327923</v>
      </c>
    </row>
    <row r="2870" spans="1:7" x14ac:dyDescent="0.25">
      <c r="A2870" s="88">
        <v>51</v>
      </c>
      <c r="B2870" s="88">
        <v>99</v>
      </c>
      <c r="C2870" s="97">
        <f>SUMIFS(Input!$C$115:$C$3257,Input!$A$115:$A$3257,"="&amp;'Output - County'!A2870,Input!$B$115:$B$3257,"="&amp;'Output - County'!B2870)*VLOOKUP(A2870,'Output - State'!$B$2:$G$52,2,FALSE)</f>
        <v>4.5702511586688974</v>
      </c>
      <c r="D2870" s="98">
        <f>SUMIFS(Input!$C$115:$C$3257,Input!$A$115:$A$3257,"="&amp;'Output - County'!A2870,Input!$B$115:$B$3257,"="&amp;'Output - County'!B2870)*VLOOKUP(A2870,'Output - State'!$B$2:$G$52,3,FALSE)</f>
        <v>1.4003883743948751</v>
      </c>
      <c r="E2870" s="98">
        <f>SUMIFS(Input!$C$115:$C$3257,Input!$A$115:$A$3257,"="&amp;'Output - County'!A2870,Input!$B$115:$B$3257,"="&amp;'Output - County'!B2870)*VLOOKUP(A2870,'Output - State'!$B$2:$G$52,4,FALSE)</f>
        <v>0.21214868978232523</v>
      </c>
      <c r="F2870" s="98">
        <f>SUMIFS(Input!$C$115:$C$3257,Input!$A$115:$A$3257,"="&amp;'Output - County'!A2870,Input!$B$115:$B$3257,"="&amp;'Output - County'!B2870)*VLOOKUP(A2870,'Output - State'!$B$2:$G$52,5,FALSE)</f>
        <v>9.8972485529144958</v>
      </c>
      <c r="G2870" s="99">
        <f>SUMIFS(Input!$D$115:$D$3257,Input!$A$115:$A$3257,"="&amp;'Output - County'!A2870,Input!$B$115:$B$3257,"="&amp;'Output - County'!B2870)*VLOOKUP(A2870,'Output - State'!$B$2:$G$52,6,FALSE)</f>
        <v>3.6131149717485425</v>
      </c>
    </row>
    <row r="2871" spans="1:7" x14ac:dyDescent="0.25">
      <c r="A2871" s="88">
        <v>51</v>
      </c>
      <c r="B2871" s="88">
        <v>101</v>
      </c>
      <c r="C2871" s="97">
        <f>SUMIFS(Input!$C$115:$C$3257,Input!$A$115:$A$3257,"="&amp;'Output - County'!A2871,Input!$B$115:$B$3257,"="&amp;'Output - County'!B2871)*VLOOKUP(A2871,'Output - State'!$B$2:$G$52,2,FALSE)</f>
        <v>2.3152376430187807</v>
      </c>
      <c r="D2871" s="98">
        <f>SUMIFS(Input!$C$115:$C$3257,Input!$A$115:$A$3257,"="&amp;'Output - County'!A2871,Input!$B$115:$B$3257,"="&amp;'Output - County'!B2871)*VLOOKUP(A2871,'Output - State'!$B$2:$G$52,3,FALSE)</f>
        <v>0.70942094136226952</v>
      </c>
      <c r="E2871" s="98">
        <f>SUMIFS(Input!$C$115:$C$3257,Input!$A$115:$A$3257,"="&amp;'Output - County'!A2871,Input!$B$115:$B$3257,"="&amp;'Output - County'!B2871)*VLOOKUP(A2871,'Output - State'!$B$2:$G$52,4,FALSE)</f>
        <v>0.10747213127871284</v>
      </c>
      <c r="F2871" s="98">
        <f>SUMIFS(Input!$C$115:$C$3257,Input!$A$115:$A$3257,"="&amp;'Output - County'!A2871,Input!$B$115:$B$3257,"="&amp;'Output - County'!B2871)*VLOOKUP(A2871,'Output - State'!$B$2:$G$52,5,FALSE)</f>
        <v>5.0138343860066374</v>
      </c>
      <c r="G2871" s="99">
        <f>SUMIFS(Input!$D$115:$D$3257,Input!$A$115:$A$3257,"="&amp;'Output - County'!A2871,Input!$B$115:$B$3257,"="&amp;'Output - County'!B2871)*VLOOKUP(A2871,'Output - State'!$B$2:$G$52,6,FALSE)</f>
        <v>2.2955504895695626</v>
      </c>
    </row>
    <row r="2872" spans="1:7" x14ac:dyDescent="0.25">
      <c r="A2872" s="88">
        <v>51</v>
      </c>
      <c r="B2872" s="88">
        <v>103</v>
      </c>
      <c r="C2872" s="97">
        <f>SUMIFS(Input!$C$115:$C$3257,Input!$A$115:$A$3257,"="&amp;'Output - County'!A2872,Input!$B$115:$B$3257,"="&amp;'Output - County'!B2872)*VLOOKUP(A2872,'Output - State'!$B$2:$G$52,2,FALSE)</f>
        <v>1.8281315297415279</v>
      </c>
      <c r="D2872" s="98">
        <f>SUMIFS(Input!$C$115:$C$3257,Input!$A$115:$A$3257,"="&amp;'Output - County'!A2872,Input!$B$115:$B$3257,"="&amp;'Output - County'!B2872)*VLOOKUP(A2872,'Output - State'!$B$2:$G$52,3,FALSE)</f>
        <v>0.56016486889538719</v>
      </c>
      <c r="E2872" s="98">
        <f>SUMIFS(Input!$C$115:$C$3257,Input!$A$115:$A$3257,"="&amp;'Output - County'!A2872,Input!$B$115:$B$3257,"="&amp;'Output - County'!B2872)*VLOOKUP(A2872,'Output - State'!$B$2:$G$52,4,FALSE)</f>
        <v>8.4860917993264437E-2</v>
      </c>
      <c r="F2872" s="98">
        <f>SUMIFS(Input!$C$115:$C$3257,Input!$A$115:$A$3257,"="&amp;'Output - County'!A2872,Input!$B$115:$B$3257,"="&amp;'Output - County'!B2872)*VLOOKUP(A2872,'Output - State'!$B$2:$G$52,5,FALSE)</f>
        <v>3.9589666976949012</v>
      </c>
      <c r="G2872" s="99">
        <f>SUMIFS(Input!$D$115:$D$3257,Input!$A$115:$A$3257,"="&amp;'Output - County'!A2872,Input!$B$115:$B$3257,"="&amp;'Output - County'!B2872)*VLOOKUP(A2872,'Output - State'!$B$2:$G$52,6,FALSE)</f>
        <v>1.4533958720943385</v>
      </c>
    </row>
    <row r="2873" spans="1:7" x14ac:dyDescent="0.25">
      <c r="A2873" s="88">
        <v>51</v>
      </c>
      <c r="B2873" s="88">
        <v>105</v>
      </c>
      <c r="C2873" s="97">
        <f>SUMIFS(Input!$C$115:$C$3257,Input!$A$115:$A$3257,"="&amp;'Output - County'!A2873,Input!$B$115:$B$3257,"="&amp;'Output - County'!B2873)*VLOOKUP(A2873,'Output - State'!$B$2:$G$52,2,FALSE)</f>
        <v>3.1324896404928246</v>
      </c>
      <c r="D2873" s="98">
        <f>SUMIFS(Input!$C$115:$C$3257,Input!$A$115:$A$3257,"="&amp;'Output - County'!A2873,Input!$B$115:$B$3257,"="&amp;'Output - County'!B2873)*VLOOKUP(A2873,'Output - State'!$B$2:$G$52,3,FALSE)</f>
        <v>0.95983829403725296</v>
      </c>
      <c r="E2873" s="98">
        <f>SUMIFS(Input!$C$115:$C$3257,Input!$A$115:$A$3257,"="&amp;'Output - County'!A2873,Input!$B$115:$B$3257,"="&amp;'Output - County'!B2873)*VLOOKUP(A2873,'Output - State'!$B$2:$G$52,4,FALSE)</f>
        <v>0.14540854537648945</v>
      </c>
      <c r="F2873" s="98">
        <f>SUMIFS(Input!$C$115:$C$3257,Input!$A$115:$A$3257,"="&amp;'Output - County'!A2873,Input!$B$115:$B$3257,"="&amp;'Output - County'!B2873)*VLOOKUP(A2873,'Output - State'!$B$2:$G$52,5,FALSE)</f>
        <v>6.7836596906890794</v>
      </c>
      <c r="G2873" s="99">
        <f>SUMIFS(Input!$D$115:$D$3257,Input!$A$115:$A$3257,"="&amp;'Output - County'!A2873,Input!$B$115:$B$3257,"="&amp;'Output - County'!B2873)*VLOOKUP(A2873,'Output - State'!$B$2:$G$52,6,FALSE)</f>
        <v>3.2192039409940025</v>
      </c>
    </row>
    <row r="2874" spans="1:7" x14ac:dyDescent="0.25">
      <c r="A2874" s="88">
        <v>51</v>
      </c>
      <c r="B2874" s="88">
        <v>107</v>
      </c>
      <c r="C2874" s="97">
        <f>SUMIFS(Input!$C$115:$C$3257,Input!$A$115:$A$3257,"="&amp;'Output - County'!A2874,Input!$B$115:$B$3257,"="&amp;'Output - County'!B2874)*VLOOKUP(A2874,'Output - State'!$B$2:$G$52,2,FALSE)</f>
        <v>53.357650950064219</v>
      </c>
      <c r="D2874" s="98">
        <f>SUMIFS(Input!$C$115:$C$3257,Input!$A$115:$A$3257,"="&amp;'Output - County'!A2874,Input!$B$115:$B$3257,"="&amp;'Output - County'!B2874)*VLOOKUP(A2874,'Output - State'!$B$2:$G$52,3,FALSE)</f>
        <v>16.349524671911574</v>
      </c>
      <c r="E2874" s="98">
        <f>SUMIFS(Input!$C$115:$C$3257,Input!$A$115:$A$3257,"="&amp;'Output - County'!A2874,Input!$B$115:$B$3257,"="&amp;'Output - County'!B2874)*VLOOKUP(A2874,'Output - State'!$B$2:$G$52,4,FALSE)</f>
        <v>2.4768344990072024</v>
      </c>
      <c r="F2874" s="98">
        <f>SUMIFS(Input!$C$115:$C$3257,Input!$A$115:$A$3257,"="&amp;'Output - County'!A2874,Input!$B$115:$B$3257,"="&amp;'Output - County'!B2874)*VLOOKUP(A2874,'Output - State'!$B$2:$G$52,5,FALSE)</f>
        <v>115.55030901326857</v>
      </c>
      <c r="G2874" s="99">
        <f>SUMIFS(Input!$D$115:$D$3257,Input!$A$115:$A$3257,"="&amp;'Output - County'!A2874,Input!$B$115:$B$3257,"="&amp;'Output - County'!B2874)*VLOOKUP(A2874,'Output - State'!$B$2:$G$52,6,FALSE)</f>
        <v>55.147544305635655</v>
      </c>
    </row>
    <row r="2875" spans="1:7" x14ac:dyDescent="0.25">
      <c r="A2875" s="88">
        <v>51</v>
      </c>
      <c r="B2875" s="88">
        <v>109</v>
      </c>
      <c r="C2875" s="97">
        <f>SUMIFS(Input!$C$115:$C$3257,Input!$A$115:$A$3257,"="&amp;'Output - County'!A2875,Input!$B$115:$B$3257,"="&amp;'Output - County'!B2875)*VLOOKUP(A2875,'Output - State'!$B$2:$G$52,2,FALSE)</f>
        <v>9.2147674479907842</v>
      </c>
      <c r="D2875" s="98">
        <f>SUMIFS(Input!$C$115:$C$3257,Input!$A$115:$A$3257,"="&amp;'Output - County'!A2875,Input!$B$115:$B$3257,"="&amp;'Output - County'!B2875)*VLOOKUP(A2875,'Output - State'!$B$2:$G$52,3,FALSE)</f>
        <v>2.8235326153666001</v>
      </c>
      <c r="E2875" s="98">
        <f>SUMIFS(Input!$C$115:$C$3257,Input!$A$115:$A$3257,"="&amp;'Output - County'!A2875,Input!$B$115:$B$3257,"="&amp;'Output - County'!B2875)*VLOOKUP(A2875,'Output - State'!$B$2:$G$52,4,FALSE)</f>
        <v>0.42774472843401412</v>
      </c>
      <c r="F2875" s="98">
        <f>SUMIFS(Input!$C$115:$C$3257,Input!$A$115:$A$3257,"="&amp;'Output - County'!A2875,Input!$B$115:$B$3257,"="&amp;'Output - County'!B2875)*VLOOKUP(A2875,'Output - State'!$B$2:$G$52,5,FALSE)</f>
        <v>19.955324253258979</v>
      </c>
      <c r="G2875" s="99">
        <f>SUMIFS(Input!$D$115:$D$3257,Input!$A$115:$A$3257,"="&amp;'Output - County'!A2875,Input!$B$115:$B$3257,"="&amp;'Output - County'!B2875)*VLOOKUP(A2875,'Output - State'!$B$2:$G$52,6,FALSE)</f>
        <v>4.9985951488852018</v>
      </c>
    </row>
    <row r="2876" spans="1:7" x14ac:dyDescent="0.25">
      <c r="A2876" s="88">
        <v>51</v>
      </c>
      <c r="B2876" s="88">
        <v>111</v>
      </c>
      <c r="C2876" s="97">
        <f>SUMIFS(Input!$C$115:$C$3257,Input!$A$115:$A$3257,"="&amp;'Output - County'!A2876,Input!$B$115:$B$3257,"="&amp;'Output - County'!B2876)*VLOOKUP(A2876,'Output - State'!$B$2:$G$52,2,FALSE)</f>
        <v>1.315053438286226</v>
      </c>
      <c r="D2876" s="98">
        <f>SUMIFS(Input!$C$115:$C$3257,Input!$A$115:$A$3257,"="&amp;'Output - County'!A2876,Input!$B$115:$B$3257,"="&amp;'Output - County'!B2876)*VLOOKUP(A2876,'Output - State'!$B$2:$G$52,3,FALSE)</f>
        <v>0.40295062191295589</v>
      </c>
      <c r="E2876" s="98">
        <f>SUMIFS(Input!$C$115:$C$3257,Input!$A$115:$A$3257,"="&amp;'Output - County'!A2876,Input!$B$115:$B$3257,"="&amp;'Output - County'!B2876)*VLOOKUP(A2876,'Output - State'!$B$2:$G$52,4,FALSE)</f>
        <v>6.1044098943442038E-2</v>
      </c>
      <c r="F2876" s="98">
        <f>SUMIFS(Input!$C$115:$C$3257,Input!$A$115:$A$3257,"="&amp;'Output - County'!A2876,Input!$B$115:$B$3257,"="&amp;'Output - County'!B2876)*VLOOKUP(A2876,'Output - State'!$B$2:$G$52,5,FALSE)</f>
        <v>2.8478545898721177</v>
      </c>
      <c r="G2876" s="99">
        <f>SUMIFS(Input!$D$115:$D$3257,Input!$A$115:$A$3257,"="&amp;'Output - County'!A2876,Input!$B$115:$B$3257,"="&amp;'Output - County'!B2876)*VLOOKUP(A2876,'Output - State'!$B$2:$G$52,6,FALSE)</f>
        <v>1.6571429569673766</v>
      </c>
    </row>
    <row r="2877" spans="1:7" x14ac:dyDescent="0.25">
      <c r="A2877" s="88">
        <v>51</v>
      </c>
      <c r="B2877" s="88">
        <v>113</v>
      </c>
      <c r="C2877" s="97">
        <f>SUMIFS(Input!$C$115:$C$3257,Input!$A$115:$A$3257,"="&amp;'Output - County'!A2877,Input!$B$115:$B$3257,"="&amp;'Output - County'!B2877)*VLOOKUP(A2877,'Output - State'!$B$2:$G$52,2,FALSE)</f>
        <v>2.7746336374599485</v>
      </c>
      <c r="D2877" s="98">
        <f>SUMIFS(Input!$C$115:$C$3257,Input!$A$115:$A$3257,"="&amp;'Output - County'!A2877,Input!$B$115:$B$3257,"="&amp;'Output - County'!B2877)*VLOOKUP(A2877,'Output - State'!$B$2:$G$52,3,FALSE)</f>
        <v>0.85018624889656214</v>
      </c>
      <c r="E2877" s="98">
        <f>SUMIFS(Input!$C$115:$C$3257,Input!$A$115:$A$3257,"="&amp;'Output - County'!A2877,Input!$B$115:$B$3257,"="&amp;'Output - County'!B2877)*VLOOKUP(A2877,'Output - State'!$B$2:$G$52,4,FALSE)</f>
        <v>0.12879705521141149</v>
      </c>
      <c r="F2877" s="98">
        <f>SUMIFS(Input!$C$115:$C$3257,Input!$A$115:$A$3257,"="&amp;'Output - County'!A2877,Input!$B$115:$B$3257,"="&amp;'Output - County'!B2877)*VLOOKUP(A2877,'Output - State'!$B$2:$G$52,5,FALSE)</f>
        <v>6.0086935706213023</v>
      </c>
      <c r="G2877" s="99">
        <f>SUMIFS(Input!$D$115:$D$3257,Input!$A$115:$A$3257,"="&amp;'Output - County'!A2877,Input!$B$115:$B$3257,"="&amp;'Output - County'!B2877)*VLOOKUP(A2877,'Output - State'!$B$2:$G$52,6,FALSE)</f>
        <v>1.7929743468827355</v>
      </c>
    </row>
    <row r="2878" spans="1:7" x14ac:dyDescent="0.25">
      <c r="A2878" s="88">
        <v>51</v>
      </c>
      <c r="B2878" s="88">
        <v>115</v>
      </c>
      <c r="C2878" s="97">
        <f>SUMIFS(Input!$C$115:$C$3257,Input!$A$115:$A$3257,"="&amp;'Output - County'!A2878,Input!$B$115:$B$3257,"="&amp;'Output - County'!B2878)*VLOOKUP(A2878,'Output - State'!$B$2:$G$52,2,FALSE)</f>
        <v>1.0323037478934081</v>
      </c>
      <c r="D2878" s="98">
        <f>SUMIFS(Input!$C$115:$C$3257,Input!$A$115:$A$3257,"="&amp;'Output - County'!A2878,Input!$B$115:$B$3257,"="&amp;'Output - County'!B2878)*VLOOKUP(A2878,'Output - State'!$B$2:$G$52,3,FALSE)</f>
        <v>0.31631219318266757</v>
      </c>
      <c r="E2878" s="98">
        <f>SUMIFS(Input!$C$115:$C$3257,Input!$A$115:$A$3257,"="&amp;'Output - County'!A2878,Input!$B$115:$B$3257,"="&amp;'Output - County'!B2878)*VLOOKUP(A2878,'Output - State'!$B$2:$G$52,4,FALSE)</f>
        <v>4.791900487953827E-2</v>
      </c>
      <c r="F2878" s="98">
        <f>SUMIFS(Input!$C$115:$C$3257,Input!$A$115:$A$3257,"="&amp;'Output - County'!A2878,Input!$B$115:$B$3257,"="&amp;'Output - County'!B2878)*VLOOKUP(A2878,'Output - State'!$B$2:$G$52,5,FALSE)</f>
        <v>2.2355372648670744</v>
      </c>
      <c r="G2878" s="99">
        <f>SUMIFS(Input!$D$115:$D$3257,Input!$A$115:$A$3257,"="&amp;'Output - County'!A2878,Input!$B$115:$B$3257,"="&amp;'Output - County'!B2878)*VLOOKUP(A2878,'Output - State'!$B$2:$G$52,6,FALSE)</f>
        <v>1.1939579173560033</v>
      </c>
    </row>
    <row r="2879" spans="1:7" x14ac:dyDescent="0.25">
      <c r="A2879" s="88">
        <v>51</v>
      </c>
      <c r="B2879" s="88">
        <v>117</v>
      </c>
      <c r="C2879" s="97">
        <f>SUMIFS(Input!$C$115:$C$3257,Input!$A$115:$A$3257,"="&amp;'Output - County'!A2879,Input!$B$115:$B$3257,"="&amp;'Output - County'!B2879)*VLOOKUP(A2879,'Output - State'!$B$2:$G$52,2,FALSE)</f>
        <v>8.0962033063422449</v>
      </c>
      <c r="D2879" s="98">
        <f>SUMIFS(Input!$C$115:$C$3257,Input!$A$115:$A$3257,"="&amp;'Output - County'!A2879,Input!$B$115:$B$3257,"="&amp;'Output - County'!B2879)*VLOOKUP(A2879,'Output - State'!$B$2:$G$52,3,FALSE)</f>
        <v>2.4807890405395607</v>
      </c>
      <c r="E2879" s="98">
        <f>SUMIFS(Input!$C$115:$C$3257,Input!$A$115:$A$3257,"="&amp;'Output - County'!A2879,Input!$B$115:$B$3257,"="&amp;'Output - County'!B2879)*VLOOKUP(A2879,'Output - State'!$B$2:$G$52,4,FALSE)</f>
        <v>0.37582156078969059</v>
      </c>
      <c r="F2879" s="98">
        <f>SUMIFS(Input!$C$115:$C$3257,Input!$A$115:$A$3257,"="&amp;'Output - County'!A2879,Input!$B$115:$B$3257,"="&amp;'Output - County'!B2879)*VLOOKUP(A2879,'Output - State'!$B$2:$G$52,5,FALSE)</f>
        <v>17.532983128466739</v>
      </c>
      <c r="G2879" s="99">
        <f>SUMIFS(Input!$D$115:$D$3257,Input!$A$115:$A$3257,"="&amp;'Output - County'!A2879,Input!$B$115:$B$3257,"="&amp;'Output - County'!B2879)*VLOOKUP(A2879,'Output - State'!$B$2:$G$52,6,FALSE)</f>
        <v>4.1564405314099782</v>
      </c>
    </row>
    <row r="2880" spans="1:7" x14ac:dyDescent="0.25">
      <c r="A2880" s="88">
        <v>51</v>
      </c>
      <c r="B2880" s="88">
        <v>119</v>
      </c>
      <c r="C2880" s="97">
        <f>SUMIFS(Input!$C$115:$C$3257,Input!$A$115:$A$3257,"="&amp;'Output - County'!A2880,Input!$B$115:$B$3257,"="&amp;'Output - County'!B2880)*VLOOKUP(A2880,'Output - State'!$B$2:$G$52,2,FALSE)</f>
        <v>1.9010984780312652</v>
      </c>
      <c r="D2880" s="98">
        <f>SUMIFS(Input!$C$115:$C$3257,Input!$A$115:$A$3257,"="&amp;'Output - County'!A2880,Input!$B$115:$B$3257,"="&amp;'Output - County'!B2880)*VLOOKUP(A2880,'Output - State'!$B$2:$G$52,3,FALSE)</f>
        <v>0.58252295438182711</v>
      </c>
      <c r="E2880" s="98">
        <f>SUMIFS(Input!$C$115:$C$3257,Input!$A$115:$A$3257,"="&amp;'Output - County'!A2880,Input!$B$115:$B$3257,"="&amp;'Output - County'!B2880)*VLOOKUP(A2880,'Output - State'!$B$2:$G$52,4,FALSE)</f>
        <v>8.8248005910242511E-2</v>
      </c>
      <c r="F2880" s="98">
        <f>SUMIFS(Input!$C$115:$C$3257,Input!$A$115:$A$3257,"="&amp;'Output - County'!A2880,Input!$B$115:$B$3257,"="&amp;'Output - County'!B2880)*VLOOKUP(A2880,'Output - State'!$B$2:$G$52,5,FALSE)</f>
        <v>4.1169825262126327</v>
      </c>
      <c r="G2880" s="99">
        <f>SUMIFS(Input!$D$115:$D$3257,Input!$A$115:$A$3257,"="&amp;'Output - County'!A2880,Input!$B$115:$B$3257,"="&amp;'Output - County'!B2880)*VLOOKUP(A2880,'Output - State'!$B$2:$G$52,6,FALSE)</f>
        <v>1.4533958720943385</v>
      </c>
    </row>
    <row r="2881" spans="1:7" x14ac:dyDescent="0.25">
      <c r="A2881" s="88">
        <v>51</v>
      </c>
      <c r="B2881" s="88">
        <v>121</v>
      </c>
      <c r="C2881" s="97">
        <f>SUMIFS(Input!$C$115:$C$3257,Input!$A$115:$A$3257,"="&amp;'Output - County'!A2881,Input!$B$115:$B$3257,"="&amp;'Output - County'!B2881)*VLOOKUP(A2881,'Output - State'!$B$2:$G$52,2,FALSE)</f>
        <v>18.628750495567072</v>
      </c>
      <c r="D2881" s="98">
        <f>SUMIFS(Input!$C$115:$C$3257,Input!$A$115:$A$3257,"="&amp;'Output - County'!A2881,Input!$B$115:$B$3257,"="&amp;'Output - County'!B2881)*VLOOKUP(A2881,'Output - State'!$B$2:$G$52,3,FALSE)</f>
        <v>5.7081076548740421</v>
      </c>
      <c r="E2881" s="98">
        <f>SUMIFS(Input!$C$115:$C$3257,Input!$A$115:$A$3257,"="&amp;'Output - County'!A2881,Input!$B$115:$B$3257,"="&amp;'Output - County'!B2881)*VLOOKUP(A2881,'Output - State'!$B$2:$G$52,4,FALSE)</f>
        <v>0.86473694173679716</v>
      </c>
      <c r="F2881" s="98">
        <f>SUMIFS(Input!$C$115:$C$3257,Input!$A$115:$A$3257,"="&amp;'Output - County'!A2881,Input!$B$115:$B$3257,"="&amp;'Output - County'!B2881)*VLOOKUP(A2881,'Output - State'!$B$2:$G$52,5,FALSE)</f>
        <v>40.342066001150762</v>
      </c>
      <c r="G2881" s="99">
        <f>SUMIFS(Input!$D$115:$D$3257,Input!$A$115:$A$3257,"="&amp;'Output - County'!A2881,Input!$B$115:$B$3257,"="&amp;'Output - County'!B2881)*VLOOKUP(A2881,'Output - State'!$B$2:$G$52,6,FALSE)</f>
        <v>13.379391906662837</v>
      </c>
    </row>
    <row r="2882" spans="1:7" x14ac:dyDescent="0.25">
      <c r="A2882" s="88">
        <v>51</v>
      </c>
      <c r="B2882" s="88">
        <v>125</v>
      </c>
      <c r="C2882" s="97">
        <f>SUMIFS(Input!$C$115:$C$3257,Input!$A$115:$A$3257,"="&amp;'Output - County'!A2882,Input!$B$115:$B$3257,"="&amp;'Output - County'!B2882)*VLOOKUP(A2882,'Output - State'!$B$2:$G$52,2,FALSE)</f>
        <v>3.6941890028461022</v>
      </c>
      <c r="D2882" s="98">
        <f>SUMIFS(Input!$C$115:$C$3257,Input!$A$115:$A$3257,"="&amp;'Output - County'!A2882,Input!$B$115:$B$3257,"="&amp;'Output - County'!B2882)*VLOOKUP(A2882,'Output - State'!$B$2:$G$52,3,FALSE)</f>
        <v>1.1319507731189591</v>
      </c>
      <c r="E2882" s="98">
        <f>SUMIFS(Input!$C$115:$C$3257,Input!$A$115:$A$3257,"="&amp;'Output - County'!A2882,Input!$B$115:$B$3257,"="&amp;'Output - County'!B2882)*VLOOKUP(A2882,'Output - State'!$B$2:$G$52,4,FALSE)</f>
        <v>0.17148233861841758</v>
      </c>
      <c r="F2882" s="98">
        <f>SUMIFS(Input!$C$115:$C$3257,Input!$A$115:$A$3257,"="&amp;'Output - County'!A2882,Input!$B$115:$B$3257,"="&amp;'Output - County'!B2882)*VLOOKUP(A2882,'Output - State'!$B$2:$G$52,5,FALSE)</f>
        <v>8.0000650934160333</v>
      </c>
      <c r="G2882" s="99">
        <f>SUMIFS(Input!$D$115:$D$3257,Input!$A$115:$A$3257,"="&amp;'Output - County'!A2882,Input!$B$115:$B$3257,"="&amp;'Output - County'!B2882)*VLOOKUP(A2882,'Output - State'!$B$2:$G$52,6,FALSE)</f>
        <v>2.0238877097388452</v>
      </c>
    </row>
    <row r="2883" spans="1:7" x14ac:dyDescent="0.25">
      <c r="A2883" s="88">
        <v>51</v>
      </c>
      <c r="B2883" s="88">
        <v>127</v>
      </c>
      <c r="C2883" s="97">
        <f>SUMIFS(Input!$C$115:$C$3257,Input!$A$115:$A$3257,"="&amp;'Output - County'!A2883,Input!$B$115:$B$3257,"="&amp;'Output - County'!B2883)*VLOOKUP(A2883,'Output - State'!$B$2:$G$52,2,FALSE)</f>
        <v>11.38568672354052</v>
      </c>
      <c r="D2883" s="98">
        <f>SUMIFS(Input!$C$115:$C$3257,Input!$A$115:$A$3257,"="&amp;'Output - County'!A2883,Input!$B$115:$B$3257,"="&amp;'Output - County'!B2883)*VLOOKUP(A2883,'Output - State'!$B$2:$G$52,3,FALSE)</f>
        <v>3.4887324062934169</v>
      </c>
      <c r="E2883" s="98">
        <f>SUMIFS(Input!$C$115:$C$3257,Input!$A$115:$A$3257,"="&amp;'Output - County'!A2883,Input!$B$115:$B$3257,"="&amp;'Output - County'!B2883)*VLOOKUP(A2883,'Output - State'!$B$2:$G$52,4,FALSE)</f>
        <v>0.52851767590266263</v>
      </c>
      <c r="F2883" s="98">
        <f>SUMIFS(Input!$C$115:$C$3257,Input!$A$115:$A$3257,"="&amp;'Output - County'!A2883,Input!$B$115:$B$3257,"="&amp;'Output - County'!B2883)*VLOOKUP(A2883,'Output - State'!$B$2:$G$52,5,FALSE)</f>
        <v>24.656625541192291</v>
      </c>
      <c r="G2883" s="99">
        <f>SUMIFS(Input!$D$115:$D$3257,Input!$A$115:$A$3257,"="&amp;'Output - County'!A2883,Input!$B$115:$B$3257,"="&amp;'Output - County'!B2883)*VLOOKUP(A2883,'Output - State'!$B$2:$G$52,6,FALSE)</f>
        <v>3.0290399951125</v>
      </c>
    </row>
    <row r="2884" spans="1:7" x14ac:dyDescent="0.25">
      <c r="A2884" s="88">
        <v>51</v>
      </c>
      <c r="B2884" s="88">
        <v>131</v>
      </c>
      <c r="C2884" s="97">
        <f>SUMIFS(Input!$C$115:$C$3257,Input!$A$115:$A$3257,"="&amp;'Output - County'!A2884,Input!$B$115:$B$3257,"="&amp;'Output - County'!B2884)*VLOOKUP(A2884,'Output - State'!$B$2:$G$52,2,FALSE)</f>
        <v>4.0565712698099068</v>
      </c>
      <c r="D2884" s="98">
        <f>SUMIFS(Input!$C$115:$C$3257,Input!$A$115:$A$3257,"="&amp;'Output - County'!A2884,Input!$B$115:$B$3257,"="&amp;'Output - County'!B2884)*VLOOKUP(A2884,'Output - State'!$B$2:$G$52,3,FALSE)</f>
        <v>1.2429897283370739</v>
      </c>
      <c r="E2884" s="98">
        <f>SUMIFS(Input!$C$115:$C$3257,Input!$A$115:$A$3257,"="&amp;'Output - County'!A2884,Input!$B$115:$B$3257,"="&amp;'Output - County'!B2884)*VLOOKUP(A2884,'Output - State'!$B$2:$G$52,4,FALSE)</f>
        <v>0.18830393560896708</v>
      </c>
      <c r="F2884" s="98">
        <f>SUMIFS(Input!$C$115:$C$3257,Input!$A$115:$A$3257,"="&amp;'Output - County'!A2884,Input!$B$115:$B$3257,"="&amp;'Output - County'!B2884)*VLOOKUP(A2884,'Output - State'!$B$2:$G$52,5,FALSE)</f>
        <v>8.784833204137108</v>
      </c>
      <c r="G2884" s="99">
        <f>SUMIFS(Input!$D$115:$D$3257,Input!$A$115:$A$3257,"="&amp;'Output - County'!A2884,Input!$B$115:$B$3257,"="&amp;'Output - County'!B2884)*VLOOKUP(A2884,'Output - State'!$B$2:$G$52,6,FALSE)</f>
        <v>1.6028104010012332</v>
      </c>
    </row>
    <row r="2885" spans="1:7" x14ac:dyDescent="0.25">
      <c r="A2885" s="88">
        <v>51</v>
      </c>
      <c r="B2885" s="88">
        <v>133</v>
      </c>
      <c r="C2885" s="97">
        <f>SUMIFS(Input!$C$115:$C$3257,Input!$A$115:$A$3257,"="&amp;'Output - County'!A2885,Input!$B$115:$B$3257,"="&amp;'Output - County'!B2885)*VLOOKUP(A2885,'Output - State'!$B$2:$G$52,2,FALSE)</f>
        <v>1.7321795967926523</v>
      </c>
      <c r="D2885" s="98">
        <f>SUMIFS(Input!$C$115:$C$3257,Input!$A$115:$A$3257,"="&amp;'Output - County'!A2885,Input!$B$115:$B$3257,"="&amp;'Output - County'!B2885)*VLOOKUP(A2885,'Output - State'!$B$2:$G$52,3,FALSE)</f>
        <v>0.53076386515679674</v>
      </c>
      <c r="E2885" s="98">
        <f>SUMIFS(Input!$C$115:$C$3257,Input!$A$115:$A$3257,"="&amp;'Output - County'!A2885,Input!$B$115:$B$3257,"="&amp;'Output - County'!B2885)*VLOOKUP(A2885,'Output - State'!$B$2:$G$52,4,FALSE)</f>
        <v>8.0406879002743348E-2</v>
      </c>
      <c r="F2885" s="98">
        <f>SUMIFS(Input!$C$115:$C$3257,Input!$A$115:$A$3257,"="&amp;'Output - County'!A2885,Input!$B$115:$B$3257,"="&amp;'Output - County'!B2885)*VLOOKUP(A2885,'Output - State'!$B$2:$G$52,5,FALSE)</f>
        <v>3.7511750257369427</v>
      </c>
      <c r="G2885" s="99">
        <f>SUMIFS(Input!$D$115:$D$3257,Input!$A$115:$A$3257,"="&amp;'Output - County'!A2885,Input!$B$115:$B$3257,"="&amp;'Output - County'!B2885)*VLOOKUP(A2885,'Output - State'!$B$2:$G$52,6,FALSE)</f>
        <v>1.6571429569673766</v>
      </c>
    </row>
    <row r="2886" spans="1:7" x14ac:dyDescent="0.25">
      <c r="A2886" s="88">
        <v>51</v>
      </c>
      <c r="B2886" s="88">
        <v>135</v>
      </c>
      <c r="C2886" s="97">
        <f>SUMIFS(Input!$C$115:$C$3257,Input!$A$115:$A$3257,"="&amp;'Output - County'!A2886,Input!$B$115:$B$3257,"="&amp;'Output - County'!B2886)*VLOOKUP(A2886,'Output - State'!$B$2:$G$52,2,FALSE)</f>
        <v>2.7411432258335298</v>
      </c>
      <c r="D2886" s="98">
        <f>SUMIFS(Input!$C$115:$C$3257,Input!$A$115:$A$3257,"="&amp;'Output - County'!A2886,Input!$B$115:$B$3257,"="&amp;'Output - County'!B2886)*VLOOKUP(A2886,'Output - State'!$B$2:$G$52,3,FALSE)</f>
        <v>0.83992432204241618</v>
      </c>
      <c r="E2886" s="98">
        <f>SUMIFS(Input!$C$115:$C$3257,Input!$A$115:$A$3257,"="&amp;'Output - County'!A2886,Input!$B$115:$B$3257,"="&amp;'Output - County'!B2886)*VLOOKUP(A2886,'Output - State'!$B$2:$G$52,4,FALSE)</f>
        <v>0.12724244766356618</v>
      </c>
      <c r="F2886" s="98">
        <f>SUMIFS(Input!$C$115:$C$3257,Input!$A$115:$A$3257,"="&amp;'Output - County'!A2886,Input!$B$115:$B$3257,"="&amp;'Output - County'!B2886)*VLOOKUP(A2886,'Output - State'!$B$2:$G$52,5,FALSE)</f>
        <v>5.9361673753426549</v>
      </c>
      <c r="G2886" s="99">
        <f>SUMIFS(Input!$D$115:$D$3257,Input!$A$115:$A$3257,"="&amp;'Output - County'!A2886,Input!$B$115:$B$3257,"="&amp;'Output - County'!B2886)*VLOOKUP(A2886,'Output - State'!$B$2:$G$52,6,FALSE)</f>
        <v>2.0918034046965248</v>
      </c>
    </row>
    <row r="2887" spans="1:7" x14ac:dyDescent="0.25">
      <c r="A2887" s="88">
        <v>51</v>
      </c>
      <c r="B2887" s="88">
        <v>137</v>
      </c>
      <c r="C2887" s="97">
        <f>SUMIFS(Input!$C$115:$C$3257,Input!$A$115:$A$3257,"="&amp;'Output - County'!A2887,Input!$B$115:$B$3257,"="&amp;'Output - County'!B2887)*VLOOKUP(A2887,'Output - State'!$B$2:$G$52,2,FALSE)</f>
        <v>4.23180822550193</v>
      </c>
      <c r="D2887" s="98">
        <f>SUMIFS(Input!$C$115:$C$3257,Input!$A$115:$A$3257,"="&amp;'Output - County'!A2887,Input!$B$115:$B$3257,"="&amp;'Output - County'!B2887)*VLOOKUP(A2887,'Output - State'!$B$2:$G$52,3,FALSE)</f>
        <v>1.2966847632477883</v>
      </c>
      <c r="E2887" s="98">
        <f>SUMIFS(Input!$C$115:$C$3257,Input!$A$115:$A$3257,"="&amp;'Output - County'!A2887,Input!$B$115:$B$3257,"="&amp;'Output - County'!B2887)*VLOOKUP(A2887,'Output - State'!$B$2:$G$52,4,FALSE)</f>
        <v>0.19643834425760112</v>
      </c>
      <c r="F2887" s="98">
        <f>SUMIFS(Input!$C$115:$C$3257,Input!$A$115:$A$3257,"="&amp;'Output - County'!A2887,Input!$B$115:$B$3257,"="&amp;'Output - County'!B2887)*VLOOKUP(A2887,'Output - State'!$B$2:$G$52,5,FALSE)</f>
        <v>9.1643230058847127</v>
      </c>
      <c r="G2887" s="99">
        <f>SUMIFS(Input!$D$115:$D$3257,Input!$A$115:$A$3257,"="&amp;'Output - County'!A2887,Input!$B$115:$B$3257,"="&amp;'Output - County'!B2887)*VLOOKUP(A2887,'Output - State'!$B$2:$G$52,6,FALSE)</f>
        <v>4.9714288709021295</v>
      </c>
    </row>
    <row r="2888" spans="1:7" x14ac:dyDescent="0.25">
      <c r="A2888" s="88">
        <v>51</v>
      </c>
      <c r="B2888" s="88">
        <v>139</v>
      </c>
      <c r="C2888" s="97">
        <f>SUMIFS(Input!$C$115:$C$3257,Input!$A$115:$A$3257,"="&amp;'Output - County'!A2888,Input!$B$115:$B$3257,"="&amp;'Output - County'!B2888)*VLOOKUP(A2888,'Output - State'!$B$2:$G$52,2,FALSE)</f>
        <v>2.6560909474031638</v>
      </c>
      <c r="D2888" s="98">
        <f>SUMIFS(Input!$C$115:$C$3257,Input!$A$115:$A$3257,"="&amp;'Output - County'!A2888,Input!$B$115:$B$3257,"="&amp;'Output - County'!B2888)*VLOOKUP(A2888,'Output - State'!$B$2:$G$52,3,FALSE)</f>
        <v>0.81386312369804104</v>
      </c>
      <c r="E2888" s="98">
        <f>SUMIFS(Input!$C$115:$C$3257,Input!$A$115:$A$3257,"="&amp;'Output - County'!A2888,Input!$B$115:$B$3257,"="&amp;'Output - County'!B2888)*VLOOKUP(A2888,'Output - State'!$B$2:$G$52,4,FALSE)</f>
        <v>0.12329436498592643</v>
      </c>
      <c r="F2888" s="98">
        <f>SUMIFS(Input!$C$115:$C$3257,Input!$A$115:$A$3257,"="&amp;'Output - County'!A2888,Input!$B$115:$B$3257,"="&amp;'Output - County'!B2888)*VLOOKUP(A2888,'Output - State'!$B$2:$G$52,5,FALSE)</f>
        <v>5.7519797868727487</v>
      </c>
      <c r="G2888" s="99">
        <f>SUMIFS(Input!$D$115:$D$3257,Input!$A$115:$A$3257,"="&amp;'Output - County'!A2888,Input!$B$115:$B$3257,"="&amp;'Output - County'!B2888)*VLOOKUP(A2888,'Output - State'!$B$2:$G$52,6,FALSE)</f>
        <v>3.2599533579686097</v>
      </c>
    </row>
    <row r="2889" spans="1:7" x14ac:dyDescent="0.25">
      <c r="A2889" s="88">
        <v>51</v>
      </c>
      <c r="B2889" s="88">
        <v>141</v>
      </c>
      <c r="C2889" s="97">
        <f>SUMIFS(Input!$C$115:$C$3257,Input!$A$115:$A$3257,"="&amp;'Output - County'!A2889,Input!$B$115:$B$3257,"="&amp;'Output - County'!B2889)*VLOOKUP(A2889,'Output - State'!$B$2:$G$52,2,FALSE)</f>
        <v>2.2480067568714235</v>
      </c>
      <c r="D2889" s="98">
        <f>SUMIFS(Input!$C$115:$C$3257,Input!$A$115:$A$3257,"="&amp;'Output - County'!A2889,Input!$B$115:$B$3257,"="&amp;'Output - County'!B2889)*VLOOKUP(A2889,'Output - State'!$B$2:$G$52,3,FALSE)</f>
        <v>0.68882046491308335</v>
      </c>
      <c r="E2889" s="98">
        <f>SUMIFS(Input!$C$115:$C$3257,Input!$A$115:$A$3257,"="&amp;'Output - County'!A2889,Input!$B$115:$B$3257,"="&amp;'Output - County'!B2889)*VLOOKUP(A2889,'Output - State'!$B$2:$G$52,4,FALSE)</f>
        <v>0.10435130839307943</v>
      </c>
      <c r="F2889" s="98">
        <f>SUMIFS(Input!$C$115:$C$3257,Input!$A$115:$A$3257,"="&amp;'Output - County'!A2889,Input!$B$115:$B$3257,"="&amp;'Output - County'!B2889)*VLOOKUP(A2889,'Output - State'!$B$2:$G$52,5,FALSE)</f>
        <v>4.8682404640247023</v>
      </c>
      <c r="G2889" s="99">
        <f>SUMIFS(Input!$D$115:$D$3257,Input!$A$115:$A$3257,"="&amp;'Output - County'!A2889,Input!$B$115:$B$3257,"="&amp;'Output - County'!B2889)*VLOOKUP(A2889,'Output - State'!$B$2:$G$52,6,FALSE)</f>
        <v>2.4042156015018494</v>
      </c>
    </row>
    <row r="2890" spans="1:7" x14ac:dyDescent="0.25">
      <c r="A2890" s="88">
        <v>51</v>
      </c>
      <c r="B2890" s="88">
        <v>143</v>
      </c>
      <c r="C2890" s="97">
        <f>SUMIFS(Input!$C$115:$C$3257,Input!$A$115:$A$3257,"="&amp;'Output - County'!A2890,Input!$B$115:$B$3257,"="&amp;'Output - County'!B2890)*VLOOKUP(A2890,'Output - State'!$B$2:$G$52,2,FALSE)</f>
        <v>11.25951604096139</v>
      </c>
      <c r="D2890" s="98">
        <f>SUMIFS(Input!$C$115:$C$3257,Input!$A$115:$A$3257,"="&amp;'Output - County'!A2890,Input!$B$115:$B$3257,"="&amp;'Output - County'!B2890)*VLOOKUP(A2890,'Output - State'!$B$2:$G$52,3,FALSE)</f>
        <v>3.4500719583357298</v>
      </c>
      <c r="E2890" s="98">
        <f>SUMIFS(Input!$C$115:$C$3257,Input!$A$115:$A$3257,"="&amp;'Output - County'!A2890,Input!$B$115:$B$3257,"="&amp;'Output - County'!B2890)*VLOOKUP(A2890,'Output - State'!$B$2:$G$52,4,FALSE)</f>
        <v>0.52266089821828265</v>
      </c>
      <c r="F2890" s="98">
        <f>SUMIFS(Input!$C$115:$C$3257,Input!$A$115:$A$3257,"="&amp;'Output - County'!A2890,Input!$B$115:$B$3257,"="&amp;'Output - County'!B2890)*VLOOKUP(A2890,'Output - State'!$B$2:$G$52,5,FALSE)</f>
        <v>24.383392722639663</v>
      </c>
      <c r="G2890" s="99">
        <f>SUMIFS(Input!$D$115:$D$3257,Input!$A$115:$A$3257,"="&amp;'Output - County'!A2890,Input!$B$115:$B$3257,"="&amp;'Output - County'!B2890)*VLOOKUP(A2890,'Output - State'!$B$2:$G$52,6,FALSE)</f>
        <v>8.2721316458453469</v>
      </c>
    </row>
    <row r="2891" spans="1:7" x14ac:dyDescent="0.25">
      <c r="A2891" s="88">
        <v>51</v>
      </c>
      <c r="B2891" s="88">
        <v>145</v>
      </c>
      <c r="C2891" s="97">
        <f>SUMIFS(Input!$C$115:$C$3257,Input!$A$115:$A$3257,"="&amp;'Output - County'!A2891,Input!$B$115:$B$3257,"="&amp;'Output - County'!B2891)*VLOOKUP(A2891,'Output - State'!$B$2:$G$52,2,FALSE)</f>
        <v>5.6956213996197169</v>
      </c>
      <c r="D2891" s="98">
        <f>SUMIFS(Input!$C$115:$C$3257,Input!$A$115:$A$3257,"="&amp;'Output - County'!A2891,Input!$B$115:$B$3257,"="&amp;'Output - County'!B2891)*VLOOKUP(A2891,'Output - State'!$B$2:$G$52,3,FALSE)</f>
        <v>1.7452174324933998</v>
      </c>
      <c r="E2891" s="98">
        <f>SUMIFS(Input!$C$115:$C$3257,Input!$A$115:$A$3257,"="&amp;'Output - County'!A2891,Input!$B$115:$B$3257,"="&amp;'Output - County'!B2891)*VLOOKUP(A2891,'Output - State'!$B$2:$G$52,4,FALSE)</f>
        <v>0.26438779302829907</v>
      </c>
      <c r="F2891" s="98">
        <f>SUMIFS(Input!$C$115:$C$3257,Input!$A$115:$A$3257,"="&amp;'Output - County'!A2891,Input!$B$115:$B$3257,"="&amp;'Output - County'!B2891)*VLOOKUP(A2891,'Output - State'!$B$2:$G$52,5,FALSE)</f>
        <v>12.3343288362632</v>
      </c>
      <c r="G2891" s="99">
        <f>SUMIFS(Input!$D$115:$D$3257,Input!$A$115:$A$3257,"="&amp;'Output - County'!A2891,Input!$B$115:$B$3257,"="&amp;'Output - County'!B2891)*VLOOKUP(A2891,'Output - State'!$B$2:$G$52,6,FALSE)</f>
        <v>3.9662765855284752</v>
      </c>
    </row>
    <row r="2892" spans="1:7" x14ac:dyDescent="0.25">
      <c r="A2892" s="88">
        <v>51</v>
      </c>
      <c r="B2892" s="88">
        <v>147</v>
      </c>
      <c r="C2892" s="97">
        <f>SUMIFS(Input!$C$115:$C$3257,Input!$A$115:$A$3257,"="&amp;'Output - County'!A2892,Input!$B$115:$B$3257,"="&amp;'Output - County'!B2892)*VLOOKUP(A2892,'Output - State'!$B$2:$G$52,2,FALSE)</f>
        <v>4.757289787483959</v>
      </c>
      <c r="D2892" s="98">
        <f>SUMIFS(Input!$C$115:$C$3257,Input!$A$115:$A$3257,"="&amp;'Output - County'!A2892,Input!$B$115:$B$3257,"="&amp;'Output - County'!B2892)*VLOOKUP(A2892,'Output - State'!$B$2:$G$52,3,FALSE)</f>
        <v>1.4576996057171505</v>
      </c>
      <c r="E2892" s="98">
        <f>SUMIFS(Input!$C$115:$C$3257,Input!$A$115:$A$3257,"="&amp;'Output - County'!A2892,Input!$B$115:$B$3257,"="&amp;'Output - County'!B2892)*VLOOKUP(A2892,'Output - State'!$B$2:$G$52,4,FALSE)</f>
        <v>0.2208309259798989</v>
      </c>
      <c r="F2892" s="98">
        <f>SUMIFS(Input!$C$115:$C$3257,Input!$A$115:$A$3257,"="&amp;'Output - County'!A2892,Input!$B$115:$B$3257,"="&amp;'Output - County'!B2892)*VLOOKUP(A2892,'Output - State'!$B$2:$G$52,5,FALSE)</f>
        <v>10.302295832398833</v>
      </c>
      <c r="G2892" s="99">
        <f>SUMIFS(Input!$D$115:$D$3257,Input!$A$115:$A$3257,"="&amp;'Output - County'!A2892,Input!$B$115:$B$3257,"="&amp;'Output - County'!B2892)*VLOOKUP(A2892,'Output - State'!$B$2:$G$52,6,FALSE)</f>
        <v>3.1105388290617149</v>
      </c>
    </row>
    <row r="2893" spans="1:7" x14ac:dyDescent="0.25">
      <c r="A2893" s="88">
        <v>51</v>
      </c>
      <c r="B2893" s="88">
        <v>149</v>
      </c>
      <c r="C2893" s="97">
        <f>SUMIFS(Input!$C$115:$C$3257,Input!$A$115:$A$3257,"="&amp;'Output - County'!A2893,Input!$B$115:$B$3257,"="&amp;'Output - County'!B2893)*VLOOKUP(A2893,'Output - State'!$B$2:$G$52,2,FALSE)</f>
        <v>10.390056514824858</v>
      </c>
      <c r="D2893" s="98">
        <f>SUMIFS(Input!$C$115:$C$3257,Input!$A$115:$A$3257,"="&amp;'Output - County'!A2893,Input!$B$115:$B$3257,"="&amp;'Output - County'!B2893)*VLOOKUP(A2893,'Output - State'!$B$2:$G$52,3,FALSE)</f>
        <v>3.1836574944174925</v>
      </c>
      <c r="E2893" s="98">
        <f>SUMIFS(Input!$C$115:$C$3257,Input!$A$115:$A$3257,"="&amp;'Output - County'!A2893,Input!$B$115:$B$3257,"="&amp;'Output - County'!B2893)*VLOOKUP(A2893,'Output - State'!$B$2:$G$52,4,FALSE)</f>
        <v>0.4823010377019189</v>
      </c>
      <c r="F2893" s="98">
        <f>SUMIFS(Input!$C$115:$C$3257,Input!$A$115:$A$3257,"="&amp;'Output - County'!A2893,Input!$B$115:$B$3257,"="&amp;'Output - County'!B2893)*VLOOKUP(A2893,'Output - State'!$B$2:$G$52,5,FALSE)</f>
        <v>22.500507791786358</v>
      </c>
      <c r="G2893" s="99">
        <f>SUMIFS(Input!$D$115:$D$3257,Input!$A$115:$A$3257,"="&amp;'Output - County'!A2893,Input!$B$115:$B$3257,"="&amp;'Output - County'!B2893)*VLOOKUP(A2893,'Output - State'!$B$2:$G$52,6,FALSE)</f>
        <v>5.1615928167836325</v>
      </c>
    </row>
    <row r="2894" spans="1:7" x14ac:dyDescent="0.25">
      <c r="A2894" s="88">
        <v>51</v>
      </c>
      <c r="B2894" s="88">
        <v>153</v>
      </c>
      <c r="C2894" s="97">
        <f>SUMIFS(Input!$C$115:$C$3257,Input!$A$115:$A$3257,"="&amp;'Output - County'!A2894,Input!$B$115:$B$3257,"="&amp;'Output - County'!B2894)*VLOOKUP(A2894,'Output - State'!$B$2:$G$52,2,FALSE)</f>
        <v>66.555837436188398</v>
      </c>
      <c r="D2894" s="98">
        <f>SUMIFS(Input!$C$115:$C$3257,Input!$A$115:$A$3257,"="&amp;'Output - County'!A2894,Input!$B$115:$B$3257,"="&amp;'Output - County'!B2894)*VLOOKUP(A2894,'Output - State'!$B$2:$G$52,3,FALSE)</f>
        <v>20.393632156728003</v>
      </c>
      <c r="E2894" s="98">
        <f>SUMIFS(Input!$C$115:$C$3257,Input!$A$115:$A$3257,"="&amp;'Output - County'!A2894,Input!$B$115:$B$3257,"="&amp;'Output - County'!B2894)*VLOOKUP(A2894,'Output - State'!$B$2:$G$52,4,FALSE)</f>
        <v>3.0894874743744341</v>
      </c>
      <c r="F2894" s="98">
        <f>SUMIFS(Input!$C$115:$C$3257,Input!$A$115:$A$3257,"="&amp;'Output - County'!A2894,Input!$B$115:$B$3257,"="&amp;'Output - County'!B2894)*VLOOKUP(A2894,'Output - State'!$B$2:$G$52,5,FALSE)</f>
        <v>144.13204939598606</v>
      </c>
      <c r="G2894" s="99">
        <f>SUMIFS(Input!$D$115:$D$3257,Input!$A$115:$A$3257,"="&amp;'Output - County'!A2894,Input!$B$115:$B$3257,"="&amp;'Output - County'!B2894)*VLOOKUP(A2894,'Output - State'!$B$2:$G$52,6,FALSE)</f>
        <v>63.297427700557179</v>
      </c>
    </row>
    <row r="2895" spans="1:7" x14ac:dyDescent="0.25">
      <c r="A2895" s="88">
        <v>51</v>
      </c>
      <c r="B2895" s="88">
        <v>155</v>
      </c>
      <c r="C2895" s="97">
        <f>SUMIFS(Input!$C$115:$C$3257,Input!$A$115:$A$3257,"="&amp;'Output - County'!A2895,Input!$B$115:$B$3257,"="&amp;'Output - County'!B2895)*VLOOKUP(A2895,'Output - State'!$B$2:$G$52,2,FALSE)</f>
        <v>8.7581629656354618</v>
      </c>
      <c r="D2895" s="98">
        <f>SUMIFS(Input!$C$115:$C$3257,Input!$A$115:$A$3257,"="&amp;'Output - County'!A2895,Input!$B$115:$B$3257,"="&amp;'Output - County'!B2895)*VLOOKUP(A2895,'Output - State'!$B$2:$G$52,3,FALSE)</f>
        <v>2.6836226658720039</v>
      </c>
      <c r="E2895" s="98">
        <f>SUMIFS(Input!$C$115:$C$3257,Input!$A$115:$A$3257,"="&amp;'Output - County'!A2895,Input!$B$115:$B$3257,"="&amp;'Output - County'!B2895)*VLOOKUP(A2895,'Output - State'!$B$2:$G$52,4,FALSE)</f>
        <v>0.40654938504535187</v>
      </c>
      <c r="F2895" s="98">
        <f>SUMIFS(Input!$C$115:$C$3257,Input!$A$115:$A$3257,"="&amp;'Output - County'!A2895,Input!$B$115:$B$3257,"="&amp;'Output - County'!B2895)*VLOOKUP(A2895,'Output - State'!$B$2:$G$52,5,FALSE)</f>
        <v>18.966510313860141</v>
      </c>
      <c r="G2895" s="99">
        <f>SUMIFS(Input!$D$115:$D$3257,Input!$A$115:$A$3257,"="&amp;'Output - County'!A2895,Input!$B$115:$B$3257,"="&amp;'Output - County'!B2895)*VLOOKUP(A2895,'Output - State'!$B$2:$G$52,6,FALSE)</f>
        <v>4.6318503961137329</v>
      </c>
    </row>
    <row r="2896" spans="1:7" x14ac:dyDescent="0.25">
      <c r="A2896" s="88">
        <v>51</v>
      </c>
      <c r="B2896" s="88">
        <v>157</v>
      </c>
      <c r="C2896" s="97">
        <f>SUMIFS(Input!$C$115:$C$3257,Input!$A$115:$A$3257,"="&amp;'Output - County'!A2896,Input!$B$115:$B$3257,"="&amp;'Output - County'!B2896)*VLOOKUP(A2896,'Output - State'!$B$2:$G$52,2,FALSE)</f>
        <v>1.2569376845076794</v>
      </c>
      <c r="D2896" s="98">
        <f>SUMIFS(Input!$C$115:$C$3257,Input!$A$115:$A$3257,"="&amp;'Output - County'!A2896,Input!$B$115:$B$3257,"="&amp;'Output - County'!B2896)*VLOOKUP(A2896,'Output - State'!$B$2:$G$52,3,FALSE)</f>
        <v>0.38514314850828296</v>
      </c>
      <c r="E2896" s="98">
        <f>SUMIFS(Input!$C$115:$C$3257,Input!$A$115:$A$3257,"="&amp;'Output - County'!A2896,Input!$B$115:$B$3257,"="&amp;'Output - County'!B2896)*VLOOKUP(A2896,'Output - State'!$B$2:$G$52,4,FALSE)</f>
        <v>5.8346395777513223E-2</v>
      </c>
      <c r="F2896" s="98">
        <f>SUMIFS(Input!$C$115:$C$3257,Input!$A$115:$A$3257,"="&amp;'Output - County'!A2896,Input!$B$115:$B$3257,"="&amp;'Output - County'!B2896)*VLOOKUP(A2896,'Output - State'!$B$2:$G$52,5,FALSE)</f>
        <v>2.7220002243204044</v>
      </c>
      <c r="G2896" s="99">
        <f>SUMIFS(Input!$D$115:$D$3257,Input!$A$115:$A$3257,"="&amp;'Output - County'!A2896,Input!$B$115:$B$3257,"="&amp;'Output - County'!B2896)*VLOOKUP(A2896,'Output - State'!$B$2:$G$52,6,FALSE)</f>
        <v>0.99836071587788677</v>
      </c>
    </row>
    <row r="2897" spans="1:7" x14ac:dyDescent="0.25">
      <c r="A2897" s="88">
        <v>51</v>
      </c>
      <c r="B2897" s="88">
        <v>159</v>
      </c>
      <c r="C2897" s="97">
        <f>SUMIFS(Input!$C$115:$C$3257,Input!$A$115:$A$3257,"="&amp;'Output - County'!A2897,Input!$B$115:$B$3257,"="&amp;'Output - County'!B2897)*VLOOKUP(A2897,'Output - State'!$B$2:$G$52,2,FALSE)</f>
        <v>1.6507004222994124</v>
      </c>
      <c r="D2897" s="98">
        <f>SUMIFS(Input!$C$115:$C$3257,Input!$A$115:$A$3257,"="&amp;'Output - County'!A2897,Input!$B$115:$B$3257,"="&amp;'Output - County'!B2897)*VLOOKUP(A2897,'Output - State'!$B$2:$G$52,3,FALSE)</f>
        <v>0.50579751544115936</v>
      </c>
      <c r="E2897" s="98">
        <f>SUMIFS(Input!$C$115:$C$3257,Input!$A$115:$A$3257,"="&amp;'Output - County'!A2897,Input!$B$115:$B$3257,"="&amp;'Output - County'!B2897)*VLOOKUP(A2897,'Output - State'!$B$2:$G$52,4,FALSE)</f>
        <v>7.6624657957736098E-2</v>
      </c>
      <c r="F2897" s="98">
        <f>SUMIFS(Input!$C$115:$C$3257,Input!$A$115:$A$3257,"="&amp;'Output - County'!A2897,Input!$B$115:$B$3257,"="&amp;'Output - County'!B2897)*VLOOKUP(A2897,'Output - State'!$B$2:$G$52,5,FALSE)</f>
        <v>3.5747252828565625</v>
      </c>
      <c r="G2897" s="99">
        <f>SUMIFS(Input!$D$115:$D$3257,Input!$A$115:$A$3257,"="&amp;'Output - County'!A2897,Input!$B$115:$B$3257,"="&amp;'Output - County'!B2897)*VLOOKUP(A2897,'Output - State'!$B$2:$G$52,6,FALSE)</f>
        <v>1.218407567540768</v>
      </c>
    </row>
    <row r="2898" spans="1:7" x14ac:dyDescent="0.25">
      <c r="A2898" s="88">
        <v>51</v>
      </c>
      <c r="B2898" s="88">
        <v>161</v>
      </c>
      <c r="C2898" s="97">
        <f>SUMIFS(Input!$C$115:$C$3257,Input!$A$115:$A$3257,"="&amp;'Output - County'!A2898,Input!$B$115:$B$3257,"="&amp;'Output - County'!B2898)*VLOOKUP(A2898,'Output - State'!$B$2:$G$52,2,FALSE)</f>
        <v>16.368091508190755</v>
      </c>
      <c r="D2898" s="98">
        <f>SUMIFS(Input!$C$115:$C$3257,Input!$A$115:$A$3257,"="&amp;'Output - County'!A2898,Input!$B$115:$B$3257,"="&amp;'Output - County'!B2898)*VLOOKUP(A2898,'Output - State'!$B$2:$G$52,3,FALSE)</f>
        <v>5.0154103709647844</v>
      </c>
      <c r="E2898" s="98">
        <f>SUMIFS(Input!$C$115:$C$3257,Input!$A$115:$A$3257,"="&amp;'Output - County'!A2898,Input!$B$115:$B$3257,"="&amp;'Output - County'!B2898)*VLOOKUP(A2898,'Output - State'!$B$2:$G$52,4,FALSE)</f>
        <v>0.75979832336200148</v>
      </c>
      <c r="F2898" s="98">
        <f>SUMIFS(Input!$C$115:$C$3257,Input!$A$115:$A$3257,"="&amp;'Output - County'!A2898,Input!$B$115:$B$3257,"="&amp;'Output - County'!B2898)*VLOOKUP(A2898,'Output - State'!$B$2:$G$52,5,FALSE)</f>
        <v>35.446426108580837</v>
      </c>
      <c r="G2898" s="99">
        <f>SUMIFS(Input!$D$115:$D$3257,Input!$A$115:$A$3257,"="&amp;'Output - County'!A2898,Input!$B$115:$B$3257,"="&amp;'Output - County'!B2898)*VLOOKUP(A2898,'Output - State'!$B$2:$G$52,6,FALSE)</f>
        <v>12.781733791035256</v>
      </c>
    </row>
    <row r="2899" spans="1:7" x14ac:dyDescent="0.25">
      <c r="A2899" s="88">
        <v>51</v>
      </c>
      <c r="B2899" s="88">
        <v>163</v>
      </c>
      <c r="C2899" s="97">
        <f>SUMIFS(Input!$C$115:$C$3257,Input!$A$115:$A$3257,"="&amp;'Output - County'!A2899,Input!$B$115:$B$3257,"="&amp;'Output - County'!B2899)*VLOOKUP(A2899,'Output - State'!$B$2:$G$52,2,FALSE)</f>
        <v>12.35385796216347</v>
      </c>
      <c r="D2899" s="98">
        <f>SUMIFS(Input!$C$115:$C$3257,Input!$A$115:$A$3257,"="&amp;'Output - County'!A2899,Input!$B$115:$B$3257,"="&amp;'Output - County'!B2899)*VLOOKUP(A2899,'Output - State'!$B$2:$G$52,3,FALSE)</f>
        <v>3.7853935086968029</v>
      </c>
      <c r="E2899" s="98">
        <f>SUMIFS(Input!$C$115:$C$3257,Input!$A$115:$A$3257,"="&amp;'Output - County'!A2899,Input!$B$115:$B$3257,"="&amp;'Output - County'!B2899)*VLOOKUP(A2899,'Output - State'!$B$2:$G$52,4,FALSE)</f>
        <v>0.57345968294514049</v>
      </c>
      <c r="F2899" s="98">
        <f>SUMIFS(Input!$C$115:$C$3257,Input!$A$115:$A$3257,"="&amp;'Output - County'!A2899,Input!$B$115:$B$3257,"="&amp;'Output - County'!B2899)*VLOOKUP(A2899,'Output - State'!$B$2:$G$52,5,FALSE)</f>
        <v>26.753278669819316</v>
      </c>
      <c r="G2899" s="99">
        <f>SUMIFS(Input!$D$115:$D$3257,Input!$A$115:$A$3257,"="&amp;'Output - County'!A2899,Input!$B$115:$B$3257,"="&amp;'Output - County'!B2899)*VLOOKUP(A2899,'Output - State'!$B$2:$G$52,6,FALSE)</f>
        <v>3.0969556900701791</v>
      </c>
    </row>
    <row r="2900" spans="1:7" x14ac:dyDescent="0.25">
      <c r="A2900" s="88">
        <v>51</v>
      </c>
      <c r="B2900" s="88">
        <v>165</v>
      </c>
      <c r="C2900" s="97">
        <f>SUMIFS(Input!$C$115:$C$3257,Input!$A$115:$A$3257,"="&amp;'Output - County'!A2900,Input!$B$115:$B$3257,"="&amp;'Output - County'!B2900)*VLOOKUP(A2900,'Output - State'!$B$2:$G$52,2,FALSE)</f>
        <v>17.267608745438345</v>
      </c>
      <c r="D2900" s="98">
        <f>SUMIFS(Input!$C$115:$C$3257,Input!$A$115:$A$3257,"="&amp;'Output - County'!A2900,Input!$B$115:$B$3257,"="&amp;'Output - County'!B2900)*VLOOKUP(A2900,'Output - State'!$B$2:$G$52,3,FALSE)</f>
        <v>5.2910349346651762</v>
      </c>
      <c r="E2900" s="98">
        <f>SUMIFS(Input!$C$115:$C$3257,Input!$A$115:$A$3257,"="&amp;'Output - County'!A2900,Input!$B$115:$B$3257,"="&amp;'Output - County'!B2900)*VLOOKUP(A2900,'Output - State'!$B$2:$G$52,4,FALSE)</f>
        <v>0.80155344724763788</v>
      </c>
      <c r="F2900" s="98">
        <f>SUMIFS(Input!$C$115:$C$3257,Input!$A$115:$A$3257,"="&amp;'Output - County'!A2900,Input!$B$115:$B$3257,"="&amp;'Output - County'!B2900)*VLOOKUP(A2900,'Output - State'!$B$2:$G$52,5,FALSE)</f>
        <v>37.394403444089747</v>
      </c>
      <c r="G2900" s="99">
        <f>SUMIFS(Input!$D$115:$D$3257,Input!$A$115:$A$3257,"="&amp;'Output - County'!A2900,Input!$B$115:$B$3257,"="&amp;'Output - County'!B2900)*VLOOKUP(A2900,'Output - State'!$B$2:$G$52,6,FALSE)</f>
        <v>11.043092000118666</v>
      </c>
    </row>
    <row r="2901" spans="1:7" x14ac:dyDescent="0.25">
      <c r="A2901" s="88">
        <v>51</v>
      </c>
      <c r="B2901" s="88">
        <v>167</v>
      </c>
      <c r="C2901" s="97">
        <f>SUMIFS(Input!$C$115:$C$3257,Input!$A$115:$A$3257,"="&amp;'Output - County'!A2901,Input!$B$115:$B$3257,"="&amp;'Output - County'!B2901)*VLOOKUP(A2901,'Output - State'!$B$2:$G$52,2,FALSE)</f>
        <v>4.1835989146736887</v>
      </c>
      <c r="D2901" s="98">
        <f>SUMIFS(Input!$C$115:$C$3257,Input!$A$115:$A$3257,"="&amp;'Output - County'!A2901,Input!$B$115:$B$3257,"="&amp;'Output - County'!B2901)*VLOOKUP(A2901,'Output - State'!$B$2:$G$52,3,FALSE)</f>
        <v>1.2819127614304699</v>
      </c>
      <c r="E2901" s="98">
        <f>SUMIFS(Input!$C$115:$C$3257,Input!$A$115:$A$3257,"="&amp;'Output - County'!A2901,Input!$B$115:$B$3257,"="&amp;'Output - County'!B2901)*VLOOKUP(A2901,'Output - State'!$B$2:$G$52,4,FALSE)</f>
        <v>0.19420049303839174</v>
      </c>
      <c r="F2901" s="98">
        <f>SUMIFS(Input!$C$115:$C$3257,Input!$A$115:$A$3257,"="&amp;'Output - County'!A2901,Input!$B$115:$B$3257,"="&amp;'Output - County'!B2901)*VLOOKUP(A2901,'Output - State'!$B$2:$G$52,5,FALSE)</f>
        <v>9.0599218438333065</v>
      </c>
      <c r="G2901" s="99">
        <f>SUMIFS(Input!$D$115:$D$3257,Input!$A$115:$A$3257,"="&amp;'Output - County'!A2901,Input!$B$115:$B$3257,"="&amp;'Output - County'!B2901)*VLOOKUP(A2901,'Output - State'!$B$2:$G$52,6,FALSE)</f>
        <v>3.6402812497316144</v>
      </c>
    </row>
    <row r="2902" spans="1:7" x14ac:dyDescent="0.25">
      <c r="A2902" s="88">
        <v>51</v>
      </c>
      <c r="B2902" s="88">
        <v>169</v>
      </c>
      <c r="C2902" s="97">
        <f>SUMIFS(Input!$C$115:$C$3257,Input!$A$115:$A$3257,"="&amp;'Output - County'!A2902,Input!$B$115:$B$3257,"="&amp;'Output - County'!B2902)*VLOOKUP(A2902,'Output - State'!$B$2:$G$52,2,FALSE)</f>
        <v>3.8680671141368843</v>
      </c>
      <c r="D2902" s="98">
        <f>SUMIFS(Input!$C$115:$C$3257,Input!$A$115:$A$3257,"="&amp;'Output - County'!A2902,Input!$B$115:$B$3257,"="&amp;'Output - County'!B2902)*VLOOKUP(A2902,'Output - State'!$B$2:$G$52,3,FALSE)</f>
        <v>1.1852294392490432</v>
      </c>
      <c r="E2902" s="98">
        <f>SUMIFS(Input!$C$115:$C$3257,Input!$A$115:$A$3257,"="&amp;'Output - County'!A2902,Input!$B$115:$B$3257,"="&amp;'Output - County'!B2902)*VLOOKUP(A2902,'Output - State'!$B$2:$G$52,4,FALSE)</f>
        <v>0.179553670414307</v>
      </c>
      <c r="F2902" s="98">
        <f>SUMIFS(Input!$C$115:$C$3257,Input!$A$115:$A$3257,"="&amp;'Output - County'!A2902,Input!$B$115:$B$3257,"="&amp;'Output - County'!B2902)*VLOOKUP(A2902,'Output - State'!$B$2:$G$52,5,FALSE)</f>
        <v>8.3766122077014167</v>
      </c>
      <c r="G2902" s="99">
        <f>SUMIFS(Input!$D$115:$D$3257,Input!$A$115:$A$3257,"="&amp;'Output - County'!A2902,Input!$B$115:$B$3257,"="&amp;'Output - County'!B2902)*VLOOKUP(A2902,'Output - State'!$B$2:$G$52,6,FALSE)</f>
        <v>2.9475411611632847</v>
      </c>
    </row>
    <row r="2903" spans="1:7" x14ac:dyDescent="0.25">
      <c r="A2903" s="88">
        <v>51</v>
      </c>
      <c r="B2903" s="88">
        <v>171</v>
      </c>
      <c r="C2903" s="97">
        <f>SUMIFS(Input!$C$115:$C$3257,Input!$A$115:$A$3257,"="&amp;'Output - County'!A2903,Input!$B$115:$B$3257,"="&amp;'Output - County'!B2903)*VLOOKUP(A2903,'Output - State'!$B$2:$G$52,2,FALSE)</f>
        <v>16.250176033592499</v>
      </c>
      <c r="D2903" s="98">
        <f>SUMIFS(Input!$C$115:$C$3257,Input!$A$115:$A$3257,"="&amp;'Output - County'!A2903,Input!$B$115:$B$3257,"="&amp;'Output - County'!B2903)*VLOOKUP(A2903,'Output - State'!$B$2:$G$52,3,FALSE)</f>
        <v>4.9792794332863508</v>
      </c>
      <c r="E2903" s="98">
        <f>SUMIFS(Input!$C$115:$C$3257,Input!$A$115:$A$3257,"="&amp;'Output - County'!A2903,Input!$B$115:$B$3257,"="&amp;'Output - County'!B2903)*VLOOKUP(A2903,'Output - State'!$B$2:$G$52,4,FALSE)</f>
        <v>0.75432474815298234</v>
      </c>
      <c r="F2903" s="98">
        <f>SUMIFS(Input!$C$115:$C$3257,Input!$A$115:$A$3257,"="&amp;'Output - County'!A2903,Input!$B$115:$B$3257,"="&amp;'Output - County'!B2903)*VLOOKUP(A2903,'Output - State'!$B$2:$G$52,5,FALSE)</f>
        <v>35.191070610640601</v>
      </c>
      <c r="G2903" s="99">
        <f>SUMIFS(Input!$D$115:$D$3257,Input!$A$115:$A$3257,"="&amp;'Output - County'!A2903,Input!$B$115:$B$3257,"="&amp;'Output - County'!B2903)*VLOOKUP(A2903,'Output - State'!$B$2:$G$52,6,FALSE)</f>
        <v>5.9086654613181047</v>
      </c>
    </row>
    <row r="2904" spans="1:7" x14ac:dyDescent="0.25">
      <c r="A2904" s="88">
        <v>51</v>
      </c>
      <c r="B2904" s="88">
        <v>173</v>
      </c>
      <c r="C2904" s="97">
        <f>SUMIFS(Input!$C$115:$C$3257,Input!$A$115:$A$3257,"="&amp;'Output - County'!A2904,Input!$B$115:$B$3257,"="&amp;'Output - County'!B2904)*VLOOKUP(A2904,'Output - State'!$B$2:$G$52,2,FALSE)</f>
        <v>7.1421856760321569</v>
      </c>
      <c r="D2904" s="98">
        <f>SUMIFS(Input!$C$115:$C$3257,Input!$A$115:$A$3257,"="&amp;'Output - County'!A2904,Input!$B$115:$B$3257,"="&amp;'Output - County'!B2904)*VLOOKUP(A2904,'Output - State'!$B$2:$G$52,3,FALSE)</f>
        <v>2.1884648001266749</v>
      </c>
      <c r="E2904" s="98">
        <f>SUMIFS(Input!$C$115:$C$3257,Input!$A$115:$A$3257,"="&amp;'Output - County'!A2904,Input!$B$115:$B$3257,"="&amp;'Output - County'!B2904)*VLOOKUP(A2904,'Output - State'!$B$2:$G$52,4,FALSE)</f>
        <v>0.33153655690853151</v>
      </c>
      <c r="F2904" s="98">
        <f>SUMIFS(Input!$C$115:$C$3257,Input!$A$115:$A$3257,"="&amp;'Output - County'!A2904,Input!$B$115:$B$3257,"="&amp;'Output - County'!B2904)*VLOOKUP(A2904,'Output - State'!$B$2:$G$52,5,FALSE)</f>
        <v>15.466980783468374</v>
      </c>
      <c r="G2904" s="99">
        <f>SUMIFS(Input!$D$115:$D$3257,Input!$A$115:$A$3257,"="&amp;'Output - County'!A2904,Input!$B$115:$B$3257,"="&amp;'Output - County'!B2904)*VLOOKUP(A2904,'Output - State'!$B$2:$G$52,6,FALSE)</f>
        <v>4.1428573924184411</v>
      </c>
    </row>
    <row r="2905" spans="1:7" x14ac:dyDescent="0.25">
      <c r="A2905" s="88">
        <v>51</v>
      </c>
      <c r="B2905" s="88">
        <v>175</v>
      </c>
      <c r="C2905" s="97">
        <f>SUMIFS(Input!$C$115:$C$3257,Input!$A$115:$A$3257,"="&amp;'Output - County'!A2905,Input!$B$115:$B$3257,"="&amp;'Output - County'!B2905)*VLOOKUP(A2905,'Output - State'!$B$2:$G$52,2,FALSE)</f>
        <v>5.5549738270033018</v>
      </c>
      <c r="D2905" s="98">
        <f>SUMIFS(Input!$C$115:$C$3257,Input!$A$115:$A$3257,"="&amp;'Output - County'!A2905,Input!$B$115:$B$3257,"="&amp;'Output - County'!B2905)*VLOOKUP(A2905,'Output - State'!$B$2:$G$52,3,FALSE)</f>
        <v>1.7021210645388096</v>
      </c>
      <c r="E2905" s="98">
        <f>SUMIFS(Input!$C$115:$C$3257,Input!$A$115:$A$3257,"="&amp;'Output - County'!A2905,Input!$B$115:$B$3257,"="&amp;'Output - County'!B2905)*VLOOKUP(A2905,'Output - State'!$B$2:$G$52,4,FALSE)</f>
        <v>0.25785900561252667</v>
      </c>
      <c r="F2905" s="98">
        <f>SUMIFS(Input!$C$115:$C$3257,Input!$A$115:$A$3257,"="&amp;'Output - County'!A2905,Input!$B$115:$B$3257,"="&amp;'Output - County'!B2905)*VLOOKUP(A2905,'Output - State'!$B$2:$G$52,5,FALSE)</f>
        <v>12.029745141358742</v>
      </c>
      <c r="G2905" s="99">
        <f>SUMIFS(Input!$D$115:$D$3257,Input!$A$115:$A$3257,"="&amp;'Output - County'!A2905,Input!$B$115:$B$3257,"="&amp;'Output - County'!B2905)*VLOOKUP(A2905,'Output - State'!$B$2:$G$52,6,FALSE)</f>
        <v>2.4042156015018494</v>
      </c>
    </row>
    <row r="2906" spans="1:7" x14ac:dyDescent="0.25">
      <c r="A2906" s="88">
        <v>51</v>
      </c>
      <c r="B2906" s="88">
        <v>177</v>
      </c>
      <c r="C2906" s="97">
        <f>SUMIFS(Input!$C$115:$C$3257,Input!$A$115:$A$3257,"="&amp;'Output - County'!A2906,Input!$B$115:$B$3257,"="&amp;'Output - County'!B2906)*VLOOKUP(A2906,'Output - State'!$B$2:$G$52,2,FALSE)</f>
        <v>25.511872675656331</v>
      </c>
      <c r="D2906" s="98">
        <f>SUMIFS(Input!$C$115:$C$3257,Input!$A$115:$A$3257,"="&amp;'Output - County'!A2906,Input!$B$115:$B$3257,"="&amp;'Output - County'!B2906)*VLOOKUP(A2906,'Output - State'!$B$2:$G$52,3,FALSE)</f>
        <v>7.8171918049328566</v>
      </c>
      <c r="E2906" s="98">
        <f>SUMIFS(Input!$C$115:$C$3257,Input!$A$115:$A$3257,"="&amp;'Output - County'!A2906,Input!$B$115:$B$3257,"="&amp;'Output - County'!B2906)*VLOOKUP(A2906,'Output - State'!$B$2:$G$52,4,FALSE)</f>
        <v>1.1842479054499819</v>
      </c>
      <c r="F2906" s="98">
        <f>SUMIFS(Input!$C$115:$C$3257,Input!$A$115:$A$3257,"="&amp;'Output - County'!A2906,Input!$B$115:$B$3257,"="&amp;'Output - County'!B2906)*VLOOKUP(A2906,'Output - State'!$B$2:$G$52,5,FALSE)</f>
        <v>55.24802382957423</v>
      </c>
      <c r="G2906" s="99">
        <f>SUMIFS(Input!$D$115:$D$3257,Input!$A$115:$A$3257,"="&amp;'Output - County'!A2906,Input!$B$115:$B$3257,"="&amp;'Output - County'!B2906)*VLOOKUP(A2906,'Output - State'!$B$2:$G$52,6,FALSE)</f>
        <v>18.201406248658071</v>
      </c>
    </row>
    <row r="2907" spans="1:7" x14ac:dyDescent="0.25">
      <c r="A2907" s="88">
        <v>51</v>
      </c>
      <c r="B2907" s="88">
        <v>179</v>
      </c>
      <c r="C2907" s="97">
        <f>SUMIFS(Input!$C$115:$C$3257,Input!$A$115:$A$3257,"="&amp;'Output - County'!A2907,Input!$B$115:$B$3257,"="&amp;'Output - County'!B2907)*VLOOKUP(A2907,'Output - State'!$B$2:$G$52,2,FALSE)</f>
        <v>29.234581234724878</v>
      </c>
      <c r="D2907" s="98">
        <f>SUMIFS(Input!$C$115:$C$3257,Input!$A$115:$A$3257,"="&amp;'Output - County'!A2907,Input!$B$115:$B$3257,"="&amp;'Output - County'!B2907)*VLOOKUP(A2907,'Output - State'!$B$2:$G$52,3,FALSE)</f>
        <v>8.9578813658317955</v>
      </c>
      <c r="E2907" s="98">
        <f>SUMIFS(Input!$C$115:$C$3257,Input!$A$115:$A$3257,"="&amp;'Output - County'!A2907,Input!$B$115:$B$3257,"="&amp;'Output - County'!B2907)*VLOOKUP(A2907,'Output - State'!$B$2:$G$52,4,FALSE)</f>
        <v>1.3570541070850499</v>
      </c>
      <c r="F2907" s="98">
        <f>SUMIFS(Input!$C$115:$C$3257,Input!$A$115:$A$3257,"="&amp;'Output - County'!A2907,Input!$B$115:$B$3257,"="&amp;'Output - County'!B2907)*VLOOKUP(A2907,'Output - State'!$B$2:$G$52,5,FALSE)</f>
        <v>63.309850328819557</v>
      </c>
      <c r="G2907" s="99">
        <f>SUMIFS(Input!$D$115:$D$3257,Input!$A$115:$A$3257,"="&amp;'Output - County'!A2907,Input!$B$115:$B$3257,"="&amp;'Output - County'!B2907)*VLOOKUP(A2907,'Output - State'!$B$2:$G$52,6,FALSE)</f>
        <v>20.37470848730381</v>
      </c>
    </row>
    <row r="2908" spans="1:7" x14ac:dyDescent="0.25">
      <c r="A2908" s="88">
        <v>51</v>
      </c>
      <c r="B2908" s="88">
        <v>181</v>
      </c>
      <c r="C2908" s="97">
        <f>SUMIFS(Input!$C$115:$C$3257,Input!$A$115:$A$3257,"="&amp;'Output - County'!A2908,Input!$B$115:$B$3257,"="&amp;'Output - County'!B2908)*VLOOKUP(A2908,'Output - State'!$B$2:$G$52,2,FALSE)</f>
        <v>0.94151596268139714</v>
      </c>
      <c r="D2908" s="98">
        <f>SUMIFS(Input!$C$115:$C$3257,Input!$A$115:$A$3257,"="&amp;'Output - County'!A2908,Input!$B$115:$B$3257,"="&amp;'Output - County'!B2908)*VLOOKUP(A2908,'Output - State'!$B$2:$G$52,3,FALSE)</f>
        <v>0.28849355597127446</v>
      </c>
      <c r="E2908" s="98">
        <f>SUMIFS(Input!$C$115:$C$3257,Input!$A$115:$A$3257,"="&amp;'Output - County'!A2908,Input!$B$115:$B$3257,"="&amp;'Output - County'!B2908)*VLOOKUP(A2908,'Output - State'!$B$2:$G$52,4,FALSE)</f>
        <v>4.3704682950111318E-2</v>
      </c>
      <c r="F2908" s="98">
        <f>SUMIFS(Input!$C$115:$C$3257,Input!$A$115:$A$3257,"="&amp;'Output - County'!A2908,Input!$B$115:$B$3257,"="&amp;'Output - County'!B2908)*VLOOKUP(A2908,'Output - State'!$B$2:$G$52,5,FALSE)</f>
        <v>2.0389289725399644</v>
      </c>
      <c r="G2908" s="99">
        <f>SUMIFS(Input!$D$115:$D$3257,Input!$A$115:$A$3257,"="&amp;'Output - County'!A2908,Input!$B$115:$B$3257,"="&amp;'Output - County'!B2908)*VLOOKUP(A2908,'Output - State'!$B$2:$G$52,6,FALSE)</f>
        <v>0.87747077885321745</v>
      </c>
    </row>
    <row r="2909" spans="1:7" x14ac:dyDescent="0.25">
      <c r="A2909" s="88">
        <v>51</v>
      </c>
      <c r="B2909" s="88">
        <v>183</v>
      </c>
      <c r="C2909" s="97">
        <f>SUMIFS(Input!$C$115:$C$3257,Input!$A$115:$A$3257,"="&amp;'Output - County'!A2909,Input!$B$115:$B$3257,"="&amp;'Output - County'!B2909)*VLOOKUP(A2909,'Output - State'!$B$2:$G$52,2,FALSE)</f>
        <v>6.4821899001566301</v>
      </c>
      <c r="D2909" s="98">
        <f>SUMIFS(Input!$C$115:$C$3257,Input!$A$115:$A$3257,"="&amp;'Output - County'!A2909,Input!$B$115:$B$3257,"="&amp;'Output - County'!B2909)*VLOOKUP(A2909,'Output - State'!$B$2:$G$52,3,FALSE)</f>
        <v>1.9862329359253639</v>
      </c>
      <c r="E2909" s="98">
        <f>SUMIFS(Input!$C$115:$C$3257,Input!$A$115:$A$3257,"="&amp;'Output - County'!A2909,Input!$B$115:$B$3257,"="&amp;'Output - County'!B2909)*VLOOKUP(A2909,'Output - State'!$B$2:$G$52,4,FALSE)</f>
        <v>0.30089989510313464</v>
      </c>
      <c r="F2909" s="98">
        <f>SUMIFS(Input!$C$115:$C$3257,Input!$A$115:$A$3257,"="&amp;'Output - County'!A2909,Input!$B$115:$B$3257,"="&amp;'Output - County'!B2909)*VLOOKUP(A2909,'Output - State'!$B$2:$G$52,5,FALSE)</f>
        <v>14.037706546466429</v>
      </c>
      <c r="G2909" s="99">
        <f>SUMIFS(Input!$D$115:$D$3257,Input!$A$115:$A$3257,"="&amp;'Output - County'!A2909,Input!$B$115:$B$3257,"="&amp;'Output - County'!B2909)*VLOOKUP(A2909,'Output - State'!$B$2:$G$52,6,FALSE)</f>
        <v>1.5213115670520179</v>
      </c>
    </row>
    <row r="2910" spans="1:7" x14ac:dyDescent="0.25">
      <c r="A2910" s="88">
        <v>51</v>
      </c>
      <c r="B2910" s="88">
        <v>185</v>
      </c>
      <c r="C2910" s="97">
        <f>SUMIFS(Input!$C$115:$C$3257,Input!$A$115:$A$3257,"="&amp;'Output - County'!A2910,Input!$B$115:$B$3257,"="&amp;'Output - County'!B2910)*VLOOKUP(A2910,'Output - State'!$B$2:$G$52,2,FALSE)</f>
        <v>5.7983941268453023</v>
      </c>
      <c r="D2910" s="98">
        <f>SUMIFS(Input!$C$115:$C$3257,Input!$A$115:$A$3257,"="&amp;'Output - County'!A2910,Input!$B$115:$B$3257,"="&amp;'Output - County'!B2910)*VLOOKUP(A2910,'Output - State'!$B$2:$G$52,3,FALSE)</f>
        <v>1.7767084222475564</v>
      </c>
      <c r="E2910" s="98">
        <f>SUMIFS(Input!$C$115:$C$3257,Input!$A$115:$A$3257,"="&amp;'Output - County'!A2910,Input!$B$115:$B$3257,"="&amp;'Output - County'!B2910)*VLOOKUP(A2910,'Output - State'!$B$2:$G$52,4,FALSE)</f>
        <v>0.26915844975356634</v>
      </c>
      <c r="F2910" s="98">
        <f>SUMIFS(Input!$C$115:$C$3257,Input!$A$115:$A$3257,"="&amp;'Output - County'!A2910,Input!$B$115:$B$3257,"="&amp;'Output - County'!B2910)*VLOOKUP(A2910,'Output - State'!$B$2:$G$52,5,FALSE)</f>
        <v>12.556891489933365</v>
      </c>
      <c r="G2910" s="99">
        <f>SUMIFS(Input!$D$115:$D$3257,Input!$A$115:$A$3257,"="&amp;'Output - County'!A2910,Input!$B$115:$B$3257,"="&amp;'Output - County'!B2910)*VLOOKUP(A2910,'Output - State'!$B$2:$G$52,6,FALSE)</f>
        <v>5.5826701255212443</v>
      </c>
    </row>
    <row r="2911" spans="1:7" x14ac:dyDescent="0.25">
      <c r="A2911" s="88">
        <v>51</v>
      </c>
      <c r="B2911" s="88">
        <v>187</v>
      </c>
      <c r="C2911" s="97">
        <f>SUMIFS(Input!$C$115:$C$3257,Input!$A$115:$A$3257,"="&amp;'Output - County'!A2911,Input!$B$115:$B$3257,"="&amp;'Output - County'!B2911)*VLOOKUP(A2911,'Output - State'!$B$2:$G$52,2,FALSE)</f>
        <v>9.8010233186675091</v>
      </c>
      <c r="D2911" s="98">
        <f>SUMIFS(Input!$C$115:$C$3257,Input!$A$115:$A$3257,"="&amp;'Output - County'!A2911,Input!$B$115:$B$3257,"="&amp;'Output - County'!B2911)*VLOOKUP(A2911,'Output - State'!$B$2:$G$52,3,FALSE)</f>
        <v>3.0031695493585486</v>
      </c>
      <c r="E2911" s="98">
        <f>SUMIFS(Input!$C$115:$C$3257,Input!$A$115:$A$3257,"="&amp;'Output - County'!A2911,Input!$B$115:$B$3257,"="&amp;'Output - County'!B2911)*VLOOKUP(A2911,'Output - State'!$B$2:$G$52,4,FALSE)</f>
        <v>0.45495842206337861</v>
      </c>
      <c r="F2911" s="98">
        <f>SUMIFS(Input!$C$115:$C$3257,Input!$A$115:$A$3257,"="&amp;'Output - County'!A2911,Input!$B$115:$B$3257,"="&amp;'Output - County'!B2911)*VLOOKUP(A2911,'Output - State'!$B$2:$G$52,5,FALSE)</f>
        <v>21.224908761035309</v>
      </c>
      <c r="G2911" s="99">
        <f>SUMIFS(Input!$D$115:$D$3257,Input!$A$115:$A$3257,"="&amp;'Output - County'!A2911,Input!$B$115:$B$3257,"="&amp;'Output - County'!B2911)*VLOOKUP(A2911,'Output - State'!$B$2:$G$52,6,FALSE)</f>
        <v>5.4332555966143499</v>
      </c>
    </row>
    <row r="2912" spans="1:7" x14ac:dyDescent="0.25">
      <c r="A2912" s="88">
        <v>51</v>
      </c>
      <c r="B2912" s="88">
        <v>191</v>
      </c>
      <c r="C2912" s="97">
        <f>SUMIFS(Input!$C$115:$C$3257,Input!$A$115:$A$3257,"="&amp;'Output - County'!A2912,Input!$B$115:$B$3257,"="&amp;'Output - County'!B2912)*VLOOKUP(A2912,'Output - State'!$B$2:$G$52,2,FALSE)</f>
        <v>13.532799333349754</v>
      </c>
      <c r="D2912" s="98">
        <f>SUMIFS(Input!$C$115:$C$3257,Input!$A$115:$A$3257,"="&amp;'Output - County'!A2912,Input!$B$115:$B$3257,"="&amp;'Output - County'!B2912)*VLOOKUP(A2912,'Output - State'!$B$2:$G$52,3,FALSE)</f>
        <v>4.1466375044826442</v>
      </c>
      <c r="E2912" s="98">
        <f>SUMIFS(Input!$C$115:$C$3257,Input!$A$115:$A$3257,"="&amp;'Output - County'!A2912,Input!$B$115:$B$3257,"="&amp;'Output - County'!B2912)*VLOOKUP(A2912,'Output - State'!$B$2:$G$52,4,FALSE)</f>
        <v>0.62818553028789215</v>
      </c>
      <c r="F2912" s="98">
        <f>SUMIFS(Input!$C$115:$C$3257,Input!$A$115:$A$3257,"="&amp;'Output - County'!A2912,Input!$B$115:$B$3257,"="&amp;'Output - County'!B2912)*VLOOKUP(A2912,'Output - State'!$B$2:$G$52,5,FALSE)</f>
        <v>29.306371568841282</v>
      </c>
      <c r="G2912" s="99">
        <f>SUMIFS(Input!$D$115:$D$3257,Input!$A$115:$A$3257,"="&amp;'Output - County'!A2912,Input!$B$115:$B$3257,"="&amp;'Output - County'!B2912)*VLOOKUP(A2912,'Output - State'!$B$2:$G$52,6,FALSE)</f>
        <v>7.3484781944209088</v>
      </c>
    </row>
    <row r="2913" spans="1:7" x14ac:dyDescent="0.25">
      <c r="A2913" s="88">
        <v>51</v>
      </c>
      <c r="B2913" s="88">
        <v>193</v>
      </c>
      <c r="C2913" s="97">
        <f>SUMIFS(Input!$C$115:$C$3257,Input!$A$115:$A$3257,"="&amp;'Output - County'!A2913,Input!$B$115:$B$3257,"="&amp;'Output - County'!B2913)*VLOOKUP(A2913,'Output - State'!$B$2:$G$52,2,FALSE)</f>
        <v>2.1432980725618949</v>
      </c>
      <c r="D2913" s="98">
        <f>SUMIFS(Input!$C$115:$C$3257,Input!$A$115:$A$3257,"="&amp;'Output - County'!A2913,Input!$B$115:$B$3257,"="&amp;'Output - County'!B2913)*VLOOKUP(A2913,'Output - State'!$B$2:$G$52,3,FALSE)</f>
        <v>0.65673627104397569</v>
      </c>
      <c r="E2913" s="98">
        <f>SUMIFS(Input!$C$115:$C$3257,Input!$A$115:$A$3257,"="&amp;'Output - County'!A2913,Input!$B$115:$B$3257,"="&amp;'Output - County'!B2913)*VLOOKUP(A2913,'Output - State'!$B$2:$G$52,4,FALSE)</f>
        <v>9.9490785543484547E-2</v>
      </c>
      <c r="F2913" s="98">
        <f>SUMIFS(Input!$C$115:$C$3257,Input!$A$115:$A$3257,"="&amp;'Output - County'!A2913,Input!$B$115:$B$3257,"="&amp;'Output - County'!B2913)*VLOOKUP(A2913,'Output - State'!$B$2:$G$52,5,FALSE)</f>
        <v>4.6414853386976516</v>
      </c>
      <c r="G2913" s="99">
        <f>SUMIFS(Input!$D$115:$D$3257,Input!$A$115:$A$3257,"="&amp;'Output - County'!A2913,Input!$B$115:$B$3257,"="&amp;'Output - County'!B2913)*VLOOKUP(A2913,'Output - State'!$B$2:$G$52,6,FALSE)</f>
        <v>2.4177987404933856</v>
      </c>
    </row>
    <row r="2914" spans="1:7" x14ac:dyDescent="0.25">
      <c r="A2914" s="88">
        <v>51</v>
      </c>
      <c r="B2914" s="88">
        <v>195</v>
      </c>
      <c r="C2914" s="97">
        <f>SUMIFS(Input!$C$115:$C$3257,Input!$A$115:$A$3257,"="&amp;'Output - County'!A2914,Input!$B$115:$B$3257,"="&amp;'Output - County'!B2914)*VLOOKUP(A2914,'Output - State'!$B$2:$G$52,2,FALSE)</f>
        <v>5.6131938443051066</v>
      </c>
      <c r="D2914" s="98">
        <f>SUMIFS(Input!$C$115:$C$3257,Input!$A$115:$A$3257,"="&amp;'Output - County'!A2914,Input!$B$115:$B$3257,"="&amp;'Output - County'!B2914)*VLOOKUP(A2914,'Output - State'!$B$2:$G$52,3,FALSE)</f>
        <v>1.7199604857338282</v>
      </c>
      <c r="E2914" s="98">
        <f>SUMIFS(Input!$C$115:$C$3257,Input!$A$115:$A$3257,"="&amp;'Output - County'!A2914,Input!$B$115:$B$3257,"="&amp;'Output - County'!B2914)*VLOOKUP(A2914,'Output - State'!$B$2:$G$52,4,FALSE)</f>
        <v>0.2605615486371598</v>
      </c>
      <c r="F2914" s="98">
        <f>SUMIFS(Input!$C$115:$C$3257,Input!$A$115:$A$3257,"="&amp;'Output - County'!A2914,Input!$B$115:$B$3257,"="&amp;'Output - County'!B2914)*VLOOKUP(A2914,'Output - State'!$B$2:$G$52,5,FALSE)</f>
        <v>12.155825298003519</v>
      </c>
      <c r="G2914" s="99">
        <f>SUMIFS(Input!$D$115:$D$3257,Input!$A$115:$A$3257,"="&amp;'Output - County'!A2914,Input!$B$115:$B$3257,"="&amp;'Output - County'!B2914)*VLOOKUP(A2914,'Output - State'!$B$2:$G$52,6,FALSE)</f>
        <v>5.1480096777920963</v>
      </c>
    </row>
    <row r="2915" spans="1:7" x14ac:dyDescent="0.25">
      <c r="A2915" s="88">
        <v>51</v>
      </c>
      <c r="B2915" s="88">
        <v>197</v>
      </c>
      <c r="C2915" s="97">
        <f>SUMIFS(Input!$C$115:$C$3257,Input!$A$115:$A$3257,"="&amp;'Output - County'!A2915,Input!$B$115:$B$3257,"="&amp;'Output - County'!B2915)*VLOOKUP(A2915,'Output - State'!$B$2:$G$52,2,FALSE)</f>
        <v>13.233231435596259</v>
      </c>
      <c r="D2915" s="98">
        <f>SUMIFS(Input!$C$115:$C$3257,Input!$A$115:$A$3257,"="&amp;'Output - County'!A2915,Input!$B$115:$B$3257,"="&amp;'Output - County'!B2915)*VLOOKUP(A2915,'Output - State'!$B$2:$G$52,3,FALSE)</f>
        <v>4.0548457436381282</v>
      </c>
      <c r="E2915" s="98">
        <f>SUMIFS(Input!$C$115:$C$3257,Input!$A$115:$A$3257,"="&amp;'Output - County'!A2915,Input!$B$115:$B$3257,"="&amp;'Output - County'!B2915)*VLOOKUP(A2915,'Output - State'!$B$2:$G$52,4,FALSE)</f>
        <v>0.61427974375607286</v>
      </c>
      <c r="F2915" s="98">
        <f>SUMIFS(Input!$C$115:$C$3257,Input!$A$115:$A$3257,"="&amp;'Output - County'!A2915,Input!$B$115:$B$3257,"="&amp;'Output - County'!B2915)*VLOOKUP(A2915,'Output - State'!$B$2:$G$52,5,FALSE)</f>
        <v>28.657633055441082</v>
      </c>
      <c r="G2915" s="99">
        <f>SUMIFS(Input!$D$115:$D$3257,Input!$A$115:$A$3257,"="&amp;'Output - County'!A2915,Input!$B$115:$B$3257,"="&amp;'Output - County'!B2915)*VLOOKUP(A2915,'Output - State'!$B$2:$G$52,6,FALSE)</f>
        <v>3.898360890570796</v>
      </c>
    </row>
    <row r="2916" spans="1:7" x14ac:dyDescent="0.25">
      <c r="A2916" s="88">
        <v>51</v>
      </c>
      <c r="B2916" s="88">
        <v>199</v>
      </c>
      <c r="C2916" s="97">
        <f>SUMIFS(Input!$C$115:$C$3257,Input!$A$115:$A$3257,"="&amp;'Output - County'!A2916,Input!$B$115:$B$3257,"="&amp;'Output - County'!B2916)*VLOOKUP(A2916,'Output - State'!$B$2:$G$52,2,FALSE)</f>
        <v>14.7652559525631</v>
      </c>
      <c r="D2916" s="98">
        <f>SUMIFS(Input!$C$115:$C$3257,Input!$A$115:$A$3257,"="&amp;'Output - County'!A2916,Input!$B$115:$B$3257,"="&amp;'Output - County'!B2916)*VLOOKUP(A2916,'Output - State'!$B$2:$G$52,3,FALSE)</f>
        <v>4.5242793148716958</v>
      </c>
      <c r="E2916" s="98">
        <f>SUMIFS(Input!$C$115:$C$3257,Input!$A$115:$A$3257,"="&amp;'Output - County'!A2916,Input!$B$115:$B$3257,"="&amp;'Output - County'!B2916)*VLOOKUP(A2916,'Output - State'!$B$2:$G$52,4,FALSE)</f>
        <v>0.68539552770427437</v>
      </c>
      <c r="F2916" s="98">
        <f>SUMIFS(Input!$C$115:$C$3257,Input!$A$115:$A$3257,"="&amp;'Output - County'!A2916,Input!$B$115:$B$3257,"="&amp;'Output - County'!B2916)*VLOOKUP(A2916,'Output - State'!$B$2:$G$52,5,FALSE)</f>
        <v>31.97535606609414</v>
      </c>
      <c r="G2916" s="99">
        <f>SUMIFS(Input!$D$115:$D$3257,Input!$A$115:$A$3257,"="&amp;'Output - County'!A2916,Input!$B$115:$B$3257,"="&amp;'Output - County'!B2916)*VLOOKUP(A2916,'Output - State'!$B$2:$G$52,6,FALSE)</f>
        <v>9.2365345142443953</v>
      </c>
    </row>
    <row r="2917" spans="1:7" x14ac:dyDescent="0.25">
      <c r="A2917" s="88">
        <v>51</v>
      </c>
      <c r="B2917" s="88">
        <v>510</v>
      </c>
      <c r="C2917" s="97">
        <f>SUMIFS(Input!$C$115:$C$3257,Input!$A$115:$A$3257,"="&amp;'Output - County'!A2917,Input!$B$115:$B$3257,"="&amp;'Output - County'!B2917)*VLOOKUP(A2917,'Output - State'!$B$2:$G$52,2,FALSE)</f>
        <v>15.200850424513135</v>
      </c>
      <c r="D2917" s="98">
        <f>SUMIFS(Input!$C$115:$C$3257,Input!$A$115:$A$3257,"="&amp;'Output - County'!A2917,Input!$B$115:$B$3257,"="&amp;'Output - County'!B2917)*VLOOKUP(A2917,'Output - State'!$B$2:$G$52,3,FALSE)</f>
        <v>4.6577515056313761</v>
      </c>
      <c r="E2917" s="98">
        <f>SUMIFS(Input!$C$115:$C$3257,Input!$A$115:$A$3257,"="&amp;'Output - County'!A2917,Input!$B$115:$B$3257,"="&amp;'Output - County'!B2917)*VLOOKUP(A2917,'Output - State'!$B$2:$G$52,4,FALSE)</f>
        <v>0.70561559730052359</v>
      </c>
      <c r="F2917" s="98">
        <f>SUMIFS(Input!$C$115:$C$3257,Input!$A$115:$A$3257,"="&amp;'Output - County'!A2917,Input!$B$115:$B$3257,"="&amp;'Output - County'!B2917)*VLOOKUP(A2917,'Output - State'!$B$2:$G$52,5,FALSE)</f>
        <v>32.918671128547004</v>
      </c>
      <c r="G2917" s="99">
        <f>SUMIFS(Input!$D$115:$D$3257,Input!$A$115:$A$3257,"="&amp;'Output - County'!A2917,Input!$B$115:$B$3257,"="&amp;'Output - County'!B2917)*VLOOKUP(A2917,'Output - State'!$B$2:$G$52,6,FALSE)</f>
        <v>21.597190996542039</v>
      </c>
    </row>
    <row r="2918" spans="1:7" x14ac:dyDescent="0.25">
      <c r="A2918" s="88">
        <v>51</v>
      </c>
      <c r="B2918" s="88">
        <v>515</v>
      </c>
      <c r="C2918" s="97">
        <f>SUMIFS(Input!$C$115:$C$3257,Input!$A$115:$A$3257,"="&amp;'Output - County'!A2918,Input!$B$115:$B$3257,"="&amp;'Output - County'!B2918)*VLOOKUP(A2918,'Output - State'!$B$2:$G$52,2,FALSE)</f>
        <v>0</v>
      </c>
      <c r="D2918" s="98">
        <f>SUMIFS(Input!$C$115:$C$3257,Input!$A$115:$A$3257,"="&amp;'Output - County'!A2918,Input!$B$115:$B$3257,"="&amp;'Output - County'!B2918)*VLOOKUP(A2918,'Output - State'!$B$2:$G$52,3,FALSE)</f>
        <v>0</v>
      </c>
      <c r="E2918" s="98">
        <f>SUMIFS(Input!$C$115:$C$3257,Input!$A$115:$A$3257,"="&amp;'Output - County'!A2918,Input!$B$115:$B$3257,"="&amp;'Output - County'!B2918)*VLOOKUP(A2918,'Output - State'!$B$2:$G$52,4,FALSE)</f>
        <v>0</v>
      </c>
      <c r="F2918" s="98">
        <f>SUMIFS(Input!$C$115:$C$3257,Input!$A$115:$A$3257,"="&amp;'Output - County'!A2918,Input!$B$115:$B$3257,"="&amp;'Output - County'!B2918)*VLOOKUP(A2918,'Output - State'!$B$2:$G$52,5,FALSE)</f>
        <v>0</v>
      </c>
      <c r="G2918" s="99">
        <f>SUMIFS(Input!$D$115:$D$3257,Input!$A$115:$A$3257,"="&amp;'Output - County'!A2918,Input!$B$115:$B$3257,"="&amp;'Output - County'!B2918)*VLOOKUP(A2918,'Output - State'!$B$2:$G$52,6,FALSE)</f>
        <v>0</v>
      </c>
    </row>
    <row r="2919" spans="1:7" x14ac:dyDescent="0.25">
      <c r="A2919" s="88">
        <v>51</v>
      </c>
      <c r="B2919" s="88">
        <v>520</v>
      </c>
      <c r="C2919" s="97">
        <f>SUMIFS(Input!$C$115:$C$3257,Input!$A$115:$A$3257,"="&amp;'Output - County'!A2919,Input!$B$115:$B$3257,"="&amp;'Output - County'!B2919)*VLOOKUP(A2919,'Output - State'!$B$2:$G$52,2,FALSE)</f>
        <v>4.2325704444168428</v>
      </c>
      <c r="D2919" s="98">
        <f>SUMIFS(Input!$C$115:$C$3257,Input!$A$115:$A$3257,"="&amp;'Output - County'!A2919,Input!$B$115:$B$3257,"="&amp;'Output - County'!B2919)*VLOOKUP(A2919,'Output - State'!$B$2:$G$52,3,FALSE)</f>
        <v>1.2969183177002963</v>
      </c>
      <c r="E2919" s="98">
        <f>SUMIFS(Input!$C$115:$C$3257,Input!$A$115:$A$3257,"="&amp;'Output - County'!A2919,Input!$B$115:$B$3257,"="&amp;'Output - County'!B2919)*VLOOKUP(A2919,'Output - State'!$B$2:$G$52,4,FALSE)</f>
        <v>0.19647372606453295</v>
      </c>
      <c r="F2919" s="98">
        <f>SUMIFS(Input!$C$115:$C$3257,Input!$A$115:$A$3257,"="&amp;'Output - County'!A2919,Input!$B$115:$B$3257,"="&amp;'Output - County'!B2919)*VLOOKUP(A2919,'Output - State'!$B$2:$G$52,5,FALSE)</f>
        <v>9.1659736525977085</v>
      </c>
      <c r="G2919" s="99">
        <f>SUMIFS(Input!$D$115:$D$3257,Input!$A$115:$A$3257,"="&amp;'Output - County'!A2919,Input!$B$115:$B$3257,"="&amp;'Output - County'!B2919)*VLOOKUP(A2919,'Output - State'!$B$2:$G$52,6,FALSE)</f>
        <v>2.2683842115864912</v>
      </c>
    </row>
    <row r="2920" spans="1:7" x14ac:dyDescent="0.25">
      <c r="A2920" s="88">
        <v>51</v>
      </c>
      <c r="B2920" s="88">
        <v>530</v>
      </c>
      <c r="C2920" s="97">
        <f>SUMIFS(Input!$C$115:$C$3257,Input!$A$115:$A$3257,"="&amp;'Output - County'!A2920,Input!$B$115:$B$3257,"="&amp;'Output - County'!B2920)*VLOOKUP(A2920,'Output - State'!$B$2:$G$52,2,FALSE)</f>
        <v>0.38771642081730645</v>
      </c>
      <c r="D2920" s="98">
        <f>SUMIFS(Input!$C$115:$C$3257,Input!$A$115:$A$3257,"="&amp;'Output - County'!A2920,Input!$B$115:$B$3257,"="&amp;'Output - County'!B2920)*VLOOKUP(A2920,'Output - State'!$B$2:$G$52,3,FALSE)</f>
        <v>0.11880169150981285</v>
      </c>
      <c r="E2920" s="98">
        <f>SUMIFS(Input!$C$115:$C$3257,Input!$A$115:$A$3257,"="&amp;'Output - County'!A2920,Input!$B$115:$B$3257,"="&amp;'Output - County'!B2920)*VLOOKUP(A2920,'Output - State'!$B$2:$G$52,4,FALSE)</f>
        <v>1.7997595280396114E-2</v>
      </c>
      <c r="F2920" s="98">
        <f>SUMIFS(Input!$C$115:$C$3257,Input!$A$115:$A$3257,"="&amp;'Output - County'!A2920,Input!$B$115:$B$3257,"="&amp;'Output - County'!B2920)*VLOOKUP(A2920,'Output - State'!$B$2:$G$52,5,FALSE)</f>
        <v>0.83963127006632809</v>
      </c>
      <c r="G2920" s="99">
        <f>SUMIFS(Input!$D$115:$D$3257,Input!$A$115:$A$3257,"="&amp;'Output - County'!A2920,Input!$B$115:$B$3257,"="&amp;'Output - County'!B2920)*VLOOKUP(A2920,'Output - State'!$B$2:$G$52,6,FALSE)</f>
        <v>0.88154572055067826</v>
      </c>
    </row>
    <row r="2921" spans="1:7" x14ac:dyDescent="0.25">
      <c r="A2921" s="88">
        <v>51</v>
      </c>
      <c r="B2921" s="88">
        <v>540</v>
      </c>
      <c r="C2921" s="97">
        <f>SUMIFS(Input!$C$115:$C$3257,Input!$A$115:$A$3257,"="&amp;'Output - County'!A2921,Input!$B$115:$B$3257,"="&amp;'Output - County'!B2921)*VLOOKUP(A2921,'Output - State'!$B$2:$G$52,2,FALSE)</f>
        <v>4.2021982686589912</v>
      </c>
      <c r="D2921" s="98">
        <f>SUMIFS(Input!$C$115:$C$3257,Input!$A$115:$A$3257,"="&amp;'Output - County'!A2921,Input!$B$115:$B$3257,"="&amp;'Output - County'!B2921)*VLOOKUP(A2921,'Output - State'!$B$2:$G$52,3,FALSE)</f>
        <v>1.2876118615866763</v>
      </c>
      <c r="E2921" s="98">
        <f>SUMIFS(Input!$C$115:$C$3257,Input!$A$115:$A$3257,"="&amp;'Output - County'!A2921,Input!$B$115:$B$3257,"="&amp;'Output - County'!B2921)*VLOOKUP(A2921,'Output - State'!$B$2:$G$52,4,FALSE)</f>
        <v>0.19506386540935983</v>
      </c>
      <c r="F2921" s="98">
        <f>SUMIFS(Input!$C$115:$C$3257,Input!$A$115:$A$3257,"="&amp;'Output - County'!A2921,Input!$B$115:$B$3257,"="&amp;'Output - County'!B2921)*VLOOKUP(A2921,'Output - State'!$B$2:$G$52,5,FALSE)</f>
        <v>9.1002002493137173</v>
      </c>
      <c r="G2921" s="99">
        <f>SUMIFS(Input!$D$115:$D$3257,Input!$A$115:$A$3257,"="&amp;'Output - County'!A2921,Input!$B$115:$B$3257,"="&amp;'Output - County'!B2921)*VLOOKUP(A2921,'Output - State'!$B$2:$G$52,6,FALSE)</f>
        <v>6.4519910209795404</v>
      </c>
    </row>
    <row r="2922" spans="1:7" x14ac:dyDescent="0.25">
      <c r="A2922" s="88">
        <v>51</v>
      </c>
      <c r="B2922" s="88">
        <v>550</v>
      </c>
      <c r="C2922" s="97">
        <f>SUMIFS(Input!$C$115:$C$3257,Input!$A$115:$A$3257,"="&amp;'Output - County'!A2922,Input!$B$115:$B$3257,"="&amp;'Output - County'!B2922)*VLOOKUP(A2922,'Output - State'!$B$2:$G$52,2,FALSE)</f>
        <v>42.1371133214869</v>
      </c>
      <c r="D2922" s="98">
        <f>SUMIFS(Input!$C$115:$C$3257,Input!$A$115:$A$3257,"="&amp;'Output - County'!A2922,Input!$B$115:$B$3257,"="&amp;'Output - County'!B2922)*VLOOKUP(A2922,'Output - State'!$B$2:$G$52,3,FALSE)</f>
        <v>12.911396240016723</v>
      </c>
      <c r="E2922" s="98">
        <f>SUMIFS(Input!$C$115:$C$3257,Input!$A$115:$A$3257,"="&amp;'Output - County'!A2922,Input!$B$115:$B$3257,"="&amp;'Output - County'!B2922)*VLOOKUP(A2922,'Output - State'!$B$2:$G$52,4,FALSE)</f>
        <v>1.9559829584872142</v>
      </c>
      <c r="F2922" s="98">
        <f>SUMIFS(Input!$C$115:$C$3257,Input!$A$115:$A$3257,"="&amp;'Output - County'!A2922,Input!$B$115:$B$3257,"="&amp;'Output - County'!B2922)*VLOOKUP(A2922,'Output - State'!$B$2:$G$52,5,FALSE)</f>
        <v>91.251327195450074</v>
      </c>
      <c r="G2922" s="99">
        <f>SUMIFS(Input!$D$115:$D$3257,Input!$A$115:$A$3257,"="&amp;'Output - County'!A2922,Input!$B$115:$B$3257,"="&amp;'Output - County'!B2922)*VLOOKUP(A2922,'Output - State'!$B$2:$G$52,6,FALSE)</f>
        <v>32.871196359516816</v>
      </c>
    </row>
    <row r="2923" spans="1:7" x14ac:dyDescent="0.25">
      <c r="A2923" s="88">
        <v>51</v>
      </c>
      <c r="B2923" s="88">
        <v>570</v>
      </c>
      <c r="C2923" s="97">
        <f>SUMIFS(Input!$C$115:$C$3257,Input!$A$115:$A$3257,"="&amp;'Output - County'!A2923,Input!$B$115:$B$3257,"="&amp;'Output - County'!B2923)*VLOOKUP(A2923,'Output - State'!$B$2:$G$52,2,FALSE)</f>
        <v>4.130179178071355</v>
      </c>
      <c r="D2923" s="98">
        <f>SUMIFS(Input!$C$115:$C$3257,Input!$A$115:$A$3257,"="&amp;'Output - County'!A2923,Input!$B$115:$B$3257,"="&amp;'Output - County'!B2923)*VLOOKUP(A2923,'Output - State'!$B$2:$G$52,3,FALSE)</f>
        <v>1.2655442128531673</v>
      </c>
      <c r="E2923" s="98">
        <f>SUMIFS(Input!$C$115:$C$3257,Input!$A$115:$A$3257,"="&amp;'Output - County'!A2923,Input!$B$115:$B$3257,"="&amp;'Output - County'!B2923)*VLOOKUP(A2923,'Output - State'!$B$2:$G$52,4,FALSE)</f>
        <v>0.19172077655558845</v>
      </c>
      <c r="F2923" s="98">
        <f>SUMIFS(Input!$C$115:$C$3257,Input!$A$115:$A$3257,"="&amp;'Output - County'!A2923,Input!$B$115:$B$3257,"="&amp;'Output - County'!B2923)*VLOOKUP(A2923,'Output - State'!$B$2:$G$52,5,FALSE)</f>
        <v>8.9442370833181943</v>
      </c>
      <c r="G2923" s="99">
        <f>SUMIFS(Input!$D$115:$D$3257,Input!$A$115:$A$3257,"="&amp;'Output - County'!A2923,Input!$B$115:$B$3257,"="&amp;'Output - County'!B2923)*VLOOKUP(A2923,'Output - State'!$B$2:$G$52,6,FALSE)</f>
        <v>2.377049323518778</v>
      </c>
    </row>
    <row r="2924" spans="1:7" x14ac:dyDescent="0.25">
      <c r="A2924" s="88">
        <v>51</v>
      </c>
      <c r="B2924" s="88">
        <v>580</v>
      </c>
      <c r="C2924" s="97">
        <f>SUMIFS(Input!$C$115:$C$3257,Input!$A$115:$A$3257,"="&amp;'Output - County'!A2924,Input!$B$115:$B$3257,"="&amp;'Output - County'!B2924)*VLOOKUP(A2924,'Output - State'!$B$2:$G$52,2,FALSE)</f>
        <v>0.64232082999244744</v>
      </c>
      <c r="D2924" s="98">
        <f>SUMIFS(Input!$C$115:$C$3257,Input!$A$115:$A$3257,"="&amp;'Output - County'!A2924,Input!$B$115:$B$3257,"="&amp;'Output - County'!B2924)*VLOOKUP(A2924,'Output - State'!$B$2:$G$52,3,FALSE)</f>
        <v>0.19681601551523323</v>
      </c>
      <c r="E2924" s="98">
        <f>SUMIFS(Input!$C$115:$C$3257,Input!$A$115:$A$3257,"="&amp;'Output - County'!A2924,Input!$B$115:$B$3257,"="&amp;'Output - County'!B2924)*VLOOKUP(A2924,'Output - State'!$B$2:$G$52,4,FALSE)</f>
        <v>2.9816199979364334E-2</v>
      </c>
      <c r="F2924" s="98">
        <f>SUMIFS(Input!$C$115:$C$3257,Input!$A$115:$A$3257,"="&amp;'Output - County'!A2924,Input!$B$115:$B$3257,"="&amp;'Output - County'!B2924)*VLOOKUP(A2924,'Output - State'!$B$2:$G$52,5,FALSE)</f>
        <v>1.3909977120384669</v>
      </c>
      <c r="G2924" s="99">
        <f>SUMIFS(Input!$D$115:$D$3257,Input!$A$115:$A$3257,"="&amp;'Output - County'!A2924,Input!$B$115:$B$3257,"="&amp;'Output - County'!B2924)*VLOOKUP(A2924,'Output - State'!$B$2:$G$52,6,FALSE)</f>
        <v>0.75793915572770176</v>
      </c>
    </row>
    <row r="2925" spans="1:7" x14ac:dyDescent="0.25">
      <c r="A2925" s="88">
        <v>51</v>
      </c>
      <c r="B2925" s="88">
        <v>590</v>
      </c>
      <c r="C2925" s="97">
        <f>SUMIFS(Input!$C$115:$C$3257,Input!$A$115:$A$3257,"="&amp;'Output - County'!A2925,Input!$B$115:$B$3257,"="&amp;'Output - County'!B2925)*VLOOKUP(A2925,'Output - State'!$B$2:$G$52,2,FALSE)</f>
        <v>6.7781621786681692</v>
      </c>
      <c r="D2925" s="98">
        <f>SUMIFS(Input!$C$115:$C$3257,Input!$A$115:$A$3257,"="&amp;'Output - County'!A2925,Input!$B$115:$B$3257,"="&amp;'Output - County'!B2925)*VLOOKUP(A2925,'Output - State'!$B$2:$G$52,3,FALSE)</f>
        <v>2.0769229491393073</v>
      </c>
      <c r="E2925" s="98">
        <f>SUMIFS(Input!$C$115:$C$3257,Input!$A$115:$A$3257,"="&amp;'Output - County'!A2925,Input!$B$115:$B$3257,"="&amp;'Output - County'!B2925)*VLOOKUP(A2925,'Output - State'!$B$2:$G$52,4,FALSE)</f>
        <v>0.31463877485354214</v>
      </c>
      <c r="F2925" s="98">
        <f>SUMIFS(Input!$C$115:$C$3257,Input!$A$115:$A$3257,"="&amp;'Output - County'!A2925,Input!$B$115:$B$3257,"="&amp;'Output - County'!B2925)*VLOOKUP(A2925,'Output - State'!$B$2:$G$52,5,FALSE)</f>
        <v>14.678658455563328</v>
      </c>
      <c r="G2925" s="99">
        <f>SUMIFS(Input!$D$115:$D$3257,Input!$A$115:$A$3257,"="&amp;'Output - County'!A2925,Input!$B$115:$B$3257,"="&amp;'Output - County'!B2925)*VLOOKUP(A2925,'Output - State'!$B$2:$G$52,6,FALSE)</f>
        <v>5.5147544305635643</v>
      </c>
    </row>
    <row r="2926" spans="1:7" x14ac:dyDescent="0.25">
      <c r="A2926" s="88">
        <v>51</v>
      </c>
      <c r="B2926" s="88">
        <v>595</v>
      </c>
      <c r="C2926" s="97">
        <f>SUMIFS(Input!$C$115:$C$3257,Input!$A$115:$A$3257,"="&amp;'Output - County'!A2926,Input!$B$115:$B$3257,"="&amp;'Output - County'!B2926)*VLOOKUP(A2926,'Output - State'!$B$2:$G$52,2,FALSE)</f>
        <v>1.3015387960451783</v>
      </c>
      <c r="D2926" s="98">
        <f>SUMIFS(Input!$C$115:$C$3257,Input!$A$115:$A$3257,"="&amp;'Output - County'!A2926,Input!$B$115:$B$3257,"="&amp;'Output - County'!B2926)*VLOOKUP(A2926,'Output - State'!$B$2:$G$52,3,FALSE)</f>
        <v>0.39880954799351259</v>
      </c>
      <c r="E2926" s="98">
        <f>SUMIFS(Input!$C$115:$C$3257,Input!$A$115:$A$3257,"="&amp;'Output - County'!A2926,Input!$B$115:$B$3257,"="&amp;'Output - County'!B2926)*VLOOKUP(A2926,'Output - State'!$B$2:$G$52,4,FALSE)</f>
        <v>6.041675625596702E-2</v>
      </c>
      <c r="F2926" s="98">
        <f>SUMIFS(Input!$C$115:$C$3257,Input!$A$115:$A$3257,"="&amp;'Output - County'!A2926,Input!$B$115:$B$3257,"="&amp;'Output - County'!B2926)*VLOOKUP(A2926,'Output - State'!$B$2:$G$52,5,FALSE)</f>
        <v>2.8185875389553088</v>
      </c>
      <c r="G2926" s="99">
        <f>SUMIFS(Input!$D$115:$D$3257,Input!$A$115:$A$3257,"="&amp;'Output - County'!A2926,Input!$B$115:$B$3257,"="&amp;'Output - County'!B2926)*VLOOKUP(A2926,'Output - State'!$B$2:$G$52,6,FALSE)</f>
        <v>0.72805624994632279</v>
      </c>
    </row>
    <row r="2927" spans="1:7" x14ac:dyDescent="0.25">
      <c r="A2927" s="88">
        <v>51</v>
      </c>
      <c r="B2927" s="88">
        <v>600</v>
      </c>
      <c r="C2927" s="97">
        <f>SUMIFS(Input!$C$115:$C$3257,Input!$A$115:$A$3257,"="&amp;'Output - County'!A2927,Input!$B$115:$B$3257,"="&amp;'Output - County'!B2927)*VLOOKUP(A2927,'Output - State'!$B$2:$G$52,2,FALSE)</f>
        <v>2.8805851152666784</v>
      </c>
      <c r="D2927" s="98">
        <f>SUMIFS(Input!$C$115:$C$3257,Input!$A$115:$A$3257,"="&amp;'Output - County'!A2927,Input!$B$115:$B$3257,"="&amp;'Output - County'!B2927)*VLOOKUP(A2927,'Output - State'!$B$2:$G$52,3,FALSE)</f>
        <v>0.88265125193891469</v>
      </c>
      <c r="E2927" s="98">
        <f>SUMIFS(Input!$C$115:$C$3257,Input!$A$115:$A$3257,"="&amp;'Output - County'!A2927,Input!$B$115:$B$3257,"="&amp;'Output - County'!B2927)*VLOOKUP(A2927,'Output - State'!$B$2:$G$52,4,FALSE)</f>
        <v>0.13371526789094079</v>
      </c>
      <c r="F2927" s="98">
        <f>SUMIFS(Input!$C$115:$C$3257,Input!$A$115:$A$3257,"="&amp;'Output - County'!A2927,Input!$B$115:$B$3257,"="&amp;'Output - County'!B2927)*VLOOKUP(A2927,'Output - State'!$B$2:$G$52,5,FALSE)</f>
        <v>6.2381400657909953</v>
      </c>
      <c r="G2927" s="99">
        <f>SUMIFS(Input!$D$115:$D$3257,Input!$A$115:$A$3257,"="&amp;'Output - County'!A2927,Input!$B$115:$B$3257,"="&amp;'Output - County'!B2927)*VLOOKUP(A2927,'Output - State'!$B$2:$G$52,6,FALSE)</f>
        <v>3.2192039409940025</v>
      </c>
    </row>
    <row r="2928" spans="1:7" x14ac:dyDescent="0.25">
      <c r="A2928" s="88">
        <v>51</v>
      </c>
      <c r="B2928" s="88">
        <v>610</v>
      </c>
      <c r="C2928" s="97">
        <f>SUMIFS(Input!$C$115:$C$3257,Input!$A$115:$A$3257,"="&amp;'Output - County'!A2928,Input!$B$115:$B$3257,"="&amp;'Output - County'!B2928)*VLOOKUP(A2928,'Output - State'!$B$2:$G$52,2,FALSE)</f>
        <v>0.94442353677985469</v>
      </c>
      <c r="D2928" s="98">
        <f>SUMIFS(Input!$C$115:$C$3257,Input!$A$115:$A$3257,"="&amp;'Output - County'!A2928,Input!$B$115:$B$3257,"="&amp;'Output - County'!B2928)*VLOOKUP(A2928,'Output - State'!$B$2:$G$52,3,FALSE)</f>
        <v>0.2893844770221774</v>
      </c>
      <c r="E2928" s="98">
        <f>SUMIFS(Input!$C$115:$C$3257,Input!$A$115:$A$3257,"="&amp;'Output - County'!A2928,Input!$B$115:$B$3257,"="&amp;'Output - County'!B2928)*VLOOKUP(A2928,'Output - State'!$B$2:$G$52,4,FALSE)</f>
        <v>4.3839651032612156E-2</v>
      </c>
      <c r="F2928" s="98">
        <f>SUMIFS(Input!$C$115:$C$3257,Input!$A$115:$A$3257,"="&amp;'Output - County'!A2928,Input!$B$115:$B$3257,"="&amp;'Output - County'!B2928)*VLOOKUP(A2928,'Output - State'!$B$2:$G$52,5,FALSE)</f>
        <v>2.0452255594318829</v>
      </c>
      <c r="G2928" s="99">
        <f>SUMIFS(Input!$D$115:$D$3257,Input!$A$115:$A$3257,"="&amp;'Output - County'!A2928,Input!$B$115:$B$3257,"="&amp;'Output - County'!B2928)*VLOOKUP(A2928,'Output - State'!$B$2:$G$52,6,FALSE)</f>
        <v>1.9695551537727018</v>
      </c>
    </row>
    <row r="2929" spans="1:7" x14ac:dyDescent="0.25">
      <c r="A2929" s="88">
        <v>51</v>
      </c>
      <c r="B2929" s="88">
        <v>620</v>
      </c>
      <c r="C2929" s="97">
        <f>SUMIFS(Input!$C$115:$C$3257,Input!$A$115:$A$3257,"="&amp;'Output - County'!A2929,Input!$B$115:$B$3257,"="&amp;'Output - County'!B2929)*VLOOKUP(A2929,'Output - State'!$B$2:$G$52,2,FALSE)</f>
        <v>0.64423371954591835</v>
      </c>
      <c r="D2929" s="98">
        <f>SUMIFS(Input!$C$115:$C$3257,Input!$A$115:$A$3257,"="&amp;'Output - County'!A2929,Input!$B$115:$B$3257,"="&amp;'Output - County'!B2929)*VLOOKUP(A2929,'Output - State'!$B$2:$G$52,3,FALSE)</f>
        <v>0.19740215141874937</v>
      </c>
      <c r="E2929" s="98">
        <f>SUMIFS(Input!$C$115:$C$3257,Input!$A$115:$A$3257,"="&amp;'Output - County'!A2929,Input!$B$115:$B$3257,"="&amp;'Output - County'!B2929)*VLOOKUP(A2929,'Output - State'!$B$2:$G$52,4,FALSE)</f>
        <v>2.9904995320884548E-2</v>
      </c>
      <c r="F2929" s="98">
        <f>SUMIFS(Input!$C$115:$C$3257,Input!$A$115:$A$3257,"="&amp;'Output - County'!A2929,Input!$B$115:$B$3257,"="&amp;'Output - County'!B2929)*VLOOKUP(A2929,'Output - State'!$B$2:$G$52,5,FALSE)</f>
        <v>1.3951402290922756</v>
      </c>
      <c r="G2929" s="99">
        <f>SUMIFS(Input!$D$115:$D$3257,Input!$A$115:$A$3257,"="&amp;'Output - County'!A2929,Input!$B$115:$B$3257,"="&amp;'Output - County'!B2929)*VLOOKUP(A2929,'Output - State'!$B$2:$G$52,6,FALSE)</f>
        <v>1.0988759444152523</v>
      </c>
    </row>
    <row r="2930" spans="1:7" x14ac:dyDescent="0.25">
      <c r="A2930" s="88">
        <v>51</v>
      </c>
      <c r="B2930" s="88">
        <v>630</v>
      </c>
      <c r="C2930" s="97">
        <f>SUMIFS(Input!$C$115:$C$3257,Input!$A$115:$A$3257,"="&amp;'Output - County'!A2930,Input!$B$115:$B$3257,"="&amp;'Output - County'!B2930)*VLOOKUP(A2930,'Output - State'!$B$2:$G$52,2,FALSE)</f>
        <v>6.5976845765457828</v>
      </c>
      <c r="D2930" s="98">
        <f>SUMIFS(Input!$C$115:$C$3257,Input!$A$115:$A$3257,"="&amp;'Output - County'!A2930,Input!$B$115:$B$3257,"="&amp;'Output - County'!B2930)*VLOOKUP(A2930,'Output - State'!$B$2:$G$52,3,FALSE)</f>
        <v>2.0216221074401686</v>
      </c>
      <c r="E2930" s="98">
        <f>SUMIFS(Input!$C$115:$C$3257,Input!$A$115:$A$3257,"="&amp;'Output - County'!A2930,Input!$B$115:$B$3257,"="&amp;'Output - County'!B2930)*VLOOKUP(A2930,'Output - State'!$B$2:$G$52,4,FALSE)</f>
        <v>0.30626109811411506</v>
      </c>
      <c r="F2930" s="98">
        <f>SUMIFS(Input!$C$115:$C$3257,Input!$A$115:$A$3257,"="&amp;'Output - County'!A2930,Input!$B$115:$B$3257,"="&amp;'Output - County'!B2930)*VLOOKUP(A2930,'Output - State'!$B$2:$G$52,5,FALSE)</f>
        <v>14.28781961007644</v>
      </c>
      <c r="G2930" s="99">
        <f>SUMIFS(Input!$D$115:$D$3257,Input!$A$115:$A$3257,"="&amp;'Output - County'!A2930,Input!$B$115:$B$3257,"="&amp;'Output - County'!B2930)*VLOOKUP(A2930,'Output - State'!$B$2:$G$52,6,FALSE)</f>
        <v>3.9662765855284752</v>
      </c>
    </row>
    <row r="2931" spans="1:7" x14ac:dyDescent="0.25">
      <c r="A2931" s="88">
        <v>51</v>
      </c>
      <c r="B2931" s="88">
        <v>640</v>
      </c>
      <c r="C2931" s="97">
        <f>SUMIFS(Input!$C$115:$C$3257,Input!$A$115:$A$3257,"="&amp;'Output - County'!A2931,Input!$B$115:$B$3257,"="&amp;'Output - County'!B2931)*VLOOKUP(A2931,'Output - State'!$B$2:$G$52,2,FALSE)</f>
        <v>0.9266374944607586</v>
      </c>
      <c r="D2931" s="98">
        <f>SUMIFS(Input!$C$115:$C$3257,Input!$A$115:$A$3257,"="&amp;'Output - County'!A2931,Input!$B$115:$B$3257,"="&amp;'Output - County'!B2931)*VLOOKUP(A2931,'Output - State'!$B$2:$G$52,3,FALSE)</f>
        <v>0.28393458684646727</v>
      </c>
      <c r="E2931" s="98">
        <f>SUMIFS(Input!$C$115:$C$3257,Input!$A$115:$A$3257,"="&amp;'Output - County'!A2931,Input!$B$115:$B$3257,"="&amp;'Output - County'!B2931)*VLOOKUP(A2931,'Output - State'!$B$2:$G$52,4,FALSE)</f>
        <v>4.3014032167606887E-2</v>
      </c>
      <c r="F2931" s="98">
        <f>SUMIFS(Input!$C$115:$C$3257,Input!$A$115:$A$3257,"="&amp;'Output - County'!A2931,Input!$B$115:$B$3257,"="&amp;'Output - County'!B2931)*VLOOKUP(A2931,'Output - State'!$B$2:$G$52,5,FALSE)</f>
        <v>2.0067084461500779</v>
      </c>
      <c r="G2931" s="99">
        <f>SUMIFS(Input!$D$115:$D$3257,Input!$A$115:$A$3257,"="&amp;'Output - County'!A2931,Input!$B$115:$B$3257,"="&amp;'Output - County'!B2931)*VLOOKUP(A2931,'Output - State'!$B$2:$G$52,6,FALSE)</f>
        <v>0.86252932596252796</v>
      </c>
    </row>
    <row r="2932" spans="1:7" x14ac:dyDescent="0.25">
      <c r="A2932" s="88">
        <v>51</v>
      </c>
      <c r="B2932" s="88">
        <v>650</v>
      </c>
      <c r="C2932" s="97">
        <f>SUMIFS(Input!$C$115:$C$3257,Input!$A$115:$A$3257,"="&amp;'Output - County'!A2932,Input!$B$115:$B$3257,"="&amp;'Output - County'!B2932)*VLOOKUP(A2932,'Output - State'!$B$2:$G$52,2,FALSE)</f>
        <v>22.241649630590114</v>
      </c>
      <c r="D2932" s="98">
        <f>SUMIFS(Input!$C$115:$C$3257,Input!$A$115:$A$3257,"="&amp;'Output - County'!A2932,Input!$B$115:$B$3257,"="&amp;'Output - County'!B2932)*VLOOKUP(A2932,'Output - State'!$B$2:$G$52,3,FALSE)</f>
        <v>6.8151500844680335</v>
      </c>
      <c r="E2932" s="98">
        <f>SUMIFS(Input!$C$115:$C$3257,Input!$A$115:$A$3257,"="&amp;'Output - County'!A2932,Input!$B$115:$B$3257,"="&amp;'Output - County'!B2932)*VLOOKUP(A2932,'Output - State'!$B$2:$G$52,4,FALSE)</f>
        <v>1.0324458468277096</v>
      </c>
      <c r="F2932" s="98">
        <f>SUMIFS(Input!$C$115:$C$3257,Input!$A$115:$A$3257,"="&amp;'Output - County'!A2932,Input!$B$115:$B$3257,"="&amp;'Output - County'!B2932)*VLOOKUP(A2932,'Output - State'!$B$2:$G$52,5,FALSE)</f>
        <v>48.166091310592925</v>
      </c>
      <c r="G2932" s="99">
        <f>SUMIFS(Input!$D$115:$D$3257,Input!$A$115:$A$3257,"="&amp;'Output - County'!A2932,Input!$B$115:$B$3257,"="&amp;'Output - County'!B2932)*VLOOKUP(A2932,'Output - State'!$B$2:$G$52,6,FALSE)</f>
        <v>18.201406248658071</v>
      </c>
    </row>
    <row r="2933" spans="1:7" x14ac:dyDescent="0.25">
      <c r="A2933" s="88">
        <v>51</v>
      </c>
      <c r="B2933" s="88">
        <v>660</v>
      </c>
      <c r="C2933" s="97">
        <f>SUMIFS(Input!$C$115:$C$3257,Input!$A$115:$A$3257,"="&amp;'Output - County'!A2933,Input!$B$115:$B$3257,"="&amp;'Output - County'!B2933)*VLOOKUP(A2933,'Output - State'!$B$2:$G$52,2,FALSE)</f>
        <v>6.3118731679382032</v>
      </c>
      <c r="D2933" s="98">
        <f>SUMIFS(Input!$C$115:$C$3257,Input!$A$115:$A$3257,"="&amp;'Output - County'!A2933,Input!$B$115:$B$3257,"="&amp;'Output - County'!B2933)*VLOOKUP(A2933,'Output - State'!$B$2:$G$52,3,FALSE)</f>
        <v>1.9340455257627513</v>
      </c>
      <c r="E2933" s="98">
        <f>SUMIFS(Input!$C$115:$C$3257,Input!$A$115:$A$3257,"="&amp;'Output - County'!A2933,Input!$B$115:$B$3257,"="&amp;'Output - County'!B2933)*VLOOKUP(A2933,'Output - State'!$B$2:$G$52,4,FALSE)</f>
        <v>0.29299388067773269</v>
      </c>
      <c r="F2933" s="98">
        <f>SUMIFS(Input!$C$115:$C$3257,Input!$A$115:$A$3257,"="&amp;'Output - County'!A2933,Input!$B$115:$B$3257,"="&amp;'Output - County'!B2933)*VLOOKUP(A2933,'Output - State'!$B$2:$G$52,5,FALSE)</f>
        <v>13.668871886627537</v>
      </c>
      <c r="G2933" s="99">
        <f>SUMIFS(Input!$D$115:$D$3257,Input!$A$115:$A$3257,"="&amp;'Output - County'!A2933,Input!$B$115:$B$3257,"="&amp;'Output - County'!B2933)*VLOOKUP(A2933,'Output - State'!$B$2:$G$52,6,FALSE)</f>
        <v>7.2669793604716926</v>
      </c>
    </row>
    <row r="2934" spans="1:7" x14ac:dyDescent="0.25">
      <c r="A2934" s="88">
        <v>51</v>
      </c>
      <c r="B2934" s="88">
        <v>670</v>
      </c>
      <c r="C2934" s="97">
        <f>SUMIFS(Input!$C$115:$C$3257,Input!$A$115:$A$3257,"="&amp;'Output - County'!A2934,Input!$B$115:$B$3257,"="&amp;'Output - County'!B2934)*VLOOKUP(A2934,'Output - State'!$B$2:$G$52,2,FALSE)</f>
        <v>2.4580855275283251</v>
      </c>
      <c r="D2934" s="98">
        <f>SUMIFS(Input!$C$115:$C$3257,Input!$A$115:$A$3257,"="&amp;'Output - County'!A2934,Input!$B$115:$B$3257,"="&amp;'Output - County'!B2934)*VLOOKUP(A2934,'Output - State'!$B$2:$G$52,3,FALSE)</f>
        <v>0.75319151541368146</v>
      </c>
      <c r="E2934" s="98">
        <f>SUMIFS(Input!$C$115:$C$3257,Input!$A$115:$A$3257,"="&amp;'Output - County'!A2934,Input!$B$115:$B$3257,"="&amp;'Output - County'!B2934)*VLOOKUP(A2934,'Output - State'!$B$2:$G$52,4,FALSE)</f>
        <v>0.11410305603202622</v>
      </c>
      <c r="F2934" s="98">
        <f>SUMIFS(Input!$C$115:$C$3257,Input!$A$115:$A$3257,"="&amp;'Output - County'!A2934,Input!$B$115:$B$3257,"="&amp;'Output - County'!B2934)*VLOOKUP(A2934,'Output - State'!$B$2:$G$52,5,FALSE)</f>
        <v>5.3231830342898458</v>
      </c>
      <c r="G2934" s="99">
        <f>SUMIFS(Input!$D$115:$D$3257,Input!$A$115:$A$3257,"="&amp;'Output - County'!A2934,Input!$B$115:$B$3257,"="&amp;'Output - County'!B2934)*VLOOKUP(A2934,'Output - State'!$B$2:$G$52,6,FALSE)</f>
        <v>3.0562062730955715</v>
      </c>
    </row>
    <row r="2935" spans="1:7" x14ac:dyDescent="0.25">
      <c r="A2935" s="88">
        <v>51</v>
      </c>
      <c r="B2935" s="88">
        <v>678</v>
      </c>
      <c r="C2935" s="97">
        <f>SUMIFS(Input!$C$115:$C$3257,Input!$A$115:$A$3257,"="&amp;'Output - County'!A2935,Input!$B$115:$B$3257,"="&amp;'Output - County'!B2935)*VLOOKUP(A2935,'Output - State'!$B$2:$G$52,2,FALSE)</f>
        <v>0.41378243546048465</v>
      </c>
      <c r="D2935" s="98">
        <f>SUMIFS(Input!$C$115:$C$3257,Input!$A$115:$A$3257,"="&amp;'Output - County'!A2935,Input!$B$115:$B$3257,"="&amp;'Output - County'!B2935)*VLOOKUP(A2935,'Output - State'!$B$2:$G$52,3,FALSE)</f>
        <v>0.1267886801031804</v>
      </c>
      <c r="E2935" s="98">
        <f>SUMIFS(Input!$C$115:$C$3257,Input!$A$115:$A$3257,"="&amp;'Output - County'!A2935,Input!$B$115:$B$3257,"="&amp;'Output - County'!B2935)*VLOOKUP(A2935,'Output - State'!$B$2:$G$52,4,FALSE)</f>
        <v>1.9207566168737346E-2</v>
      </c>
      <c r="F2935" s="98">
        <f>SUMIFS(Input!$C$115:$C$3257,Input!$A$115:$A$3257,"="&amp;'Output - County'!A2935,Input!$B$115:$B$3257,"="&amp;'Output - County'!B2935)*VLOOKUP(A2935,'Output - State'!$B$2:$G$52,5,FALSE)</f>
        <v>0.89607933314883526</v>
      </c>
      <c r="G2935" s="99">
        <f>SUMIFS(Input!$D$115:$D$3257,Input!$A$115:$A$3257,"="&amp;'Output - County'!A2935,Input!$B$115:$B$3257,"="&amp;'Output - County'!B2935)*VLOOKUP(A2935,'Output - State'!$B$2:$G$52,6,FALSE)</f>
        <v>0.99156914638211879</v>
      </c>
    </row>
    <row r="2936" spans="1:7" x14ac:dyDescent="0.25">
      <c r="A2936" s="88">
        <v>51</v>
      </c>
      <c r="B2936" s="88">
        <v>680</v>
      </c>
      <c r="C2936" s="97">
        <f>SUMIFS(Input!$C$115:$C$3257,Input!$A$115:$A$3257,"="&amp;'Output - County'!A2936,Input!$B$115:$B$3257,"="&amp;'Output - County'!B2936)*VLOOKUP(A2936,'Output - State'!$B$2:$G$52,2,FALSE)</f>
        <v>11.760515736179945</v>
      </c>
      <c r="D2936" s="98">
        <f>SUMIFS(Input!$C$115:$C$3257,Input!$A$115:$A$3257,"="&amp;'Output - County'!A2936,Input!$B$115:$B$3257,"="&amp;'Output - County'!B2936)*VLOOKUP(A2936,'Output - State'!$B$2:$G$52,3,FALSE)</f>
        <v>3.6035852171045941</v>
      </c>
      <c r="E2936" s="98">
        <f>SUMIFS(Input!$C$115:$C$3257,Input!$A$115:$A$3257,"="&amp;'Output - County'!A2936,Input!$B$115:$B$3257,"="&amp;'Output - County'!B2936)*VLOOKUP(A2936,'Output - State'!$B$2:$G$52,4,FALSE)</f>
        <v>0.54591704437566735</v>
      </c>
      <c r="F2936" s="98">
        <f>SUMIFS(Input!$C$115:$C$3257,Input!$A$115:$A$3257,"="&amp;'Output - County'!A2936,Input!$B$115:$B$3257,"="&amp;'Output - County'!B2936)*VLOOKUP(A2936,'Output - State'!$B$2:$G$52,5,FALSE)</f>
        <v>25.468348086439981</v>
      </c>
      <c r="G2936" s="99">
        <f>SUMIFS(Input!$D$115:$D$3257,Input!$A$115:$A$3257,"="&amp;'Output - County'!A2936,Input!$B$115:$B$3257,"="&amp;'Output - County'!B2936)*VLOOKUP(A2936,'Output - State'!$B$2:$G$52,6,FALSE)</f>
        <v>11.043092000118666</v>
      </c>
    </row>
    <row r="2937" spans="1:7" x14ac:dyDescent="0.25">
      <c r="A2937" s="88">
        <v>51</v>
      </c>
      <c r="B2937" s="88">
        <v>683</v>
      </c>
      <c r="C2937" s="97">
        <f>SUMIFS(Input!$C$115:$C$3257,Input!$A$115:$A$3257,"="&amp;'Output - County'!A2937,Input!$B$115:$B$3257,"="&amp;'Output - County'!B2937)*VLOOKUP(A2937,'Output - State'!$B$2:$G$52,2,FALSE)</f>
        <v>3.4427177637642443</v>
      </c>
      <c r="D2937" s="98">
        <f>SUMIFS(Input!$C$115:$C$3257,Input!$A$115:$A$3257,"="&amp;'Output - County'!A2937,Input!$B$115:$B$3257,"="&amp;'Output - County'!B2937)*VLOOKUP(A2937,'Output - State'!$B$2:$G$52,3,FALSE)</f>
        <v>1.0548964959077534</v>
      </c>
      <c r="E2937" s="98">
        <f>SUMIFS(Input!$C$115:$C$3257,Input!$A$115:$A$3257,"="&amp;'Output - County'!A2937,Input!$B$115:$B$3257,"="&amp;'Output - County'!B2937)*VLOOKUP(A2937,'Output - State'!$B$2:$G$52,4,FALSE)</f>
        <v>0.15980917405109166</v>
      </c>
      <c r="F2937" s="98">
        <f>SUMIFS(Input!$C$115:$C$3257,Input!$A$115:$A$3257,"="&amp;'Output - County'!A2937,Input!$B$115:$B$3257,"="&amp;'Output - County'!B2937)*VLOOKUP(A2937,'Output - State'!$B$2:$G$52,5,FALSE)</f>
        <v>7.4554837847101405</v>
      </c>
      <c r="G2937" s="99">
        <f>SUMIFS(Input!$D$115:$D$3257,Input!$A$115:$A$3257,"="&amp;'Output - County'!A2937,Input!$B$115:$B$3257,"="&amp;'Output - County'!B2937)*VLOOKUP(A2937,'Output - State'!$B$2:$G$52,6,FALSE)</f>
        <v>5.5690869865297081</v>
      </c>
    </row>
    <row r="2938" spans="1:7" x14ac:dyDescent="0.25">
      <c r="A2938" s="88">
        <v>51</v>
      </c>
      <c r="B2938" s="88">
        <v>685</v>
      </c>
      <c r="C2938" s="97">
        <f>SUMIFS(Input!$C$115:$C$3257,Input!$A$115:$A$3257,"="&amp;'Output - County'!A2938,Input!$B$115:$B$3257,"="&amp;'Output - County'!B2938)*VLOOKUP(A2938,'Output - State'!$B$2:$G$52,2,FALSE)</f>
        <v>0.71146983818580201</v>
      </c>
      <c r="D2938" s="98">
        <f>SUMIFS(Input!$C$115:$C$3257,Input!$A$115:$A$3257,"="&amp;'Output - County'!A2938,Input!$B$115:$B$3257,"="&amp;'Output - County'!B2938)*VLOOKUP(A2938,'Output - State'!$B$2:$G$52,3,FALSE)</f>
        <v>0.21800423117625467</v>
      </c>
      <c r="E2938" s="98">
        <f>SUMIFS(Input!$C$115:$C$3257,Input!$A$115:$A$3257,"="&amp;'Output - County'!A2938,Input!$B$115:$B$3257,"="&amp;'Output - County'!B2938)*VLOOKUP(A2938,'Output - State'!$B$2:$G$52,4,FALSE)</f>
        <v>3.3026061096108755E-2</v>
      </c>
      <c r="F2938" s="98">
        <f>SUMIFS(Input!$C$115:$C$3257,Input!$A$115:$A$3257,"="&amp;'Output - County'!A2938,Input!$B$115:$B$3257,"="&amp;'Output - County'!B2938)*VLOOKUP(A2938,'Output - State'!$B$2:$G$52,5,FALSE)</f>
        <v>1.540745482460012</v>
      </c>
      <c r="G2938" s="99">
        <f>SUMIFS(Input!$D$115:$D$3257,Input!$A$115:$A$3257,"="&amp;'Output - County'!A2938,Input!$B$115:$B$3257,"="&amp;'Output - County'!B2938)*VLOOKUP(A2938,'Output - State'!$B$2:$G$52,6,FALSE)</f>
        <v>2.4042156015018494</v>
      </c>
    </row>
    <row r="2939" spans="1:7" x14ac:dyDescent="0.25">
      <c r="A2939" s="88">
        <v>51</v>
      </c>
      <c r="B2939" s="88">
        <v>690</v>
      </c>
      <c r="C2939" s="97">
        <f>SUMIFS(Input!$C$115:$C$3257,Input!$A$115:$A$3257,"="&amp;'Output - County'!A2939,Input!$B$115:$B$3257,"="&amp;'Output - County'!B2939)*VLOOKUP(A2939,'Output - State'!$B$2:$G$52,2,FALSE)</f>
        <v>1.4230641990101176</v>
      </c>
      <c r="D2939" s="98">
        <f>SUMIFS(Input!$C$115:$C$3257,Input!$A$115:$A$3257,"="&amp;'Output - County'!A2939,Input!$B$115:$B$3257,"="&amp;'Output - County'!B2939)*VLOOKUP(A2939,'Output - State'!$B$2:$G$52,3,FALSE)</f>
        <v>0.43604661781689619</v>
      </c>
      <c r="E2939" s="98">
        <f>SUMIFS(Input!$C$115:$C$3257,Input!$A$115:$A$3257,"="&amp;'Output - County'!A2939,Input!$B$115:$B$3257,"="&amp;'Output - County'!B2939)*VLOOKUP(A2939,'Output - State'!$B$2:$G$52,4,FALSE)</f>
        <v>6.6057902468550644E-2</v>
      </c>
      <c r="F2939" s="98">
        <f>SUMIFS(Input!$C$115:$C$3257,Input!$A$115:$A$3257,"="&amp;'Output - County'!A2939,Input!$B$115:$B$3257,"="&amp;'Output - County'!B2939)*VLOOKUP(A2939,'Output - State'!$B$2:$G$52,5,FALSE)</f>
        <v>3.0817606287658497</v>
      </c>
      <c r="G2939" s="99">
        <f>SUMIFS(Input!$D$115:$D$3257,Input!$A$115:$A$3257,"="&amp;'Output - County'!A2939,Input!$B$115:$B$3257,"="&amp;'Output - County'!B2939)*VLOOKUP(A2939,'Output - State'!$B$2:$G$52,6,FALSE)</f>
        <v>1.71147551293352</v>
      </c>
    </row>
    <row r="2940" spans="1:7" x14ac:dyDescent="0.25">
      <c r="A2940" s="88">
        <v>51</v>
      </c>
      <c r="B2940" s="88">
        <v>700</v>
      </c>
      <c r="C2940" s="97">
        <f>SUMIFS(Input!$C$115:$C$3257,Input!$A$115:$A$3257,"="&amp;'Output - County'!A2940,Input!$B$115:$B$3257,"="&amp;'Output - County'!B2940)*VLOOKUP(A2940,'Output - State'!$B$2:$G$52,2,FALSE)</f>
        <v>27.811826406328109</v>
      </c>
      <c r="D2940" s="98">
        <f>SUMIFS(Input!$C$115:$C$3257,Input!$A$115:$A$3257,"="&amp;'Output - County'!A2940,Input!$B$115:$B$3257,"="&amp;'Output - County'!B2940)*VLOOKUP(A2940,'Output - State'!$B$2:$G$52,3,FALSE)</f>
        <v>8.5219295434638305</v>
      </c>
      <c r="E2940" s="98">
        <f>SUMIFS(Input!$C$115:$C$3257,Input!$A$115:$A$3257,"="&amp;'Output - County'!A2940,Input!$B$115:$B$3257,"="&amp;'Output - County'!B2940)*VLOOKUP(A2940,'Output - State'!$B$2:$G$52,4,FALSE)</f>
        <v>1.2910105654400077</v>
      </c>
      <c r="F2940" s="98">
        <f>SUMIFS(Input!$C$115:$C$3257,Input!$A$115:$A$3257,"="&amp;'Output - County'!A2940,Input!$B$115:$B$3257,"="&amp;'Output - County'!B2940)*VLOOKUP(A2940,'Output - State'!$B$2:$G$52,5,FALSE)</f>
        <v>60.228759667140629</v>
      </c>
      <c r="G2940" s="99">
        <f>SUMIFS(Input!$D$115:$D$3257,Input!$A$115:$A$3257,"="&amp;'Output - County'!A2940,Input!$B$115:$B$3257,"="&amp;'Output - County'!B2940)*VLOOKUP(A2940,'Output - State'!$B$2:$G$52,6,FALSE)</f>
        <v>24.313818794849212</v>
      </c>
    </row>
    <row r="2941" spans="1:7" x14ac:dyDescent="0.25">
      <c r="A2941" s="88">
        <v>51</v>
      </c>
      <c r="B2941" s="88">
        <v>710</v>
      </c>
      <c r="C2941" s="97">
        <f>SUMIFS(Input!$C$115:$C$3257,Input!$A$115:$A$3257,"="&amp;'Output - County'!A2941,Input!$B$115:$B$3257,"="&amp;'Output - County'!B2941)*VLOOKUP(A2941,'Output - State'!$B$2:$G$52,2,FALSE)</f>
        <v>36.533750137906054</v>
      </c>
      <c r="D2941" s="98">
        <f>SUMIFS(Input!$C$115:$C$3257,Input!$A$115:$A$3257,"="&amp;'Output - County'!A2941,Input!$B$115:$B$3257,"="&amp;'Output - County'!B2941)*VLOOKUP(A2941,'Output - State'!$B$2:$G$52,3,FALSE)</f>
        <v>11.194448005144594</v>
      </c>
      <c r="E2941" s="98">
        <f>SUMIFS(Input!$C$115:$C$3257,Input!$A$115:$A$3257,"="&amp;'Output - County'!A2941,Input!$B$115:$B$3257,"="&amp;'Output - County'!B2941)*VLOOKUP(A2941,'Output - State'!$B$2:$G$52,4,FALSE)</f>
        <v>1.6958777440251231</v>
      </c>
      <c r="F2941" s="98">
        <f>SUMIFS(Input!$C$115:$C$3257,Input!$A$115:$A$3257,"="&amp;'Output - County'!A2941,Input!$B$115:$B$3257,"="&amp;'Output - County'!B2941)*VLOOKUP(A2941,'Output - State'!$B$2:$G$52,5,FALSE)</f>
        <v>79.116790988406649</v>
      </c>
      <c r="G2941" s="99">
        <f>SUMIFS(Input!$D$115:$D$3257,Input!$A$115:$A$3257,"="&amp;'Output - County'!A2941,Input!$B$115:$B$3257,"="&amp;'Output - County'!B2941)*VLOOKUP(A2941,'Output - State'!$B$2:$G$52,6,FALSE)</f>
        <v>33.142859139347529</v>
      </c>
    </row>
    <row r="2942" spans="1:7" x14ac:dyDescent="0.25">
      <c r="A2942" s="88">
        <v>51</v>
      </c>
      <c r="B2942" s="88">
        <v>720</v>
      </c>
      <c r="C2942" s="97">
        <f>SUMIFS(Input!$C$115:$C$3257,Input!$A$115:$A$3257,"="&amp;'Output - County'!A2942,Input!$B$115:$B$3257,"="&amp;'Output - County'!B2942)*VLOOKUP(A2942,'Output - State'!$B$2:$G$52,2,FALSE)</f>
        <v>0.67175234758458113</v>
      </c>
      <c r="D2942" s="98">
        <f>SUMIFS(Input!$C$115:$C$3257,Input!$A$115:$A$3257,"="&amp;'Output - County'!A2942,Input!$B$115:$B$3257,"="&amp;'Output - County'!B2942)*VLOOKUP(A2942,'Output - State'!$B$2:$G$52,3,FALSE)</f>
        <v>0.20583424091377489</v>
      </c>
      <c r="E2942" s="98">
        <f>SUMIFS(Input!$C$115:$C$3257,Input!$A$115:$A$3257,"="&amp;'Output - County'!A2942,Input!$B$115:$B$3257,"="&amp;'Output - County'!B2942)*VLOOKUP(A2942,'Output - State'!$B$2:$G$52,4,FALSE)</f>
        <v>3.1182395770077764E-2</v>
      </c>
      <c r="F2942" s="98">
        <f>SUMIFS(Input!$C$115:$C$3257,Input!$A$115:$A$3257,"="&amp;'Output - County'!A2942,Input!$B$115:$B$3257,"="&amp;'Output - County'!B2942)*VLOOKUP(A2942,'Output - State'!$B$2:$G$52,5,FALSE)</f>
        <v>1.4547340439786272</v>
      </c>
      <c r="G2942" s="99">
        <f>SUMIFS(Input!$D$115:$D$3257,Input!$A$115:$A$3257,"="&amp;'Output - County'!A2942,Input!$B$115:$B$3257,"="&amp;'Output - County'!B2942)*VLOOKUP(A2942,'Output - State'!$B$2:$G$52,6,FALSE)</f>
        <v>0.53925061796397422</v>
      </c>
    </row>
    <row r="2943" spans="1:7" x14ac:dyDescent="0.25">
      <c r="A2943" s="88">
        <v>51</v>
      </c>
      <c r="B2943" s="88">
        <v>730</v>
      </c>
      <c r="C2943" s="97">
        <f>SUMIFS(Input!$C$115:$C$3257,Input!$A$115:$A$3257,"="&amp;'Output - County'!A2943,Input!$B$115:$B$3257,"="&amp;'Output - County'!B2943)*VLOOKUP(A2943,'Output - State'!$B$2:$G$52,2,FALSE)</f>
        <v>6.9157313955223527</v>
      </c>
      <c r="D2943" s="98">
        <f>SUMIFS(Input!$C$115:$C$3257,Input!$A$115:$A$3257,"="&amp;'Output - County'!A2943,Input!$B$115:$B$3257,"="&amp;'Output - County'!B2943)*VLOOKUP(A2943,'Output - State'!$B$2:$G$52,3,FALSE)</f>
        <v>2.1190760661713512</v>
      </c>
      <c r="E2943" s="98">
        <f>SUMIFS(Input!$C$115:$C$3257,Input!$A$115:$A$3257,"="&amp;'Output - County'!A2943,Input!$B$115:$B$3257,"="&amp;'Output - County'!B2943)*VLOOKUP(A2943,'Output - State'!$B$2:$G$52,4,FALSE)</f>
        <v>0.32102466659050649</v>
      </c>
      <c r="F2943" s="98">
        <f>SUMIFS(Input!$C$115:$C$3257,Input!$A$115:$A$3257,"="&amp;'Output - County'!A2943,Input!$B$115:$B$3257,"="&amp;'Output - County'!B2943)*VLOOKUP(A2943,'Output - State'!$B$2:$G$52,5,FALSE)</f>
        <v>14.976575722069137</v>
      </c>
      <c r="G2943" s="99">
        <f>SUMIFS(Input!$D$115:$D$3257,Input!$A$115:$A$3257,"="&amp;'Output - County'!A2943,Input!$B$115:$B$3257,"="&amp;'Output - County'!B2943)*VLOOKUP(A2943,'Output - State'!$B$2:$G$52,6,FALSE)</f>
        <v>4.2243562263676573</v>
      </c>
    </row>
    <row r="2944" spans="1:7" x14ac:dyDescent="0.25">
      <c r="A2944" s="88">
        <v>51</v>
      </c>
      <c r="B2944" s="88">
        <v>735</v>
      </c>
      <c r="C2944" s="97">
        <f>SUMIFS(Input!$C$115:$C$3257,Input!$A$115:$A$3257,"="&amp;'Output - County'!A2944,Input!$B$115:$B$3257,"="&amp;'Output - County'!B2944)*VLOOKUP(A2944,'Output - State'!$B$2:$G$52,2,FALSE)</f>
        <v>0.68401436355638767</v>
      </c>
      <c r="D2944" s="98">
        <f>SUMIFS(Input!$C$115:$C$3257,Input!$A$115:$A$3257,"="&amp;'Output - County'!A2944,Input!$B$115:$B$3257,"="&amp;'Output - County'!B2944)*VLOOKUP(A2944,'Output - State'!$B$2:$G$52,3,FALSE)</f>
        <v>0.20959149276217515</v>
      </c>
      <c r="E2944" s="98">
        <f>SUMIFS(Input!$C$115:$C$3257,Input!$A$115:$A$3257,"="&amp;'Output - County'!A2944,Input!$B$115:$B$3257,"="&amp;'Output - County'!B2944)*VLOOKUP(A2944,'Output - State'!$B$2:$G$52,4,FALSE)</f>
        <v>3.1751592195437099E-2</v>
      </c>
      <c r="F2944" s="98">
        <f>SUMIFS(Input!$C$115:$C$3257,Input!$A$115:$A$3257,"="&amp;'Output - County'!A2944,Input!$B$115:$B$3257,"="&amp;'Output - County'!B2944)*VLOOKUP(A2944,'Output - State'!$B$2:$G$52,5,FALSE)</f>
        <v>1.4812884313896075</v>
      </c>
      <c r="G2944" s="99">
        <f>SUMIFS(Input!$D$115:$D$3257,Input!$A$115:$A$3257,"="&amp;'Output - County'!A2944,Input!$B$115:$B$3257,"="&amp;'Output - County'!B2944)*VLOOKUP(A2944,'Output - State'!$B$2:$G$52,6,FALSE)</f>
        <v>1.6571429569673766</v>
      </c>
    </row>
    <row r="2945" spans="1:7" x14ac:dyDescent="0.25">
      <c r="A2945" s="88">
        <v>51</v>
      </c>
      <c r="B2945" s="88">
        <v>740</v>
      </c>
      <c r="C2945" s="97">
        <f>SUMIFS(Input!$C$115:$C$3257,Input!$A$115:$A$3257,"="&amp;'Output - County'!A2945,Input!$B$115:$B$3257,"="&amp;'Output - County'!B2945)*VLOOKUP(A2945,'Output - State'!$B$2:$G$52,2,FALSE)</f>
        <v>11.651807546268122</v>
      </c>
      <c r="D2945" s="98">
        <f>SUMIFS(Input!$C$115:$C$3257,Input!$A$115:$A$3257,"="&amp;'Output - County'!A2945,Input!$B$115:$B$3257,"="&amp;'Output - County'!B2945)*VLOOKUP(A2945,'Output - State'!$B$2:$G$52,3,FALSE)</f>
        <v>3.5702755192195514</v>
      </c>
      <c r="E2945" s="98">
        <f>SUMIFS(Input!$C$115:$C$3257,Input!$A$115:$A$3257,"="&amp;'Output - County'!A2945,Input!$B$115:$B$3257,"="&amp;'Output - County'!B2945)*VLOOKUP(A2945,'Output - State'!$B$2:$G$52,4,FALSE)</f>
        <v>0.54087086654916949</v>
      </c>
      <c r="F2945" s="98">
        <f>SUMIFS(Input!$C$115:$C$3257,Input!$A$115:$A$3257,"="&amp;'Output - County'!A2945,Input!$B$115:$B$3257,"="&amp;'Output - County'!B2945)*VLOOKUP(A2945,'Output - State'!$B$2:$G$52,5,FALSE)</f>
        <v>25.232931708227607</v>
      </c>
      <c r="G2945" s="99">
        <f>SUMIFS(Input!$D$115:$D$3257,Input!$A$115:$A$3257,"="&amp;'Output - County'!A2945,Input!$B$115:$B$3257,"="&amp;'Output - County'!B2945)*VLOOKUP(A2945,'Output - State'!$B$2:$G$52,6,FALSE)</f>
        <v>12.87681576397601</v>
      </c>
    </row>
    <row r="2946" spans="1:7" x14ac:dyDescent="0.25">
      <c r="A2946" s="88">
        <v>51</v>
      </c>
      <c r="B2946" s="88">
        <v>750</v>
      </c>
      <c r="C2946" s="97">
        <f>SUMIFS(Input!$C$115:$C$3257,Input!$A$115:$A$3257,"="&amp;'Output - County'!A2946,Input!$B$115:$B$3257,"="&amp;'Output - County'!B2946)*VLOOKUP(A2946,'Output - State'!$B$2:$G$52,2,FALSE)</f>
        <v>1.0508826097579735</v>
      </c>
      <c r="D2946" s="98">
        <f>SUMIFS(Input!$C$115:$C$3257,Input!$A$115:$A$3257,"="&amp;'Output - County'!A2946,Input!$B$115:$B$3257,"="&amp;'Output - County'!B2946)*VLOOKUP(A2946,'Output - State'!$B$2:$G$52,3,FALSE)</f>
        <v>0.32200501426872002</v>
      </c>
      <c r="E2946" s="98">
        <f>SUMIFS(Input!$C$115:$C$3257,Input!$A$115:$A$3257,"="&amp;'Output - County'!A2946,Input!$B$115:$B$3257,"="&amp;'Output - County'!B2946)*VLOOKUP(A2946,'Output - State'!$B$2:$G$52,4,FALSE)</f>
        <v>4.8781426016883893E-2</v>
      </c>
      <c r="F2946" s="98">
        <f>SUMIFS(Input!$C$115:$C$3257,Input!$A$115:$A$3257,"="&amp;'Output - County'!A2946,Input!$B$115:$B$3257,"="&amp;'Output - County'!B2946)*VLOOKUP(A2946,'Output - State'!$B$2:$G$52,5,FALSE)</f>
        <v>2.2757712930025051</v>
      </c>
      <c r="G2946" s="99">
        <f>SUMIFS(Input!$D$115:$D$3257,Input!$A$115:$A$3257,"="&amp;'Output - County'!A2946,Input!$B$115:$B$3257,"="&amp;'Output - County'!B2946)*VLOOKUP(A2946,'Output - State'!$B$2:$G$52,6,FALSE)</f>
        <v>2.4585481574679928</v>
      </c>
    </row>
    <row r="2947" spans="1:7" x14ac:dyDescent="0.25">
      <c r="A2947" s="88">
        <v>51</v>
      </c>
      <c r="B2947" s="88">
        <v>760</v>
      </c>
      <c r="C2947" s="97">
        <f>SUMIFS(Input!$C$115:$C$3257,Input!$A$115:$A$3257,"="&amp;'Output - County'!A2947,Input!$B$115:$B$3257,"="&amp;'Output - County'!B2947)*VLOOKUP(A2947,'Output - State'!$B$2:$G$52,2,FALSE)</f>
        <v>33.910494938284032</v>
      </c>
      <c r="D2947" s="98">
        <f>SUMIFS(Input!$C$115:$C$3257,Input!$A$115:$A$3257,"="&amp;'Output - County'!A2947,Input!$B$115:$B$3257,"="&amp;'Output - County'!B2947)*VLOOKUP(A2947,'Output - State'!$B$2:$G$52,3,FALSE)</f>
        <v>10.390646210214019</v>
      </c>
      <c r="E2947" s="98">
        <f>SUMIFS(Input!$C$115:$C$3257,Input!$A$115:$A$3257,"="&amp;'Output - County'!A2947,Input!$B$115:$B$3257,"="&amp;'Output - County'!B2947)*VLOOKUP(A2947,'Output - State'!$B$2:$G$52,4,FALSE)</f>
        <v>1.5741075974306908</v>
      </c>
      <c r="F2947" s="98">
        <f>SUMIFS(Input!$C$115:$C$3257,Input!$A$115:$A$3257,"="&amp;'Output - County'!A2947,Input!$B$115:$B$3257,"="&amp;'Output - County'!B2947)*VLOOKUP(A2947,'Output - State'!$B$2:$G$52,5,FALSE)</f>
        <v>73.435919669302521</v>
      </c>
      <c r="G2947" s="99">
        <f>SUMIFS(Input!$D$115:$D$3257,Input!$A$115:$A$3257,"="&amp;'Output - County'!A2947,Input!$B$115:$B$3257,"="&amp;'Output - County'!B2947)*VLOOKUP(A2947,'Output - State'!$B$2:$G$52,6,FALSE)</f>
        <v>31.105388290617149</v>
      </c>
    </row>
    <row r="2948" spans="1:7" x14ac:dyDescent="0.25">
      <c r="A2948" s="88">
        <v>51</v>
      </c>
      <c r="B2948" s="88">
        <v>770</v>
      </c>
      <c r="C2948" s="97">
        <f>SUMIFS(Input!$C$115:$C$3257,Input!$A$115:$A$3257,"="&amp;'Output - County'!A2948,Input!$B$115:$B$3257,"="&amp;'Output - County'!B2948)*VLOOKUP(A2948,'Output - State'!$B$2:$G$52,2,FALSE)</f>
        <v>13.724974987169224</v>
      </c>
      <c r="D2948" s="98">
        <f>SUMIFS(Input!$C$115:$C$3257,Input!$A$115:$A$3257,"="&amp;'Output - County'!A2948,Input!$B$115:$B$3257,"="&amp;'Output - County'!B2948)*VLOOKUP(A2948,'Output - State'!$B$2:$G$52,3,FALSE)</f>
        <v>4.2055227915505222</v>
      </c>
      <c r="E2948" s="98">
        <f>SUMIFS(Input!$C$115:$C$3257,Input!$A$115:$A$3257,"="&amp;'Output - County'!A2948,Input!$B$115:$B$3257,"="&amp;'Output - County'!B2948)*VLOOKUP(A2948,'Output - State'!$B$2:$G$52,4,FALSE)</f>
        <v>0.63710622452337851</v>
      </c>
      <c r="F2948" s="98">
        <f>SUMIFS(Input!$C$115:$C$3257,Input!$A$115:$A$3257,"="&amp;'Output - County'!A2948,Input!$B$115:$B$3257,"="&amp;'Output - County'!B2948)*VLOOKUP(A2948,'Output - State'!$B$2:$G$52,5,FALSE)</f>
        <v>29.722543491485492</v>
      </c>
      <c r="G2948" s="99">
        <f>SUMIFS(Input!$D$115:$D$3257,Input!$A$115:$A$3257,"="&amp;'Output - County'!A2948,Input!$B$115:$B$3257,"="&amp;'Output - County'!B2948)*VLOOKUP(A2948,'Output - State'!$B$2:$G$52,6,FALSE)</f>
        <v>13.447307601620516</v>
      </c>
    </row>
    <row r="2949" spans="1:7" x14ac:dyDescent="0.25">
      <c r="A2949" s="88">
        <v>51</v>
      </c>
      <c r="B2949" s="88">
        <v>775</v>
      </c>
      <c r="C2949" s="97">
        <f>SUMIFS(Input!$C$115:$C$3257,Input!$A$115:$A$3257,"="&amp;'Output - County'!A2949,Input!$B$115:$B$3257,"="&amp;'Output - County'!B2949)*VLOOKUP(A2949,'Output - State'!$B$2:$G$52,2,FALSE)</f>
        <v>2.6758723817179564</v>
      </c>
      <c r="D2949" s="98">
        <f>SUMIFS(Input!$C$115:$C$3257,Input!$A$115:$A$3257,"="&amp;'Output - County'!A2949,Input!$B$115:$B$3257,"="&amp;'Output - County'!B2949)*VLOOKUP(A2949,'Output - State'!$B$2:$G$52,3,FALSE)</f>
        <v>0.81992442967041546</v>
      </c>
      <c r="E2949" s="98">
        <f>SUMIFS(Input!$C$115:$C$3257,Input!$A$115:$A$3257,"="&amp;'Output - County'!A2949,Input!$B$115:$B$3257,"="&amp;'Output - County'!B2949)*VLOOKUP(A2949,'Output - State'!$B$2:$G$52,4,FALSE)</f>
        <v>0.12421260891305462</v>
      </c>
      <c r="F2949" s="98">
        <f>SUMIFS(Input!$C$115:$C$3257,Input!$A$115:$A$3257,"="&amp;'Output - County'!A2949,Input!$B$115:$B$3257,"="&amp;'Output - County'!B2949)*VLOOKUP(A2949,'Output - State'!$B$2:$G$52,5,FALSE)</f>
        <v>5.7948180829202842</v>
      </c>
      <c r="G2949" s="99">
        <f>SUMIFS(Input!$D$115:$D$3257,Input!$A$115:$A$3257,"="&amp;'Output - County'!A2949,Input!$B$115:$B$3257,"="&amp;'Output - County'!B2949)*VLOOKUP(A2949,'Output - State'!$B$2:$G$52,6,FALSE)</f>
        <v>3.4365341648585761</v>
      </c>
    </row>
    <row r="2950" spans="1:7" x14ac:dyDescent="0.25">
      <c r="A2950" s="88">
        <v>51</v>
      </c>
      <c r="B2950" s="88">
        <v>790</v>
      </c>
      <c r="C2950" s="97">
        <f>SUMIFS(Input!$C$115:$C$3257,Input!$A$115:$A$3257,"="&amp;'Output - County'!A2950,Input!$B$115:$B$3257,"="&amp;'Output - County'!B2950)*VLOOKUP(A2950,'Output - State'!$B$2:$G$52,2,FALSE)</f>
        <v>2.3276617286581107</v>
      </c>
      <c r="D2950" s="98">
        <f>SUMIFS(Input!$C$115:$C$3257,Input!$A$115:$A$3257,"="&amp;'Output - County'!A2950,Input!$B$115:$B$3257,"="&amp;'Output - County'!B2950)*VLOOKUP(A2950,'Output - State'!$B$2:$G$52,3,FALSE)</f>
        <v>0.71322785360576901</v>
      </c>
      <c r="E2950" s="98">
        <f>SUMIFS(Input!$C$115:$C$3257,Input!$A$115:$A$3257,"="&amp;'Output - County'!A2950,Input!$B$115:$B$3257,"="&amp;'Output - County'!B2950)*VLOOKUP(A2950,'Output - State'!$B$2:$G$52,4,FALSE)</f>
        <v>0.10804885089402934</v>
      </c>
      <c r="F2950" s="98">
        <f>SUMIFS(Input!$C$115:$C$3257,Input!$A$115:$A$3257,"="&amp;'Output - County'!A2950,Input!$B$115:$B$3257,"="&amp;'Output - County'!B2950)*VLOOKUP(A2950,'Output - State'!$B$2:$G$52,5,FALSE)</f>
        <v>5.0407397483917897</v>
      </c>
      <c r="G2950" s="99">
        <f>SUMIFS(Input!$D$115:$D$3257,Input!$A$115:$A$3257,"="&amp;'Output - County'!A2950,Input!$B$115:$B$3257,"="&amp;'Output - County'!B2950)*VLOOKUP(A2950,'Output - State'!$B$2:$G$52,6,FALSE)</f>
        <v>3.3414521919178251</v>
      </c>
    </row>
    <row r="2951" spans="1:7" x14ac:dyDescent="0.25">
      <c r="A2951" s="88">
        <v>51</v>
      </c>
      <c r="B2951" s="88">
        <v>800</v>
      </c>
      <c r="C2951" s="97">
        <f>SUMIFS(Input!$C$115:$C$3257,Input!$A$115:$A$3257,"="&amp;'Output - County'!A2951,Input!$B$115:$B$3257,"="&amp;'Output - County'!B2951)*VLOOKUP(A2951,'Output - State'!$B$2:$G$52,2,FALSE)</f>
        <v>20.174743881076047</v>
      </c>
      <c r="D2951" s="98">
        <f>SUMIFS(Input!$C$115:$C$3257,Input!$A$115:$A$3257,"="&amp;'Output - County'!A2951,Input!$B$115:$B$3257,"="&amp;'Output - County'!B2951)*VLOOKUP(A2951,'Output - State'!$B$2:$G$52,3,FALSE)</f>
        <v>6.1818214812688064</v>
      </c>
      <c r="E2951" s="98">
        <f>SUMIFS(Input!$C$115:$C$3257,Input!$A$115:$A$3257,"="&amp;'Output - County'!A2951,Input!$B$115:$B$3257,"="&amp;'Output - County'!B2951)*VLOOKUP(A2951,'Output - State'!$B$2:$G$52,4,FALSE)</f>
        <v>0.93650115332192074</v>
      </c>
      <c r="F2951" s="98">
        <f>SUMIFS(Input!$C$115:$C$3257,Input!$A$115:$A$3257,"="&amp;'Output - County'!A2951,Input!$B$115:$B$3257,"="&amp;'Output - County'!B2951)*VLOOKUP(A2951,'Output - State'!$B$2:$G$52,5,FALSE)</f>
        <v>43.690039726516133</v>
      </c>
      <c r="G2951" s="99">
        <f>SUMIFS(Input!$D$115:$D$3257,Input!$A$115:$A$3257,"="&amp;'Output - County'!A2951,Input!$B$115:$B$3257,"="&amp;'Output - County'!B2951)*VLOOKUP(A2951,'Output - State'!$B$2:$G$52,6,FALSE)</f>
        <v>12.360656482297646</v>
      </c>
    </row>
    <row r="2952" spans="1:7" x14ac:dyDescent="0.25">
      <c r="A2952" s="88">
        <v>51</v>
      </c>
      <c r="B2952" s="88">
        <v>810</v>
      </c>
      <c r="C2952" s="97">
        <f>SUMIFS(Input!$C$115:$C$3257,Input!$A$115:$A$3257,"="&amp;'Output - County'!A2952,Input!$B$115:$B$3257,"="&amp;'Output - County'!B2952)*VLOOKUP(A2952,'Output - State'!$B$2:$G$52,2,FALSE)</f>
        <v>52.571667858050795</v>
      </c>
      <c r="D2952" s="98">
        <f>SUMIFS(Input!$C$115:$C$3257,Input!$A$115:$A$3257,"="&amp;'Output - County'!A2952,Input!$B$115:$B$3257,"="&amp;'Output - County'!B2952)*VLOOKUP(A2952,'Output - State'!$B$2:$G$52,3,FALSE)</f>
        <v>16.108688545774665</v>
      </c>
      <c r="E2952" s="98">
        <f>SUMIFS(Input!$C$115:$C$3257,Input!$A$115:$A$3257,"="&amp;'Output - County'!A2952,Input!$B$115:$B$3257,"="&amp;'Output - County'!B2952)*VLOOKUP(A2952,'Output - State'!$B$2:$G$52,4,FALSE)</f>
        <v>2.4403495712925793</v>
      </c>
      <c r="F2952" s="98">
        <f>SUMIFS(Input!$C$115:$C$3257,Input!$A$115:$A$3257,"="&amp;'Output - County'!A2952,Input!$B$115:$B$3257,"="&amp;'Output - County'!B2952)*VLOOKUP(A2952,'Output - State'!$B$2:$G$52,5,FALSE)</f>
        <v>113.84819905257426</v>
      </c>
      <c r="G2952" s="99">
        <f>SUMIFS(Input!$D$115:$D$3257,Input!$A$115:$A$3257,"="&amp;'Output - County'!A2952,Input!$B$115:$B$3257,"="&amp;'Output - County'!B2952)*VLOOKUP(A2952,'Output - State'!$B$2:$G$52,6,FALSE)</f>
        <v>61.124125461911433</v>
      </c>
    </row>
    <row r="2953" spans="1:7" x14ac:dyDescent="0.25">
      <c r="A2953" s="88">
        <v>51</v>
      </c>
      <c r="B2953" s="88">
        <v>820</v>
      </c>
      <c r="C2953" s="97">
        <f>SUMIFS(Input!$C$115:$C$3257,Input!$A$115:$A$3257,"="&amp;'Output - County'!A2953,Input!$B$115:$B$3257,"="&amp;'Output - County'!B2953)*VLOOKUP(A2953,'Output - State'!$B$2:$G$52,2,FALSE)</f>
        <v>2.7617619455642202</v>
      </c>
      <c r="D2953" s="98">
        <f>SUMIFS(Input!$C$115:$C$3257,Input!$A$115:$A$3257,"="&amp;'Output - County'!A2953,Input!$B$115:$B$3257,"="&amp;'Output - County'!B2953)*VLOOKUP(A2953,'Output - State'!$B$2:$G$52,3,FALSE)</f>
        <v>0.84624218388486572</v>
      </c>
      <c r="E2953" s="98">
        <f>SUMIFS(Input!$C$115:$C$3257,Input!$A$115:$A$3257,"="&amp;'Output - County'!A2953,Input!$B$115:$B$3257,"="&amp;'Output - County'!B2953)*VLOOKUP(A2953,'Output - State'!$B$2:$G$52,4,FALSE)</f>
        <v>0.12819955794569102</v>
      </c>
      <c r="F2953" s="98">
        <f>SUMIFS(Input!$C$115:$C$3257,Input!$A$115:$A$3257,"="&amp;'Output - County'!A2953,Input!$B$115:$B$3257,"="&amp;'Output - County'!B2953)*VLOOKUP(A2953,'Output - State'!$B$2:$G$52,5,FALSE)</f>
        <v>5.9808188806828912</v>
      </c>
      <c r="G2953" s="99">
        <f>SUMIFS(Input!$D$115:$D$3257,Input!$A$115:$A$3257,"="&amp;'Output - County'!A2953,Input!$B$115:$B$3257,"="&amp;'Output - County'!B2953)*VLOOKUP(A2953,'Output - State'!$B$2:$G$52,6,FALSE)</f>
        <v>3.0562062730955715</v>
      </c>
    </row>
    <row r="2954" spans="1:7" x14ac:dyDescent="0.25">
      <c r="A2954" s="88">
        <v>51</v>
      </c>
      <c r="B2954" s="88">
        <v>830</v>
      </c>
      <c r="C2954" s="97">
        <f>SUMIFS(Input!$C$115:$C$3257,Input!$A$115:$A$3257,"="&amp;'Output - County'!A2954,Input!$B$115:$B$3257,"="&amp;'Output - County'!B2954)*VLOOKUP(A2954,'Output - State'!$B$2:$G$52,2,FALSE)</f>
        <v>1.5861477794794627</v>
      </c>
      <c r="D2954" s="98">
        <f>SUMIFS(Input!$C$115:$C$3257,Input!$A$115:$A$3257,"="&amp;'Output - County'!A2954,Input!$B$115:$B$3257,"="&amp;'Output - County'!B2954)*VLOOKUP(A2954,'Output - State'!$B$2:$G$52,3,FALSE)</f>
        <v>0.48601768991230343</v>
      </c>
      <c r="E2954" s="98">
        <f>SUMIFS(Input!$C$115:$C$3257,Input!$A$115:$A$3257,"="&amp;'Output - County'!A2954,Input!$B$115:$B$3257,"="&amp;'Output - County'!B2954)*VLOOKUP(A2954,'Output - State'!$B$2:$G$52,4,FALSE)</f>
        <v>7.3628157739085667E-2</v>
      </c>
      <c r="F2954" s="98">
        <f>SUMIFS(Input!$C$115:$C$3257,Input!$A$115:$A$3257,"="&amp;'Output - County'!A2954,Input!$B$115:$B$3257,"="&amp;'Output - County'!B2954)*VLOOKUP(A2954,'Output - State'!$B$2:$G$52,5,FALSE)</f>
        <v>3.4349313134322141</v>
      </c>
      <c r="G2954" s="99">
        <f>SUMIFS(Input!$D$115:$D$3257,Input!$A$115:$A$3257,"="&amp;'Output - County'!A2954,Input!$B$115:$B$3257,"="&amp;'Output - County'!B2954)*VLOOKUP(A2954,'Output - State'!$B$2:$G$52,6,FALSE)</f>
        <v>2.037470848730381</v>
      </c>
    </row>
    <row r="2955" spans="1:7" x14ac:dyDescent="0.25">
      <c r="A2955" s="88">
        <v>51</v>
      </c>
      <c r="B2955" s="88">
        <v>840</v>
      </c>
      <c r="C2955" s="97">
        <f>SUMIFS(Input!$C$115:$C$3257,Input!$A$115:$A$3257,"="&amp;'Output - County'!A2955,Input!$B$115:$B$3257,"="&amp;'Output - County'!B2955)*VLOOKUP(A2955,'Output - State'!$B$2:$G$52,2,FALSE)</f>
        <v>2.3792406713681342</v>
      </c>
      <c r="D2955" s="98">
        <f>SUMIFS(Input!$C$115:$C$3257,Input!$A$115:$A$3257,"="&amp;'Output - County'!A2955,Input!$B$115:$B$3257,"="&amp;'Output - County'!B2955)*VLOOKUP(A2955,'Output - State'!$B$2:$G$52,3,FALSE)</f>
        <v>0.72903235739057481</v>
      </c>
      <c r="E2955" s="98">
        <f>SUMIFS(Input!$C$115:$C$3257,Input!$A$115:$A$3257,"="&amp;'Output - County'!A2955,Input!$B$115:$B$3257,"="&amp;'Output - County'!B2955)*VLOOKUP(A2955,'Output - State'!$B$2:$G$52,4,FALSE)</f>
        <v>0.11044311867853246</v>
      </c>
      <c r="F2955" s="98">
        <f>SUMIFS(Input!$C$115:$C$3257,Input!$A$115:$A$3257,"="&amp;'Output - County'!A2955,Input!$B$115:$B$3257,"="&amp;'Output - County'!B2955)*VLOOKUP(A2955,'Output - State'!$B$2:$G$52,5,FALSE)</f>
        <v>5.1524381208388563</v>
      </c>
      <c r="G2955" s="99">
        <f>SUMIFS(Input!$D$115:$D$3257,Input!$A$115:$A$3257,"="&amp;'Output - County'!A2955,Input!$B$115:$B$3257,"="&amp;'Output - County'!B2955)*VLOOKUP(A2955,'Output - State'!$B$2:$G$52,6,FALSE)</f>
        <v>3.8032789176300446</v>
      </c>
    </row>
    <row r="2956" spans="1:7" x14ac:dyDescent="0.25">
      <c r="A2956" s="88">
        <v>53</v>
      </c>
      <c r="B2956" s="88">
        <v>1</v>
      </c>
      <c r="C2956" s="97">
        <f>SUMIFS(Input!$C$115:$C$3257,Input!$A$115:$A$3257,"="&amp;'Output - County'!A2956,Input!$B$115:$B$3257,"="&amp;'Output - County'!B2956)*VLOOKUP(A2956,'Output - State'!$B$2:$G$52,2,FALSE)</f>
        <v>9.7055853298751007</v>
      </c>
      <c r="D2956" s="98">
        <f>SUMIFS(Input!$C$115:$C$3257,Input!$A$115:$A$3257,"="&amp;'Output - County'!A2956,Input!$B$115:$B$3257,"="&amp;'Output - County'!B2956)*VLOOKUP(A2956,'Output - State'!$B$2:$G$52,3,FALSE)</f>
        <v>0.44458692094516067</v>
      </c>
      <c r="E2956" s="98">
        <f>SUMIFS(Input!$C$115:$C$3257,Input!$A$115:$A$3257,"="&amp;'Output - County'!A2956,Input!$B$115:$B$3257,"="&amp;'Output - County'!B2956)*VLOOKUP(A2956,'Output - State'!$B$2:$G$52,4,FALSE)</f>
        <v>3.9417315932395769</v>
      </c>
      <c r="F2956" s="98">
        <f>SUMIFS(Input!$C$115:$C$3257,Input!$A$115:$A$3257,"="&amp;'Output - County'!A2956,Input!$B$115:$B$3257,"="&amp;'Output - County'!B2956)*VLOOKUP(A2956,'Output - State'!$B$2:$G$52,5,FALSE)</f>
        <v>36.849217985902037</v>
      </c>
      <c r="G2956" s="99">
        <f>SUMIFS(Input!$D$115:$D$3257,Input!$A$115:$A$3257,"="&amp;'Output - County'!A2956,Input!$B$115:$B$3257,"="&amp;'Output - County'!B2956)*VLOOKUP(A2956,'Output - State'!$B$2:$G$52,6,FALSE)</f>
        <v>3.0453017362331209</v>
      </c>
    </row>
    <row r="2957" spans="1:7" x14ac:dyDescent="0.25">
      <c r="A2957" s="88">
        <v>53</v>
      </c>
      <c r="B2957" s="88">
        <v>3</v>
      </c>
      <c r="C2957" s="97">
        <f>SUMIFS(Input!$C$115:$C$3257,Input!$A$115:$A$3257,"="&amp;'Output - County'!A2957,Input!$B$115:$B$3257,"="&amp;'Output - County'!B2957)*VLOOKUP(A2957,'Output - State'!$B$2:$G$52,2,FALSE)</f>
        <v>1.865930717304298</v>
      </c>
      <c r="D2957" s="98">
        <f>SUMIFS(Input!$C$115:$C$3257,Input!$A$115:$A$3257,"="&amp;'Output - County'!A2957,Input!$B$115:$B$3257,"="&amp;'Output - County'!B2957)*VLOOKUP(A2957,'Output - State'!$B$2:$G$52,3,FALSE)</f>
        <v>8.5473298529434333E-2</v>
      </c>
      <c r="E2957" s="98">
        <f>SUMIFS(Input!$C$115:$C$3257,Input!$A$115:$A$3257,"="&amp;'Output - County'!A2957,Input!$B$115:$B$3257,"="&amp;'Output - County'!B2957)*VLOOKUP(A2957,'Output - State'!$B$2:$G$52,4,FALSE)</f>
        <v>0.75781086963965594</v>
      </c>
      <c r="F2957" s="98">
        <f>SUMIFS(Input!$C$115:$C$3257,Input!$A$115:$A$3257,"="&amp;'Output - County'!A2957,Input!$B$115:$B$3257,"="&amp;'Output - County'!B2957)*VLOOKUP(A2957,'Output - State'!$B$2:$G$52,5,FALSE)</f>
        <v>7.0843834154844796</v>
      </c>
      <c r="G2957" s="99">
        <f>SUMIFS(Input!$D$115:$D$3257,Input!$A$115:$A$3257,"="&amp;'Output - County'!A2957,Input!$B$115:$B$3257,"="&amp;'Output - County'!B2957)*VLOOKUP(A2957,'Output - State'!$B$2:$G$52,6,FALSE)</f>
        <v>3.4935948852217531</v>
      </c>
    </row>
    <row r="2958" spans="1:7" x14ac:dyDescent="0.25">
      <c r="A2958" s="88">
        <v>53</v>
      </c>
      <c r="B2958" s="88">
        <v>5</v>
      </c>
      <c r="C2958" s="97">
        <f>SUMIFS(Input!$C$115:$C$3257,Input!$A$115:$A$3257,"="&amp;'Output - County'!A2958,Input!$B$115:$B$3257,"="&amp;'Output - County'!B2958)*VLOOKUP(A2958,'Output - State'!$B$2:$G$52,2,FALSE)</f>
        <v>30.610308828126946</v>
      </c>
      <c r="D2958" s="98">
        <f>SUMIFS(Input!$C$115:$C$3257,Input!$A$115:$A$3257,"="&amp;'Output - County'!A2958,Input!$B$115:$B$3257,"="&amp;'Output - County'!B2958)*VLOOKUP(A2958,'Output - State'!$B$2:$G$52,3,FALSE)</f>
        <v>1.4021764261025316</v>
      </c>
      <c r="E2958" s="98">
        <f>SUMIFS(Input!$C$115:$C$3257,Input!$A$115:$A$3257,"="&amp;'Output - County'!A2958,Input!$B$115:$B$3257,"="&amp;'Output - County'!B2958)*VLOOKUP(A2958,'Output - State'!$B$2:$G$52,4,FALSE)</f>
        <v>12.43177173614124</v>
      </c>
      <c r="F2958" s="98">
        <f>SUMIFS(Input!$C$115:$C$3257,Input!$A$115:$A$3257,"="&amp;'Output - County'!A2958,Input!$B$115:$B$3257,"="&amp;'Output - County'!B2958)*VLOOKUP(A2958,'Output - State'!$B$2:$G$52,5,FALSE)</f>
        <v>116.21822943036729</v>
      </c>
      <c r="G2958" s="99">
        <f>SUMIFS(Input!$D$115:$D$3257,Input!$A$115:$A$3257,"="&amp;'Output - County'!A2958,Input!$B$115:$B$3257,"="&amp;'Output - County'!B2958)*VLOOKUP(A2958,'Output - State'!$B$2:$G$52,6,FALSE)</f>
        <v>31.071352740246564</v>
      </c>
    </row>
    <row r="2959" spans="1:7" x14ac:dyDescent="0.25">
      <c r="A2959" s="88">
        <v>53</v>
      </c>
      <c r="B2959" s="88">
        <v>7</v>
      </c>
      <c r="C2959" s="97">
        <f>SUMIFS(Input!$C$115:$C$3257,Input!$A$115:$A$3257,"="&amp;'Output - County'!A2959,Input!$B$115:$B$3257,"="&amp;'Output - County'!B2959)*VLOOKUP(A2959,'Output - State'!$B$2:$G$52,2,FALSE)</f>
        <v>10.472592004164781</v>
      </c>
      <c r="D2959" s="98">
        <f>SUMIFS(Input!$C$115:$C$3257,Input!$A$115:$A$3257,"="&amp;'Output - County'!A2959,Input!$B$115:$B$3257,"="&amp;'Output - County'!B2959)*VLOOKUP(A2959,'Output - State'!$B$2:$G$52,3,FALSE)</f>
        <v>0.47972144648657122</v>
      </c>
      <c r="E2959" s="98">
        <f>SUMIFS(Input!$C$115:$C$3257,Input!$A$115:$A$3257,"="&amp;'Output - County'!A2959,Input!$B$115:$B$3257,"="&amp;'Output - County'!B2959)*VLOOKUP(A2959,'Output - State'!$B$2:$G$52,4,FALSE)</f>
        <v>4.2532361895638209</v>
      </c>
      <c r="F2959" s="98">
        <f>SUMIFS(Input!$C$115:$C$3257,Input!$A$115:$A$3257,"="&amp;'Output - County'!A2959,Input!$B$115:$B$3257,"="&amp;'Output - County'!B2959)*VLOOKUP(A2959,'Output - State'!$B$2:$G$52,5,FALSE)</f>
        <v>39.761313977737068</v>
      </c>
      <c r="G2959" s="99">
        <f>SUMIFS(Input!$D$115:$D$3257,Input!$A$115:$A$3257,"="&amp;'Output - County'!A2959,Input!$B$115:$B$3257,"="&amp;'Output - County'!B2959)*VLOOKUP(A2959,'Output - State'!$B$2:$G$52,6,FALSE)</f>
        <v>11.872039255974807</v>
      </c>
    </row>
    <row r="2960" spans="1:7" x14ac:dyDescent="0.25">
      <c r="A2960" s="88">
        <v>53</v>
      </c>
      <c r="B2960" s="88">
        <v>9</v>
      </c>
      <c r="C2960" s="97">
        <f>SUMIFS(Input!$C$115:$C$3257,Input!$A$115:$A$3257,"="&amp;'Output - County'!A2960,Input!$B$115:$B$3257,"="&amp;'Output - County'!B2960)*VLOOKUP(A2960,'Output - State'!$B$2:$G$52,2,FALSE)</f>
        <v>8.2620445552894495</v>
      </c>
      <c r="D2960" s="98">
        <f>SUMIFS(Input!$C$115:$C$3257,Input!$A$115:$A$3257,"="&amp;'Output - County'!A2960,Input!$B$115:$B$3257,"="&amp;'Output - County'!B2960)*VLOOKUP(A2960,'Output - State'!$B$2:$G$52,3,FALSE)</f>
        <v>0.37846217664392384</v>
      </c>
      <c r="E2960" s="98">
        <f>SUMIFS(Input!$C$115:$C$3257,Input!$A$115:$A$3257,"="&amp;'Output - County'!A2960,Input!$B$115:$B$3257,"="&amp;'Output - County'!B2960)*VLOOKUP(A2960,'Output - State'!$B$2:$G$52,4,FALSE)</f>
        <v>3.3554660477913241</v>
      </c>
      <c r="F2960" s="98">
        <f>SUMIFS(Input!$C$115:$C$3257,Input!$A$115:$A$3257,"="&amp;'Output - County'!A2960,Input!$B$115:$B$3257,"="&amp;'Output - County'!B2960)*VLOOKUP(A2960,'Output - State'!$B$2:$G$52,5,FALSE)</f>
        <v>31.368523430519765</v>
      </c>
      <c r="G2960" s="99">
        <f>SUMIFS(Input!$D$115:$D$3257,Input!$A$115:$A$3257,"="&amp;'Output - County'!A2960,Input!$B$115:$B$3257,"="&amp;'Output - County'!B2960)*VLOOKUP(A2960,'Output - State'!$B$2:$G$52,6,FALSE)</f>
        <v>11.841122487079039</v>
      </c>
    </row>
    <row r="2961" spans="1:7" x14ac:dyDescent="0.25">
      <c r="A2961" s="88">
        <v>53</v>
      </c>
      <c r="B2961" s="88">
        <v>11</v>
      </c>
      <c r="C2961" s="97">
        <f>SUMIFS(Input!$C$115:$C$3257,Input!$A$115:$A$3257,"="&amp;'Output - County'!A2961,Input!$B$115:$B$3257,"="&amp;'Output - County'!B2961)*VLOOKUP(A2961,'Output - State'!$B$2:$G$52,2,FALSE)</f>
        <v>57.754564568106176</v>
      </c>
      <c r="D2961" s="98">
        <f>SUMIFS(Input!$C$115:$C$3257,Input!$A$115:$A$3257,"="&amp;'Output - County'!A2961,Input!$B$115:$B$3257,"="&amp;'Output - County'!B2961)*VLOOKUP(A2961,'Output - State'!$B$2:$G$52,3,FALSE)</f>
        <v>2.6455822249922178</v>
      </c>
      <c r="E2961" s="98">
        <f>SUMIFS(Input!$C$115:$C$3257,Input!$A$115:$A$3257,"="&amp;'Output - County'!A2961,Input!$B$115:$B$3257,"="&amp;'Output - County'!B2961)*VLOOKUP(A2961,'Output - State'!$B$2:$G$52,4,FALSE)</f>
        <v>23.455874537638916</v>
      </c>
      <c r="F2961" s="98">
        <f>SUMIFS(Input!$C$115:$C$3257,Input!$A$115:$A$3257,"="&amp;'Output - County'!A2961,Input!$B$115:$B$3257,"="&amp;'Output - County'!B2961)*VLOOKUP(A2961,'Output - State'!$B$2:$G$52,5,FALSE)</f>
        <v>219.2768871857815</v>
      </c>
      <c r="G2961" s="99">
        <f>SUMIFS(Input!$D$115:$D$3257,Input!$A$115:$A$3257,"="&amp;'Output - County'!A2961,Input!$B$115:$B$3257,"="&amp;'Output - County'!B2961)*VLOOKUP(A2961,'Output - State'!$B$2:$G$52,6,FALSE)</f>
        <v>74.354829194321383</v>
      </c>
    </row>
    <row r="2962" spans="1:7" x14ac:dyDescent="0.25">
      <c r="A2962" s="88">
        <v>53</v>
      </c>
      <c r="B2962" s="88">
        <v>13</v>
      </c>
      <c r="C2962" s="97">
        <f>SUMIFS(Input!$C$115:$C$3257,Input!$A$115:$A$3257,"="&amp;'Output - County'!A2962,Input!$B$115:$B$3257,"="&amp;'Output - County'!B2962)*VLOOKUP(A2962,'Output - State'!$B$2:$G$52,2,FALSE)</f>
        <v>0.56239369997050304</v>
      </c>
      <c r="D2962" s="98">
        <f>SUMIFS(Input!$C$115:$C$3257,Input!$A$115:$A$3257,"="&amp;'Output - County'!A2962,Input!$B$115:$B$3257,"="&amp;'Output - County'!B2962)*VLOOKUP(A2962,'Output - State'!$B$2:$G$52,3,FALSE)</f>
        <v>2.5761752118051807E-2</v>
      </c>
      <c r="E2962" s="98">
        <f>SUMIFS(Input!$C$115:$C$3257,Input!$A$115:$A$3257,"="&amp;'Output - County'!A2962,Input!$B$115:$B$3257,"="&amp;'Output - County'!B2962)*VLOOKUP(A2962,'Output - State'!$B$2:$G$52,4,FALSE)</f>
        <v>0.2284050821941678</v>
      </c>
      <c r="F2962" s="98">
        <f>SUMIFS(Input!$C$115:$C$3257,Input!$A$115:$A$3257,"="&amp;'Output - County'!A2962,Input!$B$115:$B$3257,"="&amp;'Output - County'!B2962)*VLOOKUP(A2962,'Output - State'!$B$2:$G$52,5,FALSE)</f>
        <v>2.1352414449770998</v>
      </c>
      <c r="G2962" s="99">
        <f>SUMIFS(Input!$D$115:$D$3257,Input!$A$115:$A$3257,"="&amp;'Output - County'!A2962,Input!$B$115:$B$3257,"="&amp;'Output - County'!B2962)*VLOOKUP(A2962,'Output - State'!$B$2:$G$52,6,FALSE)</f>
        <v>0.624518731694508</v>
      </c>
    </row>
    <row r="2963" spans="1:7" x14ac:dyDescent="0.25">
      <c r="A2963" s="88">
        <v>53</v>
      </c>
      <c r="B2963" s="88">
        <v>15</v>
      </c>
      <c r="C2963" s="97">
        <f>SUMIFS(Input!$C$115:$C$3257,Input!$A$115:$A$3257,"="&amp;'Output - County'!A2963,Input!$B$115:$B$3257,"="&amp;'Output - County'!B2963)*VLOOKUP(A2963,'Output - State'!$B$2:$G$52,2,FALSE)</f>
        <v>23.354891353607137</v>
      </c>
      <c r="D2963" s="98">
        <f>SUMIFS(Input!$C$115:$C$3257,Input!$A$115:$A$3257,"="&amp;'Output - County'!A2963,Input!$B$115:$B$3257,"="&amp;'Output - County'!B2963)*VLOOKUP(A2963,'Output - State'!$B$2:$G$52,3,FALSE)</f>
        <v>1.0698251453158438</v>
      </c>
      <c r="E2963" s="98">
        <f>SUMIFS(Input!$C$115:$C$3257,Input!$A$115:$A$3257,"="&amp;'Output - County'!A2963,Input!$B$115:$B$3257,"="&amp;'Output - County'!B2963)*VLOOKUP(A2963,'Output - State'!$B$2:$G$52,4,FALSE)</f>
        <v>9.485127375246698</v>
      </c>
      <c r="F2963" s="98">
        <f>SUMIFS(Input!$C$115:$C$3257,Input!$A$115:$A$3257,"="&amp;'Output - County'!A2963,Input!$B$115:$B$3257,"="&amp;'Output - County'!B2963)*VLOOKUP(A2963,'Output - State'!$B$2:$G$52,5,FALSE)</f>
        <v>88.671569336169341</v>
      </c>
      <c r="G2963" s="99">
        <f>SUMIFS(Input!$D$115:$D$3257,Input!$A$115:$A$3257,"="&amp;'Output - County'!A2963,Input!$B$115:$B$3257,"="&amp;'Output - County'!B2963)*VLOOKUP(A2963,'Output - State'!$B$2:$G$52,6,FALSE)</f>
        <v>16.84963904819341</v>
      </c>
    </row>
    <row r="2964" spans="1:7" x14ac:dyDescent="0.25">
      <c r="A2964" s="88">
        <v>53</v>
      </c>
      <c r="B2964" s="88">
        <v>17</v>
      </c>
      <c r="C2964" s="97">
        <f>SUMIFS(Input!$C$115:$C$3257,Input!$A$115:$A$3257,"="&amp;'Output - County'!A2964,Input!$B$115:$B$3257,"="&amp;'Output - County'!B2964)*VLOOKUP(A2964,'Output - State'!$B$2:$G$52,2,FALSE)</f>
        <v>6.1257271441939443</v>
      </c>
      <c r="D2964" s="98">
        <f>SUMIFS(Input!$C$115:$C$3257,Input!$A$115:$A$3257,"="&amp;'Output - County'!A2964,Input!$B$115:$B$3257,"="&amp;'Output - County'!B2964)*VLOOKUP(A2964,'Output - State'!$B$2:$G$52,3,FALSE)</f>
        <v>0.28060318641517984</v>
      </c>
      <c r="E2964" s="98">
        <f>SUMIFS(Input!$C$115:$C$3257,Input!$A$115:$A$3257,"="&amp;'Output - County'!A2964,Input!$B$115:$B$3257,"="&amp;'Output - County'!B2964)*VLOOKUP(A2964,'Output - State'!$B$2:$G$52,4,FALSE)</f>
        <v>2.4878429682659076</v>
      </c>
      <c r="F2964" s="98">
        <f>SUMIFS(Input!$C$115:$C$3257,Input!$A$115:$A$3257,"="&amp;'Output - County'!A2964,Input!$B$115:$B$3257,"="&amp;'Output - County'!B2964)*VLOOKUP(A2964,'Output - State'!$B$2:$G$52,5,FALSE)</f>
        <v>23.257562237255055</v>
      </c>
      <c r="G2964" s="99">
        <f>SUMIFS(Input!$D$115:$D$3257,Input!$A$115:$A$3257,"="&amp;'Output - County'!A2964,Input!$B$115:$B$3257,"="&amp;'Output - County'!B2964)*VLOOKUP(A2964,'Output - State'!$B$2:$G$52,6,FALSE)</f>
        <v>6.6007301592464103</v>
      </c>
    </row>
    <row r="2965" spans="1:7" x14ac:dyDescent="0.25">
      <c r="A2965" s="88">
        <v>53</v>
      </c>
      <c r="B2965" s="88">
        <v>19</v>
      </c>
      <c r="C2965" s="97">
        <f>SUMIFS(Input!$C$115:$C$3257,Input!$A$115:$A$3257,"="&amp;'Output - County'!A2965,Input!$B$115:$B$3257,"="&amp;'Output - County'!B2965)*VLOOKUP(A2965,'Output - State'!$B$2:$G$52,2,FALSE)</f>
        <v>0.84130824756081113</v>
      </c>
      <c r="D2965" s="98">
        <f>SUMIFS(Input!$C$115:$C$3257,Input!$A$115:$A$3257,"="&amp;'Output - County'!A2965,Input!$B$115:$B$3257,"="&amp;'Output - County'!B2965)*VLOOKUP(A2965,'Output - State'!$B$2:$G$52,3,FALSE)</f>
        <v>3.8538082004956564E-2</v>
      </c>
      <c r="E2965" s="98">
        <f>SUMIFS(Input!$C$115:$C$3257,Input!$A$115:$A$3257,"="&amp;'Output - County'!A2965,Input!$B$115:$B$3257,"="&amp;'Output - County'!B2965)*VLOOKUP(A2965,'Output - State'!$B$2:$G$52,4,FALSE)</f>
        <v>0.34168071129679595</v>
      </c>
      <c r="F2965" s="98">
        <f>SUMIFS(Input!$C$115:$C$3257,Input!$A$115:$A$3257,"="&amp;'Output - County'!A2965,Input!$B$115:$B$3257,"="&amp;'Output - County'!B2965)*VLOOKUP(A2965,'Output - State'!$B$2:$G$52,5,FALSE)</f>
        <v>3.1941969447508343</v>
      </c>
      <c r="G2965" s="99">
        <f>SUMIFS(Input!$D$115:$D$3257,Input!$A$115:$A$3257,"="&amp;'Output - County'!A2965,Input!$B$115:$B$3257,"="&amp;'Output - County'!B2965)*VLOOKUP(A2965,'Output - State'!$B$2:$G$52,6,FALSE)</f>
        <v>1.1810205718183271</v>
      </c>
    </row>
    <row r="2966" spans="1:7" x14ac:dyDescent="0.25">
      <c r="A2966" s="88">
        <v>53</v>
      </c>
      <c r="B2966" s="88">
        <v>21</v>
      </c>
      <c r="C2966" s="97">
        <f>SUMIFS(Input!$C$115:$C$3257,Input!$A$115:$A$3257,"="&amp;'Output - County'!A2966,Input!$B$115:$B$3257,"="&amp;'Output - County'!B2966)*VLOOKUP(A2966,'Output - State'!$B$2:$G$52,2,FALSE)</f>
        <v>13.855915087697291</v>
      </c>
      <c r="D2966" s="98">
        <f>SUMIFS(Input!$C$115:$C$3257,Input!$A$115:$A$3257,"="&amp;'Output - County'!A2966,Input!$B$115:$B$3257,"="&amp;'Output - County'!B2966)*VLOOKUP(A2966,'Output - State'!$B$2:$G$52,3,FALSE)</f>
        <v>0.63470243332518395</v>
      </c>
      <c r="E2966" s="98">
        <f>SUMIFS(Input!$C$115:$C$3257,Input!$A$115:$A$3257,"="&amp;'Output - County'!A2966,Input!$B$115:$B$3257,"="&amp;'Output - County'!B2966)*VLOOKUP(A2966,'Output - State'!$B$2:$G$52,4,FALSE)</f>
        <v>5.6273059684823954</v>
      </c>
      <c r="F2966" s="98">
        <f>SUMIFS(Input!$C$115:$C$3257,Input!$A$115:$A$3257,"="&amp;'Output - County'!A2966,Input!$B$115:$B$3257,"="&amp;'Output - County'!B2966)*VLOOKUP(A2966,'Output - State'!$B$2:$G$52,5,FALSE)</f>
        <v>52.606784455242845</v>
      </c>
      <c r="G2966" s="99">
        <f>SUMIFS(Input!$D$115:$D$3257,Input!$A$115:$A$3257,"="&amp;'Output - County'!A2966,Input!$B$115:$B$3257,"="&amp;'Output - County'!B2966)*VLOOKUP(A2966,'Output - State'!$B$2:$G$52,6,FALSE)</f>
        <v>14.530881381010831</v>
      </c>
    </row>
    <row r="2967" spans="1:7" x14ac:dyDescent="0.25">
      <c r="A2967" s="88">
        <v>53</v>
      </c>
      <c r="B2967" s="88">
        <v>23</v>
      </c>
      <c r="C2967" s="97">
        <f>SUMIFS(Input!$C$115:$C$3257,Input!$A$115:$A$3257,"="&amp;'Output - County'!A2967,Input!$B$115:$B$3257,"="&amp;'Output - County'!B2967)*VLOOKUP(A2967,'Output - State'!$B$2:$G$52,2,FALSE)</f>
        <v>0.47900948354124973</v>
      </c>
      <c r="D2967" s="98">
        <f>SUMIFS(Input!$C$115:$C$3257,Input!$A$115:$A$3257,"="&amp;'Output - County'!A2967,Input!$B$115:$B$3257,"="&amp;'Output - County'!B2967)*VLOOKUP(A2967,'Output - State'!$B$2:$G$52,3,FALSE)</f>
        <v>2.1942144049325093E-2</v>
      </c>
      <c r="E2967" s="98">
        <f>SUMIFS(Input!$C$115:$C$3257,Input!$A$115:$A$3257,"="&amp;'Output - County'!A2967,Input!$B$115:$B$3257,"="&amp;'Output - County'!B2967)*VLOOKUP(A2967,'Output - State'!$B$2:$G$52,4,FALSE)</f>
        <v>0.19454023127528519</v>
      </c>
      <c r="F2967" s="98">
        <f>SUMIFS(Input!$C$115:$C$3257,Input!$A$115:$A$3257,"="&amp;'Output - County'!A2967,Input!$B$115:$B$3257,"="&amp;'Output - County'!B2967)*VLOOKUP(A2967,'Output - State'!$B$2:$G$52,5,FALSE)</f>
        <v>1.8186564000414609</v>
      </c>
      <c r="G2967" s="99">
        <f>SUMIFS(Input!$D$115:$D$3257,Input!$A$115:$A$3257,"="&amp;'Output - County'!A2967,Input!$B$115:$B$3257,"="&amp;'Output - County'!B2967)*VLOOKUP(A2967,'Output - State'!$B$2:$G$52,6,FALSE)</f>
        <v>0.34626781163259851</v>
      </c>
    </row>
    <row r="2968" spans="1:7" x14ac:dyDescent="0.25">
      <c r="A2968" s="88">
        <v>53</v>
      </c>
      <c r="B2968" s="88">
        <v>25</v>
      </c>
      <c r="C2968" s="97">
        <f>SUMIFS(Input!$C$115:$C$3257,Input!$A$115:$A$3257,"="&amp;'Output - County'!A2968,Input!$B$115:$B$3257,"="&amp;'Output - County'!B2968)*VLOOKUP(A2968,'Output - State'!$B$2:$G$52,2,FALSE)</f>
        <v>16.343150484495645</v>
      </c>
      <c r="D2968" s="98">
        <f>SUMIFS(Input!$C$115:$C$3257,Input!$A$115:$A$3257,"="&amp;'Output - County'!A2968,Input!$B$115:$B$3257,"="&amp;'Output - County'!B2968)*VLOOKUP(A2968,'Output - State'!$B$2:$G$52,3,FALSE)</f>
        <v>0.74863603847567572</v>
      </c>
      <c r="E2968" s="98">
        <f>SUMIFS(Input!$C$115:$C$3257,Input!$A$115:$A$3257,"="&amp;'Output - County'!A2968,Input!$B$115:$B$3257,"="&amp;'Output - County'!B2968)*VLOOKUP(A2968,'Output - State'!$B$2:$G$52,4,FALSE)</f>
        <v>6.6374474499246094</v>
      </c>
      <c r="F2968" s="98">
        <f>SUMIFS(Input!$C$115:$C$3257,Input!$A$115:$A$3257,"="&amp;'Output - County'!A2968,Input!$B$115:$B$3257,"="&amp;'Output - County'!B2968)*VLOOKUP(A2968,'Output - State'!$B$2:$G$52,5,FALSE)</f>
        <v>62.050076766192369</v>
      </c>
      <c r="G2968" s="99">
        <f>SUMIFS(Input!$D$115:$D$3257,Input!$A$115:$A$3257,"="&amp;'Output - County'!A2968,Input!$B$115:$B$3257,"="&amp;'Output - County'!B2968)*VLOOKUP(A2968,'Output - State'!$B$2:$G$52,6,FALSE)</f>
        <v>14.948257761103694</v>
      </c>
    </row>
    <row r="2969" spans="1:7" x14ac:dyDescent="0.25">
      <c r="A2969" s="88">
        <v>53</v>
      </c>
      <c r="B2969" s="88">
        <v>27</v>
      </c>
      <c r="C2969" s="97">
        <f>SUMIFS(Input!$C$115:$C$3257,Input!$A$115:$A$3257,"="&amp;'Output - County'!A2969,Input!$B$115:$B$3257,"="&amp;'Output - County'!B2969)*VLOOKUP(A2969,'Output - State'!$B$2:$G$52,2,FALSE)</f>
        <v>11.176910147886632</v>
      </c>
      <c r="D2969" s="98">
        <f>SUMIFS(Input!$C$115:$C$3257,Input!$A$115:$A$3257,"="&amp;'Output - County'!A2969,Input!$B$115:$B$3257,"="&amp;'Output - County'!B2969)*VLOOKUP(A2969,'Output - State'!$B$2:$G$52,3,FALSE)</f>
        <v>0.51198437800902674</v>
      </c>
      <c r="E2969" s="98">
        <f>SUMIFS(Input!$C$115:$C$3257,Input!$A$115:$A$3257,"="&amp;'Output - County'!A2969,Input!$B$115:$B$3257,"="&amp;'Output - County'!B2969)*VLOOKUP(A2969,'Output - State'!$B$2:$G$52,4,FALSE)</f>
        <v>4.5392810786087567</v>
      </c>
      <c r="F2969" s="98">
        <f>SUMIFS(Input!$C$115:$C$3257,Input!$A$115:$A$3257,"="&amp;'Output - County'!A2969,Input!$B$115:$B$3257,"="&amp;'Output - County'!B2969)*VLOOKUP(A2969,'Output - State'!$B$2:$G$52,5,FALSE)</f>
        <v>42.435400282407819</v>
      </c>
      <c r="G2969" s="99">
        <f>SUMIFS(Input!$D$115:$D$3257,Input!$A$115:$A$3257,"="&amp;'Output - County'!A2969,Input!$B$115:$B$3257,"="&amp;'Output - County'!B2969)*VLOOKUP(A2969,'Output - State'!$B$2:$G$52,6,FALSE)</f>
        <v>11.40828772253829</v>
      </c>
    </row>
    <row r="2970" spans="1:7" x14ac:dyDescent="0.25">
      <c r="A2970" s="88">
        <v>53</v>
      </c>
      <c r="B2970" s="88">
        <v>29</v>
      </c>
      <c r="C2970" s="97">
        <f>SUMIFS(Input!$C$115:$C$3257,Input!$A$115:$A$3257,"="&amp;'Output - County'!A2970,Input!$B$115:$B$3257,"="&amp;'Output - County'!B2970)*VLOOKUP(A2970,'Output - State'!$B$2:$G$52,2,FALSE)</f>
        <v>6.4286914624938243</v>
      </c>
      <c r="D2970" s="98">
        <f>SUMIFS(Input!$C$115:$C$3257,Input!$A$115:$A$3257,"="&amp;'Output - County'!A2970,Input!$B$115:$B$3257,"="&amp;'Output - County'!B2970)*VLOOKUP(A2970,'Output - State'!$B$2:$G$52,3,FALSE)</f>
        <v>0.29448117201328566</v>
      </c>
      <c r="E2970" s="98">
        <f>SUMIFS(Input!$C$115:$C$3257,Input!$A$115:$A$3257,"="&amp;'Output - County'!A2970,Input!$B$115:$B$3257,"="&amp;'Output - County'!B2970)*VLOOKUP(A2970,'Output - State'!$B$2:$G$52,4,FALSE)</f>
        <v>2.6108859362557935</v>
      </c>
      <c r="F2970" s="98">
        <f>SUMIFS(Input!$C$115:$C$3257,Input!$A$115:$A$3257,"="&amp;'Output - County'!A2970,Input!$B$115:$B$3257,"="&amp;'Output - County'!B2970)*VLOOKUP(A2970,'Output - State'!$B$2:$G$52,5,FALSE)</f>
        <v>24.407827556402598</v>
      </c>
      <c r="G2970" s="99">
        <f>SUMIFS(Input!$D$115:$D$3257,Input!$A$115:$A$3257,"="&amp;'Output - County'!A2970,Input!$B$115:$B$3257,"="&amp;'Output - County'!B2970)*VLOOKUP(A2970,'Output - State'!$B$2:$G$52,6,FALSE)</f>
        <v>13.015959705118213</v>
      </c>
    </row>
    <row r="2971" spans="1:7" x14ac:dyDescent="0.25">
      <c r="A2971" s="88">
        <v>53</v>
      </c>
      <c r="B2971" s="88">
        <v>31</v>
      </c>
      <c r="C2971" s="97">
        <f>SUMIFS(Input!$C$115:$C$3257,Input!$A$115:$A$3257,"="&amp;'Output - County'!A2971,Input!$B$115:$B$3257,"="&amp;'Output - County'!B2971)*VLOOKUP(A2971,'Output - State'!$B$2:$G$52,2,FALSE)</f>
        <v>4.3295600757878896</v>
      </c>
      <c r="D2971" s="98">
        <f>SUMIFS(Input!$C$115:$C$3257,Input!$A$115:$A$3257,"="&amp;'Output - County'!A2971,Input!$B$115:$B$3257,"="&amp;'Output - County'!B2971)*VLOOKUP(A2971,'Output - State'!$B$2:$G$52,3,FALSE)</f>
        <v>0.19832557416363522</v>
      </c>
      <c r="E2971" s="98">
        <f>SUMIFS(Input!$C$115:$C$3257,Input!$A$115:$A$3257,"="&amp;'Output - County'!A2971,Input!$B$115:$B$3257,"="&amp;'Output - County'!B2971)*VLOOKUP(A2971,'Output - State'!$B$2:$G$52,4,FALSE)</f>
        <v>1.7583652253337594</v>
      </c>
      <c r="F2971" s="98">
        <f>SUMIFS(Input!$C$115:$C$3257,Input!$A$115:$A$3257,"="&amp;'Output - County'!A2971,Input!$B$115:$B$3257,"="&amp;'Output - County'!B2971)*VLOOKUP(A2971,'Output - State'!$B$2:$G$52,5,FALSE)</f>
        <v>16.438050626856896</v>
      </c>
      <c r="G2971" s="99">
        <f>SUMIFS(Input!$D$115:$D$3257,Input!$A$115:$A$3257,"="&amp;'Output - County'!A2971,Input!$B$115:$B$3257,"="&amp;'Output - County'!B2971)*VLOOKUP(A2971,'Output - State'!$B$2:$G$52,6,FALSE)</f>
        <v>4.9003078699791844</v>
      </c>
    </row>
    <row r="2972" spans="1:7" x14ac:dyDescent="0.25">
      <c r="A2972" s="88">
        <v>53</v>
      </c>
      <c r="B2972" s="88">
        <v>33</v>
      </c>
      <c r="C2972" s="97">
        <f>SUMIFS(Input!$C$115:$C$3257,Input!$A$115:$A$3257,"="&amp;'Output - County'!A2972,Input!$B$115:$B$3257,"="&amp;'Output - County'!B2972)*VLOOKUP(A2972,'Output - State'!$B$2:$G$52,2,FALSE)</f>
        <v>299.45121883724272</v>
      </c>
      <c r="D2972" s="98">
        <f>SUMIFS(Input!$C$115:$C$3257,Input!$A$115:$A$3257,"="&amp;'Output - County'!A2972,Input!$B$115:$B$3257,"="&amp;'Output - County'!B2972)*VLOOKUP(A2972,'Output - State'!$B$2:$G$52,3,FALSE)</f>
        <v>13.71705990223245</v>
      </c>
      <c r="E2972" s="98">
        <f>SUMIFS(Input!$C$115:$C$3257,Input!$A$115:$A$3257,"="&amp;'Output - County'!A2972,Input!$B$115:$B$3257,"="&amp;'Output - County'!B2972)*VLOOKUP(A2972,'Output - State'!$B$2:$G$52,4,FALSE)</f>
        <v>121.6161921003942</v>
      </c>
      <c r="F2972" s="98">
        <f>SUMIFS(Input!$C$115:$C$3257,Input!$A$115:$A$3257,"="&amp;'Output - County'!A2972,Input!$B$115:$B$3257,"="&amp;'Output - County'!B2972)*VLOOKUP(A2972,'Output - State'!$B$2:$G$52,5,FALSE)</f>
        <v>1136.9271263951284</v>
      </c>
      <c r="G2972" s="99">
        <f>SUMIFS(Input!$D$115:$D$3257,Input!$A$115:$A$3257,"="&amp;'Output - County'!A2972,Input!$B$115:$B$3257,"="&amp;'Output - County'!B2972)*VLOOKUP(A2972,'Output - State'!$B$2:$G$52,6,FALSE)</f>
        <v>344.72197318781019</v>
      </c>
    </row>
    <row r="2973" spans="1:7" x14ac:dyDescent="0.25">
      <c r="A2973" s="88">
        <v>53</v>
      </c>
      <c r="B2973" s="88">
        <v>35</v>
      </c>
      <c r="C2973" s="97">
        <f>SUMIFS(Input!$C$115:$C$3257,Input!$A$115:$A$3257,"="&amp;'Output - County'!A2973,Input!$B$115:$B$3257,"="&amp;'Output - County'!B2973)*VLOOKUP(A2973,'Output - State'!$B$2:$G$52,2,FALSE)</f>
        <v>31.976312868193911</v>
      </c>
      <c r="D2973" s="98">
        <f>SUMIFS(Input!$C$115:$C$3257,Input!$A$115:$A$3257,"="&amp;'Output - County'!A2973,Input!$B$115:$B$3257,"="&amp;'Output - County'!B2973)*VLOOKUP(A2973,'Output - State'!$B$2:$G$52,3,FALSE)</f>
        <v>1.4647494198510536</v>
      </c>
      <c r="E2973" s="98">
        <f>SUMIFS(Input!$C$115:$C$3257,Input!$A$115:$A$3257,"="&amp;'Output - County'!A2973,Input!$B$115:$B$3257,"="&amp;'Output - County'!B2973)*VLOOKUP(A2973,'Output - State'!$B$2:$G$52,4,FALSE)</f>
        <v>12.986547269838406</v>
      </c>
      <c r="F2973" s="98">
        <f>SUMIFS(Input!$C$115:$C$3257,Input!$A$115:$A$3257,"="&amp;'Output - County'!A2973,Input!$B$115:$B$3257,"="&amp;'Output - County'!B2973)*VLOOKUP(A2973,'Output - State'!$B$2:$G$52,5,FALSE)</f>
        <v>121.40454008873725</v>
      </c>
      <c r="G2973" s="99">
        <f>SUMIFS(Input!$D$115:$D$3257,Input!$A$115:$A$3257,"="&amp;'Output - County'!A2973,Input!$B$115:$B$3257,"="&amp;'Output - County'!B2973)*VLOOKUP(A2973,'Output - State'!$B$2:$G$52,6,FALSE)</f>
        <v>41.583054164807592</v>
      </c>
    </row>
    <row r="2974" spans="1:7" x14ac:dyDescent="0.25">
      <c r="A2974" s="88">
        <v>53</v>
      </c>
      <c r="B2974" s="88">
        <v>37</v>
      </c>
      <c r="C2974" s="97">
        <f>SUMIFS(Input!$C$115:$C$3257,Input!$A$115:$A$3257,"="&amp;'Output - County'!A2974,Input!$B$115:$B$3257,"="&amp;'Output - County'!B2974)*VLOOKUP(A2974,'Output - State'!$B$2:$G$52,2,FALSE)</f>
        <v>21.194141547043365</v>
      </c>
      <c r="D2974" s="98">
        <f>SUMIFS(Input!$C$115:$C$3257,Input!$A$115:$A$3257,"="&amp;'Output - County'!A2974,Input!$B$115:$B$3257,"="&amp;'Output - County'!B2974)*VLOOKUP(A2974,'Output - State'!$B$2:$G$52,3,FALSE)</f>
        <v>0.97084697235845874</v>
      </c>
      <c r="E2974" s="98">
        <f>SUMIFS(Input!$C$115:$C$3257,Input!$A$115:$A$3257,"="&amp;'Output - County'!A2974,Input!$B$115:$B$3257,"="&amp;'Output - County'!B2974)*VLOOKUP(A2974,'Output - State'!$B$2:$G$52,4,FALSE)</f>
        <v>8.6075815613531308</v>
      </c>
      <c r="F2974" s="98">
        <f>SUMIFS(Input!$C$115:$C$3257,Input!$A$115:$A$3257,"="&amp;'Output - County'!A2974,Input!$B$115:$B$3257,"="&amp;'Output - County'!B2974)*VLOOKUP(A2974,'Output - State'!$B$2:$G$52,5,FALSE)</f>
        <v>80.467845611235731</v>
      </c>
      <c r="G2974" s="99">
        <f>SUMIFS(Input!$D$115:$D$3257,Input!$A$115:$A$3257,"="&amp;'Output - County'!A2974,Input!$B$115:$B$3257,"="&amp;'Output - County'!B2974)*VLOOKUP(A2974,'Output - State'!$B$2:$G$52,6,FALSE)</f>
        <v>7.3272742282969512</v>
      </c>
    </row>
    <row r="2975" spans="1:7" x14ac:dyDescent="0.25">
      <c r="A2975" s="88">
        <v>53</v>
      </c>
      <c r="B2975" s="88">
        <v>39</v>
      </c>
      <c r="C2975" s="97">
        <f>SUMIFS(Input!$C$115:$C$3257,Input!$A$115:$A$3257,"="&amp;'Output - County'!A2975,Input!$B$115:$B$3257,"="&amp;'Output - County'!B2975)*VLOOKUP(A2975,'Output - State'!$B$2:$G$52,2,FALSE)</f>
        <v>2.4998346584690463</v>
      </c>
      <c r="D2975" s="98">
        <f>SUMIFS(Input!$C$115:$C$3257,Input!$A$115:$A$3257,"="&amp;'Output - County'!A2975,Input!$B$115:$B$3257,"="&amp;'Output - County'!B2975)*VLOOKUP(A2975,'Output - State'!$B$2:$G$52,3,FALSE)</f>
        <v>0.11451074364981684</v>
      </c>
      <c r="E2975" s="98">
        <f>SUMIFS(Input!$C$115:$C$3257,Input!$A$115:$A$3257,"="&amp;'Output - County'!A2975,Input!$B$115:$B$3257,"="&amp;'Output - County'!B2975)*VLOOKUP(A2975,'Output - State'!$B$2:$G$52,4,FALSE)</f>
        <v>1.0152584224705912</v>
      </c>
      <c r="F2975" s="98">
        <f>SUMIFS(Input!$C$115:$C$3257,Input!$A$115:$A$3257,"="&amp;'Output - County'!A2975,Input!$B$115:$B$3257,"="&amp;'Output - County'!B2975)*VLOOKUP(A2975,'Output - State'!$B$2:$G$52,5,FALSE)</f>
        <v>9.4911279565066984</v>
      </c>
      <c r="G2975" s="99">
        <f>SUMIFS(Input!$D$115:$D$3257,Input!$A$115:$A$3257,"="&amp;'Output - County'!A2975,Input!$B$115:$B$3257,"="&amp;'Output - County'!B2975)*VLOOKUP(A2975,'Output - State'!$B$2:$G$52,6,FALSE)</f>
        <v>3.4163029629823334</v>
      </c>
    </row>
    <row r="2976" spans="1:7" x14ac:dyDescent="0.25">
      <c r="A2976" s="88">
        <v>53</v>
      </c>
      <c r="B2976" s="88">
        <v>41</v>
      </c>
      <c r="C2976" s="97">
        <f>SUMIFS(Input!$C$115:$C$3257,Input!$A$115:$A$3257,"="&amp;'Output - County'!A2976,Input!$B$115:$B$3257,"="&amp;'Output - County'!B2976)*VLOOKUP(A2976,'Output - State'!$B$2:$G$52,2,FALSE)</f>
        <v>17.734258172629978</v>
      </c>
      <c r="D2976" s="98">
        <f>SUMIFS(Input!$C$115:$C$3257,Input!$A$115:$A$3257,"="&amp;'Output - County'!A2976,Input!$B$115:$B$3257,"="&amp;'Output - County'!B2976)*VLOOKUP(A2976,'Output - State'!$B$2:$G$52,3,FALSE)</f>
        <v>0.81235896324014667</v>
      </c>
      <c r="E2976" s="98">
        <f>SUMIFS(Input!$C$115:$C$3257,Input!$A$115:$A$3257,"="&amp;'Output - County'!A2976,Input!$B$115:$B$3257,"="&amp;'Output - County'!B2976)*VLOOKUP(A2976,'Output - State'!$B$2:$G$52,4,FALSE)</f>
        <v>7.2024183339617638</v>
      </c>
      <c r="F2976" s="98">
        <f>SUMIFS(Input!$C$115:$C$3257,Input!$A$115:$A$3257,"="&amp;'Output - County'!A2976,Input!$B$115:$B$3257,"="&amp;'Output - County'!B2976)*VLOOKUP(A2976,'Output - State'!$B$2:$G$52,5,FALSE)</f>
        <v>67.331698502507166</v>
      </c>
      <c r="G2976" s="99">
        <f>SUMIFS(Input!$D$115:$D$3257,Input!$A$115:$A$3257,"="&amp;'Output - County'!A2976,Input!$B$115:$B$3257,"="&amp;'Output - County'!B2976)*VLOOKUP(A2976,'Output - State'!$B$2:$G$52,6,FALSE)</f>
        <v>12.304874020515555</v>
      </c>
    </row>
    <row r="2977" spans="1:7" x14ac:dyDescent="0.25">
      <c r="A2977" s="88">
        <v>53</v>
      </c>
      <c r="B2977" s="88">
        <v>43</v>
      </c>
      <c r="C2977" s="97">
        <f>SUMIFS(Input!$C$115:$C$3257,Input!$A$115:$A$3257,"="&amp;'Output - County'!A2977,Input!$B$115:$B$3257,"="&amp;'Output - County'!B2977)*VLOOKUP(A2977,'Output - State'!$B$2:$G$52,2,FALSE)</f>
        <v>4.0725790498533154</v>
      </c>
      <c r="D2977" s="98">
        <f>SUMIFS(Input!$C$115:$C$3257,Input!$A$115:$A$3257,"="&amp;'Output - County'!A2977,Input!$B$115:$B$3257,"="&amp;'Output - County'!B2977)*VLOOKUP(A2977,'Output - State'!$B$2:$G$52,3,FALSE)</f>
        <v>0.18655396027550603</v>
      </c>
      <c r="E2977" s="98">
        <f>SUMIFS(Input!$C$115:$C$3257,Input!$A$115:$A$3257,"="&amp;'Output - County'!A2977,Input!$B$115:$B$3257,"="&amp;'Output - County'!B2977)*VLOOKUP(A2977,'Output - State'!$B$2:$G$52,4,FALSE)</f>
        <v>1.6539974624053937</v>
      </c>
      <c r="F2977" s="98">
        <f>SUMIFS(Input!$C$115:$C$3257,Input!$A$115:$A$3257,"="&amp;'Output - County'!A2977,Input!$B$115:$B$3257,"="&amp;'Output - County'!B2977)*VLOOKUP(A2977,'Output - State'!$B$2:$G$52,5,FALSE)</f>
        <v>15.462370178841534</v>
      </c>
      <c r="G2977" s="99">
        <f>SUMIFS(Input!$D$115:$D$3257,Input!$A$115:$A$3257,"="&amp;'Output - County'!A2977,Input!$B$115:$B$3257,"="&amp;'Output - County'!B2977)*VLOOKUP(A2977,'Output - State'!$B$2:$G$52,6,FALSE)</f>
        <v>1.6540471359235733</v>
      </c>
    </row>
    <row r="2978" spans="1:7" x14ac:dyDescent="0.25">
      <c r="A2978" s="88">
        <v>53</v>
      </c>
      <c r="B2978" s="88">
        <v>45</v>
      </c>
      <c r="C2978" s="97">
        <f>SUMIFS(Input!$C$115:$C$3257,Input!$A$115:$A$3257,"="&amp;'Output - County'!A2978,Input!$B$115:$B$3257,"="&amp;'Output - County'!B2978)*VLOOKUP(A2978,'Output - State'!$B$2:$G$52,2,FALSE)</f>
        <v>7.0069734982711989</v>
      </c>
      <c r="D2978" s="98">
        <f>SUMIFS(Input!$C$115:$C$3257,Input!$A$115:$A$3257,"="&amp;'Output - County'!A2978,Input!$B$115:$B$3257,"="&amp;'Output - County'!B2978)*VLOOKUP(A2978,'Output - State'!$B$2:$G$52,3,FALSE)</f>
        <v>0.32097072632515017</v>
      </c>
      <c r="E2978" s="98">
        <f>SUMIFS(Input!$C$115:$C$3257,Input!$A$115:$A$3257,"="&amp;'Output - County'!A2978,Input!$B$115:$B$3257,"="&amp;'Output - County'!B2978)*VLOOKUP(A2978,'Output - State'!$B$2:$G$52,4,FALSE)</f>
        <v>2.8457437519106801</v>
      </c>
      <c r="F2978" s="98">
        <f>SUMIFS(Input!$C$115:$C$3257,Input!$A$115:$A$3257,"="&amp;'Output - County'!A2978,Input!$B$115:$B$3257,"="&amp;'Output - County'!B2978)*VLOOKUP(A2978,'Output - State'!$B$2:$G$52,5,FALSE)</f>
        <v>26.603392282220728</v>
      </c>
      <c r="G2978" s="99">
        <f>SUMIFS(Input!$D$115:$D$3257,Input!$A$115:$A$3257,"="&amp;'Output - County'!A2978,Input!$B$115:$B$3257,"="&amp;'Output - County'!B2978)*VLOOKUP(A2978,'Output - State'!$B$2:$G$52,6,FALSE)</f>
        <v>10.109783428916046</v>
      </c>
    </row>
    <row r="2979" spans="1:7" x14ac:dyDescent="0.25">
      <c r="A2979" s="88">
        <v>53</v>
      </c>
      <c r="B2979" s="88">
        <v>47</v>
      </c>
      <c r="C2979" s="97">
        <f>SUMIFS(Input!$C$115:$C$3257,Input!$A$115:$A$3257,"="&amp;'Output - County'!A2979,Input!$B$115:$B$3257,"="&amp;'Output - County'!B2979)*VLOOKUP(A2979,'Output - State'!$B$2:$G$52,2,FALSE)</f>
        <v>5.4563296054771619</v>
      </c>
      <c r="D2979" s="98">
        <f>SUMIFS(Input!$C$115:$C$3257,Input!$A$115:$A$3257,"="&amp;'Output - County'!A2979,Input!$B$115:$B$3257,"="&amp;'Output - County'!B2979)*VLOOKUP(A2979,'Output - State'!$B$2:$G$52,3,FALSE)</f>
        <v>0.24993987446527677</v>
      </c>
      <c r="E2979" s="98">
        <f>SUMIFS(Input!$C$115:$C$3257,Input!$A$115:$A$3257,"="&amp;'Output - County'!A2979,Input!$B$115:$B$3257,"="&amp;'Output - County'!B2979)*VLOOKUP(A2979,'Output - State'!$B$2:$G$52,4,FALSE)</f>
        <v>2.2159803925307964</v>
      </c>
      <c r="F2979" s="98">
        <f>SUMIFS(Input!$C$115:$C$3257,Input!$A$115:$A$3257,"="&amp;'Output - County'!A2979,Input!$B$115:$B$3257,"="&amp;'Output - County'!B2979)*VLOOKUP(A2979,'Output - State'!$B$2:$G$52,5,FALSE)</f>
        <v>20.716059073352788</v>
      </c>
      <c r="G2979" s="99">
        <f>SUMIFS(Input!$D$115:$D$3257,Input!$A$115:$A$3257,"="&amp;'Output - County'!A2979,Input!$B$115:$B$3257,"="&amp;'Output - County'!B2979)*VLOOKUP(A2979,'Output - State'!$B$2:$G$52,6,FALSE)</f>
        <v>6.5079798525591066</v>
      </c>
    </row>
    <row r="2980" spans="1:7" x14ac:dyDescent="0.25">
      <c r="A2980" s="88">
        <v>53</v>
      </c>
      <c r="B2980" s="88">
        <v>49</v>
      </c>
      <c r="C2980" s="97">
        <f>SUMIFS(Input!$C$115:$C$3257,Input!$A$115:$A$3257,"="&amp;'Output - County'!A2980,Input!$B$115:$B$3257,"="&amp;'Output - County'!B2980)*VLOOKUP(A2980,'Output - State'!$B$2:$G$52,2,FALSE)</f>
        <v>2.446906834499071</v>
      </c>
      <c r="D2980" s="98">
        <f>SUMIFS(Input!$C$115:$C$3257,Input!$A$115:$A$3257,"="&amp;'Output - County'!A2980,Input!$B$115:$B$3257,"="&amp;'Output - County'!B2980)*VLOOKUP(A2980,'Output - State'!$B$2:$G$52,3,FALSE)</f>
        <v>0.11208626150975393</v>
      </c>
      <c r="E2980" s="98">
        <f>SUMIFS(Input!$C$115:$C$3257,Input!$A$115:$A$3257,"="&amp;'Output - County'!A2980,Input!$B$115:$B$3257,"="&amp;'Output - County'!B2980)*VLOOKUP(A2980,'Output - State'!$B$2:$G$52,4,FALSE)</f>
        <v>0.9937628331977123</v>
      </c>
      <c r="F2980" s="98">
        <f>SUMIFS(Input!$C$115:$C$3257,Input!$A$115:$A$3257,"="&amp;'Output - County'!A2980,Input!$B$115:$B$3257,"="&amp;'Output - County'!B2980)*VLOOKUP(A2980,'Output - State'!$B$2:$G$52,5,FALSE)</f>
        <v>9.2901767663723298</v>
      </c>
      <c r="G2980" s="99">
        <f>SUMIFS(Input!$D$115:$D$3257,Input!$A$115:$A$3257,"="&amp;'Output - County'!A2980,Input!$B$115:$B$3257,"="&amp;'Output - County'!B2980)*VLOOKUP(A2980,'Output - State'!$B$2:$G$52,6,FALSE)</f>
        <v>3.4163029629823334</v>
      </c>
    </row>
    <row r="2981" spans="1:7" x14ac:dyDescent="0.25">
      <c r="A2981" s="88">
        <v>53</v>
      </c>
      <c r="B2981" s="88">
        <v>51</v>
      </c>
      <c r="C2981" s="97">
        <f>SUMIFS(Input!$C$115:$C$3257,Input!$A$115:$A$3257,"="&amp;'Output - County'!A2981,Input!$B$115:$B$3257,"="&amp;'Output - County'!B2981)*VLOOKUP(A2981,'Output - State'!$B$2:$G$52,2,FALSE)</f>
        <v>1.4230218316724288</v>
      </c>
      <c r="D2981" s="98">
        <f>SUMIFS(Input!$C$115:$C$3257,Input!$A$115:$A$3257,"="&amp;'Output - County'!A2981,Input!$B$115:$B$3257,"="&amp;'Output - County'!B2981)*VLOOKUP(A2981,'Output - State'!$B$2:$G$52,3,FALSE)</f>
        <v>6.5184826373488741E-2</v>
      </c>
      <c r="E2981" s="98">
        <f>SUMIFS(Input!$C$115:$C$3257,Input!$A$115:$A$3257,"="&amp;'Output - County'!A2981,Input!$B$115:$B$3257,"="&amp;'Output - County'!B2981)*VLOOKUP(A2981,'Output - State'!$B$2:$G$52,4,FALSE)</f>
        <v>0.57793218246271882</v>
      </c>
      <c r="F2981" s="98">
        <f>SUMIFS(Input!$C$115:$C$3257,Input!$A$115:$A$3257,"="&amp;'Output - County'!A2981,Input!$B$115:$B$3257,"="&amp;'Output - County'!B2981)*VLOOKUP(A2981,'Output - State'!$B$2:$G$52,5,FALSE)</f>
        <v>5.40279023796597</v>
      </c>
      <c r="G2981" s="99">
        <f>SUMIFS(Input!$D$115:$D$3257,Input!$A$115:$A$3257,"="&amp;'Output - County'!A2981,Input!$B$115:$B$3257,"="&amp;'Output - County'!B2981)*VLOOKUP(A2981,'Output - State'!$B$2:$G$52,6,FALSE)</f>
        <v>2.1023402849122053</v>
      </c>
    </row>
    <row r="2982" spans="1:7" x14ac:dyDescent="0.25">
      <c r="A2982" s="88">
        <v>53</v>
      </c>
      <c r="B2982" s="88">
        <v>53</v>
      </c>
      <c r="C2982" s="97">
        <f>SUMIFS(Input!$C$115:$C$3257,Input!$A$115:$A$3257,"="&amp;'Output - County'!A2982,Input!$B$115:$B$3257,"="&amp;'Output - County'!B2982)*VLOOKUP(A2982,'Output - State'!$B$2:$G$52,2,FALSE)</f>
        <v>121.64125636308934</v>
      </c>
      <c r="D2982" s="98">
        <f>SUMIFS(Input!$C$115:$C$3257,Input!$A$115:$A$3257,"="&amp;'Output - County'!A2982,Input!$B$115:$B$3257,"="&amp;'Output - County'!B2982)*VLOOKUP(A2982,'Output - State'!$B$2:$G$52,3,FALSE)</f>
        <v>5.5720608070799136</v>
      </c>
      <c r="E2982" s="98">
        <f>SUMIFS(Input!$C$115:$C$3257,Input!$A$115:$A$3257,"="&amp;'Output - County'!A2982,Input!$B$115:$B$3257,"="&amp;'Output - County'!B2982)*VLOOKUP(A2982,'Output - State'!$B$2:$G$52,4,FALSE)</f>
        <v>49.402191310589842</v>
      </c>
      <c r="F2982" s="98">
        <f>SUMIFS(Input!$C$115:$C$3257,Input!$A$115:$A$3257,"="&amp;'Output - County'!A2982,Input!$B$115:$B$3257,"="&amp;'Output - County'!B2982)*VLOOKUP(A2982,'Output - State'!$B$2:$G$52,5,FALSE)</f>
        <v>461.83563581735621</v>
      </c>
      <c r="G2982" s="99">
        <f>SUMIFS(Input!$D$115:$D$3257,Input!$A$115:$A$3257,"="&amp;'Output - County'!A2982,Input!$B$115:$B$3257,"="&amp;'Output - County'!B2982)*VLOOKUP(A2982,'Output - State'!$B$2:$G$52,6,FALSE)</f>
        <v>138.19795696408175</v>
      </c>
    </row>
    <row r="2983" spans="1:7" x14ac:dyDescent="0.25">
      <c r="A2983" s="88">
        <v>53</v>
      </c>
      <c r="B2983" s="88">
        <v>55</v>
      </c>
      <c r="C2983" s="97">
        <f>SUMIFS(Input!$C$115:$C$3257,Input!$A$115:$A$3257,"="&amp;'Output - County'!A2983,Input!$B$115:$B$3257,"="&amp;'Output - County'!B2983)*VLOOKUP(A2983,'Output - State'!$B$2:$G$52,2,FALSE)</f>
        <v>0.59427176585498953</v>
      </c>
      <c r="D2983" s="98">
        <f>SUMIFS(Input!$C$115:$C$3257,Input!$A$115:$A$3257,"="&amp;'Output - County'!A2983,Input!$B$115:$B$3257,"="&amp;'Output - County'!B2983)*VLOOKUP(A2983,'Output - State'!$B$2:$G$52,3,FALSE)</f>
        <v>2.7222001106193279E-2</v>
      </c>
      <c r="E2983" s="98">
        <f>SUMIFS(Input!$C$115:$C$3257,Input!$A$115:$A$3257,"="&amp;'Output - County'!A2983,Input!$B$115:$B$3257,"="&amp;'Output - County'!B2983)*VLOOKUP(A2983,'Output - State'!$B$2:$G$52,4,FALSE)</f>
        <v>0.24135172839400809</v>
      </c>
      <c r="F2983" s="98">
        <f>SUMIFS(Input!$C$115:$C$3257,Input!$A$115:$A$3257,"="&amp;'Output - County'!A2983,Input!$B$115:$B$3257,"="&amp;'Output - County'!B2983)*VLOOKUP(A2983,'Output - State'!$B$2:$G$52,5,FALSE)</f>
        <v>2.2562729705184355</v>
      </c>
      <c r="G2983" s="99">
        <f>SUMIFS(Input!$D$115:$D$3257,Input!$A$115:$A$3257,"="&amp;'Output - County'!A2983,Input!$B$115:$B$3257,"="&amp;'Output - County'!B2983)*VLOOKUP(A2983,'Output - State'!$B$2:$G$52,6,FALSE)</f>
        <v>2.6433837405881406</v>
      </c>
    </row>
    <row r="2984" spans="1:7" x14ac:dyDescent="0.25">
      <c r="A2984" s="88">
        <v>53</v>
      </c>
      <c r="B2984" s="88">
        <v>57</v>
      </c>
      <c r="C2984" s="97">
        <f>SUMIFS(Input!$C$115:$C$3257,Input!$A$115:$A$3257,"="&amp;'Output - County'!A2984,Input!$B$115:$B$3257,"="&amp;'Output - County'!B2984)*VLOOKUP(A2984,'Output - State'!$B$2:$G$52,2,FALSE)</f>
        <v>22.778174132730133</v>
      </c>
      <c r="D2984" s="98">
        <f>SUMIFS(Input!$C$115:$C$3257,Input!$A$115:$A$3257,"="&amp;'Output - County'!A2984,Input!$B$115:$B$3257,"="&amp;'Output - County'!B2984)*VLOOKUP(A2984,'Output - State'!$B$2:$G$52,3,FALSE)</f>
        <v>1.0434072709918172</v>
      </c>
      <c r="E2984" s="98">
        <f>SUMIFS(Input!$C$115:$C$3257,Input!$A$115:$A$3257,"="&amp;'Output - County'!A2984,Input!$B$115:$B$3257,"="&amp;'Output - County'!B2984)*VLOOKUP(A2984,'Output - State'!$B$2:$G$52,4,FALSE)</f>
        <v>9.2509050782257454</v>
      </c>
      <c r="F2984" s="98">
        <f>SUMIFS(Input!$C$115:$C$3257,Input!$A$115:$A$3257,"="&amp;'Output - County'!A2984,Input!$B$115:$B$3257,"="&amp;'Output - County'!B2984)*VLOOKUP(A2984,'Output - State'!$B$2:$G$52,5,FALSE)</f>
        <v>86.481945746656919</v>
      </c>
      <c r="G2984" s="99">
        <f>SUMIFS(Input!$D$115:$D$3257,Input!$A$115:$A$3257,"="&amp;'Output - County'!A2984,Input!$B$115:$B$3257,"="&amp;'Output - County'!B2984)*VLOOKUP(A2984,'Output - State'!$B$2:$G$52,6,FALSE)</f>
        <v>19.786732093291345</v>
      </c>
    </row>
    <row r="2985" spans="1:7" x14ac:dyDescent="0.25">
      <c r="A2985" s="88">
        <v>53</v>
      </c>
      <c r="B2985" s="88">
        <v>59</v>
      </c>
      <c r="C2985" s="97">
        <f>SUMIFS(Input!$C$115:$C$3257,Input!$A$115:$A$3257,"="&amp;'Output - County'!A2985,Input!$B$115:$B$3257,"="&amp;'Output - County'!B2985)*VLOOKUP(A2985,'Output - State'!$B$2:$G$52,2,FALSE)</f>
        <v>1.358220124141764</v>
      </c>
      <c r="D2985" s="98">
        <f>SUMIFS(Input!$C$115:$C$3257,Input!$A$115:$A$3257,"="&amp;'Output - County'!A2985,Input!$B$115:$B$3257,"="&amp;'Output - County'!B2985)*VLOOKUP(A2985,'Output - State'!$B$2:$G$52,3,FALSE)</f>
        <v>6.2216433366385285E-2</v>
      </c>
      <c r="E2985" s="98">
        <f>SUMIFS(Input!$C$115:$C$3257,Input!$A$115:$A$3257,"="&amp;'Output - County'!A2985,Input!$B$115:$B$3257,"="&amp;'Output - County'!B2985)*VLOOKUP(A2985,'Output - State'!$B$2:$G$52,4,FALSE)</f>
        <v>0.55161425013943677</v>
      </c>
      <c r="F2985" s="98">
        <f>SUMIFS(Input!$C$115:$C$3257,Input!$A$115:$A$3257,"="&amp;'Output - County'!A2985,Input!$B$115:$B$3257,"="&amp;'Output - County'!B2985)*VLOOKUP(A2985,'Output - State'!$B$2:$G$52,5,FALSE)</f>
        <v>5.1567574470011754</v>
      </c>
      <c r="G2985" s="99">
        <f>SUMIFS(Input!$D$115:$D$3257,Input!$A$115:$A$3257,"="&amp;'Output - County'!A2985,Input!$B$115:$B$3257,"="&amp;'Output - County'!B2985)*VLOOKUP(A2985,'Output - State'!$B$2:$G$52,6,FALSE)</f>
        <v>1.8395477492981795</v>
      </c>
    </row>
    <row r="2986" spans="1:7" x14ac:dyDescent="0.25">
      <c r="A2986" s="88">
        <v>53</v>
      </c>
      <c r="B2986" s="88">
        <v>61</v>
      </c>
      <c r="C2986" s="97">
        <f>SUMIFS(Input!$C$115:$C$3257,Input!$A$115:$A$3257,"="&amp;'Output - County'!A2986,Input!$B$115:$B$3257,"="&amp;'Output - County'!B2986)*VLOOKUP(A2986,'Output - State'!$B$2:$G$52,2,FALSE)</f>
        <v>104.43086184159699</v>
      </c>
      <c r="D2986" s="98">
        <f>SUMIFS(Input!$C$115:$C$3257,Input!$A$115:$A$3257,"="&amp;'Output - County'!A2986,Input!$B$115:$B$3257,"="&amp;'Output - County'!B2986)*VLOOKUP(A2986,'Output - State'!$B$2:$G$52,3,FALSE)</f>
        <v>4.7836986374115531</v>
      </c>
      <c r="E2986" s="98">
        <f>SUMIFS(Input!$C$115:$C$3257,Input!$A$115:$A$3257,"="&amp;'Output - County'!A2986,Input!$B$115:$B$3257,"="&amp;'Output - County'!B2986)*VLOOKUP(A2986,'Output - State'!$B$2:$G$52,4,FALSE)</f>
        <v>42.41252984126384</v>
      </c>
      <c r="F2986" s="98">
        <f>SUMIFS(Input!$C$115:$C$3257,Input!$A$115:$A$3257,"="&amp;'Output - County'!A2986,Input!$B$115:$B$3257,"="&amp;'Output - County'!B2986)*VLOOKUP(A2986,'Output - State'!$B$2:$G$52,5,FALSE)</f>
        <v>396.49289163543403</v>
      </c>
      <c r="G2986" s="99">
        <f>SUMIFS(Input!$D$115:$D$3257,Input!$A$115:$A$3257,"="&amp;'Output - County'!A2986,Input!$B$115:$B$3257,"="&amp;'Output - County'!B2986)*VLOOKUP(A2986,'Output - State'!$B$2:$G$52,6,FALSE)</f>
        <v>125.67666556129581</v>
      </c>
    </row>
    <row r="2987" spans="1:7" x14ac:dyDescent="0.25">
      <c r="A2987" s="88">
        <v>53</v>
      </c>
      <c r="B2987" s="88">
        <v>63</v>
      </c>
      <c r="C2987" s="97">
        <f>SUMIFS(Input!$C$115:$C$3257,Input!$A$115:$A$3257,"="&amp;'Output - County'!A2987,Input!$B$115:$B$3257,"="&amp;'Output - County'!B2987)*VLOOKUP(A2987,'Output - State'!$B$2:$G$52,2,FALSE)</f>
        <v>67.777808273296912</v>
      </c>
      <c r="D2987" s="98">
        <f>SUMIFS(Input!$C$115:$C$3257,Input!$A$115:$A$3257,"="&amp;'Output - County'!A2987,Input!$B$115:$B$3257,"="&amp;'Output - County'!B2987)*VLOOKUP(A2987,'Output - State'!$B$2:$G$52,3,FALSE)</f>
        <v>3.1047202270101821</v>
      </c>
      <c r="E2987" s="98">
        <f>SUMIFS(Input!$C$115:$C$3257,Input!$A$115:$A$3257,"="&amp;'Output - County'!A2987,Input!$B$115:$B$3257,"="&amp;'Output - County'!B2987)*VLOOKUP(A2987,'Output - State'!$B$2:$G$52,4,FALSE)</f>
        <v>27.526616799610096</v>
      </c>
      <c r="F2987" s="98">
        <f>SUMIFS(Input!$C$115:$C$3257,Input!$A$115:$A$3257,"="&amp;'Output - County'!A2987,Input!$B$115:$B$3257,"="&amp;'Output - County'!B2987)*VLOOKUP(A2987,'Output - State'!$B$2:$G$52,5,FALSE)</f>
        <v>257.33215945065865</v>
      </c>
      <c r="G2987" s="99">
        <f>SUMIFS(Input!$D$115:$D$3257,Input!$A$115:$A$3257,"="&amp;'Output - County'!A2987,Input!$B$115:$B$3257,"="&amp;'Output - County'!B2987)*VLOOKUP(A2987,'Output - State'!$B$2:$G$52,6,FALSE)</f>
        <v>79.456096062123052</v>
      </c>
    </row>
    <row r="2988" spans="1:7" x14ac:dyDescent="0.25">
      <c r="A2988" s="88">
        <v>53</v>
      </c>
      <c r="B2988" s="88">
        <v>65</v>
      </c>
      <c r="C2988" s="97">
        <f>SUMIFS(Input!$C$115:$C$3257,Input!$A$115:$A$3257,"="&amp;'Output - County'!A2988,Input!$B$115:$B$3257,"="&amp;'Output - County'!B2988)*VLOOKUP(A2988,'Output - State'!$B$2:$G$52,2,FALSE)</f>
        <v>4.227487468875661</v>
      </c>
      <c r="D2988" s="98">
        <f>SUMIFS(Input!$C$115:$C$3257,Input!$A$115:$A$3257,"="&amp;'Output - County'!A2988,Input!$B$115:$B$3257,"="&amp;'Output - County'!B2988)*VLOOKUP(A2988,'Output - State'!$B$2:$G$52,3,FALSE)</f>
        <v>0.19364990088092579</v>
      </c>
      <c r="E2988" s="98">
        <f>SUMIFS(Input!$C$115:$C$3257,Input!$A$115:$A$3257,"="&amp;'Output - County'!A2988,Input!$B$115:$B$3257,"="&amp;'Output - County'!B2988)*VLOOKUP(A2988,'Output - State'!$B$2:$G$52,4,FALSE)</f>
        <v>1.7169104541071554</v>
      </c>
      <c r="F2988" s="98">
        <f>SUMIFS(Input!$C$115:$C$3257,Input!$A$115:$A$3257,"="&amp;'Output - County'!A2988,Input!$B$115:$B$3257,"="&amp;'Output - County'!B2988)*VLOOKUP(A2988,'Output - State'!$B$2:$G$52,5,FALSE)</f>
        <v>16.050511327097176</v>
      </c>
      <c r="G2988" s="99">
        <f>SUMIFS(Input!$D$115:$D$3257,Input!$A$115:$A$3257,"="&amp;'Output - County'!A2988,Input!$B$115:$B$3257,"="&amp;'Output - County'!B2988)*VLOOKUP(A2988,'Output - State'!$B$2:$G$52,6,FALSE)</f>
        <v>6.9871897704435062</v>
      </c>
    </row>
    <row r="2989" spans="1:7" x14ac:dyDescent="0.25">
      <c r="A2989" s="88">
        <v>53</v>
      </c>
      <c r="B2989" s="88">
        <v>67</v>
      </c>
      <c r="C2989" s="97">
        <f>SUMIFS(Input!$C$115:$C$3257,Input!$A$115:$A$3257,"="&amp;'Output - County'!A2989,Input!$B$115:$B$3257,"="&amp;'Output - County'!B2989)*VLOOKUP(A2989,'Output - State'!$B$2:$G$52,2,FALSE)</f>
        <v>43.119419298393851</v>
      </c>
      <c r="D2989" s="98">
        <f>SUMIFS(Input!$C$115:$C$3257,Input!$A$115:$A$3257,"="&amp;'Output - County'!A2989,Input!$B$115:$B$3257,"="&amp;'Output - County'!B2989)*VLOOKUP(A2989,'Output - State'!$B$2:$G$52,3,FALSE)</f>
        <v>1.9751853399101444</v>
      </c>
      <c r="E2989" s="98">
        <f>SUMIFS(Input!$C$115:$C$3257,Input!$A$115:$A$3257,"="&amp;'Output - County'!A2989,Input!$B$115:$B$3257,"="&amp;'Output - County'!B2989)*VLOOKUP(A2989,'Output - State'!$B$2:$G$52,4,FALSE)</f>
        <v>17.512099636839789</v>
      </c>
      <c r="F2989" s="98">
        <f>SUMIFS(Input!$C$115:$C$3257,Input!$A$115:$A$3257,"="&amp;'Output - County'!A2989,Input!$B$115:$B$3257,"="&amp;'Output - County'!B2989)*VLOOKUP(A2989,'Output - State'!$B$2:$G$52,5,FALSE)</f>
        <v>163.71159771900884</v>
      </c>
      <c r="G2989" s="99">
        <f>SUMIFS(Input!$D$115:$D$3257,Input!$A$115:$A$3257,"="&amp;'Output - County'!A2989,Input!$B$115:$B$3257,"="&amp;'Output - County'!B2989)*VLOOKUP(A2989,'Output - State'!$B$2:$G$52,6,FALSE)</f>
        <v>44.210979520947845</v>
      </c>
    </row>
    <row r="2990" spans="1:7" x14ac:dyDescent="0.25">
      <c r="A2990" s="88">
        <v>53</v>
      </c>
      <c r="B2990" s="88">
        <v>69</v>
      </c>
      <c r="C2990" s="97">
        <f>SUMIFS(Input!$C$115:$C$3257,Input!$A$115:$A$3257,"="&amp;'Output - County'!A2990,Input!$B$115:$B$3257,"="&amp;'Output - County'!B2990)*VLOOKUP(A2990,'Output - State'!$B$2:$G$52,2,FALSE)</f>
        <v>0.4143564275855694</v>
      </c>
      <c r="D2990" s="98">
        <f>SUMIFS(Input!$C$115:$C$3257,Input!$A$115:$A$3257,"="&amp;'Output - County'!A2990,Input!$B$115:$B$3257,"="&amp;'Output - County'!B2990)*VLOOKUP(A2990,'Output - State'!$B$2:$G$52,3,FALSE)</f>
        <v>1.8980560373526221E-2</v>
      </c>
      <c r="E2990" s="98">
        <f>SUMIFS(Input!$C$115:$C$3257,Input!$A$115:$A$3257,"="&amp;'Output - County'!A2990,Input!$B$115:$B$3257,"="&amp;'Output - County'!B2990)*VLOOKUP(A2990,'Output - State'!$B$2:$G$52,4,FALSE)</f>
        <v>0.16828267085020251</v>
      </c>
      <c r="F2990" s="98">
        <f>SUMIFS(Input!$C$115:$C$3257,Input!$A$115:$A$3257,"="&amp;'Output - County'!A2990,Input!$B$115:$B$3257,"="&amp;'Output - County'!B2990)*VLOOKUP(A2990,'Output - State'!$B$2:$G$52,5,FALSE)</f>
        <v>1.5731879948508751</v>
      </c>
      <c r="G2990" s="99">
        <f>SUMIFS(Input!$D$115:$D$3257,Input!$A$115:$A$3257,"="&amp;'Output - County'!A2990,Input!$B$115:$B$3257,"="&amp;'Output - County'!B2990)*VLOOKUP(A2990,'Output - State'!$B$2:$G$52,6,FALSE)</f>
        <v>0.68326059259646676</v>
      </c>
    </row>
    <row r="2991" spans="1:7" x14ac:dyDescent="0.25">
      <c r="A2991" s="88">
        <v>53</v>
      </c>
      <c r="B2991" s="88">
        <v>71</v>
      </c>
      <c r="C2991" s="97">
        <f>SUMIFS(Input!$C$115:$C$3257,Input!$A$115:$A$3257,"="&amp;'Output - County'!A2991,Input!$B$115:$B$3257,"="&amp;'Output - County'!B2991)*VLOOKUP(A2991,'Output - State'!$B$2:$G$52,2,FALSE)</f>
        <v>7.4426501911374521</v>
      </c>
      <c r="D2991" s="98">
        <f>SUMIFS(Input!$C$115:$C$3257,Input!$A$115:$A$3257,"="&amp;'Output - County'!A2991,Input!$B$115:$B$3257,"="&amp;'Output - County'!B2991)*VLOOKUP(A2991,'Output - State'!$B$2:$G$52,3,FALSE)</f>
        <v>0.34092791106214437</v>
      </c>
      <c r="E2991" s="98">
        <f>SUMIFS(Input!$C$115:$C$3257,Input!$A$115:$A$3257,"="&amp;'Output - County'!A2991,Input!$B$115:$B$3257,"="&amp;'Output - County'!B2991)*VLOOKUP(A2991,'Output - State'!$B$2:$G$52,4,FALSE)</f>
        <v>3.0226852269830697</v>
      </c>
      <c r="F2991" s="98">
        <f>SUMIFS(Input!$C$115:$C$3257,Input!$A$115:$A$3257,"="&amp;'Output - County'!A2991,Input!$B$115:$B$3257,"="&amp;'Output - County'!B2991)*VLOOKUP(A2991,'Output - State'!$B$2:$G$52,5,FALSE)</f>
        <v>28.25752697695037</v>
      </c>
      <c r="G2991" s="99">
        <f>SUMIFS(Input!$D$115:$D$3257,Input!$A$115:$A$3257,"="&amp;'Output - County'!A2991,Input!$B$115:$B$3257,"="&amp;'Output - County'!B2991)*VLOOKUP(A2991,'Output - State'!$B$2:$G$52,6,FALSE)</f>
        <v>9.3677809754176202</v>
      </c>
    </row>
    <row r="2992" spans="1:7" x14ac:dyDescent="0.25">
      <c r="A2992" s="88">
        <v>53</v>
      </c>
      <c r="B2992" s="88">
        <v>73</v>
      </c>
      <c r="C2992" s="97">
        <f>SUMIFS(Input!$C$115:$C$3257,Input!$A$115:$A$3257,"="&amp;'Output - County'!A2992,Input!$B$115:$B$3257,"="&amp;'Output - County'!B2992)*VLOOKUP(A2992,'Output - State'!$B$2:$G$52,2,FALSE)</f>
        <v>25.222793899858345</v>
      </c>
      <c r="D2992" s="98">
        <f>SUMIFS(Input!$C$115:$C$3257,Input!$A$115:$A$3257,"="&amp;'Output - County'!A2992,Input!$B$115:$B$3257,"="&amp;'Output - County'!B2992)*VLOOKUP(A2992,'Output - State'!$B$2:$G$52,3,FALSE)</f>
        <v>1.1553887680586401</v>
      </c>
      <c r="E2992" s="98">
        <f>SUMIFS(Input!$C$115:$C$3257,Input!$A$115:$A$3257,"="&amp;'Output - County'!A2992,Input!$B$115:$B$3257,"="&amp;'Output - County'!B2992)*VLOOKUP(A2992,'Output - State'!$B$2:$G$52,4,FALSE)</f>
        <v>10.243739064228242</v>
      </c>
      <c r="F2992" s="98">
        <f>SUMIFS(Input!$C$115:$C$3257,Input!$A$115:$A$3257,"="&amp;'Output - County'!A2992,Input!$B$115:$B$3257,"="&amp;'Output - County'!B2992)*VLOOKUP(A2992,'Output - State'!$B$2:$G$52,5,FALSE)</f>
        <v>95.763439199119489</v>
      </c>
      <c r="G2992" s="99">
        <f>SUMIFS(Input!$D$115:$D$3257,Input!$A$115:$A$3257,"="&amp;'Output - County'!A2992,Input!$B$115:$B$3257,"="&amp;'Output - County'!B2992)*VLOOKUP(A2992,'Output - State'!$B$2:$G$52,6,FALSE)</f>
        <v>34.781365007738692</v>
      </c>
    </row>
    <row r="2993" spans="1:7" x14ac:dyDescent="0.25">
      <c r="A2993" s="88">
        <v>53</v>
      </c>
      <c r="B2993" s="88">
        <v>75</v>
      </c>
      <c r="C2993" s="97">
        <f>SUMIFS(Input!$C$115:$C$3257,Input!$A$115:$A$3257,"="&amp;'Output - County'!A2993,Input!$B$115:$B$3257,"="&amp;'Output - County'!B2993)*VLOOKUP(A2993,'Output - State'!$B$2:$G$52,2,FALSE)</f>
        <v>5.5766442789843005</v>
      </c>
      <c r="D2993" s="98">
        <f>SUMIFS(Input!$C$115:$C$3257,Input!$A$115:$A$3257,"="&amp;'Output - County'!A2993,Input!$B$115:$B$3257,"="&amp;'Output - County'!B2993)*VLOOKUP(A2993,'Output - State'!$B$2:$G$52,3,FALSE)</f>
        <v>0.25545116805767981</v>
      </c>
      <c r="E2993" s="98">
        <f>SUMIFS(Input!$C$115:$C$3257,Input!$A$115:$A$3257,"="&amp;'Output - County'!A2993,Input!$B$115:$B$3257,"="&amp;'Output - County'!B2993)*VLOOKUP(A2993,'Output - State'!$B$2:$G$52,4,FALSE)</f>
        <v>2.2648438184422246</v>
      </c>
      <c r="F2993" s="98">
        <f>SUMIFS(Input!$C$115:$C$3257,Input!$A$115:$A$3257,"="&amp;'Output - County'!A2993,Input!$B$115:$B$3257,"="&amp;'Output - County'!B2993)*VLOOKUP(A2993,'Output - State'!$B$2:$G$52,5,FALSE)</f>
        <v>21.172858069011532</v>
      </c>
      <c r="G2993" s="99">
        <f>SUMIFS(Input!$D$115:$D$3257,Input!$A$115:$A$3257,"="&amp;'Output - County'!A2993,Input!$B$115:$B$3257,"="&amp;'Output - County'!B2993)*VLOOKUP(A2993,'Output - State'!$B$2:$G$52,6,FALSE)</f>
        <v>7.6828170705982801</v>
      </c>
    </row>
    <row r="2994" spans="1:7" x14ac:dyDescent="0.25">
      <c r="A2994" s="88">
        <v>53</v>
      </c>
      <c r="B2994" s="88">
        <v>77</v>
      </c>
      <c r="C2994" s="97">
        <f>SUMIFS(Input!$C$115:$C$3257,Input!$A$115:$A$3257,"="&amp;'Output - County'!A2994,Input!$B$115:$B$3257,"="&amp;'Output - County'!B2994)*VLOOKUP(A2994,'Output - State'!$B$2:$G$52,2,FALSE)</f>
        <v>32.767716215016613</v>
      </c>
      <c r="D2994" s="98">
        <f>SUMIFS(Input!$C$115:$C$3257,Input!$A$115:$A$3257,"="&amp;'Output - County'!A2994,Input!$B$115:$B$3257,"="&amp;'Output - County'!B2994)*VLOOKUP(A2994,'Output - State'!$B$2:$G$52,3,FALSE)</f>
        <v>1.5010014917489294</v>
      </c>
      <c r="E2994" s="98">
        <f>SUMIFS(Input!$C$115:$C$3257,Input!$A$115:$A$3257,"="&amp;'Output - County'!A2994,Input!$B$115:$B$3257,"="&amp;'Output - County'!B2994)*VLOOKUP(A2994,'Output - State'!$B$2:$G$52,4,FALSE)</f>
        <v>13.30796009236693</v>
      </c>
      <c r="F2994" s="98">
        <f>SUMIFS(Input!$C$115:$C$3257,Input!$A$115:$A$3257,"="&amp;'Output - County'!A2994,Input!$B$115:$B$3257,"="&amp;'Output - County'!B2994)*VLOOKUP(A2994,'Output - State'!$B$2:$G$52,5,FALSE)</f>
        <v>124.40926298289138</v>
      </c>
      <c r="G2994" s="99">
        <f>SUMIFS(Input!$D$115:$D$3257,Input!$A$115:$A$3257,"="&amp;'Output - County'!A2994,Input!$B$115:$B$3257,"="&amp;'Output - County'!B2994)*VLOOKUP(A2994,'Output - State'!$B$2:$G$52,6,FALSE)</f>
        <v>38.800544964188497</v>
      </c>
    </row>
    <row r="2995" spans="1:7" x14ac:dyDescent="0.25">
      <c r="A2995" s="88">
        <v>54</v>
      </c>
      <c r="B2995" s="88">
        <v>1</v>
      </c>
      <c r="C2995" s="97">
        <f>SUMIFS(Input!$C$115:$C$3257,Input!$A$115:$A$3257,"="&amp;'Output - County'!A2995,Input!$B$115:$B$3257,"="&amp;'Output - County'!B2995)*VLOOKUP(A2995,'Output - State'!$B$2:$G$52,2,FALSE)</f>
        <v>4.1009724725968484</v>
      </c>
      <c r="D2995" s="98">
        <f>SUMIFS(Input!$C$115:$C$3257,Input!$A$115:$A$3257,"="&amp;'Output - County'!A2995,Input!$B$115:$B$3257,"="&amp;'Output - County'!B2995)*VLOOKUP(A2995,'Output - State'!$B$2:$G$52,3,FALSE)</f>
        <v>0</v>
      </c>
      <c r="E2995" s="98">
        <f>SUMIFS(Input!$C$115:$C$3257,Input!$A$115:$A$3257,"="&amp;'Output - County'!A2995,Input!$B$115:$B$3257,"="&amp;'Output - County'!B2995)*VLOOKUP(A2995,'Output - State'!$B$2:$G$52,4,FALSE)</f>
        <v>0.12806373832351275</v>
      </c>
      <c r="F2995" s="98">
        <f>SUMIFS(Input!$C$115:$C$3257,Input!$A$115:$A$3257,"="&amp;'Output - County'!A2995,Input!$B$115:$B$3257,"="&amp;'Output - County'!B2995)*VLOOKUP(A2995,'Output - State'!$B$2:$G$52,5,FALSE)</f>
        <v>5.9744825674092139</v>
      </c>
      <c r="G2995" s="99">
        <f>SUMIFS(Input!$D$115:$D$3257,Input!$A$115:$A$3257,"="&amp;'Output - County'!A2995,Input!$B$115:$B$3257,"="&amp;'Output - County'!B2995)*VLOOKUP(A2995,'Output - State'!$B$2:$G$52,6,FALSE)</f>
        <v>1.1810286662255771</v>
      </c>
    </row>
    <row r="2996" spans="1:7" x14ac:dyDescent="0.25">
      <c r="A2996" s="88">
        <v>54</v>
      </c>
      <c r="B2996" s="88">
        <v>3</v>
      </c>
      <c r="C2996" s="97">
        <f>SUMIFS(Input!$C$115:$C$3257,Input!$A$115:$A$3257,"="&amp;'Output - County'!A2996,Input!$B$115:$B$3257,"="&amp;'Output - County'!B2996)*VLOOKUP(A2996,'Output - State'!$B$2:$G$52,2,FALSE)</f>
        <v>46.104995868865586</v>
      </c>
      <c r="D2996" s="98">
        <f>SUMIFS(Input!$C$115:$C$3257,Input!$A$115:$A$3257,"="&amp;'Output - County'!A2996,Input!$B$115:$B$3257,"="&amp;'Output - County'!B2996)*VLOOKUP(A2996,'Output - State'!$B$2:$G$52,3,FALSE)</f>
        <v>0</v>
      </c>
      <c r="E2996" s="98">
        <f>SUMIFS(Input!$C$115:$C$3257,Input!$A$115:$A$3257,"="&amp;'Output - County'!A2996,Input!$B$115:$B$3257,"="&amp;'Output - County'!B2996)*VLOOKUP(A2996,'Output - State'!$B$2:$G$52,4,FALSE)</f>
        <v>1.4397507337127342</v>
      </c>
      <c r="F2996" s="98">
        <f>SUMIFS(Input!$C$115:$C$3257,Input!$A$115:$A$3257,"="&amp;'Output - County'!A2996,Input!$B$115:$B$3257,"="&amp;'Output - County'!B2996)*VLOOKUP(A2996,'Output - State'!$B$2:$G$52,5,FALSE)</f>
        <v>67.167847609224879</v>
      </c>
      <c r="G2996" s="99">
        <f>SUMIFS(Input!$D$115:$D$3257,Input!$A$115:$A$3257,"="&amp;'Output - County'!A2996,Input!$B$115:$B$3257,"="&amp;'Output - County'!B2996)*VLOOKUP(A2996,'Output - State'!$B$2:$G$52,6,FALSE)</f>
        <v>8.3745669059631833</v>
      </c>
    </row>
    <row r="2997" spans="1:7" x14ac:dyDescent="0.25">
      <c r="A2997" s="88">
        <v>54</v>
      </c>
      <c r="B2997" s="88">
        <v>5</v>
      </c>
      <c r="C2997" s="97">
        <f>SUMIFS(Input!$C$115:$C$3257,Input!$A$115:$A$3257,"="&amp;'Output - County'!A2997,Input!$B$115:$B$3257,"="&amp;'Output - County'!B2997)*VLOOKUP(A2997,'Output - State'!$B$2:$G$52,2,FALSE)</f>
        <v>7.7181354300730964</v>
      </c>
      <c r="D2997" s="98">
        <f>SUMIFS(Input!$C$115:$C$3257,Input!$A$115:$A$3257,"="&amp;'Output - County'!A2997,Input!$B$115:$B$3257,"="&amp;'Output - County'!B2997)*VLOOKUP(A2997,'Output - State'!$B$2:$G$52,3,FALSE)</f>
        <v>0</v>
      </c>
      <c r="E2997" s="98">
        <f>SUMIFS(Input!$C$115:$C$3257,Input!$A$115:$A$3257,"="&amp;'Output - County'!A2997,Input!$B$115:$B$3257,"="&amp;'Output - County'!B2997)*VLOOKUP(A2997,'Output - State'!$B$2:$G$52,4,FALSE)</f>
        <v>0.24101924181812981</v>
      </c>
      <c r="F2997" s="98">
        <f>SUMIFS(Input!$C$115:$C$3257,Input!$A$115:$A$3257,"="&amp;'Output - County'!A2997,Input!$B$115:$B$3257,"="&amp;'Output - County'!B2997)*VLOOKUP(A2997,'Output - State'!$B$2:$G$52,5,FALSE)</f>
        <v>11.244129505379446</v>
      </c>
      <c r="G2997" s="99">
        <f>SUMIFS(Input!$D$115:$D$3257,Input!$A$115:$A$3257,"="&amp;'Output - County'!A2997,Input!$B$115:$B$3257,"="&amp;'Output - County'!B2997)*VLOOKUP(A2997,'Output - State'!$B$2:$G$52,6,FALSE)</f>
        <v>1.5747048883007693</v>
      </c>
    </row>
    <row r="2998" spans="1:7" x14ac:dyDescent="0.25">
      <c r="A2998" s="88">
        <v>54</v>
      </c>
      <c r="B2998" s="88">
        <v>7</v>
      </c>
      <c r="C2998" s="97">
        <f>SUMIFS(Input!$C$115:$C$3257,Input!$A$115:$A$3257,"="&amp;'Output - County'!A2998,Input!$B$115:$B$3257,"="&amp;'Output - County'!B2998)*VLOOKUP(A2998,'Output - State'!$B$2:$G$52,2,FALSE)</f>
        <v>12.7162146791119</v>
      </c>
      <c r="D2998" s="98">
        <f>SUMIFS(Input!$C$115:$C$3257,Input!$A$115:$A$3257,"="&amp;'Output - County'!A2998,Input!$B$115:$B$3257,"="&amp;'Output - County'!B2998)*VLOOKUP(A2998,'Output - State'!$B$2:$G$52,3,FALSE)</f>
        <v>0</v>
      </c>
      <c r="E2998" s="98">
        <f>SUMIFS(Input!$C$115:$C$3257,Input!$A$115:$A$3257,"="&amp;'Output - County'!A2998,Input!$B$115:$B$3257,"="&amp;'Output - County'!B2998)*VLOOKUP(A2998,'Output - State'!$B$2:$G$52,4,FALSE)</f>
        <v>0.39709751772612994</v>
      </c>
      <c r="F2998" s="98">
        <f>SUMIFS(Input!$C$115:$C$3257,Input!$A$115:$A$3257,"="&amp;'Output - County'!A2998,Input!$B$115:$B$3257,"="&amp;'Output - County'!B2998)*VLOOKUP(A2998,'Output - State'!$B$2:$G$52,5,FALSE)</f>
        <v>18.525557884488585</v>
      </c>
      <c r="G2998" s="99">
        <f>SUMIFS(Input!$D$115:$D$3257,Input!$A$115:$A$3257,"="&amp;'Output - County'!A2998,Input!$B$115:$B$3257,"="&amp;'Output - County'!B2998)*VLOOKUP(A2998,'Output - State'!$B$2:$G$52,6,FALSE)</f>
        <v>1.0092426784109476</v>
      </c>
    </row>
    <row r="2999" spans="1:7" x14ac:dyDescent="0.25">
      <c r="A2999" s="88">
        <v>54</v>
      </c>
      <c r="B2999" s="88">
        <v>9</v>
      </c>
      <c r="C2999" s="97">
        <f>SUMIFS(Input!$C$115:$C$3257,Input!$A$115:$A$3257,"="&amp;'Output - County'!A2999,Input!$B$115:$B$3257,"="&amp;'Output - County'!B2999)*VLOOKUP(A2999,'Output - State'!$B$2:$G$52,2,FALSE)</f>
        <v>7.8713639380905844</v>
      </c>
      <c r="D2999" s="98">
        <f>SUMIFS(Input!$C$115:$C$3257,Input!$A$115:$A$3257,"="&amp;'Output - County'!A2999,Input!$B$115:$B$3257,"="&amp;'Output - County'!B2999)*VLOOKUP(A2999,'Output - State'!$B$2:$G$52,3,FALSE)</f>
        <v>0</v>
      </c>
      <c r="E2999" s="98">
        <f>SUMIFS(Input!$C$115:$C$3257,Input!$A$115:$A$3257,"="&amp;'Output - County'!A2999,Input!$B$115:$B$3257,"="&amp;'Output - County'!B2999)*VLOOKUP(A2999,'Output - State'!$B$2:$G$52,4,FALSE)</f>
        <v>0.2458042082341633</v>
      </c>
      <c r="F2999" s="98">
        <f>SUMIFS(Input!$C$115:$C$3257,Input!$A$115:$A$3257,"="&amp;'Output - County'!A2999,Input!$B$115:$B$3257,"="&amp;'Output - County'!B2999)*VLOOKUP(A2999,'Output - State'!$B$2:$G$52,5,FALSE)</f>
        <v>11.467359740670664</v>
      </c>
      <c r="G2999" s="99">
        <f>SUMIFS(Input!$D$115:$D$3257,Input!$A$115:$A$3257,"="&amp;'Output - County'!A2999,Input!$B$115:$B$3257,"="&amp;'Output - County'!B2999)*VLOOKUP(A2999,'Output - State'!$B$2:$G$52,6,FALSE)</f>
        <v>1.5818626377930456</v>
      </c>
    </row>
    <row r="3000" spans="1:7" x14ac:dyDescent="0.25">
      <c r="A3000" s="88">
        <v>54</v>
      </c>
      <c r="B3000" s="88">
        <v>11</v>
      </c>
      <c r="C3000" s="97">
        <f>SUMIFS(Input!$C$115:$C$3257,Input!$A$115:$A$3257,"="&amp;'Output - County'!A3000,Input!$B$115:$B$3257,"="&amp;'Output - County'!B3000)*VLOOKUP(A3000,'Output - State'!$B$2:$G$52,2,FALSE)</f>
        <v>36.42269537274187</v>
      </c>
      <c r="D3000" s="98">
        <f>SUMIFS(Input!$C$115:$C$3257,Input!$A$115:$A$3257,"="&amp;'Output - County'!A3000,Input!$B$115:$B$3257,"="&amp;'Output - County'!B3000)*VLOOKUP(A3000,'Output - State'!$B$2:$G$52,3,FALSE)</f>
        <v>0</v>
      </c>
      <c r="E3000" s="98">
        <f>SUMIFS(Input!$C$115:$C$3257,Input!$A$115:$A$3257,"="&amp;'Output - County'!A3000,Input!$B$115:$B$3257,"="&amp;'Output - County'!B3000)*VLOOKUP(A3000,'Output - State'!$B$2:$G$52,4,FALSE)</f>
        <v>1.137395230136278</v>
      </c>
      <c r="F3000" s="98">
        <f>SUMIFS(Input!$C$115:$C$3257,Input!$A$115:$A$3257,"="&amp;'Output - County'!A3000,Input!$B$115:$B$3257,"="&amp;'Output - County'!B3000)*VLOOKUP(A3000,'Output - State'!$B$2:$G$52,5,FALSE)</f>
        <v>53.06223341331232</v>
      </c>
      <c r="G3000" s="99">
        <f>SUMIFS(Input!$D$115:$D$3257,Input!$A$115:$A$3257,"="&amp;'Output - County'!A3000,Input!$B$115:$B$3257,"="&amp;'Output - County'!B3000)*VLOOKUP(A3000,'Output - State'!$B$2:$G$52,6,FALSE)</f>
        <v>6.6567070278168883</v>
      </c>
    </row>
    <row r="3001" spans="1:7" x14ac:dyDescent="0.25">
      <c r="A3001" s="88">
        <v>54</v>
      </c>
      <c r="B3001" s="88">
        <v>13</v>
      </c>
      <c r="C3001" s="97">
        <f>SUMIFS(Input!$C$115:$C$3257,Input!$A$115:$A$3257,"="&amp;'Output - County'!A3001,Input!$B$115:$B$3257,"="&amp;'Output - County'!B3001)*VLOOKUP(A3001,'Output - State'!$B$2:$G$52,2,FALSE)</f>
        <v>1.3770904923541709</v>
      </c>
      <c r="D3001" s="98">
        <f>SUMIFS(Input!$C$115:$C$3257,Input!$A$115:$A$3257,"="&amp;'Output - County'!A3001,Input!$B$115:$B$3257,"="&amp;'Output - County'!B3001)*VLOOKUP(A3001,'Output - State'!$B$2:$G$52,3,FALSE)</f>
        <v>0</v>
      </c>
      <c r="E3001" s="98">
        <f>SUMIFS(Input!$C$115:$C$3257,Input!$A$115:$A$3257,"="&amp;'Output - County'!A3001,Input!$B$115:$B$3257,"="&amp;'Output - County'!B3001)*VLOOKUP(A3001,'Output - State'!$B$2:$G$52,4,FALSE)</f>
        <v>4.3003301689798663E-2</v>
      </c>
      <c r="F3001" s="98">
        <f>SUMIFS(Input!$C$115:$C$3257,Input!$A$115:$A$3257,"="&amp;'Output - County'!A3001,Input!$B$115:$B$3257,"="&amp;'Output - County'!B3001)*VLOOKUP(A3001,'Output - State'!$B$2:$G$52,5,FALSE)</f>
        <v>2.0062078434545421</v>
      </c>
      <c r="G3001" s="99">
        <f>SUMIFS(Input!$D$115:$D$3257,Input!$A$115:$A$3257,"="&amp;'Output - County'!A3001,Input!$B$115:$B$3257,"="&amp;'Output - County'!B3001)*VLOOKUP(A3001,'Output - State'!$B$2:$G$52,6,FALSE)</f>
        <v>0.51678951334234335</v>
      </c>
    </row>
    <row r="3002" spans="1:7" x14ac:dyDescent="0.25">
      <c r="A3002" s="88">
        <v>54</v>
      </c>
      <c r="B3002" s="88">
        <v>15</v>
      </c>
      <c r="C3002" s="97">
        <f>SUMIFS(Input!$C$115:$C$3257,Input!$A$115:$A$3257,"="&amp;'Output - County'!A3002,Input!$B$115:$B$3257,"="&amp;'Output - County'!B3002)*VLOOKUP(A3002,'Output - State'!$B$2:$G$52,2,FALSE)</f>
        <v>2.7276224883616087</v>
      </c>
      <c r="D3002" s="98">
        <f>SUMIFS(Input!$C$115:$C$3257,Input!$A$115:$A$3257,"="&amp;'Output - County'!A3002,Input!$B$115:$B$3257,"="&amp;'Output - County'!B3002)*VLOOKUP(A3002,'Output - State'!$B$2:$G$52,3,FALSE)</f>
        <v>0</v>
      </c>
      <c r="E3002" s="98">
        <f>SUMIFS(Input!$C$115:$C$3257,Input!$A$115:$A$3257,"="&amp;'Output - County'!A3002,Input!$B$115:$B$3257,"="&amp;'Output - County'!B3002)*VLOOKUP(A3002,'Output - State'!$B$2:$G$52,4,FALSE)</f>
        <v>8.5177243916898904E-2</v>
      </c>
      <c r="F3002" s="98">
        <f>SUMIFS(Input!$C$115:$C$3257,Input!$A$115:$A$3257,"="&amp;'Output - County'!A3002,Input!$B$115:$B$3257,"="&amp;'Output - County'!B3002)*VLOOKUP(A3002,'Output - State'!$B$2:$G$52,5,FALSE)</f>
        <v>3.9737240657142507</v>
      </c>
      <c r="G3002" s="99">
        <f>SUMIFS(Input!$D$115:$D$3257,Input!$A$115:$A$3257,"="&amp;'Output - County'!A3002,Input!$B$115:$B$3257,"="&amp;'Output - County'!B3002)*VLOOKUP(A3002,'Output - State'!$B$2:$G$52,6,FALSE)</f>
        <v>0.6184295561326657</v>
      </c>
    </row>
    <row r="3003" spans="1:7" x14ac:dyDescent="0.25">
      <c r="A3003" s="88">
        <v>54</v>
      </c>
      <c r="B3003" s="88">
        <v>17</v>
      </c>
      <c r="C3003" s="97">
        <f>SUMIFS(Input!$C$115:$C$3257,Input!$A$115:$A$3257,"="&amp;'Output - County'!A3003,Input!$B$115:$B$3257,"="&amp;'Output - County'!B3003)*VLOOKUP(A3003,'Output - State'!$B$2:$G$52,2,FALSE)</f>
        <v>3.3631561641935677</v>
      </c>
      <c r="D3003" s="98">
        <f>SUMIFS(Input!$C$115:$C$3257,Input!$A$115:$A$3257,"="&amp;'Output - County'!A3003,Input!$B$115:$B$3257,"="&amp;'Output - County'!B3003)*VLOOKUP(A3003,'Output - State'!$B$2:$G$52,3,FALSE)</f>
        <v>0</v>
      </c>
      <c r="E3003" s="98">
        <f>SUMIFS(Input!$C$115:$C$3257,Input!$A$115:$A$3257,"="&amp;'Output - County'!A3003,Input!$B$115:$B$3257,"="&amp;'Output - County'!B3003)*VLOOKUP(A3003,'Output - State'!$B$2:$G$52,4,FALSE)</f>
        <v>0.10502346792873347</v>
      </c>
      <c r="F3003" s="98">
        <f>SUMIFS(Input!$C$115:$C$3257,Input!$A$115:$A$3257,"="&amp;'Output - County'!A3003,Input!$B$115:$B$3257,"="&amp;'Output - County'!B3003)*VLOOKUP(A3003,'Output - State'!$B$2:$G$52,5,FALSE)</f>
        <v>4.8995983291069969</v>
      </c>
      <c r="G3003" s="99">
        <f>SUMIFS(Input!$D$115:$D$3257,Input!$A$115:$A$3257,"="&amp;'Output - County'!A3003,Input!$B$115:$B$3257,"="&amp;'Output - County'!B3003)*VLOOKUP(A3003,'Output - State'!$B$2:$G$52,6,FALSE)</f>
        <v>0.61270335653884478</v>
      </c>
    </row>
    <row r="3004" spans="1:7" x14ac:dyDescent="0.25">
      <c r="A3004" s="88">
        <v>54</v>
      </c>
      <c r="B3004" s="88">
        <v>19</v>
      </c>
      <c r="C3004" s="97">
        <f>SUMIFS(Input!$C$115:$C$3257,Input!$A$115:$A$3257,"="&amp;'Output - County'!A3004,Input!$B$115:$B$3257,"="&amp;'Output - County'!B3004)*VLOOKUP(A3004,'Output - State'!$B$2:$G$52,2,FALSE)</f>
        <v>20.601730593188492</v>
      </c>
      <c r="D3004" s="98">
        <f>SUMIFS(Input!$C$115:$C$3257,Input!$A$115:$A$3257,"="&amp;'Output - County'!A3004,Input!$B$115:$B$3257,"="&amp;'Output - County'!B3004)*VLOOKUP(A3004,'Output - State'!$B$2:$G$52,3,FALSE)</f>
        <v>0</v>
      </c>
      <c r="E3004" s="98">
        <f>SUMIFS(Input!$C$115:$C$3257,Input!$A$115:$A$3257,"="&amp;'Output - County'!A3004,Input!$B$115:$B$3257,"="&amp;'Output - County'!B3004)*VLOOKUP(A3004,'Output - State'!$B$2:$G$52,4,FALSE)</f>
        <v>0.64334365893144663</v>
      </c>
      <c r="F3004" s="98">
        <f>SUMIFS(Input!$C$115:$C$3257,Input!$A$115:$A$3257,"="&amp;'Output - County'!A3004,Input!$B$115:$B$3257,"="&amp;'Output - County'!B3004)*VLOOKUP(A3004,'Output - State'!$B$2:$G$52,5,FALSE)</f>
        <v>30.013534865188969</v>
      </c>
      <c r="G3004" s="99">
        <f>SUMIFS(Input!$D$115:$D$3257,Input!$A$115:$A$3257,"="&amp;'Output - County'!A3004,Input!$B$115:$B$3257,"="&amp;'Output - County'!B3004)*VLOOKUP(A3004,'Output - State'!$B$2:$G$52,6,FALSE)</f>
        <v>3.0778322816787762</v>
      </c>
    </row>
    <row r="3005" spans="1:7" x14ac:dyDescent="0.25">
      <c r="A3005" s="88">
        <v>54</v>
      </c>
      <c r="B3005" s="88">
        <v>21</v>
      </c>
      <c r="C3005" s="97">
        <f>SUMIFS(Input!$C$115:$C$3257,Input!$A$115:$A$3257,"="&amp;'Output - County'!A3005,Input!$B$115:$B$3257,"="&amp;'Output - County'!B3005)*VLOOKUP(A3005,'Output - State'!$B$2:$G$52,2,FALSE)</f>
        <v>1.8212273800747234</v>
      </c>
      <c r="D3005" s="98">
        <f>SUMIFS(Input!$C$115:$C$3257,Input!$A$115:$A$3257,"="&amp;'Output - County'!A3005,Input!$B$115:$B$3257,"="&amp;'Output - County'!B3005)*VLOOKUP(A3005,'Output - State'!$B$2:$G$52,3,FALSE)</f>
        <v>0</v>
      </c>
      <c r="E3005" s="98">
        <f>SUMIFS(Input!$C$115:$C$3257,Input!$A$115:$A$3257,"="&amp;'Output - County'!A3005,Input!$B$115:$B$3257,"="&amp;'Output - County'!B3005)*VLOOKUP(A3005,'Output - State'!$B$2:$G$52,4,FALSE)</f>
        <v>5.6872653544493654E-2</v>
      </c>
      <c r="F3005" s="98">
        <f>SUMIFS(Input!$C$115:$C$3257,Input!$A$115:$A$3257,"="&amp;'Output - County'!A3005,Input!$B$115:$B$3257,"="&amp;'Output - County'!B3005)*VLOOKUP(A3005,'Output - State'!$B$2:$G$52,5,FALSE)</f>
        <v>2.6532465912054048</v>
      </c>
      <c r="G3005" s="99">
        <f>SUMIFS(Input!$D$115:$D$3257,Input!$A$115:$A$3257,"="&amp;'Output - County'!A3005,Input!$B$115:$B$3257,"="&amp;'Output - County'!B3005)*VLOOKUP(A3005,'Output - State'!$B$2:$G$52,6,FALSE)</f>
        <v>0.56546220988982165</v>
      </c>
    </row>
    <row r="3006" spans="1:7" x14ac:dyDescent="0.25">
      <c r="A3006" s="88">
        <v>54</v>
      </c>
      <c r="B3006" s="88">
        <v>23</v>
      </c>
      <c r="C3006" s="97">
        <f>SUMIFS(Input!$C$115:$C$3257,Input!$A$115:$A$3257,"="&amp;'Output - County'!A3006,Input!$B$115:$B$3257,"="&amp;'Output - County'!B3006)*VLOOKUP(A3006,'Output - State'!$B$2:$G$52,2,FALSE)</f>
        <v>3.8938250750945644</v>
      </c>
      <c r="D3006" s="98">
        <f>SUMIFS(Input!$C$115:$C$3257,Input!$A$115:$A$3257,"="&amp;'Output - County'!A3006,Input!$B$115:$B$3257,"="&amp;'Output - County'!B3006)*VLOOKUP(A3006,'Output - State'!$B$2:$G$52,3,FALSE)</f>
        <v>0</v>
      </c>
      <c r="E3006" s="98">
        <f>SUMIFS(Input!$C$115:$C$3257,Input!$A$115:$A$3257,"="&amp;'Output - County'!A3006,Input!$B$115:$B$3257,"="&amp;'Output - County'!B3006)*VLOOKUP(A3006,'Output - State'!$B$2:$G$52,4,FALSE)</f>
        <v>0.12159501162871227</v>
      </c>
      <c r="F3006" s="98">
        <f>SUMIFS(Input!$C$115:$C$3257,Input!$A$115:$A$3257,"="&amp;'Output - County'!A3006,Input!$B$115:$B$3257,"="&amp;'Output - County'!B3006)*VLOOKUP(A3006,'Output - State'!$B$2:$G$52,5,FALSE)</f>
        <v>5.6727008501381633</v>
      </c>
      <c r="G3006" s="99">
        <f>SUMIFS(Input!$D$115:$D$3257,Input!$A$115:$A$3257,"="&amp;'Output - County'!A3006,Input!$B$115:$B$3257,"="&amp;'Output - County'!B3006)*VLOOKUP(A3006,'Output - State'!$B$2:$G$52,6,FALSE)</f>
        <v>0.83029894110404201</v>
      </c>
    </row>
    <row r="3007" spans="1:7" x14ac:dyDescent="0.25">
      <c r="A3007" s="88">
        <v>54</v>
      </c>
      <c r="B3007" s="88">
        <v>25</v>
      </c>
      <c r="C3007" s="97">
        <f>SUMIFS(Input!$C$115:$C$3257,Input!$A$115:$A$3257,"="&amp;'Output - County'!A3007,Input!$B$115:$B$3257,"="&amp;'Output - County'!B3007)*VLOOKUP(A3007,'Output - State'!$B$2:$G$52,2,FALSE)</f>
        <v>14.677357502424655</v>
      </c>
      <c r="D3007" s="98">
        <f>SUMIFS(Input!$C$115:$C$3257,Input!$A$115:$A$3257,"="&amp;'Output - County'!A3007,Input!$B$115:$B$3257,"="&amp;'Output - County'!B3007)*VLOOKUP(A3007,'Output - State'!$B$2:$G$52,3,FALSE)</f>
        <v>0</v>
      </c>
      <c r="E3007" s="98">
        <f>SUMIFS(Input!$C$115:$C$3257,Input!$A$115:$A$3257,"="&amp;'Output - County'!A3007,Input!$B$115:$B$3257,"="&amp;'Output - County'!B3007)*VLOOKUP(A3007,'Output - State'!$B$2:$G$52,4,FALSE)</f>
        <v>0.45833940194212514</v>
      </c>
      <c r="F3007" s="98">
        <f>SUMIFS(Input!$C$115:$C$3257,Input!$A$115:$A$3257,"="&amp;'Output - County'!A3007,Input!$B$115:$B$3257,"="&amp;'Output - County'!B3007)*VLOOKUP(A3007,'Output - State'!$B$2:$G$52,5,FALSE)</f>
        <v>21.382639634823363</v>
      </c>
      <c r="G3007" s="99">
        <f>SUMIFS(Input!$D$115:$D$3257,Input!$A$115:$A$3257,"="&amp;'Output - County'!A3007,Input!$B$115:$B$3257,"="&amp;'Output - County'!B3007)*VLOOKUP(A3007,'Output - State'!$B$2:$G$52,6,FALSE)</f>
        <v>2.4908968233121263</v>
      </c>
    </row>
    <row r="3008" spans="1:7" x14ac:dyDescent="0.25">
      <c r="A3008" s="88">
        <v>54</v>
      </c>
      <c r="B3008" s="88">
        <v>27</v>
      </c>
      <c r="C3008" s="97">
        <f>SUMIFS(Input!$C$115:$C$3257,Input!$A$115:$A$3257,"="&amp;'Output - County'!A3008,Input!$B$115:$B$3257,"="&amp;'Output - County'!B3008)*VLOOKUP(A3008,'Output - State'!$B$2:$G$52,2,FALSE)</f>
        <v>6.0907263796824012</v>
      </c>
      <c r="D3008" s="98">
        <f>SUMIFS(Input!$C$115:$C$3257,Input!$A$115:$A$3257,"="&amp;'Output - County'!A3008,Input!$B$115:$B$3257,"="&amp;'Output - County'!B3008)*VLOOKUP(A3008,'Output - State'!$B$2:$G$52,3,FALSE)</f>
        <v>0</v>
      </c>
      <c r="E3008" s="98">
        <f>SUMIFS(Input!$C$115:$C$3257,Input!$A$115:$A$3257,"="&amp;'Output - County'!A3008,Input!$B$115:$B$3257,"="&amp;'Output - County'!B3008)*VLOOKUP(A3008,'Output - State'!$B$2:$G$52,4,FALSE)</f>
        <v>0.19019907948658943</v>
      </c>
      <c r="F3008" s="98">
        <f>SUMIFS(Input!$C$115:$C$3257,Input!$A$115:$A$3257,"="&amp;'Output - County'!A3008,Input!$B$115:$B$3257,"="&amp;'Output - County'!B3008)*VLOOKUP(A3008,'Output - State'!$B$2:$G$52,5,FALSE)</f>
        <v>8.873246241331012</v>
      </c>
      <c r="G3008" s="99">
        <f>SUMIFS(Input!$D$115:$D$3257,Input!$A$115:$A$3257,"="&amp;'Output - County'!A3008,Input!$B$115:$B$3257,"="&amp;'Output - County'!B3008)*VLOOKUP(A3008,'Output - State'!$B$2:$G$52,6,FALSE)</f>
        <v>1.6749133811926364</v>
      </c>
    </row>
    <row r="3009" spans="1:7" x14ac:dyDescent="0.25">
      <c r="A3009" s="88">
        <v>54</v>
      </c>
      <c r="B3009" s="88">
        <v>29</v>
      </c>
      <c r="C3009" s="97">
        <f>SUMIFS(Input!$C$115:$C$3257,Input!$A$115:$A$3257,"="&amp;'Output - County'!A3009,Input!$B$115:$B$3257,"="&amp;'Output - County'!B3009)*VLOOKUP(A3009,'Output - State'!$B$2:$G$52,2,FALSE)</f>
        <v>5.8624304308408952</v>
      </c>
      <c r="D3009" s="98">
        <f>SUMIFS(Input!$C$115:$C$3257,Input!$A$115:$A$3257,"="&amp;'Output - County'!A3009,Input!$B$115:$B$3257,"="&amp;'Output - County'!B3009)*VLOOKUP(A3009,'Output - State'!$B$2:$G$52,3,FALSE)</f>
        <v>0</v>
      </c>
      <c r="E3009" s="98">
        <f>SUMIFS(Input!$C$115:$C$3257,Input!$A$115:$A$3257,"="&amp;'Output - County'!A3009,Input!$B$115:$B$3257,"="&amp;'Output - County'!B3009)*VLOOKUP(A3009,'Output - State'!$B$2:$G$52,4,FALSE)</f>
        <v>0.18306993320528231</v>
      </c>
      <c r="F3009" s="98">
        <f>SUMIFS(Input!$C$115:$C$3257,Input!$A$115:$A$3257,"="&amp;'Output - County'!A3009,Input!$B$115:$B$3257,"="&amp;'Output - County'!B3009)*VLOOKUP(A3009,'Output - State'!$B$2:$G$52,5,FALSE)</f>
        <v>8.5406543559482682</v>
      </c>
      <c r="G3009" s="99">
        <f>SUMIFS(Input!$D$115:$D$3257,Input!$A$115:$A$3257,"="&amp;'Output - County'!A3009,Input!$B$115:$B$3257,"="&amp;'Output - County'!B3009)*VLOOKUP(A3009,'Output - State'!$B$2:$G$52,6,FALSE)</f>
        <v>2.0829051022523815</v>
      </c>
    </row>
    <row r="3010" spans="1:7" x14ac:dyDescent="0.25">
      <c r="A3010" s="88">
        <v>54</v>
      </c>
      <c r="B3010" s="88">
        <v>31</v>
      </c>
      <c r="C3010" s="97">
        <f>SUMIFS(Input!$C$115:$C$3257,Input!$A$115:$A$3257,"="&amp;'Output - County'!A3010,Input!$B$115:$B$3257,"="&amp;'Output - County'!B3010)*VLOOKUP(A3010,'Output - State'!$B$2:$G$52,2,FALSE)</f>
        <v>5.3423846302433269</v>
      </c>
      <c r="D3010" s="98">
        <f>SUMIFS(Input!$C$115:$C$3257,Input!$A$115:$A$3257,"="&amp;'Output - County'!A3010,Input!$B$115:$B$3257,"="&amp;'Output - County'!B3010)*VLOOKUP(A3010,'Output - State'!$B$2:$G$52,3,FALSE)</f>
        <v>0</v>
      </c>
      <c r="E3010" s="98">
        <f>SUMIFS(Input!$C$115:$C$3257,Input!$A$115:$A$3257,"="&amp;'Output - County'!A3010,Input!$B$115:$B$3257,"="&amp;'Output - County'!B3010)*VLOOKUP(A3010,'Output - State'!$B$2:$G$52,4,FALSE)</f>
        <v>0.16683012428947253</v>
      </c>
      <c r="F3010" s="98">
        <f>SUMIFS(Input!$C$115:$C$3257,Input!$A$115:$A$3257,"="&amp;'Output - County'!A3010,Input!$B$115:$B$3257,"="&amp;'Output - County'!B3010)*VLOOKUP(A3010,'Output - State'!$B$2:$G$52,5,FALSE)</f>
        <v>7.7830280634808373</v>
      </c>
      <c r="G3010" s="99">
        <f>SUMIFS(Input!$D$115:$D$3257,Input!$A$115:$A$3257,"="&amp;'Output - County'!A3010,Input!$B$115:$B$3257,"="&amp;'Output - County'!B3010)*VLOOKUP(A3010,'Output - State'!$B$2:$G$52,6,FALSE)</f>
        <v>0.98776942993411898</v>
      </c>
    </row>
    <row r="3011" spans="1:7" x14ac:dyDescent="0.25">
      <c r="A3011" s="88">
        <v>54</v>
      </c>
      <c r="B3011" s="88">
        <v>33</v>
      </c>
      <c r="C3011" s="97">
        <f>SUMIFS(Input!$C$115:$C$3257,Input!$A$115:$A$3257,"="&amp;'Output - County'!A3011,Input!$B$115:$B$3257,"="&amp;'Output - County'!B3011)*VLOOKUP(A3011,'Output - State'!$B$2:$G$52,2,FALSE)</f>
        <v>32.770893369859408</v>
      </c>
      <c r="D3011" s="98">
        <f>SUMIFS(Input!$C$115:$C$3257,Input!$A$115:$A$3257,"="&amp;'Output - County'!A3011,Input!$B$115:$B$3257,"="&amp;'Output - County'!B3011)*VLOOKUP(A3011,'Output - State'!$B$2:$G$52,3,FALSE)</f>
        <v>0</v>
      </c>
      <c r="E3011" s="98">
        <f>SUMIFS(Input!$C$115:$C$3257,Input!$A$115:$A$3257,"="&amp;'Output - County'!A3011,Input!$B$115:$B$3257,"="&amp;'Output - County'!B3011)*VLOOKUP(A3011,'Output - State'!$B$2:$G$52,4,FALSE)</f>
        <v>1.0233580306107026</v>
      </c>
      <c r="F3011" s="98">
        <f>SUMIFS(Input!$C$115:$C$3257,Input!$A$115:$A$3257,"="&amp;'Output - County'!A3011,Input!$B$115:$B$3257,"="&amp;'Output - County'!B3011)*VLOOKUP(A3011,'Output - State'!$B$2:$G$52,5,FALSE)</f>
        <v>47.742122744040799</v>
      </c>
      <c r="G3011" s="99">
        <f>SUMIFS(Input!$D$115:$D$3257,Input!$A$115:$A$3257,"="&amp;'Output - County'!A3011,Input!$B$115:$B$3257,"="&amp;'Output - County'!B3011)*VLOOKUP(A3011,'Output - State'!$B$2:$G$52,6,FALSE)</f>
        <v>4.8314809072864513</v>
      </c>
    </row>
    <row r="3012" spans="1:7" x14ac:dyDescent="0.25">
      <c r="A3012" s="88">
        <v>54</v>
      </c>
      <c r="B3012" s="88">
        <v>35</v>
      </c>
      <c r="C3012" s="97">
        <f>SUMIFS(Input!$C$115:$C$3257,Input!$A$115:$A$3257,"="&amp;'Output - County'!A3012,Input!$B$115:$B$3257,"="&amp;'Output - County'!B3012)*VLOOKUP(A3012,'Output - State'!$B$2:$G$52,2,FALSE)</f>
        <v>15.973732714661315</v>
      </c>
      <c r="D3012" s="98">
        <f>SUMIFS(Input!$C$115:$C$3257,Input!$A$115:$A$3257,"="&amp;'Output - County'!A3012,Input!$B$115:$B$3257,"="&amp;'Output - County'!B3012)*VLOOKUP(A3012,'Output - State'!$B$2:$G$52,3,FALSE)</f>
        <v>0</v>
      </c>
      <c r="E3012" s="98">
        <f>SUMIFS(Input!$C$115:$C$3257,Input!$A$115:$A$3257,"="&amp;'Output - County'!A3012,Input!$B$115:$B$3257,"="&amp;'Output - County'!B3012)*VLOOKUP(A3012,'Output - State'!$B$2:$G$52,4,FALSE)</f>
        <v>0.49882215501065191</v>
      </c>
      <c r="F3012" s="98">
        <f>SUMIFS(Input!$C$115:$C$3257,Input!$A$115:$A$3257,"="&amp;'Output - County'!A3012,Input!$B$115:$B$3257,"="&amp;'Output - County'!B3012)*VLOOKUP(A3012,'Output - State'!$B$2:$G$52,5,FALSE)</f>
        <v>23.271257799925284</v>
      </c>
      <c r="G3012" s="99">
        <f>SUMIFS(Input!$D$115:$D$3257,Input!$A$115:$A$3257,"="&amp;'Output - County'!A3012,Input!$B$115:$B$3257,"="&amp;'Output - County'!B3012)*VLOOKUP(A3012,'Output - State'!$B$2:$G$52,6,FALSE)</f>
        <v>2.0542741042832766</v>
      </c>
    </row>
    <row r="3013" spans="1:7" x14ac:dyDescent="0.25">
      <c r="A3013" s="88">
        <v>54</v>
      </c>
      <c r="B3013" s="88">
        <v>37</v>
      </c>
      <c r="C3013" s="97">
        <f>SUMIFS(Input!$C$115:$C$3257,Input!$A$115:$A$3257,"="&amp;'Output - County'!A3013,Input!$B$115:$B$3257,"="&amp;'Output - County'!B3013)*VLOOKUP(A3013,'Output - State'!$B$2:$G$52,2,FALSE)</f>
        <v>15.036437276925557</v>
      </c>
      <c r="D3013" s="98">
        <f>SUMIFS(Input!$C$115:$C$3257,Input!$A$115:$A$3257,"="&amp;'Output - County'!A3013,Input!$B$115:$B$3257,"="&amp;'Output - County'!B3013)*VLOOKUP(A3013,'Output - State'!$B$2:$G$52,3,FALSE)</f>
        <v>0</v>
      </c>
      <c r="E3013" s="98">
        <f>SUMIFS(Input!$C$115:$C$3257,Input!$A$115:$A$3257,"="&amp;'Output - County'!A3013,Input!$B$115:$B$3257,"="&amp;'Output - County'!B3013)*VLOOKUP(A3013,'Output - State'!$B$2:$G$52,4,FALSE)</f>
        <v>0.46955261992547587</v>
      </c>
      <c r="F3013" s="98">
        <f>SUMIFS(Input!$C$115:$C$3257,Input!$A$115:$A$3257,"="&amp;'Output - County'!A3013,Input!$B$115:$B$3257,"="&amp;'Output - County'!B3013)*VLOOKUP(A3013,'Output - State'!$B$2:$G$52,5,FALSE)</f>
        <v>21.90576332497249</v>
      </c>
      <c r="G3013" s="99">
        <f>SUMIFS(Input!$D$115:$D$3257,Input!$A$115:$A$3257,"="&amp;'Output - County'!A3013,Input!$B$115:$B$3257,"="&amp;'Output - County'!B3013)*VLOOKUP(A3013,'Output - State'!$B$2:$G$52,6,FALSE)</f>
        <v>4.0727594611051714</v>
      </c>
    </row>
    <row r="3014" spans="1:7" x14ac:dyDescent="0.25">
      <c r="A3014" s="88">
        <v>54</v>
      </c>
      <c r="B3014" s="88">
        <v>39</v>
      </c>
      <c r="C3014" s="97">
        <f>SUMIFS(Input!$C$115:$C$3257,Input!$A$115:$A$3257,"="&amp;'Output - County'!A3014,Input!$B$115:$B$3257,"="&amp;'Output - County'!B3014)*VLOOKUP(A3014,'Output - State'!$B$2:$G$52,2,FALSE)</f>
        <v>93.313915938866785</v>
      </c>
      <c r="D3014" s="98">
        <f>SUMIFS(Input!$C$115:$C$3257,Input!$A$115:$A$3257,"="&amp;'Output - County'!A3014,Input!$B$115:$B$3257,"="&amp;'Output - County'!B3014)*VLOOKUP(A3014,'Output - State'!$B$2:$G$52,3,FALSE)</f>
        <v>0</v>
      </c>
      <c r="E3014" s="98">
        <f>SUMIFS(Input!$C$115:$C$3257,Input!$A$115:$A$3257,"="&amp;'Output - County'!A3014,Input!$B$115:$B$3257,"="&amp;'Output - County'!B3014)*VLOOKUP(A3014,'Output - State'!$B$2:$G$52,4,FALSE)</f>
        <v>2.9139744274289532</v>
      </c>
      <c r="F3014" s="98">
        <f>SUMIFS(Input!$C$115:$C$3257,Input!$A$115:$A$3257,"="&amp;'Output - County'!A3014,Input!$B$115:$B$3257,"="&amp;'Output - County'!B3014)*VLOOKUP(A3014,'Output - State'!$B$2:$G$52,5,FALSE)</f>
        <v>135.94394202807769</v>
      </c>
      <c r="G3014" s="99">
        <f>SUMIFS(Input!$D$115:$D$3257,Input!$A$115:$A$3257,"="&amp;'Output - County'!A3014,Input!$B$115:$B$3257,"="&amp;'Output - County'!B3014)*VLOOKUP(A3014,'Output - State'!$B$2:$G$52,6,FALSE)</f>
        <v>12.883949086097203</v>
      </c>
    </row>
    <row r="3015" spans="1:7" x14ac:dyDescent="0.25">
      <c r="A3015" s="88">
        <v>54</v>
      </c>
      <c r="B3015" s="88">
        <v>41</v>
      </c>
      <c r="C3015" s="97">
        <f>SUMIFS(Input!$C$115:$C$3257,Input!$A$115:$A$3257,"="&amp;'Output - County'!A3015,Input!$B$115:$B$3257,"="&amp;'Output - County'!B3015)*VLOOKUP(A3015,'Output - State'!$B$2:$G$52,2,FALSE)</f>
        <v>12.881611058063575</v>
      </c>
      <c r="D3015" s="98">
        <f>SUMIFS(Input!$C$115:$C$3257,Input!$A$115:$A$3257,"="&amp;'Output - County'!A3015,Input!$B$115:$B$3257,"="&amp;'Output - County'!B3015)*VLOOKUP(A3015,'Output - State'!$B$2:$G$52,3,FALSE)</f>
        <v>0</v>
      </c>
      <c r="E3015" s="98">
        <f>SUMIFS(Input!$C$115:$C$3257,Input!$A$115:$A$3257,"="&amp;'Output - County'!A3015,Input!$B$115:$B$3257,"="&amp;'Output - County'!B3015)*VLOOKUP(A3015,'Output - State'!$B$2:$G$52,4,FALSE)</f>
        <v>0.40226245817263606</v>
      </c>
      <c r="F3015" s="98">
        <f>SUMIFS(Input!$C$115:$C$3257,Input!$A$115:$A$3257,"="&amp;'Output - County'!A3015,Input!$B$115:$B$3257,"="&amp;'Output - County'!B3015)*VLOOKUP(A3015,'Output - State'!$B$2:$G$52,5,FALSE)</f>
        <v>18.766514825643974</v>
      </c>
      <c r="G3015" s="99">
        <f>SUMIFS(Input!$D$115:$D$3257,Input!$A$115:$A$3257,"="&amp;'Output - County'!A3015,Input!$B$115:$B$3257,"="&amp;'Output - County'!B3015)*VLOOKUP(A3015,'Output - State'!$B$2:$G$52,6,FALSE)</f>
        <v>1.145239918764196</v>
      </c>
    </row>
    <row r="3016" spans="1:7" x14ac:dyDescent="0.25">
      <c r="A3016" s="88">
        <v>54</v>
      </c>
      <c r="B3016" s="88">
        <v>43</v>
      </c>
      <c r="C3016" s="97">
        <f>SUMIFS(Input!$C$115:$C$3257,Input!$A$115:$A$3257,"="&amp;'Output - County'!A3016,Input!$B$115:$B$3257,"="&amp;'Output - County'!B3016)*VLOOKUP(A3016,'Output - State'!$B$2:$G$52,2,FALSE)</f>
        <v>4.1341967085314266</v>
      </c>
      <c r="D3016" s="98">
        <f>SUMIFS(Input!$C$115:$C$3257,Input!$A$115:$A$3257,"="&amp;'Output - County'!A3016,Input!$B$115:$B$3257,"="&amp;'Output - County'!B3016)*VLOOKUP(A3016,'Output - State'!$B$2:$G$52,3,FALSE)</f>
        <v>0</v>
      </c>
      <c r="E3016" s="98">
        <f>SUMIFS(Input!$C$115:$C$3257,Input!$A$115:$A$3257,"="&amp;'Output - County'!A3016,Input!$B$115:$B$3257,"="&amp;'Output - County'!B3016)*VLOOKUP(A3016,'Output - State'!$B$2:$G$52,4,FALSE)</f>
        <v>0.12910125317764931</v>
      </c>
      <c r="F3016" s="98">
        <f>SUMIFS(Input!$C$115:$C$3257,Input!$A$115:$A$3257,"="&amp;'Output - County'!A3016,Input!$B$115:$B$3257,"="&amp;'Output - County'!B3016)*VLOOKUP(A3016,'Output - State'!$B$2:$G$52,5,FALSE)</f>
        <v>6.0228851401484871</v>
      </c>
      <c r="G3016" s="99">
        <f>SUMIFS(Input!$D$115:$D$3257,Input!$A$115:$A$3257,"="&amp;'Output - County'!A3016,Input!$B$115:$B$3257,"="&amp;'Output - County'!B3016)*VLOOKUP(A3016,'Output - State'!$B$2:$G$52,6,FALSE)</f>
        <v>1.4744963954089021</v>
      </c>
    </row>
    <row r="3017" spans="1:7" x14ac:dyDescent="0.25">
      <c r="A3017" s="88">
        <v>54</v>
      </c>
      <c r="B3017" s="88">
        <v>45</v>
      </c>
      <c r="C3017" s="97">
        <f>SUMIFS(Input!$C$115:$C$3257,Input!$A$115:$A$3257,"="&amp;'Output - County'!A3017,Input!$B$115:$B$3257,"="&amp;'Output - County'!B3017)*VLOOKUP(A3017,'Output - State'!$B$2:$G$52,2,FALSE)</f>
        <v>10.969838184495005</v>
      </c>
      <c r="D3017" s="98">
        <f>SUMIFS(Input!$C$115:$C$3257,Input!$A$115:$A$3257,"="&amp;'Output - County'!A3017,Input!$B$115:$B$3257,"="&amp;'Output - County'!B3017)*VLOOKUP(A3017,'Output - State'!$B$2:$G$52,3,FALSE)</f>
        <v>0</v>
      </c>
      <c r="E3017" s="98">
        <f>SUMIFS(Input!$C$115:$C$3257,Input!$A$115:$A$3257,"="&amp;'Output - County'!A3017,Input!$B$115:$B$3257,"="&amp;'Output - County'!B3017)*VLOOKUP(A3017,'Output - State'!$B$2:$G$52,4,FALSE)</f>
        <v>0.34256228153144958</v>
      </c>
      <c r="F3017" s="98">
        <f>SUMIFS(Input!$C$115:$C$3257,Input!$A$115:$A$3257,"="&amp;'Output - County'!A3017,Input!$B$115:$B$3257,"="&amp;'Output - County'!B3017)*VLOOKUP(A3017,'Output - State'!$B$2:$G$52,5,FALSE)</f>
        <v>15.981357455702252</v>
      </c>
      <c r="G3017" s="99">
        <f>SUMIFS(Input!$D$115:$D$3257,Input!$A$115:$A$3257,"="&amp;'Output - County'!A3017,Input!$B$115:$B$3257,"="&amp;'Output - County'!B3017)*VLOOKUP(A3017,'Output - State'!$B$2:$G$52,6,FALSE)</f>
        <v>2.3334263344820489</v>
      </c>
    </row>
    <row r="3018" spans="1:7" x14ac:dyDescent="0.25">
      <c r="A3018" s="88">
        <v>54</v>
      </c>
      <c r="B3018" s="88">
        <v>47</v>
      </c>
      <c r="C3018" s="97">
        <f>SUMIFS(Input!$C$115:$C$3257,Input!$A$115:$A$3257,"="&amp;'Output - County'!A3018,Input!$B$115:$B$3257,"="&amp;'Output - County'!B3018)*VLOOKUP(A3018,'Output - State'!$B$2:$G$52,2,FALSE)</f>
        <v>4.8964302841324381</v>
      </c>
      <c r="D3018" s="98">
        <f>SUMIFS(Input!$C$115:$C$3257,Input!$A$115:$A$3257,"="&amp;'Output - County'!A3018,Input!$B$115:$B$3257,"="&amp;'Output - County'!B3018)*VLOOKUP(A3018,'Output - State'!$B$2:$G$52,3,FALSE)</f>
        <v>0</v>
      </c>
      <c r="E3018" s="98">
        <f>SUMIFS(Input!$C$115:$C$3257,Input!$A$115:$A$3257,"="&amp;'Output - County'!A3018,Input!$B$115:$B$3257,"="&amp;'Output - County'!B3018)*VLOOKUP(A3018,'Output - State'!$B$2:$G$52,4,FALSE)</f>
        <v>0.15290401747793034</v>
      </c>
      <c r="F3018" s="98">
        <f>SUMIFS(Input!$C$115:$C$3257,Input!$A$115:$A$3257,"="&amp;'Output - County'!A3018,Input!$B$115:$B$3257,"="&amp;'Output - County'!B3018)*VLOOKUP(A3018,'Output - State'!$B$2:$G$52,5,FALSE)</f>
        <v>7.1333415599738439</v>
      </c>
      <c r="G3018" s="99">
        <f>SUMIFS(Input!$D$115:$D$3257,Input!$A$115:$A$3257,"="&amp;'Output - County'!A3018,Input!$B$115:$B$3257,"="&amp;'Output - County'!B3018)*VLOOKUP(A3018,'Output - State'!$B$2:$G$52,6,FALSE)</f>
        <v>1.3027104075942728</v>
      </c>
    </row>
    <row r="3019" spans="1:7" x14ac:dyDescent="0.25">
      <c r="A3019" s="88">
        <v>54</v>
      </c>
      <c r="B3019" s="88">
        <v>49</v>
      </c>
      <c r="C3019" s="97">
        <f>SUMIFS(Input!$C$115:$C$3257,Input!$A$115:$A$3257,"="&amp;'Output - County'!A3019,Input!$B$115:$B$3257,"="&amp;'Output - County'!B3019)*VLOOKUP(A3019,'Output - State'!$B$2:$G$52,2,FALSE)</f>
        <v>20.803333681463567</v>
      </c>
      <c r="D3019" s="98">
        <f>SUMIFS(Input!$C$115:$C$3257,Input!$A$115:$A$3257,"="&amp;'Output - County'!A3019,Input!$B$115:$B$3257,"="&amp;'Output - County'!B3019)*VLOOKUP(A3019,'Output - State'!$B$2:$G$52,3,FALSE)</f>
        <v>0</v>
      </c>
      <c r="E3019" s="98">
        <f>SUMIFS(Input!$C$115:$C$3257,Input!$A$115:$A$3257,"="&amp;'Output - County'!A3019,Input!$B$115:$B$3257,"="&amp;'Output - County'!B3019)*VLOOKUP(A3019,'Output - State'!$B$2:$G$52,4,FALSE)</f>
        <v>0.6496392498710567</v>
      </c>
      <c r="F3019" s="98">
        <f>SUMIFS(Input!$C$115:$C$3257,Input!$A$115:$A$3257,"="&amp;'Output - County'!A3019,Input!$B$115:$B$3257,"="&amp;'Output - County'!B3019)*VLOOKUP(A3019,'Output - State'!$B$2:$G$52,5,FALSE)</f>
        <v>30.307239381491801</v>
      </c>
      <c r="G3019" s="99">
        <f>SUMIFS(Input!$D$115:$D$3257,Input!$A$115:$A$3257,"="&amp;'Output - County'!A3019,Input!$B$115:$B$3257,"="&amp;'Output - County'!B3019)*VLOOKUP(A3019,'Output - State'!$B$2:$G$52,6,FALSE)</f>
        <v>4.0154974651669617</v>
      </c>
    </row>
    <row r="3020" spans="1:7" x14ac:dyDescent="0.25">
      <c r="A3020" s="88">
        <v>54</v>
      </c>
      <c r="B3020" s="88">
        <v>51</v>
      </c>
      <c r="C3020" s="97">
        <f>SUMIFS(Input!$C$115:$C$3257,Input!$A$115:$A$3257,"="&amp;'Output - County'!A3020,Input!$B$115:$B$3257,"="&amp;'Output - County'!B3020)*VLOOKUP(A3020,'Output - State'!$B$2:$G$52,2,FALSE)</f>
        <v>7.4242408541346689</v>
      </c>
      <c r="D3020" s="98">
        <f>SUMIFS(Input!$C$115:$C$3257,Input!$A$115:$A$3257,"="&amp;'Output - County'!A3020,Input!$B$115:$B$3257,"="&amp;'Output - County'!B3020)*VLOOKUP(A3020,'Output - State'!$B$2:$G$52,3,FALSE)</f>
        <v>0</v>
      </c>
      <c r="E3020" s="98">
        <f>SUMIFS(Input!$C$115:$C$3257,Input!$A$115:$A$3257,"="&amp;'Output - County'!A3020,Input!$B$115:$B$3257,"="&amp;'Output - County'!B3020)*VLOOKUP(A3020,'Output - State'!$B$2:$G$52,4,FALSE)</f>
        <v>0.23184160448474736</v>
      </c>
      <c r="F3020" s="98">
        <f>SUMIFS(Input!$C$115:$C$3257,Input!$A$115:$A$3257,"="&amp;'Output - County'!A3020,Input!$B$115:$B$3257,"="&amp;'Output - County'!B3020)*VLOOKUP(A3020,'Output - State'!$B$2:$G$52,5,FALSE)</f>
        <v>10.815970566900058</v>
      </c>
      <c r="G3020" s="99">
        <f>SUMIFS(Input!$D$115:$D$3257,Input!$A$115:$A$3257,"="&amp;'Output - County'!A3020,Input!$B$115:$B$3257,"="&amp;'Output - County'!B3020)*VLOOKUP(A3020,'Output - State'!$B$2:$G$52,6,FALSE)</f>
        <v>2.2045868436210769</v>
      </c>
    </row>
    <row r="3021" spans="1:7" x14ac:dyDescent="0.25">
      <c r="A3021" s="88">
        <v>54</v>
      </c>
      <c r="B3021" s="88">
        <v>53</v>
      </c>
      <c r="C3021" s="97">
        <f>SUMIFS(Input!$C$115:$C$3257,Input!$A$115:$A$3257,"="&amp;'Output - County'!A3021,Input!$B$115:$B$3257,"="&amp;'Output - County'!B3021)*VLOOKUP(A3021,'Output - State'!$B$2:$G$52,2,FALSE)</f>
        <v>9.4092221830625213</v>
      </c>
      <c r="D3021" s="98">
        <f>SUMIFS(Input!$C$115:$C$3257,Input!$A$115:$A$3257,"="&amp;'Output - County'!A3021,Input!$B$115:$B$3257,"="&amp;'Output - County'!B3021)*VLOOKUP(A3021,'Output - State'!$B$2:$G$52,3,FALSE)</f>
        <v>0</v>
      </c>
      <c r="E3021" s="98">
        <f>SUMIFS(Input!$C$115:$C$3257,Input!$A$115:$A$3257,"="&amp;'Output - County'!A3021,Input!$B$115:$B$3257,"="&amp;'Output - County'!B3021)*VLOOKUP(A3021,'Output - State'!$B$2:$G$52,4,FALSE)</f>
        <v>0.29382790924136182</v>
      </c>
      <c r="F3021" s="98">
        <f>SUMIFS(Input!$C$115:$C$3257,Input!$A$115:$A$3257,"="&amp;'Output - County'!A3021,Input!$B$115:$B$3257,"="&amp;'Output - County'!B3021)*VLOOKUP(A3021,'Output - State'!$B$2:$G$52,5,FALSE)</f>
        <v>13.707781332653049</v>
      </c>
      <c r="G3021" s="99">
        <f>SUMIFS(Input!$D$115:$D$3257,Input!$A$115:$A$3257,"="&amp;'Output - County'!A3021,Input!$B$115:$B$3257,"="&amp;'Output - County'!B3021)*VLOOKUP(A3021,'Output - State'!$B$2:$G$52,6,FALSE)</f>
        <v>1.9182768639300281</v>
      </c>
    </row>
    <row r="3022" spans="1:7" x14ac:dyDescent="0.25">
      <c r="A3022" s="88">
        <v>54</v>
      </c>
      <c r="B3022" s="88">
        <v>55</v>
      </c>
      <c r="C3022" s="97">
        <f>SUMIFS(Input!$C$115:$C$3257,Input!$A$115:$A$3257,"="&amp;'Output - County'!A3022,Input!$B$115:$B$3257,"="&amp;'Output - County'!B3022)*VLOOKUP(A3022,'Output - State'!$B$2:$G$52,2,FALSE)</f>
        <v>30.673853217594107</v>
      </c>
      <c r="D3022" s="98">
        <f>SUMIFS(Input!$C$115:$C$3257,Input!$A$115:$A$3257,"="&amp;'Output - County'!A3022,Input!$B$115:$B$3257,"="&amp;'Output - County'!B3022)*VLOOKUP(A3022,'Output - State'!$B$2:$G$52,3,FALSE)</f>
        <v>0</v>
      </c>
      <c r="E3022" s="98">
        <f>SUMIFS(Input!$C$115:$C$3257,Input!$A$115:$A$3257,"="&amp;'Output - County'!A3022,Input!$B$115:$B$3257,"="&amp;'Output - County'!B3022)*VLOOKUP(A3022,'Output - State'!$B$2:$G$52,4,FALSE)</f>
        <v>0.95787239199495566</v>
      </c>
      <c r="F3022" s="98">
        <f>SUMIFS(Input!$C$115:$C$3257,Input!$A$115:$A$3257,"="&amp;'Output - County'!A3022,Input!$B$115:$B$3257,"="&amp;'Output - County'!B3022)*VLOOKUP(A3022,'Output - State'!$B$2:$G$52,5,FALSE)</f>
        <v>44.687059605581666</v>
      </c>
      <c r="G3022" s="99">
        <f>SUMIFS(Input!$D$115:$D$3257,Input!$A$115:$A$3257,"="&amp;'Output - County'!A3022,Input!$B$115:$B$3257,"="&amp;'Output - County'!B3022)*VLOOKUP(A3022,'Output - State'!$B$2:$G$52,6,FALSE)</f>
        <v>4.2373876994275248</v>
      </c>
    </row>
    <row r="3023" spans="1:7" x14ac:dyDescent="0.25">
      <c r="A3023" s="88">
        <v>54</v>
      </c>
      <c r="B3023" s="88">
        <v>57</v>
      </c>
      <c r="C3023" s="97">
        <f>SUMIFS(Input!$C$115:$C$3257,Input!$A$115:$A$3257,"="&amp;'Output - County'!A3023,Input!$B$115:$B$3257,"="&amp;'Output - County'!B3023)*VLOOKUP(A3023,'Output - State'!$B$2:$G$52,2,FALSE)</f>
        <v>6.2082675759171737</v>
      </c>
      <c r="D3023" s="98">
        <f>SUMIFS(Input!$C$115:$C$3257,Input!$A$115:$A$3257,"="&amp;'Output - County'!A3023,Input!$B$115:$B$3257,"="&amp;'Output - County'!B3023)*VLOOKUP(A3023,'Output - State'!$B$2:$G$52,3,FALSE)</f>
        <v>0</v>
      </c>
      <c r="E3023" s="98">
        <f>SUMIFS(Input!$C$115:$C$3257,Input!$A$115:$A$3257,"="&amp;'Output - County'!A3023,Input!$B$115:$B$3257,"="&amp;'Output - County'!B3023)*VLOOKUP(A3023,'Output - State'!$B$2:$G$52,4,FALSE)</f>
        <v>0.19386961497480029</v>
      </c>
      <c r="F3023" s="98">
        <f>SUMIFS(Input!$C$115:$C$3257,Input!$A$115:$A$3257,"="&amp;'Output - County'!A3023,Input!$B$115:$B$3257,"="&amp;'Output - County'!B3023)*VLOOKUP(A3023,'Output - State'!$B$2:$G$52,5,FALSE)</f>
        <v>9.0444855833528308</v>
      </c>
      <c r="G3023" s="99">
        <f>SUMIFS(Input!$D$115:$D$3257,Input!$A$115:$A$3257,"="&amp;'Output - County'!A3023,Input!$B$115:$B$3257,"="&amp;'Output - County'!B3023)*VLOOKUP(A3023,'Output - State'!$B$2:$G$52,6,FALSE)</f>
        <v>1.9325923629145805</v>
      </c>
    </row>
    <row r="3024" spans="1:7" x14ac:dyDescent="0.25">
      <c r="A3024" s="88">
        <v>54</v>
      </c>
      <c r="B3024" s="88">
        <v>59</v>
      </c>
      <c r="C3024" s="97">
        <f>SUMIFS(Input!$C$115:$C$3257,Input!$A$115:$A$3257,"="&amp;'Output - County'!A3024,Input!$B$115:$B$3257,"="&amp;'Output - County'!B3024)*VLOOKUP(A3024,'Output - State'!$B$2:$G$52,2,FALSE)</f>
        <v>7.5118309415782809</v>
      </c>
      <c r="D3024" s="98">
        <f>SUMIFS(Input!$C$115:$C$3257,Input!$A$115:$A$3257,"="&amp;'Output - County'!A3024,Input!$B$115:$B$3257,"="&amp;'Output - County'!B3024)*VLOOKUP(A3024,'Output - State'!$B$2:$G$52,3,FALSE)</f>
        <v>0</v>
      </c>
      <c r="E3024" s="98">
        <f>SUMIFS(Input!$C$115:$C$3257,Input!$A$115:$A$3257,"="&amp;'Output - County'!A3024,Input!$B$115:$B$3257,"="&amp;'Output - County'!B3024)*VLOOKUP(A3024,'Output - State'!$B$2:$G$52,4,FALSE)</f>
        <v>0.2345768371918836</v>
      </c>
      <c r="F3024" s="98">
        <f>SUMIFS(Input!$C$115:$C$3257,Input!$A$115:$A$3257,"="&amp;'Output - County'!A3024,Input!$B$115:$B$3257,"="&amp;'Output - County'!B3024)*VLOOKUP(A3024,'Output - State'!$B$2:$G$52,5,FALSE)</f>
        <v>10.943575776153837</v>
      </c>
      <c r="G3024" s="99">
        <f>SUMIFS(Input!$D$115:$D$3257,Input!$A$115:$A$3257,"="&amp;'Output - County'!A3024,Input!$B$115:$B$3257,"="&amp;'Output - County'!B3024)*VLOOKUP(A3024,'Output - State'!$B$2:$G$52,6,FALSE)</f>
        <v>1.7107021286540176</v>
      </c>
    </row>
    <row r="3025" spans="1:7" x14ac:dyDescent="0.25">
      <c r="A3025" s="88">
        <v>54</v>
      </c>
      <c r="B3025" s="88">
        <v>61</v>
      </c>
      <c r="C3025" s="97">
        <f>SUMIFS(Input!$C$115:$C$3257,Input!$A$115:$A$3257,"="&amp;'Output - County'!A3025,Input!$B$115:$B$3257,"="&amp;'Output - County'!B3025)*VLOOKUP(A3025,'Output - State'!$B$2:$G$52,2,FALSE)</f>
        <v>39.83835320913014</v>
      </c>
      <c r="D3025" s="98">
        <f>SUMIFS(Input!$C$115:$C$3257,Input!$A$115:$A$3257,"="&amp;'Output - County'!A3025,Input!$B$115:$B$3257,"="&amp;'Output - County'!B3025)*VLOOKUP(A3025,'Output - State'!$B$2:$G$52,3,FALSE)</f>
        <v>0</v>
      </c>
      <c r="E3025" s="98">
        <f>SUMIFS(Input!$C$115:$C$3257,Input!$A$115:$A$3257,"="&amp;'Output - County'!A3025,Input!$B$115:$B$3257,"="&amp;'Output - County'!B3025)*VLOOKUP(A3025,'Output - State'!$B$2:$G$52,4,FALSE)</f>
        <v>1.2440582019764415</v>
      </c>
      <c r="F3025" s="98">
        <f>SUMIFS(Input!$C$115:$C$3257,Input!$A$115:$A$3257,"="&amp;'Output - County'!A3025,Input!$B$115:$B$3257,"="&amp;'Output - County'!B3025)*VLOOKUP(A3025,'Output - State'!$B$2:$G$52,5,FALSE)</f>
        <v>58.038318558018069</v>
      </c>
      <c r="G3025" s="99">
        <f>SUMIFS(Input!$D$115:$D$3257,Input!$A$115:$A$3257,"="&amp;'Output - County'!A3025,Input!$B$115:$B$3257,"="&amp;'Output - County'!B3025)*VLOOKUP(A3025,'Output - State'!$B$2:$G$52,6,FALSE)</f>
        <v>7.5872144618127972</v>
      </c>
    </row>
    <row r="3026" spans="1:7" x14ac:dyDescent="0.25">
      <c r="A3026" s="88">
        <v>54</v>
      </c>
      <c r="B3026" s="88">
        <v>63</v>
      </c>
      <c r="C3026" s="97">
        <f>SUMIFS(Input!$C$115:$C$3257,Input!$A$115:$A$3257,"="&amp;'Output - County'!A3026,Input!$B$115:$B$3257,"="&amp;'Output - County'!B3026)*VLOOKUP(A3026,'Output - State'!$B$2:$G$52,2,FALSE)</f>
        <v>2.2863063122194562</v>
      </c>
      <c r="D3026" s="98">
        <f>SUMIFS(Input!$C$115:$C$3257,Input!$A$115:$A$3257,"="&amp;'Output - County'!A3026,Input!$B$115:$B$3257,"="&amp;'Output - County'!B3026)*VLOOKUP(A3026,'Output - State'!$B$2:$G$52,3,FALSE)</f>
        <v>0</v>
      </c>
      <c r="E3026" s="98">
        <f>SUMIFS(Input!$C$115:$C$3257,Input!$A$115:$A$3257,"="&amp;'Output - County'!A3026,Input!$B$115:$B$3257,"="&amp;'Output - County'!B3026)*VLOOKUP(A3026,'Output - State'!$B$2:$G$52,4,FALSE)</f>
        <v>7.1395976259763419E-2</v>
      </c>
      <c r="F3026" s="98">
        <f>SUMIFS(Input!$C$115:$C$3257,Input!$A$115:$A$3257,"="&amp;'Output - County'!A3026,Input!$B$115:$B$3257,"="&amp;'Output - County'!B3026)*VLOOKUP(A3026,'Output - State'!$B$2:$G$52,5,FALSE)</f>
        <v>3.3307946584345682</v>
      </c>
      <c r="G3026" s="99">
        <f>SUMIFS(Input!$D$115:$D$3257,Input!$A$115:$A$3257,"="&amp;'Output - County'!A3026,Input!$B$115:$B$3257,"="&amp;'Output - County'!B3026)*VLOOKUP(A3026,'Output - State'!$B$2:$G$52,6,FALSE)</f>
        <v>0.95198068247273782</v>
      </c>
    </row>
    <row r="3027" spans="1:7" x14ac:dyDescent="0.25">
      <c r="A3027" s="88">
        <v>54</v>
      </c>
      <c r="B3027" s="88">
        <v>65</v>
      </c>
      <c r="C3027" s="97">
        <f>SUMIFS(Input!$C$115:$C$3257,Input!$A$115:$A$3257,"="&amp;'Output - County'!A3027,Input!$B$115:$B$3257,"="&amp;'Output - County'!B3027)*VLOOKUP(A3027,'Output - State'!$B$2:$G$52,2,FALSE)</f>
        <v>3.8607959996874719</v>
      </c>
      <c r="D3027" s="98">
        <f>SUMIFS(Input!$C$115:$C$3257,Input!$A$115:$A$3257,"="&amp;'Output - County'!A3027,Input!$B$115:$B$3257,"="&amp;'Output - County'!B3027)*VLOOKUP(A3027,'Output - State'!$B$2:$G$52,3,FALSE)</f>
        <v>0</v>
      </c>
      <c r="E3027" s="98">
        <f>SUMIFS(Input!$C$115:$C$3257,Input!$A$115:$A$3257,"="&amp;'Output - County'!A3027,Input!$B$115:$B$3257,"="&amp;'Output - County'!B3027)*VLOOKUP(A3027,'Output - State'!$B$2:$G$52,4,FALSE)</f>
        <v>0.12056359117947353</v>
      </c>
      <c r="F3027" s="98">
        <f>SUMIFS(Input!$C$115:$C$3257,Input!$A$115:$A$3257,"="&amp;'Output - County'!A3027,Input!$B$115:$B$3257,"="&amp;'Output - County'!B3027)*VLOOKUP(A3027,'Output - State'!$B$2:$G$52,5,FALSE)</f>
        <v>5.6245825961006366</v>
      </c>
      <c r="G3027" s="99">
        <f>SUMIFS(Input!$D$115:$D$3257,Input!$A$115:$A$3257,"="&amp;'Output - County'!A3027,Input!$B$115:$B$3257,"="&amp;'Output - County'!B3027)*VLOOKUP(A3027,'Output - State'!$B$2:$G$52,6,FALSE)</f>
        <v>1.2740794096251677</v>
      </c>
    </row>
    <row r="3028" spans="1:7" x14ac:dyDescent="0.25">
      <c r="A3028" s="88">
        <v>54</v>
      </c>
      <c r="B3028" s="88">
        <v>67</v>
      </c>
      <c r="C3028" s="97">
        <f>SUMIFS(Input!$C$115:$C$3257,Input!$A$115:$A$3257,"="&amp;'Output - County'!A3028,Input!$B$115:$B$3257,"="&amp;'Output - County'!B3028)*VLOOKUP(A3028,'Output - State'!$B$2:$G$52,2,FALSE)</f>
        <v>10.092750101776765</v>
      </c>
      <c r="D3028" s="98">
        <f>SUMIFS(Input!$C$115:$C$3257,Input!$A$115:$A$3257,"="&amp;'Output - County'!A3028,Input!$B$115:$B$3257,"="&amp;'Output - County'!B3028)*VLOOKUP(A3028,'Output - State'!$B$2:$G$52,3,FALSE)</f>
        <v>0</v>
      </c>
      <c r="E3028" s="98">
        <f>SUMIFS(Input!$C$115:$C$3257,Input!$A$115:$A$3257,"="&amp;'Output - County'!A3028,Input!$B$115:$B$3257,"="&amp;'Output - County'!B3028)*VLOOKUP(A3028,'Output - State'!$B$2:$G$52,4,FALSE)</f>
        <v>0.31517288073384458</v>
      </c>
      <c r="F3028" s="98">
        <f>SUMIFS(Input!$C$115:$C$3257,Input!$A$115:$A$3257,"="&amp;'Output - County'!A3028,Input!$B$115:$B$3257,"="&amp;'Output - County'!B3028)*VLOOKUP(A3028,'Output - State'!$B$2:$G$52,5,FALSE)</f>
        <v>14.703575784330951</v>
      </c>
      <c r="G3028" s="99">
        <f>SUMIFS(Input!$D$115:$D$3257,Input!$A$115:$A$3257,"="&amp;'Output - County'!A3028,Input!$B$115:$B$3257,"="&amp;'Output - County'!B3028)*VLOOKUP(A3028,'Output - State'!$B$2:$G$52,6,FALSE)</f>
        <v>1.7751218740845036</v>
      </c>
    </row>
    <row r="3029" spans="1:7" x14ac:dyDescent="0.25">
      <c r="A3029" s="88">
        <v>54</v>
      </c>
      <c r="B3029" s="88">
        <v>69</v>
      </c>
      <c r="C3029" s="97">
        <f>SUMIFS(Input!$C$115:$C$3257,Input!$A$115:$A$3257,"="&amp;'Output - County'!A3029,Input!$B$115:$B$3257,"="&amp;'Output - County'!B3029)*VLOOKUP(A3029,'Output - State'!$B$2:$G$52,2,FALSE)</f>
        <v>19.601771566490466</v>
      </c>
      <c r="D3029" s="98">
        <f>SUMIFS(Input!$C$115:$C$3257,Input!$A$115:$A$3257,"="&amp;'Output - County'!A3029,Input!$B$115:$B$3257,"="&amp;'Output - County'!B3029)*VLOOKUP(A3029,'Output - State'!$B$2:$G$52,3,FALSE)</f>
        <v>0</v>
      </c>
      <c r="E3029" s="98">
        <f>SUMIFS(Input!$C$115:$C$3257,Input!$A$115:$A$3257,"="&amp;'Output - County'!A3029,Input!$B$115:$B$3257,"="&amp;'Output - County'!B3029)*VLOOKUP(A3029,'Output - State'!$B$2:$G$52,4,FALSE)</f>
        <v>0.61211728714158653</v>
      </c>
      <c r="F3029" s="98">
        <f>SUMIFS(Input!$C$115:$C$3257,Input!$A$115:$A$3257,"="&amp;'Output - County'!A3029,Input!$B$115:$B$3257,"="&amp;'Output - County'!B3029)*VLOOKUP(A3029,'Output - State'!$B$2:$G$52,5,FALSE)</f>
        <v>28.556749233719511</v>
      </c>
      <c r="G3029" s="99">
        <f>SUMIFS(Input!$D$115:$D$3257,Input!$A$115:$A$3257,"="&amp;'Output - County'!A3029,Input!$B$115:$B$3257,"="&amp;'Output - County'!B3029)*VLOOKUP(A3029,'Output - State'!$B$2:$G$52,6,FALSE)</f>
        <v>2.9847815382791851</v>
      </c>
    </row>
    <row r="3030" spans="1:7" x14ac:dyDescent="0.25">
      <c r="A3030" s="88">
        <v>54</v>
      </c>
      <c r="B3030" s="88">
        <v>71</v>
      </c>
      <c r="C3030" s="97">
        <f>SUMIFS(Input!$C$115:$C$3257,Input!$A$115:$A$3257,"="&amp;'Output - County'!A3030,Input!$B$115:$B$3257,"="&amp;'Output - County'!B3030)*VLOOKUP(A3030,'Output - State'!$B$2:$G$52,2,FALSE)</f>
        <v>2.2981985370910496</v>
      </c>
      <c r="D3030" s="98">
        <f>SUMIFS(Input!$C$115:$C$3257,Input!$A$115:$A$3257,"="&amp;'Output - County'!A3030,Input!$B$115:$B$3257,"="&amp;'Output - County'!B3030)*VLOOKUP(A3030,'Output - State'!$B$2:$G$52,3,FALSE)</f>
        <v>0</v>
      </c>
      <c r="E3030" s="98">
        <f>SUMIFS(Input!$C$115:$C$3257,Input!$A$115:$A$3257,"="&amp;'Output - County'!A3030,Input!$B$115:$B$3257,"="&amp;'Output - County'!B3030)*VLOOKUP(A3030,'Output - State'!$B$2:$G$52,4,FALSE)</f>
        <v>7.1767342511113968E-2</v>
      </c>
      <c r="F3030" s="98">
        <f>SUMIFS(Input!$C$115:$C$3257,Input!$A$115:$A$3257,"="&amp;'Output - County'!A3030,Input!$B$115:$B$3257,"="&amp;'Output - County'!B3030)*VLOOKUP(A3030,'Output - State'!$B$2:$G$52,5,FALSE)</f>
        <v>3.348119790621582</v>
      </c>
      <c r="G3030" s="99">
        <f>SUMIFS(Input!$D$115:$D$3257,Input!$A$115:$A$3257,"="&amp;'Output - County'!A3030,Input!$B$115:$B$3257,"="&amp;'Output - County'!B3030)*VLOOKUP(A3030,'Output - State'!$B$2:$G$52,6,FALSE)</f>
        <v>0.49961091456088047</v>
      </c>
    </row>
    <row r="3031" spans="1:7" x14ac:dyDescent="0.25">
      <c r="A3031" s="88">
        <v>54</v>
      </c>
      <c r="B3031" s="88">
        <v>73</v>
      </c>
      <c r="C3031" s="97">
        <f>SUMIFS(Input!$C$115:$C$3257,Input!$A$115:$A$3257,"="&amp;'Output - County'!A3031,Input!$B$115:$B$3257,"="&amp;'Output - County'!B3031)*VLOOKUP(A3031,'Output - State'!$B$2:$G$52,2,FALSE)</f>
        <v>2.3105941820555476</v>
      </c>
      <c r="D3031" s="98">
        <f>SUMIFS(Input!$C$115:$C$3257,Input!$A$115:$A$3257,"="&amp;'Output - County'!A3031,Input!$B$115:$B$3257,"="&amp;'Output - County'!B3031)*VLOOKUP(A3031,'Output - State'!$B$2:$G$52,3,FALSE)</f>
        <v>0</v>
      </c>
      <c r="E3031" s="98">
        <f>SUMIFS(Input!$C$115:$C$3257,Input!$A$115:$A$3257,"="&amp;'Output - County'!A3031,Input!$B$115:$B$3257,"="&amp;'Output - County'!B3031)*VLOOKUP(A3031,'Output - State'!$B$2:$G$52,4,FALSE)</f>
        <v>7.2154429389578056E-2</v>
      </c>
      <c r="F3031" s="98">
        <f>SUMIFS(Input!$C$115:$C$3257,Input!$A$115:$A$3257,"="&amp;'Output - County'!A3031,Input!$B$115:$B$3257,"="&amp;'Output - County'!B3031)*VLOOKUP(A3031,'Output - State'!$B$2:$G$52,5,FALSE)</f>
        <v>3.3661783280165656</v>
      </c>
      <c r="G3031" s="99">
        <f>SUMIFS(Input!$D$115:$D$3257,Input!$A$115:$A$3257,"="&amp;'Output - County'!A3031,Input!$B$115:$B$3257,"="&amp;'Output - County'!B3031)*VLOOKUP(A3031,'Output - State'!$B$2:$G$52,6,FALSE)</f>
        <v>0.53754698686994451</v>
      </c>
    </row>
    <row r="3032" spans="1:7" x14ac:dyDescent="0.25">
      <c r="A3032" s="88">
        <v>54</v>
      </c>
      <c r="B3032" s="88">
        <v>75</v>
      </c>
      <c r="C3032" s="97">
        <f>SUMIFS(Input!$C$115:$C$3257,Input!$A$115:$A$3257,"="&amp;'Output - County'!A3032,Input!$B$115:$B$3257,"="&amp;'Output - County'!B3032)*VLOOKUP(A3032,'Output - State'!$B$2:$G$52,2,FALSE)</f>
        <v>2.4462482341657155</v>
      </c>
      <c r="D3032" s="98">
        <f>SUMIFS(Input!$C$115:$C$3257,Input!$A$115:$A$3257,"="&amp;'Output - County'!A3032,Input!$B$115:$B$3257,"="&amp;'Output - County'!B3032)*VLOOKUP(A3032,'Output - State'!$B$2:$G$52,3,FALSE)</f>
        <v>0</v>
      </c>
      <c r="E3032" s="98">
        <f>SUMIFS(Input!$C$115:$C$3257,Input!$A$115:$A$3257,"="&amp;'Output - County'!A3032,Input!$B$115:$B$3257,"="&amp;'Output - County'!B3032)*VLOOKUP(A3032,'Output - State'!$B$2:$G$52,4,FALSE)</f>
        <v>7.6390586824928997E-2</v>
      </c>
      <c r="F3032" s="98">
        <f>SUMIFS(Input!$C$115:$C$3257,Input!$A$115:$A$3257,"="&amp;'Output - County'!A3032,Input!$B$115:$B$3257,"="&amp;'Output - County'!B3032)*VLOOKUP(A3032,'Output - State'!$B$2:$G$52,5,FALSE)</f>
        <v>3.5638052994108436</v>
      </c>
      <c r="G3032" s="99">
        <f>SUMIFS(Input!$D$115:$D$3257,Input!$A$115:$A$3257,"="&amp;'Output - County'!A3032,Input!$B$115:$B$3257,"="&amp;'Output - County'!B3032)*VLOOKUP(A3032,'Output - State'!$B$2:$G$52,6,FALSE)</f>
        <v>0.60196673230043041</v>
      </c>
    </row>
    <row r="3033" spans="1:7" x14ac:dyDescent="0.25">
      <c r="A3033" s="88">
        <v>54</v>
      </c>
      <c r="B3033" s="88">
        <v>77</v>
      </c>
      <c r="C3033" s="97">
        <f>SUMIFS(Input!$C$115:$C$3257,Input!$A$115:$A$3257,"="&amp;'Output - County'!A3033,Input!$B$115:$B$3257,"="&amp;'Output - County'!B3033)*VLOOKUP(A3033,'Output - State'!$B$2:$G$52,2,FALSE)</f>
        <v>10.091535892925581</v>
      </c>
      <c r="D3033" s="98">
        <f>SUMIFS(Input!$C$115:$C$3257,Input!$A$115:$A$3257,"="&amp;'Output - County'!A3033,Input!$B$115:$B$3257,"="&amp;'Output - County'!B3033)*VLOOKUP(A3033,'Output - State'!$B$2:$G$52,3,FALSE)</f>
        <v>0</v>
      </c>
      <c r="E3033" s="98">
        <f>SUMIFS(Input!$C$115:$C$3257,Input!$A$115:$A$3257,"="&amp;'Output - County'!A3033,Input!$B$115:$B$3257,"="&amp;'Output - County'!B3033)*VLOOKUP(A3033,'Output - State'!$B$2:$G$52,4,FALSE)</f>
        <v>0.3151349638432468</v>
      </c>
      <c r="F3033" s="98">
        <f>SUMIFS(Input!$C$115:$C$3257,Input!$A$115:$A$3257,"="&amp;'Output - County'!A3033,Input!$B$115:$B$3257,"="&amp;'Output - County'!B3033)*VLOOKUP(A3033,'Output - State'!$B$2:$G$52,5,FALSE)</f>
        <v>14.701806869844678</v>
      </c>
      <c r="G3033" s="99">
        <f>SUMIFS(Input!$D$115:$D$3257,Input!$A$115:$A$3257,"="&amp;'Output - County'!A3033,Input!$B$115:$B$3257,"="&amp;'Output - County'!B3033)*VLOOKUP(A3033,'Output - State'!$B$2:$G$52,6,FALSE)</f>
        <v>2.4050038294048113</v>
      </c>
    </row>
    <row r="3034" spans="1:7" x14ac:dyDescent="0.25">
      <c r="A3034" s="88">
        <v>54</v>
      </c>
      <c r="B3034" s="88">
        <v>79</v>
      </c>
      <c r="C3034" s="97">
        <f>SUMIFS(Input!$C$115:$C$3257,Input!$A$115:$A$3257,"="&amp;'Output - County'!A3034,Input!$B$115:$B$3257,"="&amp;'Output - County'!B3034)*VLOOKUP(A3034,'Output - State'!$B$2:$G$52,2,FALSE)</f>
        <v>23.873039872242909</v>
      </c>
      <c r="D3034" s="98">
        <f>SUMIFS(Input!$C$115:$C$3257,Input!$A$115:$A$3257,"="&amp;'Output - County'!A3034,Input!$B$115:$B$3257,"="&amp;'Output - County'!B3034)*VLOOKUP(A3034,'Output - State'!$B$2:$G$52,3,FALSE)</f>
        <v>0</v>
      </c>
      <c r="E3034" s="98">
        <f>SUMIFS(Input!$C$115:$C$3257,Input!$A$115:$A$3257,"="&amp;'Output - County'!A3034,Input!$B$115:$B$3257,"="&amp;'Output - County'!B3034)*VLOOKUP(A3034,'Output - State'!$B$2:$G$52,4,FALSE)</f>
        <v>0.7454989643589961</v>
      </c>
      <c r="F3034" s="98">
        <f>SUMIFS(Input!$C$115:$C$3257,Input!$A$115:$A$3257,"="&amp;'Output - County'!A3034,Input!$B$115:$B$3257,"="&amp;'Output - County'!B3034)*VLOOKUP(A3034,'Output - State'!$B$2:$G$52,5,FALSE)</f>
        <v>34.779326489227493</v>
      </c>
      <c r="G3034" s="99">
        <f>SUMIFS(Input!$D$115:$D$3257,Input!$A$115:$A$3257,"="&amp;'Output - County'!A3034,Input!$B$115:$B$3257,"="&amp;'Output - County'!B3034)*VLOOKUP(A3034,'Output - State'!$B$2:$G$52,6,FALSE)</f>
        <v>4.0512862126283427</v>
      </c>
    </row>
    <row r="3035" spans="1:7" x14ac:dyDescent="0.25">
      <c r="A3035" s="88">
        <v>54</v>
      </c>
      <c r="B3035" s="88">
        <v>81</v>
      </c>
      <c r="C3035" s="97">
        <f>SUMIFS(Input!$C$115:$C$3257,Input!$A$115:$A$3257,"="&amp;'Output - County'!A3035,Input!$B$115:$B$3257,"="&amp;'Output - County'!B3035)*VLOOKUP(A3035,'Output - State'!$B$2:$G$52,2,FALSE)</f>
        <v>37.184849759764127</v>
      </c>
      <c r="D3035" s="98">
        <f>SUMIFS(Input!$C$115:$C$3257,Input!$A$115:$A$3257,"="&amp;'Output - County'!A3035,Input!$B$115:$B$3257,"="&amp;'Output - County'!B3035)*VLOOKUP(A3035,'Output - State'!$B$2:$G$52,3,FALSE)</f>
        <v>0</v>
      </c>
      <c r="E3035" s="98">
        <f>SUMIFS(Input!$C$115:$C$3257,Input!$A$115:$A$3257,"="&amp;'Output - County'!A3035,Input!$B$115:$B$3257,"="&amp;'Output - County'!B3035)*VLOOKUP(A3035,'Output - State'!$B$2:$G$52,4,FALSE)</f>
        <v>1.1611955215632352</v>
      </c>
      <c r="F3035" s="98">
        <f>SUMIFS(Input!$C$115:$C$3257,Input!$A$115:$A$3257,"="&amp;'Output - County'!A3035,Input!$B$115:$B$3257,"="&amp;'Output - County'!B3035)*VLOOKUP(A3035,'Output - State'!$B$2:$G$52,5,FALSE)</f>
        <v>54.172574467627058</v>
      </c>
      <c r="G3035" s="99">
        <f>SUMIFS(Input!$D$115:$D$3257,Input!$A$115:$A$3257,"="&amp;'Output - County'!A3035,Input!$B$115:$B$3257,"="&amp;'Output - County'!B3035)*VLOOKUP(A3035,'Output - State'!$B$2:$G$52,6,FALSE)</f>
        <v>5.3110501232689584</v>
      </c>
    </row>
    <row r="3036" spans="1:7" x14ac:dyDescent="0.25">
      <c r="A3036" s="88">
        <v>54</v>
      </c>
      <c r="B3036" s="88">
        <v>83</v>
      </c>
      <c r="C3036" s="97">
        <f>SUMIFS(Input!$C$115:$C$3257,Input!$A$115:$A$3257,"="&amp;'Output - County'!A3036,Input!$B$115:$B$3257,"="&amp;'Output - County'!B3036)*VLOOKUP(A3036,'Output - State'!$B$2:$G$52,2,FALSE)</f>
        <v>8.3245473360103119</v>
      </c>
      <c r="D3036" s="98">
        <f>SUMIFS(Input!$C$115:$C$3257,Input!$A$115:$A$3257,"="&amp;'Output - County'!A3036,Input!$B$115:$B$3257,"="&amp;'Output - County'!B3036)*VLOOKUP(A3036,'Output - State'!$B$2:$G$52,3,FALSE)</f>
        <v>0</v>
      </c>
      <c r="E3036" s="98">
        <f>SUMIFS(Input!$C$115:$C$3257,Input!$A$115:$A$3257,"="&amp;'Output - County'!A3036,Input!$B$115:$B$3257,"="&amp;'Output - County'!B3036)*VLOOKUP(A3036,'Output - State'!$B$2:$G$52,4,FALSE)</f>
        <v>0.25995606135474814</v>
      </c>
      <c r="F3036" s="98">
        <f>SUMIFS(Input!$C$115:$C$3257,Input!$A$115:$A$3257,"="&amp;'Output - County'!A3036,Input!$B$115:$B$3257,"="&amp;'Output - County'!B3036)*VLOOKUP(A3036,'Output - State'!$B$2:$G$52,5,FALSE)</f>
        <v>12.127577854496773</v>
      </c>
      <c r="G3036" s="99">
        <f>SUMIFS(Input!$D$115:$D$3257,Input!$A$115:$A$3257,"="&amp;'Output - County'!A3036,Input!$B$115:$B$3257,"="&amp;'Output - County'!B3036)*VLOOKUP(A3036,'Output - State'!$B$2:$G$52,6,FALSE)</f>
        <v>2.0614318537755527</v>
      </c>
    </row>
    <row r="3037" spans="1:7" x14ac:dyDescent="0.25">
      <c r="A3037" s="88">
        <v>54</v>
      </c>
      <c r="B3037" s="88">
        <v>85</v>
      </c>
      <c r="C3037" s="97">
        <f>SUMIFS(Input!$C$115:$C$3257,Input!$A$115:$A$3257,"="&amp;'Output - County'!A3037,Input!$B$115:$B$3257,"="&amp;'Output - County'!B3037)*VLOOKUP(A3037,'Output - State'!$B$2:$G$52,2,FALSE)</f>
        <v>4.5834634077135048</v>
      </c>
      <c r="D3037" s="98">
        <f>SUMIFS(Input!$C$115:$C$3257,Input!$A$115:$A$3257,"="&amp;'Output - County'!A3037,Input!$B$115:$B$3257,"="&amp;'Output - County'!B3037)*VLOOKUP(A3037,'Output - State'!$B$2:$G$52,3,FALSE)</f>
        <v>0</v>
      </c>
      <c r="E3037" s="98">
        <f>SUMIFS(Input!$C$115:$C$3257,Input!$A$115:$A$3257,"="&amp;'Output - County'!A3037,Input!$B$115:$B$3257,"="&amp;'Output - County'!B3037)*VLOOKUP(A3037,'Output - State'!$B$2:$G$52,4,FALSE)</f>
        <v>0.14313079699584749</v>
      </c>
      <c r="F3037" s="98">
        <f>SUMIFS(Input!$C$115:$C$3257,Input!$A$115:$A$3257,"="&amp;'Output - County'!A3037,Input!$B$115:$B$3257,"="&amp;'Output - County'!B3037)*VLOOKUP(A3037,'Output - State'!$B$2:$G$52,5,FALSE)</f>
        <v>6.6773972297361404</v>
      </c>
      <c r="G3037" s="99">
        <f>SUMIFS(Input!$D$115:$D$3257,Input!$A$115:$A$3257,"="&amp;'Output - County'!A3037,Input!$B$115:$B$3257,"="&amp;'Output - County'!B3037)*VLOOKUP(A3037,'Output - State'!$B$2:$G$52,6,FALSE)</f>
        <v>0.69788057549693183</v>
      </c>
    </row>
    <row r="3038" spans="1:7" x14ac:dyDescent="0.25">
      <c r="A3038" s="88">
        <v>54</v>
      </c>
      <c r="B3038" s="88">
        <v>87</v>
      </c>
      <c r="C3038" s="97">
        <f>SUMIFS(Input!$C$115:$C$3257,Input!$A$115:$A$3257,"="&amp;'Output - County'!A3038,Input!$B$115:$B$3257,"="&amp;'Output - County'!B3038)*VLOOKUP(A3038,'Output - State'!$B$2:$G$52,2,FALSE)</f>
        <v>4.9252590767811393</v>
      </c>
      <c r="D3038" s="98">
        <f>SUMIFS(Input!$C$115:$C$3257,Input!$A$115:$A$3257,"="&amp;'Output - County'!A3038,Input!$B$115:$B$3257,"="&amp;'Output - County'!B3038)*VLOOKUP(A3038,'Output - State'!$B$2:$G$52,3,FALSE)</f>
        <v>0</v>
      </c>
      <c r="E3038" s="98">
        <f>SUMIFS(Input!$C$115:$C$3257,Input!$A$115:$A$3257,"="&amp;'Output - County'!A3038,Input!$B$115:$B$3257,"="&amp;'Output - County'!B3038)*VLOOKUP(A3038,'Output - State'!$B$2:$G$52,4,FALSE)</f>
        <v>0.15380427296187127</v>
      </c>
      <c r="F3038" s="98">
        <f>SUMIFS(Input!$C$115:$C$3257,Input!$A$115:$A$3257,"="&amp;'Output - County'!A3038,Input!$B$115:$B$3257,"="&amp;'Output - County'!B3038)*VLOOKUP(A3038,'Output - State'!$B$2:$G$52,5,FALSE)</f>
        <v>7.1753406517185523</v>
      </c>
      <c r="G3038" s="99">
        <f>SUMIFS(Input!$D$115:$D$3257,Input!$A$115:$A$3257,"="&amp;'Output - County'!A3038,Input!$B$115:$B$3257,"="&amp;'Output - County'!B3038)*VLOOKUP(A3038,'Output - State'!$B$2:$G$52,6,FALSE)</f>
        <v>0.99492717942639519</v>
      </c>
    </row>
    <row r="3039" spans="1:7" x14ac:dyDescent="0.25">
      <c r="A3039" s="88">
        <v>54</v>
      </c>
      <c r="B3039" s="88">
        <v>89</v>
      </c>
      <c r="C3039" s="97">
        <f>SUMIFS(Input!$C$115:$C$3257,Input!$A$115:$A$3257,"="&amp;'Output - County'!A3039,Input!$B$115:$B$3257,"="&amp;'Output - County'!B3039)*VLOOKUP(A3039,'Output - State'!$B$2:$G$52,2,FALSE)</f>
        <v>4.1282937848364716</v>
      </c>
      <c r="D3039" s="98">
        <f>SUMIFS(Input!$C$115:$C$3257,Input!$A$115:$A$3257,"="&amp;'Output - County'!A3039,Input!$B$115:$B$3257,"="&amp;'Output - County'!B3039)*VLOOKUP(A3039,'Output - State'!$B$2:$G$52,3,FALSE)</f>
        <v>0</v>
      </c>
      <c r="E3039" s="98">
        <f>SUMIFS(Input!$C$115:$C$3257,Input!$A$115:$A$3257,"="&amp;'Output - County'!A3039,Input!$B$115:$B$3257,"="&amp;'Output - County'!B3039)*VLOOKUP(A3039,'Output - State'!$B$2:$G$52,4,FALSE)</f>
        <v>0.12891691873491268</v>
      </c>
      <c r="F3039" s="98">
        <f>SUMIFS(Input!$C$115:$C$3257,Input!$A$115:$A$3257,"="&amp;'Output - County'!A3039,Input!$B$115:$B$3257,"="&amp;'Output - County'!B3039)*VLOOKUP(A3039,'Output - State'!$B$2:$G$52,5,FALSE)</f>
        <v>6.0142854933700916</v>
      </c>
      <c r="G3039" s="99">
        <f>SUMIFS(Input!$D$115:$D$3257,Input!$A$115:$A$3257,"="&amp;'Output - County'!A3039,Input!$B$115:$B$3257,"="&amp;'Output - County'!B3039)*VLOOKUP(A3039,'Output - State'!$B$2:$G$52,6,FALSE)</f>
        <v>0.90903418551908055</v>
      </c>
    </row>
    <row r="3040" spans="1:7" x14ac:dyDescent="0.25">
      <c r="A3040" s="88">
        <v>54</v>
      </c>
      <c r="B3040" s="88">
        <v>91</v>
      </c>
      <c r="C3040" s="97">
        <f>SUMIFS(Input!$C$115:$C$3257,Input!$A$115:$A$3257,"="&amp;'Output - County'!A3040,Input!$B$115:$B$3257,"="&amp;'Output - County'!B3040)*VLOOKUP(A3040,'Output - State'!$B$2:$G$52,2,FALSE)</f>
        <v>4.0482560484451282</v>
      </c>
      <c r="D3040" s="98">
        <f>SUMIFS(Input!$C$115:$C$3257,Input!$A$115:$A$3257,"="&amp;'Output - County'!A3040,Input!$B$115:$B$3257,"="&amp;'Output - County'!B3040)*VLOOKUP(A3040,'Output - State'!$B$2:$G$52,3,FALSE)</f>
        <v>0</v>
      </c>
      <c r="E3040" s="98">
        <f>SUMIFS(Input!$C$115:$C$3257,Input!$A$115:$A$3257,"="&amp;'Output - County'!A3040,Input!$B$115:$B$3257,"="&amp;'Output - County'!B3040)*VLOOKUP(A3040,'Output - State'!$B$2:$G$52,4,FALSE)</f>
        <v>0.12641752821285521</v>
      </c>
      <c r="F3040" s="98">
        <f>SUMIFS(Input!$C$115:$C$3257,Input!$A$115:$A$3257,"="&amp;'Output - County'!A3040,Input!$B$115:$B$3257,"="&amp;'Output - County'!B3040)*VLOOKUP(A3040,'Output - State'!$B$2:$G$52,5,FALSE)</f>
        <v>5.8976828914262223</v>
      </c>
      <c r="G3040" s="99">
        <f>SUMIFS(Input!$D$115:$D$3257,Input!$A$115:$A$3257,"="&amp;'Output - County'!A3040,Input!$B$115:$B$3257,"="&amp;'Output - County'!B3040)*VLOOKUP(A3040,'Output - State'!$B$2:$G$52,6,FALSE)</f>
        <v>1.2025019147024056</v>
      </c>
    </row>
    <row r="3041" spans="1:7" x14ac:dyDescent="0.25">
      <c r="A3041" s="88">
        <v>54</v>
      </c>
      <c r="B3041" s="88">
        <v>93</v>
      </c>
      <c r="C3041" s="97">
        <f>SUMIFS(Input!$C$115:$C$3257,Input!$A$115:$A$3257,"="&amp;'Output - County'!A3041,Input!$B$115:$B$3257,"="&amp;'Output - County'!B3041)*VLOOKUP(A3041,'Output - State'!$B$2:$G$52,2,FALSE)</f>
        <v>2.0903327477612645</v>
      </c>
      <c r="D3041" s="98">
        <f>SUMIFS(Input!$C$115:$C$3257,Input!$A$115:$A$3257,"="&amp;'Output - County'!A3041,Input!$B$115:$B$3257,"="&amp;'Output - County'!B3041)*VLOOKUP(A3041,'Output - State'!$B$2:$G$52,3,FALSE)</f>
        <v>0</v>
      </c>
      <c r="E3041" s="98">
        <f>SUMIFS(Input!$C$115:$C$3257,Input!$A$115:$A$3257,"="&amp;'Output - County'!A3041,Input!$B$115:$B$3257,"="&amp;'Output - County'!B3041)*VLOOKUP(A3041,'Output - State'!$B$2:$G$52,4,FALSE)</f>
        <v>6.5276182126834809E-2</v>
      </c>
      <c r="F3041" s="98">
        <f>SUMIFS(Input!$C$115:$C$3257,Input!$A$115:$A$3257,"="&amp;'Output - County'!A3041,Input!$B$115:$B$3257,"="&amp;'Output - County'!B3041)*VLOOKUP(A3041,'Output - State'!$B$2:$G$52,5,FALSE)</f>
        <v>3.0452914875763883</v>
      </c>
      <c r="G3041" s="99">
        <f>SUMIFS(Input!$D$115:$D$3257,Input!$A$115:$A$3257,"="&amp;'Output - County'!A3041,Input!$B$115:$B$3257,"="&amp;'Output - County'!B3041)*VLOOKUP(A3041,'Output - State'!$B$2:$G$52,6,FALSE)</f>
        <v>0.49674781476396995</v>
      </c>
    </row>
    <row r="3042" spans="1:7" x14ac:dyDescent="0.25">
      <c r="A3042" s="88">
        <v>54</v>
      </c>
      <c r="B3042" s="88">
        <v>95</v>
      </c>
      <c r="C3042" s="97">
        <f>SUMIFS(Input!$C$115:$C$3257,Input!$A$115:$A$3257,"="&amp;'Output - County'!A3042,Input!$B$115:$B$3257,"="&amp;'Output - County'!B3042)*VLOOKUP(A3042,'Output - State'!$B$2:$G$52,2,FALSE)</f>
        <v>2.0910866105446337</v>
      </c>
      <c r="D3042" s="98">
        <f>SUMIFS(Input!$C$115:$C$3257,Input!$A$115:$A$3257,"="&amp;'Output - County'!A3042,Input!$B$115:$B$3257,"="&amp;'Output - County'!B3042)*VLOOKUP(A3042,'Output - State'!$B$2:$G$52,3,FALSE)</f>
        <v>0</v>
      </c>
      <c r="E3042" s="98">
        <f>SUMIFS(Input!$C$115:$C$3257,Input!$A$115:$A$3257,"="&amp;'Output - County'!A3042,Input!$B$115:$B$3257,"="&amp;'Output - County'!B3042)*VLOOKUP(A3042,'Output - State'!$B$2:$G$52,4,FALSE)</f>
        <v>6.5299723490954253E-2</v>
      </c>
      <c r="F3042" s="98">
        <f>SUMIFS(Input!$C$115:$C$3257,Input!$A$115:$A$3257,"="&amp;'Output - County'!A3042,Input!$B$115:$B$3257,"="&amp;'Output - County'!B3042)*VLOOKUP(A3042,'Output - State'!$B$2:$G$52,5,FALSE)</f>
        <v>3.0463897490466989</v>
      </c>
      <c r="G3042" s="99">
        <f>SUMIFS(Input!$D$115:$D$3257,Input!$A$115:$A$3257,"="&amp;'Output - County'!A3042,Input!$B$115:$B$3257,"="&amp;'Output - County'!B3042)*VLOOKUP(A3042,'Output - State'!$B$2:$G$52,6,FALSE)</f>
        <v>0.62558730562494191</v>
      </c>
    </row>
    <row r="3043" spans="1:7" x14ac:dyDescent="0.25">
      <c r="A3043" s="88">
        <v>54</v>
      </c>
      <c r="B3043" s="88">
        <v>97</v>
      </c>
      <c r="C3043" s="97">
        <f>SUMIFS(Input!$C$115:$C$3257,Input!$A$115:$A$3257,"="&amp;'Output - County'!A3043,Input!$B$115:$B$3257,"="&amp;'Output - County'!B3043)*VLOOKUP(A3043,'Output - State'!$B$2:$G$52,2,FALSE)</f>
        <v>6.2752535503189542</v>
      </c>
      <c r="D3043" s="98">
        <f>SUMIFS(Input!$C$115:$C$3257,Input!$A$115:$A$3257,"="&amp;'Output - County'!A3043,Input!$B$115:$B$3257,"="&amp;'Output - County'!B3043)*VLOOKUP(A3043,'Output - State'!$B$2:$G$52,3,FALSE)</f>
        <v>0</v>
      </c>
      <c r="E3043" s="98">
        <f>SUMIFS(Input!$C$115:$C$3257,Input!$A$115:$A$3257,"="&amp;'Output - County'!A3043,Input!$B$115:$B$3257,"="&amp;'Output - County'!B3043)*VLOOKUP(A3043,'Output - State'!$B$2:$G$52,4,FALSE)</f>
        <v>0.19596142962472965</v>
      </c>
      <c r="F3043" s="98">
        <f>SUMIFS(Input!$C$115:$C$3257,Input!$A$115:$A$3257,"="&amp;'Output - County'!A3043,Input!$B$115:$B$3257,"="&amp;'Output - County'!B3043)*VLOOKUP(A3043,'Output - State'!$B$2:$G$52,5,FALSE)</f>
        <v>9.1420737868822588</v>
      </c>
      <c r="G3043" s="99">
        <f>SUMIFS(Input!$D$115:$D$3257,Input!$A$115:$A$3257,"="&amp;'Output - County'!A3043,Input!$B$115:$B$3257,"="&amp;'Output - County'!B3043)*VLOOKUP(A3043,'Output - State'!$B$2:$G$52,6,FALSE)</f>
        <v>1.7464908761153988</v>
      </c>
    </row>
    <row r="3044" spans="1:7" x14ac:dyDescent="0.25">
      <c r="A3044" s="88">
        <v>54</v>
      </c>
      <c r="B3044" s="88">
        <v>99</v>
      </c>
      <c r="C3044" s="97">
        <f>SUMIFS(Input!$C$115:$C$3257,Input!$A$115:$A$3257,"="&amp;'Output - County'!A3044,Input!$B$115:$B$3257,"="&amp;'Output - County'!B3044)*VLOOKUP(A3044,'Output - State'!$B$2:$G$52,2,FALSE)</f>
        <v>11.610507048210831</v>
      </c>
      <c r="D3044" s="98">
        <f>SUMIFS(Input!$C$115:$C$3257,Input!$A$115:$A$3257,"="&amp;'Output - County'!A3044,Input!$B$115:$B$3257,"="&amp;'Output - County'!B3044)*VLOOKUP(A3044,'Output - State'!$B$2:$G$52,3,FALSE)</f>
        <v>0</v>
      </c>
      <c r="E3044" s="98">
        <f>SUMIFS(Input!$C$115:$C$3257,Input!$A$115:$A$3257,"="&amp;'Output - County'!A3044,Input!$B$115:$B$3257,"="&amp;'Output - County'!B3044)*VLOOKUP(A3044,'Output - State'!$B$2:$G$52,4,FALSE)</f>
        <v>0.36256886539982935</v>
      </c>
      <c r="F3044" s="98">
        <f>SUMIFS(Input!$C$115:$C$3257,Input!$A$115:$A$3257,"="&amp;'Output - County'!A3044,Input!$B$115:$B$3257,"="&amp;'Output - County'!B3044)*VLOOKUP(A3044,'Output - State'!$B$2:$G$52,5,FALSE)</f>
        <v>16.914712893547531</v>
      </c>
      <c r="G3044" s="99">
        <f>SUMIFS(Input!$D$115:$D$3257,Input!$A$115:$A$3257,"="&amp;'Output - County'!A3044,Input!$B$115:$B$3257,"="&amp;'Output - County'!B3044)*VLOOKUP(A3044,'Output - State'!$B$2:$G$52,6,FALSE)</f>
        <v>2.8630997969104897</v>
      </c>
    </row>
    <row r="3045" spans="1:7" x14ac:dyDescent="0.25">
      <c r="A3045" s="88">
        <v>54</v>
      </c>
      <c r="B3045" s="88">
        <v>101</v>
      </c>
      <c r="C3045" s="97">
        <f>SUMIFS(Input!$C$115:$C$3257,Input!$A$115:$A$3257,"="&amp;'Output - County'!A3045,Input!$B$115:$B$3257,"="&amp;'Output - County'!B3045)*VLOOKUP(A3045,'Output - State'!$B$2:$G$52,2,FALSE)</f>
        <v>1.5720373949214832</v>
      </c>
      <c r="D3045" s="98">
        <f>SUMIFS(Input!$C$115:$C$3257,Input!$A$115:$A$3257,"="&amp;'Output - County'!A3045,Input!$B$115:$B$3257,"="&amp;'Output - County'!B3045)*VLOOKUP(A3045,'Output - State'!$B$2:$G$52,3,FALSE)</f>
        <v>0</v>
      </c>
      <c r="E3045" s="98">
        <f>SUMIFS(Input!$C$115:$C$3257,Input!$A$115:$A$3257,"="&amp;'Output - County'!A3045,Input!$B$115:$B$3257,"="&amp;'Output - County'!B3045)*VLOOKUP(A3045,'Output - State'!$B$2:$G$52,4,FALSE)</f>
        <v>4.9091035583206322E-2</v>
      </c>
      <c r="F3045" s="98">
        <f>SUMIFS(Input!$C$115:$C$3257,Input!$A$115:$A$3257,"="&amp;'Output - County'!A3045,Input!$B$115:$B$3257,"="&amp;'Output - County'!B3045)*VLOOKUP(A3045,'Output - State'!$B$2:$G$52,5,FALSE)</f>
        <v>2.2902153267384535</v>
      </c>
      <c r="G3045" s="99">
        <f>SUMIFS(Input!$D$115:$D$3257,Input!$A$115:$A$3257,"="&amp;'Output - County'!A3045,Input!$B$115:$B$3257,"="&amp;'Output - County'!B3045)*VLOOKUP(A3045,'Output - State'!$B$2:$G$52,6,FALSE)</f>
        <v>0.59194588301124373</v>
      </c>
    </row>
    <row r="3046" spans="1:7" x14ac:dyDescent="0.25">
      <c r="A3046" s="88">
        <v>54</v>
      </c>
      <c r="B3046" s="88">
        <v>103</v>
      </c>
      <c r="C3046" s="97">
        <f>SUMIFS(Input!$C$115:$C$3257,Input!$A$115:$A$3257,"="&amp;'Output - County'!A3046,Input!$B$115:$B$3257,"="&amp;'Output - County'!B3046)*VLOOKUP(A3046,'Output - State'!$B$2:$G$52,2,FALSE)</f>
        <v>4.6618138320974518</v>
      </c>
      <c r="D3046" s="98">
        <f>SUMIFS(Input!$C$115:$C$3257,Input!$A$115:$A$3257,"="&amp;'Output - County'!A3046,Input!$B$115:$B$3257,"="&amp;'Output - County'!B3046)*VLOOKUP(A3046,'Output - State'!$B$2:$G$52,3,FALSE)</f>
        <v>0</v>
      </c>
      <c r="E3046" s="98">
        <f>SUMIFS(Input!$C$115:$C$3257,Input!$A$115:$A$3257,"="&amp;'Output - County'!A3046,Input!$B$115:$B$3257,"="&amp;'Output - County'!B3046)*VLOOKUP(A3046,'Output - State'!$B$2:$G$52,4,FALSE)</f>
        <v>0.14557749672692086</v>
      </c>
      <c r="F3046" s="98">
        <f>SUMIFS(Input!$C$115:$C$3257,Input!$A$115:$A$3257,"="&amp;'Output - County'!A3046,Input!$B$115:$B$3257,"="&amp;'Output - County'!B3046)*VLOOKUP(A3046,'Output - State'!$B$2:$G$52,5,FALSE)</f>
        <v>6.7915416790731991</v>
      </c>
      <c r="G3046" s="99">
        <f>SUMIFS(Input!$D$115:$D$3257,Input!$A$115:$A$3257,"="&amp;'Output - County'!A3046,Input!$B$115:$B$3257,"="&amp;'Output - County'!B3046)*VLOOKUP(A3046,'Output - State'!$B$2:$G$52,6,FALSE)</f>
        <v>1.0951356723182621</v>
      </c>
    </row>
    <row r="3047" spans="1:7" x14ac:dyDescent="0.25">
      <c r="A3047" s="88">
        <v>54</v>
      </c>
      <c r="B3047" s="88">
        <v>105</v>
      </c>
      <c r="C3047" s="97">
        <f>SUMIFS(Input!$C$115:$C$3257,Input!$A$115:$A$3257,"="&amp;'Output - County'!A3047,Input!$B$115:$B$3257,"="&amp;'Output - County'!B3047)*VLOOKUP(A3047,'Output - State'!$B$2:$G$52,2,FALSE)</f>
        <v>1.3645804502248062</v>
      </c>
      <c r="D3047" s="98">
        <f>SUMIFS(Input!$C$115:$C$3257,Input!$A$115:$A$3257,"="&amp;'Output - County'!A3047,Input!$B$115:$B$3257,"="&amp;'Output - County'!B3047)*VLOOKUP(A3047,'Output - State'!$B$2:$G$52,3,FALSE)</f>
        <v>0</v>
      </c>
      <c r="E3047" s="98">
        <f>SUMIFS(Input!$C$115:$C$3257,Input!$A$115:$A$3257,"="&amp;'Output - County'!A3047,Input!$B$115:$B$3257,"="&amp;'Output - County'!B3047)*VLOOKUP(A3047,'Output - State'!$B$2:$G$52,4,FALSE)</f>
        <v>4.2612642456561586E-2</v>
      </c>
      <c r="F3047" s="98">
        <f>SUMIFS(Input!$C$115:$C$3257,Input!$A$115:$A$3257,"="&amp;'Output - County'!A3047,Input!$B$115:$B$3257,"="&amp;'Output - County'!B3047)*VLOOKUP(A3047,'Output - State'!$B$2:$G$52,5,FALSE)</f>
        <v>1.987982647084932</v>
      </c>
      <c r="G3047" s="99">
        <f>SUMIFS(Input!$D$115:$D$3257,Input!$A$115:$A$3257,"="&amp;'Output - County'!A3047,Input!$B$115:$B$3257,"="&amp;'Output - County'!B3047)*VLOOKUP(A3047,'Output - State'!$B$2:$G$52,6,FALSE)</f>
        <v>0.41586524550124865</v>
      </c>
    </row>
    <row r="3048" spans="1:7" x14ac:dyDescent="0.25">
      <c r="A3048" s="88">
        <v>54</v>
      </c>
      <c r="B3048" s="88">
        <v>107</v>
      </c>
      <c r="C3048" s="97">
        <f>SUMIFS(Input!$C$115:$C$3257,Input!$A$115:$A$3257,"="&amp;'Output - County'!A3048,Input!$B$115:$B$3257,"="&amp;'Output - County'!B3048)*VLOOKUP(A3048,'Output - State'!$B$2:$G$52,2,FALSE)</f>
        <v>31.524529800558909</v>
      </c>
      <c r="D3048" s="98">
        <f>SUMIFS(Input!$C$115:$C$3257,Input!$A$115:$A$3257,"="&amp;'Output - County'!A3048,Input!$B$115:$B$3257,"="&amp;'Output - County'!B3048)*VLOOKUP(A3048,'Output - State'!$B$2:$G$52,3,FALSE)</f>
        <v>0</v>
      </c>
      <c r="E3048" s="98">
        <f>SUMIFS(Input!$C$115:$C$3257,Input!$A$115:$A$3257,"="&amp;'Output - County'!A3048,Input!$B$115:$B$3257,"="&amp;'Output - County'!B3048)*VLOOKUP(A3048,'Output - State'!$B$2:$G$52,4,FALSE)</f>
        <v>0.9844370236882185</v>
      </c>
      <c r="F3048" s="98">
        <f>SUMIFS(Input!$C$115:$C$3257,Input!$A$115:$A$3257,"="&amp;'Output - County'!A3048,Input!$B$115:$B$3257,"="&amp;'Output - County'!B3048)*VLOOKUP(A3048,'Output - State'!$B$2:$G$52,5,FALSE)</f>
        <v>45.926363807057612</v>
      </c>
      <c r="G3048" s="99">
        <f>SUMIFS(Input!$D$115:$D$3257,Input!$A$115:$A$3257,"="&amp;'Output - County'!A3048,Input!$B$115:$B$3257,"="&amp;'Output - County'!B3048)*VLOOKUP(A3048,'Output - State'!$B$2:$G$52,6,FALSE)</f>
        <v>6.0268250724965808</v>
      </c>
    </row>
    <row r="3049" spans="1:7" x14ac:dyDescent="0.25">
      <c r="A3049" s="88">
        <v>54</v>
      </c>
      <c r="B3049" s="88">
        <v>109</v>
      </c>
      <c r="C3049" s="97">
        <f>SUMIFS(Input!$C$115:$C$3257,Input!$A$115:$A$3257,"="&amp;'Output - County'!A3049,Input!$B$115:$B$3257,"="&amp;'Output - County'!B3049)*VLOOKUP(A3049,'Output - State'!$B$2:$G$52,2,FALSE)</f>
        <v>5.4212969135883258</v>
      </c>
      <c r="D3049" s="98">
        <f>SUMIFS(Input!$C$115:$C$3257,Input!$A$115:$A$3257,"="&amp;'Output - County'!A3049,Input!$B$115:$B$3257,"="&amp;'Output - County'!B3049)*VLOOKUP(A3049,'Output - State'!$B$2:$G$52,3,FALSE)</f>
        <v>0</v>
      </c>
      <c r="E3049" s="98">
        <f>SUMIFS(Input!$C$115:$C$3257,Input!$A$115:$A$3257,"="&amp;'Output - County'!A3049,Input!$B$115:$B$3257,"="&amp;'Output - County'!B3049)*VLOOKUP(A3049,'Output - State'!$B$2:$G$52,4,FALSE)</f>
        <v>0.16929436955625571</v>
      </c>
      <c r="F3049" s="98">
        <f>SUMIFS(Input!$C$115:$C$3257,Input!$A$115:$A$3257,"="&amp;'Output - County'!A3049,Input!$B$115:$B$3257,"="&amp;'Output - County'!B3049)*VLOOKUP(A3049,'Output - State'!$B$2:$G$52,5,FALSE)</f>
        <v>7.8979910544176217</v>
      </c>
      <c r="G3049" s="99">
        <f>SUMIFS(Input!$D$115:$D$3257,Input!$A$115:$A$3257,"="&amp;'Output - County'!A3049,Input!$B$115:$B$3257,"="&amp;'Output - County'!B3049)*VLOOKUP(A3049,'Output - State'!$B$2:$G$52,6,FALSE)</f>
        <v>1.4888118943934545</v>
      </c>
    </row>
    <row r="3050" spans="1:7" x14ac:dyDescent="0.25">
      <c r="A3050" s="88">
        <v>55</v>
      </c>
      <c r="B3050" s="88">
        <v>1</v>
      </c>
      <c r="C3050" s="97">
        <f>SUMIFS(Input!$C$115:$C$3257,Input!$A$115:$A$3257,"="&amp;'Output - County'!A3050,Input!$B$115:$B$3257,"="&amp;'Output - County'!B3050)*VLOOKUP(A3050,'Output - State'!$B$2:$G$52,2,FALSE)</f>
        <v>6.7610725984891662</v>
      </c>
      <c r="D3050" s="98">
        <f>SUMIFS(Input!$C$115:$C$3257,Input!$A$115:$A$3257,"="&amp;'Output - County'!A3050,Input!$B$115:$B$3257,"="&amp;'Output - County'!B3050)*VLOOKUP(A3050,'Output - State'!$B$2:$G$52,3,FALSE)</f>
        <v>1.0119128606102896</v>
      </c>
      <c r="E3050" s="98">
        <f>SUMIFS(Input!$C$115:$C$3257,Input!$A$115:$A$3257,"="&amp;'Output - County'!A3050,Input!$B$115:$B$3257,"="&amp;'Output - County'!B3050)*VLOOKUP(A3050,'Output - State'!$B$2:$G$52,4,FALSE)</f>
        <v>9.9479951561749207</v>
      </c>
      <c r="F3050" s="98">
        <f>SUMIFS(Input!$C$115:$C$3257,Input!$A$115:$A$3257,"="&amp;'Output - County'!A3050,Input!$B$115:$B$3257,"="&amp;'Output - County'!B3050)*VLOOKUP(A3050,'Output - State'!$B$2:$G$52,5,FALSE)</f>
        <v>26.447037666548081</v>
      </c>
      <c r="G3050" s="99">
        <f>SUMIFS(Input!$D$115:$D$3257,Input!$A$115:$A$3257,"="&amp;'Output - County'!A3050,Input!$B$115:$B$3257,"="&amp;'Output - County'!B3050)*VLOOKUP(A3050,'Output - State'!$B$2:$G$52,6,FALSE)</f>
        <v>3.5903868282423899</v>
      </c>
    </row>
    <row r="3051" spans="1:7" x14ac:dyDescent="0.25">
      <c r="A3051" s="88">
        <v>55</v>
      </c>
      <c r="B3051" s="88">
        <v>3</v>
      </c>
      <c r="C3051" s="97">
        <f>SUMIFS(Input!$C$115:$C$3257,Input!$A$115:$A$3257,"="&amp;'Output - County'!A3051,Input!$B$115:$B$3257,"="&amp;'Output - County'!B3051)*VLOOKUP(A3051,'Output - State'!$B$2:$G$52,2,FALSE)</f>
        <v>6.3238958177481459</v>
      </c>
      <c r="D3051" s="98">
        <f>SUMIFS(Input!$C$115:$C$3257,Input!$A$115:$A$3257,"="&amp;'Output - County'!A3051,Input!$B$115:$B$3257,"="&amp;'Output - County'!B3051)*VLOOKUP(A3051,'Output - State'!$B$2:$G$52,3,FALSE)</f>
        <v>0.94648170300211676</v>
      </c>
      <c r="E3051" s="98">
        <f>SUMIFS(Input!$C$115:$C$3257,Input!$A$115:$A$3257,"="&amp;'Output - County'!A3051,Input!$B$115:$B$3257,"="&amp;'Output - County'!B3051)*VLOOKUP(A3051,'Output - State'!$B$2:$G$52,4,FALSE)</f>
        <v>9.3047492164440477</v>
      </c>
      <c r="F3051" s="98">
        <f>SUMIFS(Input!$C$115:$C$3257,Input!$A$115:$A$3257,"="&amp;'Output - County'!A3051,Input!$B$115:$B$3257,"="&amp;'Output - County'!B3051)*VLOOKUP(A3051,'Output - State'!$B$2:$G$52,5,FALSE)</f>
        <v>24.73694941963565</v>
      </c>
      <c r="G3051" s="99">
        <f>SUMIFS(Input!$D$115:$D$3257,Input!$A$115:$A$3257,"="&amp;'Output - County'!A3051,Input!$B$115:$B$3257,"="&amp;'Output - County'!B3051)*VLOOKUP(A3051,'Output - State'!$B$2:$G$52,6,FALSE)</f>
        <v>2.7591150010138561</v>
      </c>
    </row>
    <row r="3052" spans="1:7" x14ac:dyDescent="0.25">
      <c r="A3052" s="88">
        <v>55</v>
      </c>
      <c r="B3052" s="88">
        <v>5</v>
      </c>
      <c r="C3052" s="97">
        <f>SUMIFS(Input!$C$115:$C$3257,Input!$A$115:$A$3257,"="&amp;'Output - County'!A3052,Input!$B$115:$B$3257,"="&amp;'Output - County'!B3052)*VLOOKUP(A3052,'Output - State'!$B$2:$G$52,2,FALSE)</f>
        <v>20.545601618149391</v>
      </c>
      <c r="D3052" s="98">
        <f>SUMIFS(Input!$C$115:$C$3257,Input!$A$115:$A$3257,"="&amp;'Output - County'!A3052,Input!$B$115:$B$3257,"="&amp;'Output - County'!B3052)*VLOOKUP(A3052,'Output - State'!$B$2:$G$52,3,FALSE)</f>
        <v>3.0750089136783965</v>
      </c>
      <c r="E3052" s="98">
        <f>SUMIFS(Input!$C$115:$C$3257,Input!$A$115:$A$3257,"="&amp;'Output - County'!A3052,Input!$B$115:$B$3257,"="&amp;'Output - County'!B3052)*VLOOKUP(A3052,'Output - State'!$B$2:$G$52,4,FALSE)</f>
        <v>30.230047437106698</v>
      </c>
      <c r="F3052" s="98">
        <f>SUMIFS(Input!$C$115:$C$3257,Input!$A$115:$A$3257,"="&amp;'Output - County'!A3052,Input!$B$115:$B$3257,"="&amp;'Output - County'!B3052)*VLOOKUP(A3052,'Output - State'!$B$2:$G$52,5,FALSE)</f>
        <v>80.367470096166386</v>
      </c>
      <c r="G3052" s="99">
        <f>SUMIFS(Input!$D$115:$D$3257,Input!$A$115:$A$3257,"="&amp;'Output - County'!A3052,Input!$B$115:$B$3257,"="&amp;'Output - County'!B3052)*VLOOKUP(A3052,'Output - State'!$B$2:$G$52,6,FALSE)</f>
        <v>7.9943588490914301</v>
      </c>
    </row>
    <row r="3053" spans="1:7" x14ac:dyDescent="0.25">
      <c r="A3053" s="88">
        <v>55</v>
      </c>
      <c r="B3053" s="88">
        <v>7</v>
      </c>
      <c r="C3053" s="97">
        <f>SUMIFS(Input!$C$115:$C$3257,Input!$A$115:$A$3257,"="&amp;'Output - County'!A3053,Input!$B$115:$B$3257,"="&amp;'Output - County'!B3053)*VLOOKUP(A3053,'Output - State'!$B$2:$G$52,2,FALSE)</f>
        <v>7.8384540164492016</v>
      </c>
      <c r="D3053" s="98">
        <f>SUMIFS(Input!$C$115:$C$3257,Input!$A$115:$A$3257,"="&amp;'Output - County'!A3053,Input!$B$115:$B$3257,"="&amp;'Output - County'!B3053)*VLOOKUP(A3053,'Output - State'!$B$2:$G$52,3,FALSE)</f>
        <v>1.1731618483611281</v>
      </c>
      <c r="E3053" s="98">
        <f>SUMIFS(Input!$C$115:$C$3257,Input!$A$115:$A$3257,"="&amp;'Output - County'!A3053,Input!$B$115:$B$3257,"="&amp;'Output - County'!B3053)*VLOOKUP(A3053,'Output - State'!$B$2:$G$52,4,FALSE)</f>
        <v>11.53321480455058</v>
      </c>
      <c r="F3053" s="98">
        <f>SUMIFS(Input!$C$115:$C$3257,Input!$A$115:$A$3257,"="&amp;'Output - County'!A3053,Input!$B$115:$B$3257,"="&amp;'Output - County'!B3053)*VLOOKUP(A3053,'Output - State'!$B$2:$G$52,5,FALSE)</f>
        <v>30.66139071881307</v>
      </c>
      <c r="G3053" s="99">
        <f>SUMIFS(Input!$D$115:$D$3257,Input!$A$115:$A$3257,"="&amp;'Output - County'!A3053,Input!$B$115:$B$3257,"="&amp;'Output - County'!B3053)*VLOOKUP(A3053,'Output - State'!$B$2:$G$52,6,FALSE)</f>
        <v>2.6529951932825542</v>
      </c>
    </row>
    <row r="3054" spans="1:7" x14ac:dyDescent="0.25">
      <c r="A3054" s="88">
        <v>55</v>
      </c>
      <c r="B3054" s="88">
        <v>9</v>
      </c>
      <c r="C3054" s="97">
        <f>SUMIFS(Input!$C$115:$C$3257,Input!$A$115:$A$3257,"="&amp;'Output - County'!A3054,Input!$B$115:$B$3257,"="&amp;'Output - County'!B3054)*VLOOKUP(A3054,'Output - State'!$B$2:$G$52,2,FALSE)</f>
        <v>105.98896371302627</v>
      </c>
      <c r="D3054" s="98">
        <f>SUMIFS(Input!$C$115:$C$3257,Input!$A$115:$A$3257,"="&amp;'Output - County'!A3054,Input!$B$115:$B$3257,"="&amp;'Output - County'!B3054)*VLOOKUP(A3054,'Output - State'!$B$2:$G$52,3,FALSE)</f>
        <v>15.863103657241471</v>
      </c>
      <c r="E3054" s="98">
        <f>SUMIFS(Input!$C$115:$C$3257,Input!$A$115:$A$3257,"="&amp;'Output - County'!A3054,Input!$B$115:$B$3257,"="&amp;'Output - County'!B3054)*VLOOKUP(A3054,'Output - State'!$B$2:$G$52,4,FALSE)</f>
        <v>155.94828812528897</v>
      </c>
      <c r="F3054" s="98">
        <f>SUMIFS(Input!$C$115:$C$3257,Input!$A$115:$A$3257,"="&amp;'Output - County'!A3054,Input!$B$115:$B$3257,"="&amp;'Output - County'!B3054)*VLOOKUP(A3054,'Output - State'!$B$2:$G$52,5,FALSE)</f>
        <v>414.5931100019817</v>
      </c>
      <c r="G3054" s="99">
        <f>SUMIFS(Input!$D$115:$D$3257,Input!$A$115:$A$3257,"="&amp;'Output - County'!A3054,Input!$B$115:$B$3257,"="&amp;'Output - County'!B3054)*VLOOKUP(A3054,'Output - State'!$B$2:$G$52,6,FALSE)</f>
        <v>46.515849055554121</v>
      </c>
    </row>
    <row r="3055" spans="1:7" x14ac:dyDescent="0.25">
      <c r="A3055" s="88">
        <v>55</v>
      </c>
      <c r="B3055" s="88">
        <v>11</v>
      </c>
      <c r="C3055" s="97">
        <f>SUMIFS(Input!$C$115:$C$3257,Input!$A$115:$A$3257,"="&amp;'Output - County'!A3055,Input!$B$115:$B$3257,"="&amp;'Output - County'!B3055)*VLOOKUP(A3055,'Output - State'!$B$2:$G$52,2,FALSE)</f>
        <v>6.692509824084123</v>
      </c>
      <c r="D3055" s="98">
        <f>SUMIFS(Input!$C$115:$C$3257,Input!$A$115:$A$3257,"="&amp;'Output - County'!A3055,Input!$B$115:$B$3257,"="&amp;'Output - County'!B3055)*VLOOKUP(A3055,'Output - State'!$B$2:$G$52,3,FALSE)</f>
        <v>1.0016512412933947</v>
      </c>
      <c r="E3055" s="98">
        <f>SUMIFS(Input!$C$115:$C$3257,Input!$A$115:$A$3257,"="&amp;'Output - County'!A3055,Input!$B$115:$B$3257,"="&amp;'Output - County'!B3055)*VLOOKUP(A3055,'Output - State'!$B$2:$G$52,4,FALSE)</f>
        <v>9.8471143953578135</v>
      </c>
      <c r="F3055" s="98">
        <f>SUMIFS(Input!$C$115:$C$3257,Input!$A$115:$A$3257,"="&amp;'Output - County'!A3055,Input!$B$115:$B$3257,"="&amp;'Output - County'!B3055)*VLOOKUP(A3055,'Output - State'!$B$2:$G$52,5,FALSE)</f>
        <v>26.178843197283186</v>
      </c>
      <c r="G3055" s="99">
        <f>SUMIFS(Input!$D$115:$D$3257,Input!$A$115:$A$3257,"="&amp;'Output - County'!A3055,Input!$B$115:$B$3257,"="&amp;'Output - County'!B3055)*VLOOKUP(A3055,'Output - State'!$B$2:$G$52,6,FALSE)</f>
        <v>2.3169491354667637</v>
      </c>
    </row>
    <row r="3056" spans="1:7" x14ac:dyDescent="0.25">
      <c r="A3056" s="88">
        <v>55</v>
      </c>
      <c r="B3056" s="88">
        <v>13</v>
      </c>
      <c r="C3056" s="97">
        <f>SUMIFS(Input!$C$115:$C$3257,Input!$A$115:$A$3257,"="&amp;'Output - County'!A3056,Input!$B$115:$B$3257,"="&amp;'Output - County'!B3056)*VLOOKUP(A3056,'Output - State'!$B$2:$G$52,2,FALSE)</f>
        <v>5.2377241062780726</v>
      </c>
      <c r="D3056" s="98">
        <f>SUMIFS(Input!$C$115:$C$3257,Input!$A$115:$A$3257,"="&amp;'Output - County'!A3056,Input!$B$115:$B$3257,"="&amp;'Output - County'!B3056)*VLOOKUP(A3056,'Output - State'!$B$2:$G$52,3,FALSE)</f>
        <v>0.78391709396164233</v>
      </c>
      <c r="E3056" s="98">
        <f>SUMIFS(Input!$C$115:$C$3257,Input!$A$115:$A$3257,"="&amp;'Output - County'!A3056,Input!$B$115:$B$3257,"="&amp;'Output - County'!B3056)*VLOOKUP(A3056,'Output - State'!$B$2:$G$52,4,FALSE)</f>
        <v>7.7065958514153907</v>
      </c>
      <c r="F3056" s="98">
        <f>SUMIFS(Input!$C$115:$C$3257,Input!$A$115:$A$3257,"="&amp;'Output - County'!A3056,Input!$B$115:$B$3257,"="&amp;'Output - County'!B3056)*VLOOKUP(A3056,'Output - State'!$B$2:$G$52,5,FALSE)</f>
        <v>20.488211701302738</v>
      </c>
      <c r="G3056" s="99">
        <f>SUMIFS(Input!$D$115:$D$3257,Input!$A$115:$A$3257,"="&amp;'Output - County'!A3056,Input!$B$115:$B$3257,"="&amp;'Output - County'!B3056)*VLOOKUP(A3056,'Output - State'!$B$2:$G$52,6,FALSE)</f>
        <v>2.7237417317700894</v>
      </c>
    </row>
    <row r="3057" spans="1:7" x14ac:dyDescent="0.25">
      <c r="A3057" s="88">
        <v>55</v>
      </c>
      <c r="B3057" s="88">
        <v>15</v>
      </c>
      <c r="C3057" s="97">
        <f>SUMIFS(Input!$C$115:$C$3257,Input!$A$115:$A$3257,"="&amp;'Output - County'!A3057,Input!$B$115:$B$3257,"="&amp;'Output - County'!B3057)*VLOOKUP(A3057,'Output - State'!$B$2:$G$52,2,FALSE)</f>
        <v>16.412538736786136</v>
      </c>
      <c r="D3057" s="98">
        <f>SUMIFS(Input!$C$115:$C$3257,Input!$A$115:$A$3257,"="&amp;'Output - County'!A3057,Input!$B$115:$B$3257,"="&amp;'Output - County'!B3057)*VLOOKUP(A3057,'Output - State'!$B$2:$G$52,3,FALSE)</f>
        <v>2.4564237080858584</v>
      </c>
      <c r="E3057" s="98">
        <f>SUMIFS(Input!$C$115:$C$3257,Input!$A$115:$A$3257,"="&amp;'Output - County'!A3057,Input!$B$115:$B$3257,"="&amp;'Output - County'!B3057)*VLOOKUP(A3057,'Output - State'!$B$2:$G$52,4,FALSE)</f>
        <v>24.148809745152946</v>
      </c>
      <c r="F3057" s="98">
        <f>SUMIFS(Input!$C$115:$C$3257,Input!$A$115:$A$3257,"="&amp;'Output - County'!A3057,Input!$B$115:$B$3257,"="&amp;'Output - County'!B3057)*VLOOKUP(A3057,'Output - State'!$B$2:$G$52,5,FALSE)</f>
        <v>64.200320859216674</v>
      </c>
      <c r="G3057" s="99">
        <f>SUMIFS(Input!$D$115:$D$3257,Input!$A$115:$A$3257,"="&amp;'Output - County'!A3057,Input!$B$115:$B$3257,"="&amp;'Output - County'!B3057)*VLOOKUP(A3057,'Output - State'!$B$2:$G$52,6,FALSE)</f>
        <v>8.8610039455637324</v>
      </c>
    </row>
    <row r="3058" spans="1:7" x14ac:dyDescent="0.25">
      <c r="A3058" s="88">
        <v>55</v>
      </c>
      <c r="B3058" s="88">
        <v>17</v>
      </c>
      <c r="C3058" s="97">
        <f>SUMIFS(Input!$C$115:$C$3257,Input!$A$115:$A$3257,"="&amp;'Output - County'!A3058,Input!$B$115:$B$3257,"="&amp;'Output - County'!B3058)*VLOOKUP(A3058,'Output - State'!$B$2:$G$52,2,FALSE)</f>
        <v>33.591418518324865</v>
      </c>
      <c r="D3058" s="98">
        <f>SUMIFS(Input!$C$115:$C$3257,Input!$A$115:$A$3257,"="&amp;'Output - County'!A3058,Input!$B$115:$B$3257,"="&amp;'Output - County'!B3058)*VLOOKUP(A3058,'Output - State'!$B$2:$G$52,3,FALSE)</f>
        <v>5.0275437676015118</v>
      </c>
      <c r="E3058" s="98">
        <f>SUMIFS(Input!$C$115:$C$3257,Input!$A$115:$A$3257,"="&amp;'Output - County'!A3058,Input!$B$115:$B$3257,"="&amp;'Output - County'!B3058)*VLOOKUP(A3058,'Output - State'!$B$2:$G$52,4,FALSE)</f>
        <v>49.425185699679297</v>
      </c>
      <c r="F3058" s="98">
        <f>SUMIFS(Input!$C$115:$C$3257,Input!$A$115:$A$3257,"="&amp;'Output - County'!A3058,Input!$B$115:$B$3257,"="&amp;'Output - County'!B3058)*VLOOKUP(A3058,'Output - State'!$B$2:$G$52,5,FALSE)</f>
        <v>131.39830964475064</v>
      </c>
      <c r="G3058" s="99">
        <f>SUMIFS(Input!$D$115:$D$3257,Input!$A$115:$A$3257,"="&amp;'Output - County'!A3058,Input!$B$115:$B$3257,"="&amp;'Output - County'!B3058)*VLOOKUP(A3058,'Output - State'!$B$2:$G$52,6,FALSE)</f>
        <v>11.337132792627449</v>
      </c>
    </row>
    <row r="3059" spans="1:7" x14ac:dyDescent="0.25">
      <c r="A3059" s="88">
        <v>55</v>
      </c>
      <c r="B3059" s="88">
        <v>19</v>
      </c>
      <c r="C3059" s="97">
        <f>SUMIFS(Input!$C$115:$C$3257,Input!$A$115:$A$3257,"="&amp;'Output - County'!A3059,Input!$B$115:$B$3257,"="&amp;'Output - County'!B3059)*VLOOKUP(A3059,'Output - State'!$B$2:$G$52,2,FALSE)</f>
        <v>13.007785031027799</v>
      </c>
      <c r="D3059" s="98">
        <f>SUMIFS(Input!$C$115:$C$3257,Input!$A$115:$A$3257,"="&amp;'Output - County'!A3059,Input!$B$115:$B$3257,"="&amp;'Output - County'!B3059)*VLOOKUP(A3059,'Output - State'!$B$2:$G$52,3,FALSE)</f>
        <v>1.9468427189929007</v>
      </c>
      <c r="E3059" s="98">
        <f>SUMIFS(Input!$C$115:$C$3257,Input!$A$115:$A$3257,"="&amp;'Output - County'!A3059,Input!$B$115:$B$3257,"="&amp;'Output - County'!B3059)*VLOOKUP(A3059,'Output - State'!$B$2:$G$52,4,FALSE)</f>
        <v>19.139179560081239</v>
      </c>
      <c r="F3059" s="98">
        <f>SUMIFS(Input!$C$115:$C$3257,Input!$A$115:$A$3257,"="&amp;'Output - County'!A3059,Input!$B$115:$B$3257,"="&amp;'Output - County'!B3059)*VLOOKUP(A3059,'Output - State'!$B$2:$G$52,5,FALSE)</f>
        <v>50.882071692415614</v>
      </c>
      <c r="G3059" s="99">
        <f>SUMIFS(Input!$D$115:$D$3257,Input!$A$115:$A$3257,"="&amp;'Output - County'!A3059,Input!$B$115:$B$3257,"="&amp;'Output - County'!B3059)*VLOOKUP(A3059,'Output - State'!$B$2:$G$52,6,FALSE)</f>
        <v>6.1372622137936421</v>
      </c>
    </row>
    <row r="3060" spans="1:7" x14ac:dyDescent="0.25">
      <c r="A3060" s="88">
        <v>55</v>
      </c>
      <c r="B3060" s="88">
        <v>21</v>
      </c>
      <c r="C3060" s="97">
        <f>SUMIFS(Input!$C$115:$C$3257,Input!$A$115:$A$3257,"="&amp;'Output - County'!A3060,Input!$B$115:$B$3257,"="&amp;'Output - County'!B3060)*VLOOKUP(A3060,'Output - State'!$B$2:$G$52,2,FALSE)</f>
        <v>37.663926320658781</v>
      </c>
      <c r="D3060" s="98">
        <f>SUMIFS(Input!$C$115:$C$3257,Input!$A$115:$A$3257,"="&amp;'Output - County'!A3060,Input!$B$115:$B$3257,"="&amp;'Output - County'!B3060)*VLOOKUP(A3060,'Output - State'!$B$2:$G$52,3,FALSE)</f>
        <v>5.6370658456573404</v>
      </c>
      <c r="E3060" s="98">
        <f>SUMIFS(Input!$C$115:$C$3257,Input!$A$115:$A$3257,"="&amp;'Output - County'!A3060,Input!$B$115:$B$3257,"="&amp;'Output - County'!B3060)*VLOOKUP(A3060,'Output - State'!$B$2:$G$52,4,FALSE)</f>
        <v>55.417324861172034</v>
      </c>
      <c r="F3060" s="98">
        <f>SUMIFS(Input!$C$115:$C$3257,Input!$A$115:$A$3257,"="&amp;'Output - County'!A3060,Input!$B$115:$B$3257,"="&amp;'Output - County'!B3060)*VLOOKUP(A3060,'Output - State'!$B$2:$G$52,5,FALSE)</f>
        <v>147.32858781832093</v>
      </c>
      <c r="G3060" s="99">
        <f>SUMIFS(Input!$D$115:$D$3257,Input!$A$115:$A$3257,"="&amp;'Output - County'!A3060,Input!$B$115:$B$3257,"="&amp;'Output - County'!B3060)*VLOOKUP(A3060,'Output - State'!$B$2:$G$52,6,FALSE)</f>
        <v>10.134441638339357</v>
      </c>
    </row>
    <row r="3061" spans="1:7" x14ac:dyDescent="0.25">
      <c r="A3061" s="88">
        <v>55</v>
      </c>
      <c r="B3061" s="88">
        <v>23</v>
      </c>
      <c r="C3061" s="97">
        <f>SUMIFS(Input!$C$115:$C$3257,Input!$A$115:$A$3257,"="&amp;'Output - County'!A3061,Input!$B$115:$B$3257,"="&amp;'Output - County'!B3061)*VLOOKUP(A3061,'Output - State'!$B$2:$G$52,2,FALSE)</f>
        <v>7.3225449251700452</v>
      </c>
      <c r="D3061" s="98">
        <f>SUMIFS(Input!$C$115:$C$3257,Input!$A$115:$A$3257,"="&amp;'Output - County'!A3061,Input!$B$115:$B$3257,"="&amp;'Output - County'!B3061)*VLOOKUP(A3061,'Output - State'!$B$2:$G$52,3,FALSE)</f>
        <v>1.0959470223455332</v>
      </c>
      <c r="E3061" s="98">
        <f>SUMIFS(Input!$C$115:$C$3257,Input!$A$115:$A$3257,"="&amp;'Output - County'!A3061,Input!$B$115:$B$3257,"="&amp;'Output - County'!B3061)*VLOOKUP(A3061,'Output - State'!$B$2:$G$52,4,FALSE)</f>
        <v>10.774125020154756</v>
      </c>
      <c r="F3061" s="98">
        <f>SUMIFS(Input!$C$115:$C$3257,Input!$A$115:$A$3257,"="&amp;'Output - County'!A3061,Input!$B$115:$B$3257,"="&amp;'Output - County'!B3061)*VLOOKUP(A3061,'Output - State'!$B$2:$G$52,5,FALSE)</f>
        <v>28.643328204202092</v>
      </c>
      <c r="G3061" s="99">
        <f>SUMIFS(Input!$D$115:$D$3257,Input!$A$115:$A$3257,"="&amp;'Output - County'!A3061,Input!$B$115:$B$3257,"="&amp;'Output - County'!B3061)*VLOOKUP(A3061,'Output - State'!$B$2:$G$52,6,FALSE)</f>
        <v>2.8829214433670423</v>
      </c>
    </row>
    <row r="3062" spans="1:7" x14ac:dyDescent="0.25">
      <c r="A3062" s="88">
        <v>55</v>
      </c>
      <c r="B3062" s="88">
        <v>25</v>
      </c>
      <c r="C3062" s="97">
        <f>SUMIFS(Input!$C$115:$C$3257,Input!$A$115:$A$3257,"="&amp;'Output - County'!A3062,Input!$B$115:$B$3257,"="&amp;'Output - County'!B3062)*VLOOKUP(A3062,'Output - State'!$B$2:$G$52,2,FALSE)</f>
        <v>218.33491532402297</v>
      </c>
      <c r="D3062" s="98">
        <f>SUMIFS(Input!$C$115:$C$3257,Input!$A$115:$A$3257,"="&amp;'Output - County'!A3062,Input!$B$115:$B$3257,"="&amp;'Output - County'!B3062)*VLOOKUP(A3062,'Output - State'!$B$2:$G$52,3,FALSE)</f>
        <v>32.67764182653621</v>
      </c>
      <c r="E3062" s="98">
        <f>SUMIFS(Input!$C$115:$C$3257,Input!$A$115:$A$3257,"="&amp;'Output - County'!A3062,Input!$B$115:$B$3257,"="&amp;'Output - County'!B3062)*VLOOKUP(A3062,'Output - State'!$B$2:$G$52,4,FALSE)</f>
        <v>321.25001594459991</v>
      </c>
      <c r="F3062" s="98">
        <f>SUMIFS(Input!$C$115:$C$3257,Input!$A$115:$A$3257,"="&amp;'Output - County'!A3062,Input!$B$115:$B$3257,"="&amp;'Output - County'!B3062)*VLOOKUP(A3062,'Output - State'!$B$2:$G$52,5,FALSE)</f>
        <v>854.05261449009618</v>
      </c>
      <c r="G3062" s="99">
        <f>SUMIFS(Input!$D$115:$D$3257,Input!$A$115:$A$3257,"="&amp;'Output - County'!A3062,Input!$B$115:$B$3257,"="&amp;'Output - County'!B3062)*VLOOKUP(A3062,'Output - State'!$B$2:$G$52,6,FALSE)</f>
        <v>95.861559650609635</v>
      </c>
    </row>
    <row r="3063" spans="1:7" x14ac:dyDescent="0.25">
      <c r="A3063" s="88">
        <v>55</v>
      </c>
      <c r="B3063" s="88">
        <v>27</v>
      </c>
      <c r="C3063" s="97">
        <f>SUMIFS(Input!$C$115:$C$3257,Input!$A$115:$A$3257,"="&amp;'Output - County'!A3063,Input!$B$115:$B$3257,"="&amp;'Output - County'!B3063)*VLOOKUP(A3063,'Output - State'!$B$2:$G$52,2,FALSE)</f>
        <v>35.290688746903285</v>
      </c>
      <c r="D3063" s="98">
        <f>SUMIFS(Input!$C$115:$C$3257,Input!$A$115:$A$3257,"="&amp;'Output - County'!A3063,Input!$B$115:$B$3257,"="&amp;'Output - County'!B3063)*VLOOKUP(A3063,'Output - State'!$B$2:$G$52,3,FALSE)</f>
        <v>5.2818693014428337</v>
      </c>
      <c r="E3063" s="98">
        <f>SUMIFS(Input!$C$115:$C$3257,Input!$A$115:$A$3257,"="&amp;'Output - County'!A3063,Input!$B$115:$B$3257,"="&amp;'Output - County'!B3063)*VLOOKUP(A3063,'Output - State'!$B$2:$G$52,4,FALSE)</f>
        <v>51.925429818742273</v>
      </c>
      <c r="F3063" s="98">
        <f>SUMIFS(Input!$C$115:$C$3257,Input!$A$115:$A$3257,"="&amp;'Output - County'!A3063,Input!$B$115:$B$3257,"="&amp;'Output - County'!B3063)*VLOOKUP(A3063,'Output - State'!$B$2:$G$52,5,FALSE)</f>
        <v>138.04528216075346</v>
      </c>
      <c r="G3063" s="99">
        <f>SUMIFS(Input!$D$115:$D$3257,Input!$A$115:$A$3257,"="&amp;'Output - County'!A3063,Input!$B$115:$B$3257,"="&amp;'Output - County'!B3063)*VLOOKUP(A3063,'Output - State'!$B$2:$G$52,6,FALSE)</f>
        <v>15.528865198013884</v>
      </c>
    </row>
    <row r="3064" spans="1:7" x14ac:dyDescent="0.25">
      <c r="A3064" s="88">
        <v>55</v>
      </c>
      <c r="B3064" s="88">
        <v>29</v>
      </c>
      <c r="C3064" s="97">
        <f>SUMIFS(Input!$C$115:$C$3257,Input!$A$115:$A$3257,"="&amp;'Output - County'!A3064,Input!$B$115:$B$3257,"="&amp;'Output - County'!B3064)*VLOOKUP(A3064,'Output - State'!$B$2:$G$52,2,FALSE)</f>
        <v>14.751181531214563</v>
      </c>
      <c r="D3064" s="98">
        <f>SUMIFS(Input!$C$115:$C$3257,Input!$A$115:$A$3257,"="&amp;'Output - County'!A3064,Input!$B$115:$B$3257,"="&amp;'Output - County'!B3064)*VLOOKUP(A3064,'Output - State'!$B$2:$G$52,3,FALSE)</f>
        <v>2.2077725217694866</v>
      </c>
      <c r="E3064" s="98">
        <f>SUMIFS(Input!$C$115:$C$3257,Input!$A$115:$A$3257,"="&amp;'Output - County'!A3064,Input!$B$115:$B$3257,"="&amp;'Output - County'!B3064)*VLOOKUP(A3064,'Output - State'!$B$2:$G$52,4,FALSE)</f>
        <v>21.704349462712631</v>
      </c>
      <c r="F3064" s="98">
        <f>SUMIFS(Input!$C$115:$C$3257,Input!$A$115:$A$3257,"="&amp;'Output - County'!A3064,Input!$B$115:$B$3257,"="&amp;'Output - County'!B3064)*VLOOKUP(A3064,'Output - State'!$B$2:$G$52,5,FALSE)</f>
        <v>57.701651313328234</v>
      </c>
      <c r="G3064" s="99">
        <f>SUMIFS(Input!$D$115:$D$3257,Input!$A$115:$A$3257,"="&amp;'Output - County'!A3064,Input!$B$115:$B$3257,"="&amp;'Output - County'!B3064)*VLOOKUP(A3064,'Output - State'!$B$2:$G$52,6,FALSE)</f>
        <v>4.8815111556399007</v>
      </c>
    </row>
    <row r="3065" spans="1:7" x14ac:dyDescent="0.25">
      <c r="A3065" s="88">
        <v>55</v>
      </c>
      <c r="B3065" s="88">
        <v>31</v>
      </c>
      <c r="C3065" s="97">
        <f>SUMIFS(Input!$C$115:$C$3257,Input!$A$115:$A$3257,"="&amp;'Output - County'!A3065,Input!$B$115:$B$3257,"="&amp;'Output - County'!B3065)*VLOOKUP(A3065,'Output - State'!$B$2:$G$52,2,FALSE)</f>
        <v>18.299938503302354</v>
      </c>
      <c r="D3065" s="98">
        <f>SUMIFS(Input!$C$115:$C$3257,Input!$A$115:$A$3257,"="&amp;'Output - County'!A3065,Input!$B$115:$B$3257,"="&amp;'Output - County'!B3065)*VLOOKUP(A3065,'Output - State'!$B$2:$G$52,3,FALSE)</f>
        <v>2.7389061203110137</v>
      </c>
      <c r="E3065" s="98">
        <f>SUMIFS(Input!$C$115:$C$3257,Input!$A$115:$A$3257,"="&amp;'Output - County'!A3065,Input!$B$115:$B$3257,"="&amp;'Output - County'!B3065)*VLOOKUP(A3065,'Output - State'!$B$2:$G$52,4,FALSE)</f>
        <v>26.925860791648834</v>
      </c>
      <c r="F3065" s="98">
        <f>SUMIFS(Input!$C$115:$C$3257,Input!$A$115:$A$3257,"="&amp;'Output - County'!A3065,Input!$B$115:$B$3257,"="&amp;'Output - County'!B3065)*VLOOKUP(A3065,'Output - State'!$B$2:$G$52,5,FALSE)</f>
        <v>71.583192731949225</v>
      </c>
      <c r="G3065" s="99">
        <f>SUMIFS(Input!$D$115:$D$3257,Input!$A$115:$A$3257,"="&amp;'Output - County'!A3065,Input!$B$115:$B$3257,"="&amp;'Output - County'!B3065)*VLOOKUP(A3065,'Output - State'!$B$2:$G$52,6,FALSE)</f>
        <v>7.6229395220318725</v>
      </c>
    </row>
    <row r="3066" spans="1:7" x14ac:dyDescent="0.25">
      <c r="A3066" s="88">
        <v>55</v>
      </c>
      <c r="B3066" s="88">
        <v>33</v>
      </c>
      <c r="C3066" s="97">
        <f>SUMIFS(Input!$C$115:$C$3257,Input!$A$115:$A$3257,"="&amp;'Output - County'!A3066,Input!$B$115:$B$3257,"="&amp;'Output - County'!B3066)*VLOOKUP(A3066,'Output - State'!$B$2:$G$52,2,FALSE)</f>
        <v>24.658493585491616</v>
      </c>
      <c r="D3066" s="98">
        <f>SUMIFS(Input!$C$115:$C$3257,Input!$A$115:$A$3257,"="&amp;'Output - County'!A3066,Input!$B$115:$B$3257,"="&amp;'Output - County'!B3066)*VLOOKUP(A3066,'Output - State'!$B$2:$G$52,3,FALSE)</f>
        <v>3.6905751889147211</v>
      </c>
      <c r="E3066" s="98">
        <f>SUMIFS(Input!$C$115:$C$3257,Input!$A$115:$A$3257,"="&amp;'Output - County'!A3066,Input!$B$115:$B$3257,"="&amp;'Output - County'!B3066)*VLOOKUP(A3066,'Output - State'!$B$2:$G$52,4,FALSE)</f>
        <v>36.281606383261796</v>
      </c>
      <c r="F3066" s="98">
        <f>SUMIFS(Input!$C$115:$C$3257,Input!$A$115:$A$3257,"="&amp;'Output - County'!A3066,Input!$B$115:$B$3257,"="&amp;'Output - County'!B3066)*VLOOKUP(A3066,'Output - State'!$B$2:$G$52,5,FALSE)</f>
        <v>96.455717514638067</v>
      </c>
      <c r="G3066" s="99">
        <f>SUMIFS(Input!$D$115:$D$3257,Input!$A$115:$A$3257,"="&amp;'Output - County'!A3066,Input!$B$115:$B$3257,"="&amp;'Output - County'!B3066)*VLOOKUP(A3066,'Output - State'!$B$2:$G$52,6,FALSE)</f>
        <v>7.9766722144695468</v>
      </c>
    </row>
    <row r="3067" spans="1:7" x14ac:dyDescent="0.25">
      <c r="A3067" s="88">
        <v>55</v>
      </c>
      <c r="B3067" s="88">
        <v>35</v>
      </c>
      <c r="C3067" s="97">
        <f>SUMIFS(Input!$C$115:$C$3257,Input!$A$115:$A$3257,"="&amp;'Output - County'!A3067,Input!$B$115:$B$3257,"="&amp;'Output - County'!B3067)*VLOOKUP(A3067,'Output - State'!$B$2:$G$52,2,FALSE)</f>
        <v>43.398759684017051</v>
      </c>
      <c r="D3067" s="98">
        <f>SUMIFS(Input!$C$115:$C$3257,Input!$A$115:$A$3257,"="&amp;'Output - County'!A3067,Input!$B$115:$B$3257,"="&amp;'Output - County'!B3067)*VLOOKUP(A3067,'Output - State'!$B$2:$G$52,3,FALSE)</f>
        <v>6.4953840413732058</v>
      </c>
      <c r="E3067" s="98">
        <f>SUMIFS(Input!$C$115:$C$3257,Input!$A$115:$A$3257,"="&amp;'Output - County'!A3067,Input!$B$115:$B$3257,"="&amp;'Output - County'!B3067)*VLOOKUP(A3067,'Output - State'!$B$2:$G$52,4,FALSE)</f>
        <v>63.855349107932355</v>
      </c>
      <c r="F3067" s="98">
        <f>SUMIFS(Input!$C$115:$C$3257,Input!$A$115:$A$3257,"="&amp;'Output - County'!A3067,Input!$B$115:$B$3257,"="&amp;'Output - County'!B3067)*VLOOKUP(A3067,'Output - State'!$B$2:$G$52,5,FALSE)</f>
        <v>169.76132341799558</v>
      </c>
      <c r="G3067" s="99">
        <f>SUMIFS(Input!$D$115:$D$3257,Input!$A$115:$A$3257,"="&amp;'Output - County'!A3067,Input!$B$115:$B$3257,"="&amp;'Output - County'!B3067)*VLOOKUP(A3067,'Output - State'!$B$2:$G$52,6,FALSE)</f>
        <v>18.394100006759043</v>
      </c>
    </row>
    <row r="3068" spans="1:7" x14ac:dyDescent="0.25">
      <c r="A3068" s="88">
        <v>55</v>
      </c>
      <c r="B3068" s="88">
        <v>37</v>
      </c>
      <c r="C3068" s="97">
        <f>SUMIFS(Input!$C$115:$C$3257,Input!$A$115:$A$3257,"="&amp;'Output - County'!A3068,Input!$B$115:$B$3257,"="&amp;'Output - County'!B3068)*VLOOKUP(A3068,'Output - State'!$B$2:$G$52,2,FALSE)</f>
        <v>2.5201132091323033</v>
      </c>
      <c r="D3068" s="98">
        <f>SUMIFS(Input!$C$115:$C$3257,Input!$A$115:$A$3257,"="&amp;'Output - County'!A3068,Input!$B$115:$B$3257,"="&amp;'Output - County'!B3068)*VLOOKUP(A3068,'Output - State'!$B$2:$G$52,3,FALSE)</f>
        <v>0.37717905396914397</v>
      </c>
      <c r="E3068" s="98">
        <f>SUMIFS(Input!$C$115:$C$3257,Input!$A$115:$A$3257,"="&amp;'Output - County'!A3068,Input!$B$115:$B$3257,"="&amp;'Output - County'!B3068)*VLOOKUP(A3068,'Output - State'!$B$2:$G$52,4,FALSE)</f>
        <v>3.7080024851475137</v>
      </c>
      <c r="F3068" s="98">
        <f>SUMIFS(Input!$C$115:$C$3257,Input!$A$115:$A$3257,"="&amp;'Output - County'!A3068,Input!$B$115:$B$3257,"="&amp;'Output - County'!B3068)*VLOOKUP(A3068,'Output - State'!$B$2:$G$52,5,FALSE)</f>
        <v>9.8578336491729033</v>
      </c>
      <c r="G3068" s="99">
        <f>SUMIFS(Input!$D$115:$D$3257,Input!$A$115:$A$3257,"="&amp;'Output - County'!A3068,Input!$B$115:$B$3257,"="&amp;'Output - County'!B3068)*VLOOKUP(A3068,'Output - State'!$B$2:$G$52,6,FALSE)</f>
        <v>0.7587566252788106</v>
      </c>
    </row>
    <row r="3069" spans="1:7" x14ac:dyDescent="0.25">
      <c r="A3069" s="88">
        <v>55</v>
      </c>
      <c r="B3069" s="88">
        <v>39</v>
      </c>
      <c r="C3069" s="97">
        <f>SUMIFS(Input!$C$115:$C$3257,Input!$A$115:$A$3257,"="&amp;'Output - County'!A3069,Input!$B$115:$B$3257,"="&amp;'Output - County'!B3069)*VLOOKUP(A3069,'Output - State'!$B$2:$G$52,2,FALSE)</f>
        <v>47.513116690574257</v>
      </c>
      <c r="D3069" s="98">
        <f>SUMIFS(Input!$C$115:$C$3257,Input!$A$115:$A$3257,"="&amp;'Output - County'!A3069,Input!$B$115:$B$3257,"="&amp;'Output - County'!B3069)*VLOOKUP(A3069,'Output - State'!$B$2:$G$52,3,FALSE)</f>
        <v>7.1111695853721919</v>
      </c>
      <c r="E3069" s="98">
        <f>SUMIFS(Input!$C$115:$C$3257,Input!$A$115:$A$3257,"="&amp;'Output - County'!A3069,Input!$B$115:$B$3257,"="&amp;'Output - County'!B3069)*VLOOKUP(A3069,'Output - State'!$B$2:$G$52,4,FALSE)</f>
        <v>69.909063659252453</v>
      </c>
      <c r="F3069" s="98">
        <f>SUMIFS(Input!$C$115:$C$3257,Input!$A$115:$A$3257,"="&amp;'Output - County'!A3069,Input!$B$115:$B$3257,"="&amp;'Output - County'!B3069)*VLOOKUP(A3069,'Output - State'!$B$2:$G$52,5,FALSE)</f>
        <v>185.85530157618896</v>
      </c>
      <c r="G3069" s="99">
        <f>SUMIFS(Input!$D$115:$D$3257,Input!$A$115:$A$3257,"="&amp;'Output - County'!A3069,Input!$B$115:$B$3257,"="&amp;'Output - County'!B3069)*VLOOKUP(A3069,'Output - State'!$B$2:$G$52,6,FALSE)</f>
        <v>18.217233660540206</v>
      </c>
    </row>
    <row r="3070" spans="1:7" x14ac:dyDescent="0.25">
      <c r="A3070" s="88">
        <v>55</v>
      </c>
      <c r="B3070" s="88">
        <v>41</v>
      </c>
      <c r="C3070" s="97">
        <f>SUMIFS(Input!$C$115:$C$3257,Input!$A$115:$A$3257,"="&amp;'Output - County'!A3070,Input!$B$115:$B$3257,"="&amp;'Output - County'!B3070)*VLOOKUP(A3070,'Output - State'!$B$2:$G$52,2,FALSE)</f>
        <v>4.0543773066215891</v>
      </c>
      <c r="D3070" s="98">
        <f>SUMIFS(Input!$C$115:$C$3257,Input!$A$115:$A$3257,"="&amp;'Output - County'!A3070,Input!$B$115:$B$3257,"="&amp;'Output - County'!B3070)*VLOOKUP(A3070,'Output - State'!$B$2:$G$52,3,FALSE)</f>
        <v>0.60680853201512441</v>
      </c>
      <c r="E3070" s="98">
        <f>SUMIFS(Input!$C$115:$C$3257,Input!$A$115:$A$3257,"="&amp;'Output - County'!A3070,Input!$B$115:$B$3257,"="&amp;'Output - County'!B3070)*VLOOKUP(A3070,'Output - State'!$B$2:$G$52,4,FALSE)</f>
        <v>5.9654626126318941</v>
      </c>
      <c r="F3070" s="98">
        <f>SUMIFS(Input!$C$115:$C$3257,Input!$A$115:$A$3257,"="&amp;'Output - County'!A3070,Input!$B$115:$B$3257,"="&amp;'Output - County'!B3070)*VLOOKUP(A3070,'Output - State'!$B$2:$G$52,5,FALSE)</f>
        <v>15.859357783937975</v>
      </c>
      <c r="G3070" s="99">
        <f>SUMIFS(Input!$D$115:$D$3257,Input!$A$115:$A$3257,"="&amp;'Output - County'!A3070,Input!$B$115:$B$3257,"="&amp;'Output - County'!B3070)*VLOOKUP(A3070,'Output - State'!$B$2:$G$52,6,FALSE)</f>
        <v>1.588259789045156</v>
      </c>
    </row>
    <row r="3071" spans="1:7" x14ac:dyDescent="0.25">
      <c r="A3071" s="88">
        <v>55</v>
      </c>
      <c r="B3071" s="88">
        <v>43</v>
      </c>
      <c r="C3071" s="97">
        <f>SUMIFS(Input!$C$115:$C$3257,Input!$A$115:$A$3257,"="&amp;'Output - County'!A3071,Input!$B$115:$B$3257,"="&amp;'Output - County'!B3071)*VLOOKUP(A3071,'Output - State'!$B$2:$G$52,2,FALSE)</f>
        <v>17.452081826270852</v>
      </c>
      <c r="D3071" s="98">
        <f>SUMIFS(Input!$C$115:$C$3257,Input!$A$115:$A$3257,"="&amp;'Output - County'!A3071,Input!$B$115:$B$3257,"="&amp;'Output - County'!B3071)*VLOOKUP(A3071,'Output - State'!$B$2:$G$52,3,FALSE)</f>
        <v>2.6120095276558484</v>
      </c>
      <c r="E3071" s="98">
        <f>SUMIFS(Input!$C$115:$C$3257,Input!$A$115:$A$3257,"="&amp;'Output - County'!A3071,Input!$B$115:$B$3257,"="&amp;'Output - County'!B3071)*VLOOKUP(A3071,'Output - State'!$B$2:$G$52,4,FALSE)</f>
        <v>25.678355459710126</v>
      </c>
      <c r="F3071" s="98">
        <f>SUMIFS(Input!$C$115:$C$3257,Input!$A$115:$A$3257,"="&amp;'Output - County'!A3071,Input!$B$115:$B$3257,"="&amp;'Output - County'!B3071)*VLOOKUP(A3071,'Output - State'!$B$2:$G$52,5,FALSE)</f>
        <v>68.266663121204175</v>
      </c>
      <c r="G3071" s="99">
        <f>SUMIFS(Input!$D$115:$D$3257,Input!$A$115:$A$3257,"="&amp;'Output - County'!A3071,Input!$B$115:$B$3257,"="&amp;'Output - County'!B3071)*VLOOKUP(A3071,'Output - State'!$B$2:$G$52,6,FALSE)</f>
        <v>9.0909301956482196</v>
      </c>
    </row>
    <row r="3072" spans="1:7" x14ac:dyDescent="0.25">
      <c r="A3072" s="88">
        <v>55</v>
      </c>
      <c r="B3072" s="88">
        <v>45</v>
      </c>
      <c r="C3072" s="97">
        <f>SUMIFS(Input!$C$115:$C$3257,Input!$A$115:$A$3257,"="&amp;'Output - County'!A3072,Input!$B$115:$B$3257,"="&amp;'Output - County'!B3072)*VLOOKUP(A3072,'Output - State'!$B$2:$G$52,2,FALSE)</f>
        <v>10.851045683092192</v>
      </c>
      <c r="D3072" s="98">
        <f>SUMIFS(Input!$C$115:$C$3257,Input!$A$115:$A$3257,"="&amp;'Output - County'!A3072,Input!$B$115:$B$3257,"="&amp;'Output - County'!B3072)*VLOOKUP(A3072,'Output - State'!$B$2:$G$52,3,FALSE)</f>
        <v>1.6240489238711062</v>
      </c>
      <c r="E3072" s="98">
        <f>SUMIFS(Input!$C$115:$C$3257,Input!$A$115:$A$3257,"="&amp;'Output - County'!A3072,Input!$B$115:$B$3257,"="&amp;'Output - County'!B3072)*VLOOKUP(A3072,'Output - State'!$B$2:$G$52,4,FALSE)</f>
        <v>15.965832095776582</v>
      </c>
      <c r="F3072" s="98">
        <f>SUMIFS(Input!$C$115:$C$3257,Input!$A$115:$A$3257,"="&amp;'Output - County'!A3072,Input!$B$115:$B$3257,"="&amp;'Output - County'!B3072)*VLOOKUP(A3072,'Output - State'!$B$2:$G$52,5,FALSE)</f>
        <v>42.445634138923666</v>
      </c>
      <c r="G3072" s="99">
        <f>SUMIFS(Input!$D$115:$D$3257,Input!$A$115:$A$3257,"="&amp;'Output - County'!A3072,Input!$B$115:$B$3257,"="&amp;'Output - County'!B3072)*VLOOKUP(A3072,'Output - State'!$B$2:$G$52,6,FALSE)</f>
        <v>6.526368175475084</v>
      </c>
    </row>
    <row r="3073" spans="1:7" x14ac:dyDescent="0.25">
      <c r="A3073" s="88">
        <v>55</v>
      </c>
      <c r="B3073" s="88">
        <v>47</v>
      </c>
      <c r="C3073" s="97">
        <f>SUMIFS(Input!$C$115:$C$3257,Input!$A$115:$A$3257,"="&amp;'Output - County'!A3073,Input!$B$115:$B$3257,"="&amp;'Output - County'!B3073)*VLOOKUP(A3073,'Output - State'!$B$2:$G$52,2,FALSE)</f>
        <v>7.04286081603657</v>
      </c>
      <c r="D3073" s="98">
        <f>SUMIFS(Input!$C$115:$C$3257,Input!$A$115:$A$3257,"="&amp;'Output - County'!A3073,Input!$B$115:$B$3257,"="&amp;'Output - County'!B3073)*VLOOKUP(A3073,'Output - State'!$B$2:$G$52,3,FALSE)</f>
        <v>1.0540873998052076</v>
      </c>
      <c r="E3073" s="98">
        <f>SUMIFS(Input!$C$115:$C$3257,Input!$A$115:$A$3257,"="&amp;'Output - County'!A3073,Input!$B$115:$B$3257,"="&amp;'Output - County'!B3073)*VLOOKUP(A3073,'Output - State'!$B$2:$G$52,4,FALSE)</f>
        <v>10.36260804228047</v>
      </c>
      <c r="F3073" s="98">
        <f>SUMIFS(Input!$C$115:$C$3257,Input!$A$115:$A$3257,"="&amp;'Output - County'!A3073,Input!$B$115:$B$3257,"="&amp;'Output - County'!B3073)*VLOOKUP(A3073,'Output - State'!$B$2:$G$52,5,FALSE)</f>
        <v>27.549298216912671</v>
      </c>
      <c r="G3073" s="99">
        <f>SUMIFS(Input!$D$115:$D$3257,Input!$A$115:$A$3257,"="&amp;'Output - County'!A3073,Input!$B$115:$B$3257,"="&amp;'Output - County'!B3073)*VLOOKUP(A3073,'Output - State'!$B$2:$G$52,6,FALSE)</f>
        <v>3.3250873089141346</v>
      </c>
    </row>
    <row r="3074" spans="1:7" x14ac:dyDescent="0.25">
      <c r="A3074" s="88">
        <v>55</v>
      </c>
      <c r="B3074" s="88">
        <v>49</v>
      </c>
      <c r="C3074" s="97">
        <f>SUMIFS(Input!$C$115:$C$3257,Input!$A$115:$A$3257,"="&amp;'Output - County'!A3074,Input!$B$115:$B$3257,"="&amp;'Output - County'!B3074)*VLOOKUP(A3074,'Output - State'!$B$2:$G$52,2,FALSE)</f>
        <v>11.66295759123436</v>
      </c>
      <c r="D3074" s="98">
        <f>SUMIFS(Input!$C$115:$C$3257,Input!$A$115:$A$3257,"="&amp;'Output - County'!A3074,Input!$B$115:$B$3257,"="&amp;'Output - County'!B3074)*VLOOKUP(A3074,'Output - State'!$B$2:$G$52,3,FALSE)</f>
        <v>1.7455657526824537</v>
      </c>
      <c r="E3074" s="98">
        <f>SUMIFS(Input!$C$115:$C$3257,Input!$A$115:$A$3257,"="&amp;'Output - County'!A3074,Input!$B$115:$B$3257,"="&amp;'Output - County'!B3074)*VLOOKUP(A3074,'Output - State'!$B$2:$G$52,4,FALSE)</f>
        <v>17.160449608276583</v>
      </c>
      <c r="F3074" s="98">
        <f>SUMIFS(Input!$C$115:$C$3257,Input!$A$115:$A$3257,"="&amp;'Output - County'!A3074,Input!$B$115:$B$3257,"="&amp;'Output - County'!B3074)*VLOOKUP(A3074,'Output - State'!$B$2:$G$52,5,FALSE)</f>
        <v>45.621559926402</v>
      </c>
      <c r="G3074" s="99">
        <f>SUMIFS(Input!$D$115:$D$3257,Input!$A$115:$A$3257,"="&amp;'Output - County'!A3074,Input!$B$115:$B$3257,"="&amp;'Output - County'!B3074)*VLOOKUP(A3074,'Output - State'!$B$2:$G$52,6,FALSE)</f>
        <v>4.1917324053864355</v>
      </c>
    </row>
    <row r="3075" spans="1:7" x14ac:dyDescent="0.25">
      <c r="A3075" s="88">
        <v>55</v>
      </c>
      <c r="B3075" s="88">
        <v>51</v>
      </c>
      <c r="C3075" s="97">
        <f>SUMIFS(Input!$C$115:$C$3257,Input!$A$115:$A$3257,"="&amp;'Output - County'!A3075,Input!$B$115:$B$3257,"="&amp;'Output - County'!B3075)*VLOOKUP(A3075,'Output - State'!$B$2:$G$52,2,FALSE)</f>
        <v>2.9588021452650142</v>
      </c>
      <c r="D3075" s="98">
        <f>SUMIFS(Input!$C$115:$C$3257,Input!$A$115:$A$3257,"="&amp;'Output - County'!A3075,Input!$B$115:$B$3257,"="&amp;'Output - County'!B3075)*VLOOKUP(A3075,'Output - State'!$B$2:$G$52,3,FALSE)</f>
        <v>0.44283653210054785</v>
      </c>
      <c r="E3075" s="98">
        <f>SUMIFS(Input!$C$115:$C$3257,Input!$A$115:$A$3257,"="&amp;'Output - County'!A3075,Input!$B$115:$B$3257,"="&amp;'Output - County'!B3075)*VLOOKUP(A3075,'Output - State'!$B$2:$G$52,4,FALSE)</f>
        <v>4.3534733550640619</v>
      </c>
      <c r="F3075" s="98">
        <f>SUMIFS(Input!$C$115:$C$3257,Input!$A$115:$A$3257,"="&amp;'Output - County'!A3075,Input!$B$115:$B$3257,"="&amp;'Output - County'!B3075)*VLOOKUP(A3075,'Output - State'!$B$2:$G$52,5,FALSE)</f>
        <v>11.573836938413178</v>
      </c>
      <c r="G3075" s="99">
        <f>SUMIFS(Input!$D$115:$D$3257,Input!$A$115:$A$3257,"="&amp;'Output - County'!A3075,Input!$B$115:$B$3257,"="&amp;'Output - County'!B3075)*VLOOKUP(A3075,'Output - State'!$B$2:$G$52,6,FALSE)</f>
        <v>1.0063695099851822</v>
      </c>
    </row>
    <row r="3076" spans="1:7" x14ac:dyDescent="0.25">
      <c r="A3076" s="88">
        <v>55</v>
      </c>
      <c r="B3076" s="88">
        <v>53</v>
      </c>
      <c r="C3076" s="97">
        <f>SUMIFS(Input!$C$115:$C$3257,Input!$A$115:$A$3257,"="&amp;'Output - County'!A3076,Input!$B$115:$B$3257,"="&amp;'Output - County'!B3076)*VLOOKUP(A3076,'Output - State'!$B$2:$G$52,2,FALSE)</f>
        <v>23.777242760863917</v>
      </c>
      <c r="D3076" s="98">
        <f>SUMIFS(Input!$C$115:$C$3257,Input!$A$115:$A$3257,"="&amp;'Output - County'!A3076,Input!$B$115:$B$3257,"="&amp;'Output - County'!B3076)*VLOOKUP(A3076,'Output - State'!$B$2:$G$52,3,FALSE)</f>
        <v>3.5586805775384929</v>
      </c>
      <c r="E3076" s="98">
        <f>SUMIFS(Input!$C$115:$C$3257,Input!$A$115:$A$3257,"="&amp;'Output - County'!A3076,Input!$B$115:$B$3257,"="&amp;'Output - County'!B3076)*VLOOKUP(A3076,'Output - State'!$B$2:$G$52,4,FALSE)</f>
        <v>34.984966122849492</v>
      </c>
      <c r="F3076" s="98">
        <f>SUMIFS(Input!$C$115:$C$3257,Input!$A$115:$A$3257,"="&amp;'Output - County'!A3076,Input!$B$115:$B$3257,"="&amp;'Output - County'!B3076)*VLOOKUP(A3076,'Output - State'!$B$2:$G$52,5,FALSE)</f>
        <v>93.008561251619469</v>
      </c>
      <c r="G3076" s="99">
        <f>SUMIFS(Input!$D$115:$D$3257,Input!$A$115:$A$3257,"="&amp;'Output - County'!A3076,Input!$B$115:$B$3257,"="&amp;'Output - County'!B3076)*VLOOKUP(A3076,'Output - State'!$B$2:$G$52,6,FALSE)</f>
        <v>3.6257600974861575</v>
      </c>
    </row>
    <row r="3077" spans="1:7" x14ac:dyDescent="0.25">
      <c r="A3077" s="88">
        <v>55</v>
      </c>
      <c r="B3077" s="88">
        <v>55</v>
      </c>
      <c r="C3077" s="97">
        <f>SUMIFS(Input!$C$115:$C$3257,Input!$A$115:$A$3257,"="&amp;'Output - County'!A3077,Input!$B$115:$B$3257,"="&amp;'Output - County'!B3077)*VLOOKUP(A3077,'Output - State'!$B$2:$G$52,2,FALSE)</f>
        <v>39.065420244255286</v>
      </c>
      <c r="D3077" s="98">
        <f>SUMIFS(Input!$C$115:$C$3257,Input!$A$115:$A$3257,"="&amp;'Output - County'!A3077,Input!$B$115:$B$3257,"="&amp;'Output - County'!B3077)*VLOOKUP(A3077,'Output - State'!$B$2:$G$52,3,FALSE)</f>
        <v>5.8468239431626667</v>
      </c>
      <c r="E3077" s="98">
        <f>SUMIFS(Input!$C$115:$C$3257,Input!$A$115:$A$3257,"="&amp;'Output - County'!A3077,Input!$B$115:$B$3257,"="&amp;'Output - County'!B3077)*VLOOKUP(A3077,'Output - State'!$B$2:$G$52,4,FALSE)</f>
        <v>57.47943180652004</v>
      </c>
      <c r="F3077" s="98">
        <f>SUMIFS(Input!$C$115:$C$3257,Input!$A$115:$A$3257,"="&amp;'Output - County'!A3077,Input!$B$115:$B$3257,"="&amp;'Output - County'!B3077)*VLOOKUP(A3077,'Output - State'!$B$2:$G$52,5,FALSE)</f>
        <v>152.81075977356329</v>
      </c>
      <c r="G3077" s="99">
        <f>SUMIFS(Input!$D$115:$D$3257,Input!$A$115:$A$3257,"="&amp;'Output - County'!A3077,Input!$B$115:$B$3257,"="&amp;'Output - County'!B3077)*VLOOKUP(A3077,'Output - State'!$B$2:$G$52,6,FALSE)</f>
        <v>15.033639428601141</v>
      </c>
    </row>
    <row r="3078" spans="1:7" x14ac:dyDescent="0.25">
      <c r="A3078" s="88">
        <v>55</v>
      </c>
      <c r="B3078" s="88">
        <v>57</v>
      </c>
      <c r="C3078" s="97">
        <f>SUMIFS(Input!$C$115:$C$3257,Input!$A$115:$A$3257,"="&amp;'Output - County'!A3078,Input!$B$115:$B$3257,"="&amp;'Output - County'!B3078)*VLOOKUP(A3078,'Output - State'!$B$2:$G$52,2,FALSE)</f>
        <v>25.179696306144031</v>
      </c>
      <c r="D3078" s="98">
        <f>SUMIFS(Input!$C$115:$C$3257,Input!$A$115:$A$3257,"="&amp;'Output - County'!A3078,Input!$B$115:$B$3257,"="&amp;'Output - County'!B3078)*VLOOKUP(A3078,'Output - State'!$B$2:$G$52,3,FALSE)</f>
        <v>3.7685822992260505</v>
      </c>
      <c r="E3078" s="98">
        <f>SUMIFS(Input!$C$115:$C$3257,Input!$A$115:$A$3257,"="&amp;'Output - County'!A3078,Input!$B$115:$B$3257,"="&amp;'Output - County'!B3078)*VLOOKUP(A3078,'Output - State'!$B$2:$G$52,4,FALSE)</f>
        <v>37.048485020475965</v>
      </c>
      <c r="F3078" s="98">
        <f>SUMIFS(Input!$C$115:$C$3257,Input!$A$115:$A$3257,"="&amp;'Output - County'!A3078,Input!$B$115:$B$3257,"="&amp;'Output - County'!B3078)*VLOOKUP(A3078,'Output - State'!$B$2:$G$52,5,FALSE)</f>
        <v>98.494486923515879</v>
      </c>
      <c r="G3078" s="99">
        <f>SUMIFS(Input!$D$115:$D$3257,Input!$A$115:$A$3257,"="&amp;'Output - County'!A3078,Input!$B$115:$B$3257,"="&amp;'Output - County'!B3078)*VLOOKUP(A3078,'Output - State'!$B$2:$G$52,6,FALSE)</f>
        <v>4.7046448094210627</v>
      </c>
    </row>
    <row r="3079" spans="1:7" x14ac:dyDescent="0.25">
      <c r="A3079" s="88">
        <v>55</v>
      </c>
      <c r="B3079" s="88">
        <v>59</v>
      </c>
      <c r="C3079" s="97">
        <f>SUMIFS(Input!$C$115:$C$3257,Input!$A$115:$A$3257,"="&amp;'Output - County'!A3079,Input!$B$115:$B$3257,"="&amp;'Output - County'!B3079)*VLOOKUP(A3079,'Output - State'!$B$2:$G$52,2,FALSE)</f>
        <v>65.593098953939403</v>
      </c>
      <c r="D3079" s="98">
        <f>SUMIFS(Input!$C$115:$C$3257,Input!$A$115:$A$3257,"="&amp;'Output - County'!A3079,Input!$B$115:$B$3257,"="&amp;'Output - County'!B3079)*VLOOKUP(A3079,'Output - State'!$B$2:$G$52,3,FALSE)</f>
        <v>9.8171554042485365</v>
      </c>
      <c r="E3079" s="98">
        <f>SUMIFS(Input!$C$115:$C$3257,Input!$A$115:$A$3257,"="&amp;'Output - County'!A3079,Input!$B$115:$B$3257,"="&amp;'Output - County'!B3079)*VLOOKUP(A3079,'Output - State'!$B$2:$G$52,4,FALSE)</f>
        <v>96.511288877167786</v>
      </c>
      <c r="F3079" s="98">
        <f>SUMIFS(Input!$C$115:$C$3257,Input!$A$115:$A$3257,"="&amp;'Output - County'!A3079,Input!$B$115:$B$3257,"="&amp;'Output - County'!B3079)*VLOOKUP(A3079,'Output - State'!$B$2:$G$52,5,FALSE)</f>
        <v>256.57809961811347</v>
      </c>
      <c r="G3079" s="99">
        <f>SUMIFS(Input!$D$115:$D$3257,Input!$A$115:$A$3257,"="&amp;'Output - County'!A3079,Input!$B$115:$B$3257,"="&amp;'Output - County'!B3079)*VLOOKUP(A3079,'Output - State'!$B$2:$G$52,6,FALSE)</f>
        <v>29.890412510983445</v>
      </c>
    </row>
    <row r="3080" spans="1:7" x14ac:dyDescent="0.25">
      <c r="A3080" s="88">
        <v>55</v>
      </c>
      <c r="B3080" s="88">
        <v>61</v>
      </c>
      <c r="C3080" s="97">
        <f>SUMIFS(Input!$C$115:$C$3257,Input!$A$115:$A$3257,"="&amp;'Output - County'!A3080,Input!$B$115:$B$3257,"="&amp;'Output - County'!B3080)*VLOOKUP(A3080,'Output - State'!$B$2:$G$52,2,FALSE)</f>
        <v>6.225402277902516</v>
      </c>
      <c r="D3080" s="98">
        <f>SUMIFS(Input!$C$115:$C$3257,Input!$A$115:$A$3257,"="&amp;'Output - County'!A3080,Input!$B$115:$B$3257,"="&amp;'Output - County'!B3080)*VLOOKUP(A3080,'Output - State'!$B$2:$G$52,3,FALSE)</f>
        <v>0.93174042072700902</v>
      </c>
      <c r="E3080" s="98">
        <f>SUMIFS(Input!$C$115:$C$3257,Input!$A$115:$A$3257,"="&amp;'Output - County'!A3080,Input!$B$115:$B$3257,"="&amp;'Output - County'!B3080)*VLOOKUP(A3080,'Output - State'!$B$2:$G$52,4,FALSE)</f>
        <v>9.1598294210971094</v>
      </c>
      <c r="F3080" s="98">
        <f>SUMIFS(Input!$C$115:$C$3257,Input!$A$115:$A$3257,"="&amp;'Output - County'!A3080,Input!$B$115:$B$3257,"="&amp;'Output - County'!B3080)*VLOOKUP(A3080,'Output - State'!$B$2:$G$52,5,FALSE)</f>
        <v>24.351675882003306</v>
      </c>
      <c r="G3080" s="99">
        <f>SUMIFS(Input!$D$115:$D$3257,Input!$A$115:$A$3257,"="&amp;'Output - County'!A3080,Input!$B$115:$B$3257,"="&amp;'Output - County'!B3080)*VLOOKUP(A3080,'Output - State'!$B$2:$G$52,6,FALSE)</f>
        <v>3.6080734628642737</v>
      </c>
    </row>
    <row r="3081" spans="1:7" x14ac:dyDescent="0.25">
      <c r="A3081" s="88">
        <v>55</v>
      </c>
      <c r="B3081" s="88">
        <v>63</v>
      </c>
      <c r="C3081" s="97">
        <f>SUMIFS(Input!$C$115:$C$3257,Input!$A$115:$A$3257,"="&amp;'Output - County'!A3081,Input!$B$115:$B$3257,"="&amp;'Output - County'!B3081)*VLOOKUP(A3081,'Output - State'!$B$2:$G$52,2,FALSE)</f>
        <v>47.183503316447386</v>
      </c>
      <c r="D3081" s="98">
        <f>SUMIFS(Input!$C$115:$C$3257,Input!$A$115:$A$3257,"="&amp;'Output - County'!A3081,Input!$B$115:$B$3257,"="&amp;'Output - County'!B3081)*VLOOKUP(A3081,'Output - State'!$B$2:$G$52,3,FALSE)</f>
        <v>7.0618371743605621</v>
      </c>
      <c r="E3081" s="98">
        <f>SUMIFS(Input!$C$115:$C$3257,Input!$A$115:$A$3257,"="&amp;'Output - County'!A3081,Input!$B$115:$B$3257,"="&amp;'Output - County'!B3081)*VLOOKUP(A3081,'Output - State'!$B$2:$G$52,4,FALSE)</f>
        <v>69.424082585397784</v>
      </c>
      <c r="F3081" s="98">
        <f>SUMIFS(Input!$C$115:$C$3257,Input!$A$115:$A$3257,"="&amp;'Output - County'!A3081,Input!$B$115:$B$3257,"="&amp;'Output - County'!B3081)*VLOOKUP(A3081,'Output - State'!$B$2:$G$52,5,FALSE)</f>
        <v>184.56596512935369</v>
      </c>
      <c r="G3081" s="99">
        <f>SUMIFS(Input!$D$115:$D$3257,Input!$A$115:$A$3257,"="&amp;'Output - County'!A3081,Input!$B$115:$B$3257,"="&amp;'Output - County'!B3081)*VLOOKUP(A3081,'Output - State'!$B$2:$G$52,6,FALSE)</f>
        <v>20.870228853822759</v>
      </c>
    </row>
    <row r="3082" spans="1:7" x14ac:dyDescent="0.25">
      <c r="A3082" s="88">
        <v>55</v>
      </c>
      <c r="B3082" s="88">
        <v>65</v>
      </c>
      <c r="C3082" s="97">
        <f>SUMIFS(Input!$C$115:$C$3257,Input!$A$115:$A$3257,"="&amp;'Output - County'!A3082,Input!$B$115:$B$3257,"="&amp;'Output - County'!B3082)*VLOOKUP(A3082,'Output - State'!$B$2:$G$52,2,FALSE)</f>
        <v>6.7781925014398103</v>
      </c>
      <c r="D3082" s="98">
        <f>SUMIFS(Input!$C$115:$C$3257,Input!$A$115:$A$3257,"="&amp;'Output - County'!A3082,Input!$B$115:$B$3257,"="&amp;'Output - County'!B3082)*VLOOKUP(A3082,'Output - State'!$B$2:$G$52,3,FALSE)</f>
        <v>1.0144751537547276</v>
      </c>
      <c r="E3082" s="98">
        <f>SUMIFS(Input!$C$115:$C$3257,Input!$A$115:$A$3257,"="&amp;'Output - County'!A3082,Input!$B$115:$B$3257,"="&amp;'Output - County'!B3082)*VLOOKUP(A3082,'Output - State'!$B$2:$G$52,4,FALSE)</f>
        <v>9.9731847557756197</v>
      </c>
      <c r="F3082" s="98">
        <f>SUMIFS(Input!$C$115:$C$3257,Input!$A$115:$A$3257,"="&amp;'Output - County'!A3082,Input!$B$115:$B$3257,"="&amp;'Output - County'!B3082)*VLOOKUP(A3082,'Output - State'!$B$2:$G$52,5,FALSE)</f>
        <v>26.514004957845099</v>
      </c>
      <c r="G3082" s="99">
        <f>SUMIFS(Input!$D$115:$D$3257,Input!$A$115:$A$3257,"="&amp;'Output - County'!A3082,Input!$B$115:$B$3257,"="&amp;'Output - County'!B3082)*VLOOKUP(A3082,'Output - State'!$B$2:$G$52,6,FALSE)</f>
        <v>2.953667981854577</v>
      </c>
    </row>
    <row r="3083" spans="1:7" x14ac:dyDescent="0.25">
      <c r="A3083" s="88">
        <v>55</v>
      </c>
      <c r="B3083" s="88">
        <v>67</v>
      </c>
      <c r="C3083" s="97">
        <f>SUMIFS(Input!$C$115:$C$3257,Input!$A$115:$A$3257,"="&amp;'Output - County'!A3083,Input!$B$115:$B$3257,"="&amp;'Output - County'!B3083)*VLOOKUP(A3083,'Output - State'!$B$2:$G$52,2,FALSE)</f>
        <v>7.0822522340323983</v>
      </c>
      <c r="D3083" s="98">
        <f>SUMIFS(Input!$C$115:$C$3257,Input!$A$115:$A$3257,"="&amp;'Output - County'!A3083,Input!$B$115:$B$3257,"="&amp;'Output - County'!B3083)*VLOOKUP(A3083,'Output - State'!$B$2:$G$52,3,FALSE)</f>
        <v>1.0599830150181788</v>
      </c>
      <c r="E3083" s="98">
        <f>SUMIFS(Input!$C$115:$C$3257,Input!$A$115:$A$3257,"="&amp;'Output - County'!A3083,Input!$B$115:$B$3257,"="&amp;'Output - County'!B3083)*VLOOKUP(A3083,'Output - State'!$B$2:$G$52,4,FALSE)</f>
        <v>10.420567135265943</v>
      </c>
      <c r="F3083" s="98">
        <f>SUMIFS(Input!$C$115:$C$3257,Input!$A$115:$A$3257,"="&amp;'Output - County'!A3083,Input!$B$115:$B$3257,"="&amp;'Output - County'!B3083)*VLOOKUP(A3083,'Output - State'!$B$2:$G$52,5,FALSE)</f>
        <v>27.703384170036028</v>
      </c>
      <c r="G3083" s="99">
        <f>SUMIFS(Input!$D$115:$D$3257,Input!$A$115:$A$3257,"="&amp;'Output - County'!A3083,Input!$B$115:$B$3257,"="&amp;'Output - County'!B3083)*VLOOKUP(A3083,'Output - State'!$B$2:$G$52,6,FALSE)</f>
        <v>3.3958338474016694</v>
      </c>
    </row>
    <row r="3084" spans="1:7" x14ac:dyDescent="0.25">
      <c r="A3084" s="88">
        <v>55</v>
      </c>
      <c r="B3084" s="88">
        <v>69</v>
      </c>
      <c r="C3084" s="97">
        <f>SUMIFS(Input!$C$115:$C$3257,Input!$A$115:$A$3257,"="&amp;'Output - County'!A3084,Input!$B$115:$B$3257,"="&amp;'Output - County'!B3084)*VLOOKUP(A3084,'Output - State'!$B$2:$G$52,2,FALSE)</f>
        <v>18.394179553002132</v>
      </c>
      <c r="D3084" s="98">
        <f>SUMIFS(Input!$C$115:$C$3257,Input!$A$115:$A$3257,"="&amp;'Output - County'!A3084,Input!$B$115:$B$3257,"="&amp;'Output - County'!B3084)*VLOOKUP(A3084,'Output - State'!$B$2:$G$52,3,FALSE)</f>
        <v>2.7530109429999357</v>
      </c>
      <c r="E3084" s="98">
        <f>SUMIFS(Input!$C$115:$C$3257,Input!$A$115:$A$3257,"="&amp;'Output - County'!A3084,Input!$B$115:$B$3257,"="&amp;'Output - County'!B3084)*VLOOKUP(A3084,'Output - State'!$B$2:$G$52,4,FALSE)</f>
        <v>27.064523628391001</v>
      </c>
      <c r="F3084" s="98">
        <f>SUMIFS(Input!$C$115:$C$3257,Input!$A$115:$A$3257,"="&amp;'Output - County'!A3084,Input!$B$115:$B$3257,"="&amp;'Output - County'!B3084)*VLOOKUP(A3084,'Output - State'!$B$2:$G$52,5,FALSE)</f>
        <v>71.951831961130424</v>
      </c>
      <c r="G3084" s="99">
        <f>SUMIFS(Input!$D$115:$D$3257,Input!$A$115:$A$3257,"="&amp;'Output - County'!A3084,Input!$B$115:$B$3257,"="&amp;'Output - County'!B3084)*VLOOKUP(A3084,'Output - State'!$B$2:$G$52,6,FALSE)</f>
        <v>4.899197790261784</v>
      </c>
    </row>
    <row r="3085" spans="1:7" x14ac:dyDescent="0.25">
      <c r="A3085" s="88">
        <v>55</v>
      </c>
      <c r="B3085" s="88">
        <v>71</v>
      </c>
      <c r="C3085" s="97">
        <f>SUMIFS(Input!$C$115:$C$3257,Input!$A$115:$A$3257,"="&amp;'Output - County'!A3085,Input!$B$115:$B$3257,"="&amp;'Output - County'!B3085)*VLOOKUP(A3085,'Output - State'!$B$2:$G$52,2,FALSE)</f>
        <v>31.817635908519396</v>
      </c>
      <c r="D3085" s="98">
        <f>SUMIFS(Input!$C$115:$C$3257,Input!$A$115:$A$3257,"="&amp;'Output - County'!A3085,Input!$B$115:$B$3257,"="&amp;'Output - County'!B3085)*VLOOKUP(A3085,'Output - State'!$B$2:$G$52,3,FALSE)</f>
        <v>4.7620661516400853</v>
      </c>
      <c r="E3085" s="98">
        <f>SUMIFS(Input!$C$115:$C$3257,Input!$A$115:$A$3257,"="&amp;'Output - County'!A3085,Input!$B$115:$B$3257,"="&amp;'Output - County'!B3085)*VLOOKUP(A3085,'Output - State'!$B$2:$G$52,4,FALSE)</f>
        <v>46.815306785733725</v>
      </c>
      <c r="F3085" s="98">
        <f>SUMIFS(Input!$C$115:$C$3257,Input!$A$115:$A$3257,"="&amp;'Output - County'!A3085,Input!$B$115:$B$3257,"="&amp;'Output - County'!B3085)*VLOOKUP(A3085,'Output - State'!$B$2:$G$52,5,FALSE)</f>
        <v>124.45986980248716</v>
      </c>
      <c r="G3085" s="99">
        <f>SUMIFS(Input!$D$115:$D$3257,Input!$A$115:$A$3257,"="&amp;'Output - County'!A3085,Input!$B$115:$B$3257,"="&amp;'Output - County'!B3085)*VLOOKUP(A3085,'Output - State'!$B$2:$G$52,6,FALSE)</f>
        <v>13.972441351288118</v>
      </c>
    </row>
    <row r="3086" spans="1:7" x14ac:dyDescent="0.25">
      <c r="A3086" s="88">
        <v>55</v>
      </c>
      <c r="B3086" s="88">
        <v>73</v>
      </c>
      <c r="C3086" s="97">
        <f>SUMIFS(Input!$C$115:$C$3257,Input!$A$115:$A$3257,"="&amp;'Output - County'!A3086,Input!$B$115:$B$3257,"="&amp;'Output - County'!B3086)*VLOOKUP(A3086,'Output - State'!$B$2:$G$52,2,FALSE)</f>
        <v>64.495156485231348</v>
      </c>
      <c r="D3086" s="98">
        <f>SUMIFS(Input!$C$115:$C$3257,Input!$A$115:$A$3257,"="&amp;'Output - County'!A3086,Input!$B$115:$B$3257,"="&amp;'Output - County'!B3086)*VLOOKUP(A3086,'Output - State'!$B$2:$G$52,3,FALSE)</f>
        <v>9.6528290953513114</v>
      </c>
      <c r="E3086" s="98">
        <f>SUMIFS(Input!$C$115:$C$3257,Input!$A$115:$A$3257,"="&amp;'Output - County'!A3086,Input!$B$115:$B$3257,"="&amp;'Output - County'!B3086)*VLOOKUP(A3086,'Output - State'!$B$2:$G$52,4,FALSE)</f>
        <v>94.895816450069887</v>
      </c>
      <c r="F3086" s="98">
        <f>SUMIFS(Input!$C$115:$C$3257,Input!$A$115:$A$3257,"="&amp;'Output - County'!A3086,Input!$B$115:$B$3257,"="&amp;'Output - County'!B3086)*VLOOKUP(A3086,'Output - State'!$B$2:$G$52,5,FALSE)</f>
        <v>252.28331866396229</v>
      </c>
      <c r="G3086" s="99">
        <f>SUMIFS(Input!$D$115:$D$3257,Input!$A$115:$A$3257,"="&amp;'Output - County'!A3086,Input!$B$115:$B$3257,"="&amp;'Output - County'!B3086)*VLOOKUP(A3086,'Output - State'!$B$2:$G$52,6,FALSE)</f>
        <v>23.876956739542987</v>
      </c>
    </row>
    <row r="3087" spans="1:7" x14ac:dyDescent="0.25">
      <c r="A3087" s="88">
        <v>55</v>
      </c>
      <c r="B3087" s="88">
        <v>75</v>
      </c>
      <c r="C3087" s="97">
        <f>SUMIFS(Input!$C$115:$C$3257,Input!$A$115:$A$3257,"="&amp;'Output - County'!A3087,Input!$B$115:$B$3257,"="&amp;'Output - County'!B3087)*VLOOKUP(A3087,'Output - State'!$B$2:$G$52,2,FALSE)</f>
        <v>27.817155107042176</v>
      </c>
      <c r="D3087" s="98">
        <f>SUMIFS(Input!$C$115:$C$3257,Input!$A$115:$A$3257,"="&amp;'Output - County'!A3087,Input!$B$115:$B$3257,"="&amp;'Output - County'!B3087)*VLOOKUP(A3087,'Output - State'!$B$2:$G$52,3,FALSE)</f>
        <v>4.1633241750276824</v>
      </c>
      <c r="E3087" s="98">
        <f>SUMIFS(Input!$C$115:$C$3257,Input!$A$115:$A$3257,"="&amp;'Output - County'!A3087,Input!$B$115:$B$3257,"="&amp;'Output - County'!B3087)*VLOOKUP(A3087,'Output - State'!$B$2:$G$52,4,FALSE)</f>
        <v>40.929145521268204</v>
      </c>
      <c r="F3087" s="98">
        <f>SUMIFS(Input!$C$115:$C$3257,Input!$A$115:$A$3257,"="&amp;'Output - County'!A3087,Input!$B$115:$B$3257,"="&amp;'Output - County'!B3087)*VLOOKUP(A3087,'Output - State'!$B$2:$G$52,5,FALSE)</f>
        <v>108.81133698468946</v>
      </c>
      <c r="G3087" s="99">
        <f>SUMIFS(Input!$D$115:$D$3257,Input!$A$115:$A$3257,"="&amp;'Output - County'!A3087,Input!$B$115:$B$3257,"="&amp;'Output - County'!B3087)*VLOOKUP(A3087,'Output - State'!$B$2:$G$52,6,FALSE)</f>
        <v>7.145400387241013</v>
      </c>
    </row>
    <row r="3088" spans="1:7" x14ac:dyDescent="0.25">
      <c r="A3088" s="88">
        <v>55</v>
      </c>
      <c r="B3088" s="88">
        <v>77</v>
      </c>
      <c r="C3088" s="97">
        <f>SUMIFS(Input!$C$115:$C$3257,Input!$A$115:$A$3257,"="&amp;'Output - County'!A3088,Input!$B$115:$B$3257,"="&amp;'Output - County'!B3088)*VLOOKUP(A3088,'Output - State'!$B$2:$G$52,2,FALSE)</f>
        <v>11.623160570857321</v>
      </c>
      <c r="D3088" s="98">
        <f>SUMIFS(Input!$C$115:$C$3257,Input!$A$115:$A$3257,"="&amp;'Output - County'!A3088,Input!$B$115:$B$3257,"="&amp;'Output - County'!B3088)*VLOOKUP(A3088,'Output - State'!$B$2:$G$52,3,FALSE)</f>
        <v>1.7396094319734445</v>
      </c>
      <c r="E3088" s="98">
        <f>SUMIFS(Input!$C$115:$C$3257,Input!$A$115:$A$3257,"="&amp;'Output - County'!A3088,Input!$B$115:$B$3257,"="&amp;'Output - County'!B3088)*VLOOKUP(A3088,'Output - State'!$B$2:$G$52,4,FALSE)</f>
        <v>17.101893726769045</v>
      </c>
      <c r="F3088" s="98">
        <f>SUMIFS(Input!$C$115:$C$3257,Input!$A$115:$A$3257,"="&amp;'Output - County'!A3088,Input!$B$115:$B$3257,"="&amp;'Output - County'!B3088)*VLOOKUP(A3088,'Output - State'!$B$2:$G$52,5,FALSE)</f>
        <v>45.465887393442785</v>
      </c>
      <c r="G3088" s="99">
        <f>SUMIFS(Input!$D$115:$D$3257,Input!$A$115:$A$3257,"="&amp;'Output - County'!A3088,Input!$B$115:$B$3257,"="&amp;'Output - County'!B3088)*VLOOKUP(A3088,'Output - State'!$B$2:$G$52,6,FALSE)</f>
        <v>2.7237417317700894</v>
      </c>
    </row>
    <row r="3089" spans="1:7" x14ac:dyDescent="0.25">
      <c r="A3089" s="88">
        <v>55</v>
      </c>
      <c r="B3089" s="88">
        <v>78</v>
      </c>
      <c r="C3089" s="97">
        <f>SUMIFS(Input!$C$115:$C$3257,Input!$A$115:$A$3257,"="&amp;'Output - County'!A3089,Input!$B$115:$B$3257,"="&amp;'Output - County'!B3089)*VLOOKUP(A3089,'Output - State'!$B$2:$G$52,2,FALSE)</f>
        <v>1.0994259446748331</v>
      </c>
      <c r="D3089" s="98">
        <f>SUMIFS(Input!$C$115:$C$3257,Input!$A$115:$A$3257,"="&amp;'Output - County'!A3089,Input!$B$115:$B$3257,"="&amp;'Output - County'!B3089)*VLOOKUP(A3089,'Output - State'!$B$2:$G$52,3,FALSE)</f>
        <v>0.16454833704251093</v>
      </c>
      <c r="E3089" s="98">
        <f>SUMIFS(Input!$C$115:$C$3257,Input!$A$115:$A$3257,"="&amp;'Output - County'!A3089,Input!$B$115:$B$3257,"="&amp;'Output - County'!B3089)*VLOOKUP(A3089,'Output - State'!$B$2:$G$52,4,FALSE)</f>
        <v>1.617655159425782</v>
      </c>
      <c r="F3089" s="98">
        <f>SUMIFS(Input!$C$115:$C$3257,Input!$A$115:$A$3257,"="&amp;'Output - County'!A3089,Input!$B$115:$B$3257,"="&amp;'Output - County'!B3089)*VLOOKUP(A3089,'Output - State'!$B$2:$G$52,5,FALSE)</f>
        <v>4.3005838122331337</v>
      </c>
      <c r="G3089" s="99">
        <f>SUMIFS(Input!$D$115:$D$3257,Input!$A$115:$A$3257,"="&amp;'Output - County'!A3089,Input!$B$115:$B$3257,"="&amp;'Output - County'!B3089)*VLOOKUP(A3089,'Output - State'!$B$2:$G$52,6,FALSE)</f>
        <v>0.81358519260664997</v>
      </c>
    </row>
    <row r="3090" spans="1:7" x14ac:dyDescent="0.25">
      <c r="A3090" s="88">
        <v>55</v>
      </c>
      <c r="B3090" s="88">
        <v>79</v>
      </c>
      <c r="C3090" s="97">
        <f>SUMIFS(Input!$C$115:$C$3257,Input!$A$115:$A$3257,"="&amp;'Output - County'!A3090,Input!$B$115:$B$3257,"="&amp;'Output - County'!B3090)*VLOOKUP(A3090,'Output - State'!$B$2:$G$52,2,FALSE)</f>
        <v>311.23000971266157</v>
      </c>
      <c r="D3090" s="98">
        <f>SUMIFS(Input!$C$115:$C$3257,Input!$A$115:$A$3257,"="&amp;'Output - County'!A3090,Input!$B$115:$B$3257,"="&amp;'Output - County'!B3090)*VLOOKUP(A3090,'Output - State'!$B$2:$G$52,3,FALSE)</f>
        <v>46.581018743458507</v>
      </c>
      <c r="E3090" s="98">
        <f>SUMIFS(Input!$C$115:$C$3257,Input!$A$115:$A$3257,"="&amp;'Output - County'!A3090,Input!$B$115:$B$3257,"="&amp;'Output - County'!B3090)*VLOOKUP(A3090,'Output - State'!$B$2:$G$52,4,FALSE)</f>
        <v>457.93246322627721</v>
      </c>
      <c r="F3090" s="98">
        <f>SUMIFS(Input!$C$115:$C$3257,Input!$A$115:$A$3257,"="&amp;'Output - County'!A3090,Input!$B$115:$B$3257,"="&amp;'Output - County'!B3090)*VLOOKUP(A3090,'Output - State'!$B$2:$G$52,5,FALSE)</f>
        <v>1217.426920052628</v>
      </c>
      <c r="G3090" s="99">
        <f>SUMIFS(Input!$D$115:$D$3257,Input!$A$115:$A$3257,"="&amp;'Output - County'!A3090,Input!$B$115:$B$3257,"="&amp;'Output - County'!B3090)*VLOOKUP(A3090,'Output - State'!$B$2:$G$52,6,FALSE)</f>
        <v>167.49242986923861</v>
      </c>
    </row>
    <row r="3091" spans="1:7" x14ac:dyDescent="0.25">
      <c r="A3091" s="88">
        <v>55</v>
      </c>
      <c r="B3091" s="88">
        <v>81</v>
      </c>
      <c r="C3091" s="97">
        <f>SUMIFS(Input!$C$115:$C$3257,Input!$A$115:$A$3257,"="&amp;'Output - County'!A3091,Input!$B$115:$B$3257,"="&amp;'Output - County'!B3091)*VLOOKUP(A3091,'Output - State'!$B$2:$G$52,2,FALSE)</f>
        <v>30.655086665411627</v>
      </c>
      <c r="D3091" s="98">
        <f>SUMIFS(Input!$C$115:$C$3257,Input!$A$115:$A$3257,"="&amp;'Output - County'!A3091,Input!$B$115:$B$3257,"="&amp;'Output - County'!B3091)*VLOOKUP(A3091,'Output - State'!$B$2:$G$52,3,FALSE)</f>
        <v>4.5880703080728393</v>
      </c>
      <c r="E3091" s="98">
        <f>SUMIFS(Input!$C$115:$C$3257,Input!$A$115:$A$3257,"="&amp;'Output - County'!A3091,Input!$B$115:$B$3257,"="&amp;'Output - County'!B3091)*VLOOKUP(A3091,'Output - State'!$B$2:$G$52,4,FALSE)</f>
        <v>45.104774311665146</v>
      </c>
      <c r="F3091" s="98">
        <f>SUMIFS(Input!$C$115:$C$3257,Input!$A$115:$A$3257,"="&amp;'Output - County'!A3091,Input!$B$115:$B$3257,"="&amp;'Output - County'!B3091)*VLOOKUP(A3091,'Output - State'!$B$2:$G$52,5,FALSE)</f>
        <v>119.91236891800344</v>
      </c>
      <c r="G3091" s="99">
        <f>SUMIFS(Input!$D$115:$D$3257,Input!$A$115:$A$3257,"="&amp;'Output - County'!A3091,Input!$B$115:$B$3257,"="&amp;'Output - County'!B3091)*VLOOKUP(A3091,'Output - State'!$B$2:$G$52,6,FALSE)</f>
        <v>8.1535385606883839</v>
      </c>
    </row>
    <row r="3092" spans="1:7" x14ac:dyDescent="0.25">
      <c r="A3092" s="88">
        <v>55</v>
      </c>
      <c r="B3092" s="88">
        <v>83</v>
      </c>
      <c r="C3092" s="97">
        <f>SUMIFS(Input!$C$115:$C$3257,Input!$A$115:$A$3257,"="&amp;'Output - County'!A3092,Input!$B$115:$B$3257,"="&amp;'Output - County'!B3092)*VLOOKUP(A3092,'Output - State'!$B$2:$G$52,2,FALSE)</f>
        <v>19.636922101240948</v>
      </c>
      <c r="D3092" s="98">
        <f>SUMIFS(Input!$C$115:$C$3257,Input!$A$115:$A$3257,"="&amp;'Output - County'!A3092,Input!$B$115:$B$3257,"="&amp;'Output - County'!B3092)*VLOOKUP(A3092,'Output - State'!$B$2:$G$52,3,FALSE)</f>
        <v>2.9390091183887752</v>
      </c>
      <c r="E3092" s="98">
        <f>SUMIFS(Input!$C$115:$C$3257,Input!$A$115:$A$3257,"="&amp;'Output - County'!A3092,Input!$B$115:$B$3257,"="&amp;'Output - County'!B3092)*VLOOKUP(A3092,'Output - State'!$B$2:$G$52,4,FALSE)</f>
        <v>28.893049601180412</v>
      </c>
      <c r="F3092" s="98">
        <f>SUMIFS(Input!$C$115:$C$3257,Input!$A$115:$A$3257,"="&amp;'Output - County'!A3092,Input!$B$115:$B$3257,"="&amp;'Output - County'!B3092)*VLOOKUP(A3092,'Output - State'!$B$2:$G$52,5,FALSE)</f>
        <v>76.813022031835828</v>
      </c>
      <c r="G3092" s="99">
        <f>SUMIFS(Input!$D$115:$D$3257,Input!$A$115:$A$3257,"="&amp;'Output - County'!A3092,Input!$B$115:$B$3257,"="&amp;'Output - County'!B3092)*VLOOKUP(A3092,'Output - State'!$B$2:$G$52,6,FALSE)</f>
        <v>6.6855478870720368</v>
      </c>
    </row>
    <row r="3093" spans="1:7" x14ac:dyDescent="0.25">
      <c r="A3093" s="88">
        <v>55</v>
      </c>
      <c r="B3093" s="88">
        <v>85</v>
      </c>
      <c r="C3093" s="97">
        <f>SUMIFS(Input!$C$115:$C$3257,Input!$A$115:$A$3257,"="&amp;'Output - County'!A3093,Input!$B$115:$B$3257,"="&amp;'Output - County'!B3093)*VLOOKUP(A3093,'Output - State'!$B$2:$G$52,2,FALSE)</f>
        <v>17.091354923189417</v>
      </c>
      <c r="D3093" s="98">
        <f>SUMIFS(Input!$C$115:$C$3257,Input!$A$115:$A$3257,"="&amp;'Output - County'!A3093,Input!$B$115:$B$3257,"="&amp;'Output - County'!B3093)*VLOOKUP(A3093,'Output - State'!$B$2:$G$52,3,FALSE)</f>
        <v>2.5580204324229716</v>
      </c>
      <c r="E3093" s="98">
        <f>SUMIFS(Input!$C$115:$C$3257,Input!$A$115:$A$3257,"="&amp;'Output - County'!A3093,Input!$B$115:$B$3257,"="&amp;'Output - County'!B3093)*VLOOKUP(A3093,'Output - State'!$B$2:$G$52,4,FALSE)</f>
        <v>25.147595076312086</v>
      </c>
      <c r="F3093" s="98">
        <f>SUMIFS(Input!$C$115:$C$3257,Input!$A$115:$A$3257,"="&amp;'Output - County'!A3093,Input!$B$115:$B$3257,"="&amp;'Output - County'!B3093)*VLOOKUP(A3093,'Output - State'!$B$2:$G$52,5,FALSE)</f>
        <v>66.855621033701098</v>
      </c>
      <c r="G3093" s="99">
        <f>SUMIFS(Input!$D$115:$D$3257,Input!$A$115:$A$3257,"="&amp;'Output - County'!A3093,Input!$B$115:$B$3257,"="&amp;'Output - County'!B3093)*VLOOKUP(A3093,'Output - State'!$B$2:$G$52,6,FALSE)</f>
        <v>6.2610686561468283</v>
      </c>
    </row>
    <row r="3094" spans="1:7" x14ac:dyDescent="0.25">
      <c r="A3094" s="88">
        <v>55</v>
      </c>
      <c r="B3094" s="88">
        <v>87</v>
      </c>
      <c r="C3094" s="97">
        <f>SUMIFS(Input!$C$115:$C$3257,Input!$A$115:$A$3257,"="&amp;'Output - County'!A3094,Input!$B$115:$B$3257,"="&amp;'Output - County'!B3094)*VLOOKUP(A3094,'Output - State'!$B$2:$G$52,2,FALSE)</f>
        <v>68.937152581035463</v>
      </c>
      <c r="D3094" s="98">
        <f>SUMIFS(Input!$C$115:$C$3257,Input!$A$115:$A$3257,"="&amp;'Output - County'!A3094,Input!$B$115:$B$3257,"="&amp;'Output - County'!B3094)*VLOOKUP(A3094,'Output - State'!$B$2:$G$52,3,FALSE)</f>
        <v>10.317651564071634</v>
      </c>
      <c r="E3094" s="98">
        <f>SUMIFS(Input!$C$115:$C$3257,Input!$A$115:$A$3257,"="&amp;'Output - County'!A3094,Input!$B$115:$B$3257,"="&amp;'Output - County'!B3094)*VLOOKUP(A3094,'Output - State'!$B$2:$G$52,4,FALSE)</f>
        <v>101.43160718461722</v>
      </c>
      <c r="F3094" s="98">
        <f>SUMIFS(Input!$C$115:$C$3257,Input!$A$115:$A$3257,"="&amp;'Output - County'!A3094,Input!$B$115:$B$3257,"="&amp;'Output - County'!B3094)*VLOOKUP(A3094,'Output - State'!$B$2:$G$52,5,FALSE)</f>
        <v>269.65891053183293</v>
      </c>
      <c r="G3094" s="99">
        <f>SUMIFS(Input!$D$115:$D$3257,Input!$A$115:$A$3257,"="&amp;'Output - County'!A3094,Input!$B$115:$B$3257,"="&amp;'Output - County'!B3094)*VLOOKUP(A3094,'Output - State'!$B$2:$G$52,6,FALSE)</f>
        <v>33.074006742922514</v>
      </c>
    </row>
    <row r="3095" spans="1:7" x14ac:dyDescent="0.25">
      <c r="A3095" s="88">
        <v>55</v>
      </c>
      <c r="B3095" s="88">
        <v>89</v>
      </c>
      <c r="C3095" s="97">
        <f>SUMIFS(Input!$C$115:$C$3257,Input!$A$115:$A$3257,"="&amp;'Output - County'!A3095,Input!$B$115:$B$3257,"="&amp;'Output - County'!B3095)*VLOOKUP(A3095,'Output - State'!$B$2:$G$52,2,FALSE)</f>
        <v>41.122452890996506</v>
      </c>
      <c r="D3095" s="98">
        <f>SUMIFS(Input!$C$115:$C$3257,Input!$A$115:$A$3257,"="&amp;'Output - County'!A3095,Input!$B$115:$B$3257,"="&amp;'Output - County'!B3095)*VLOOKUP(A3095,'Output - State'!$B$2:$G$52,3,FALSE)</f>
        <v>6.1546948851782579</v>
      </c>
      <c r="E3095" s="98">
        <f>SUMIFS(Input!$C$115:$C$3257,Input!$A$115:$A$3257,"="&amp;'Output - County'!A3095,Input!$B$115:$B$3257,"="&amp;'Output - County'!B3095)*VLOOKUP(A3095,'Output - State'!$B$2:$G$52,4,FALSE)</f>
        <v>60.506074474200915</v>
      </c>
      <c r="F3095" s="98">
        <f>SUMIFS(Input!$C$115:$C$3257,Input!$A$115:$A$3257,"="&amp;'Output - County'!A3095,Input!$B$115:$B$3257,"="&amp;'Output - County'!B3095)*VLOOKUP(A3095,'Output - State'!$B$2:$G$52,5,FALSE)</f>
        <v>160.85717831103631</v>
      </c>
      <c r="G3095" s="99">
        <f>SUMIFS(Input!$D$115:$D$3257,Input!$A$115:$A$3257,"="&amp;'Output - County'!A3095,Input!$B$115:$B$3257,"="&amp;'Output - County'!B3095)*VLOOKUP(A3095,'Output - State'!$B$2:$G$52,6,FALSE)</f>
        <v>15.758791448098371</v>
      </c>
    </row>
    <row r="3096" spans="1:7" x14ac:dyDescent="0.25">
      <c r="A3096" s="88">
        <v>55</v>
      </c>
      <c r="B3096" s="88">
        <v>91</v>
      </c>
      <c r="C3096" s="97">
        <f>SUMIFS(Input!$C$115:$C$3257,Input!$A$115:$A$3257,"="&amp;'Output - County'!A3096,Input!$B$115:$B$3257,"="&amp;'Output - County'!B3096)*VLOOKUP(A3096,'Output - State'!$B$2:$G$52,2,FALSE)</f>
        <v>2.4500942144892859</v>
      </c>
      <c r="D3096" s="98">
        <f>SUMIFS(Input!$C$115:$C$3257,Input!$A$115:$A$3257,"="&amp;'Output - County'!A3096,Input!$B$115:$B$3257,"="&amp;'Output - County'!B3096)*VLOOKUP(A3096,'Output - State'!$B$2:$G$52,3,FALSE)</f>
        <v>0.3666994858038643</v>
      </c>
      <c r="E3096" s="98">
        <f>SUMIFS(Input!$C$115:$C$3257,Input!$A$115:$A$3257,"="&amp;'Output - County'!A3096,Input!$B$115:$B$3257,"="&amp;'Output - County'!B3096)*VLOOKUP(A3096,'Output - State'!$B$2:$G$52,4,FALSE)</f>
        <v>3.6049790950859095</v>
      </c>
      <c r="F3096" s="98">
        <f>SUMIFS(Input!$C$115:$C$3257,Input!$A$115:$A$3257,"="&amp;'Output - County'!A3096,Input!$B$115:$B$3257,"="&amp;'Output - County'!B3096)*VLOOKUP(A3096,'Output - State'!$B$2:$G$52,5,FALSE)</f>
        <v>9.5839429370525338</v>
      </c>
      <c r="G3096" s="99">
        <f>SUMIFS(Input!$D$115:$D$3257,Input!$A$115:$A$3257,"="&amp;'Output - County'!A3096,Input!$B$115:$B$3257,"="&amp;'Output - County'!B3096)*VLOOKUP(A3096,'Output - State'!$B$2:$G$52,6,FALSE)</f>
        <v>1.2911243273975099</v>
      </c>
    </row>
    <row r="3097" spans="1:7" x14ac:dyDescent="0.25">
      <c r="A3097" s="88">
        <v>55</v>
      </c>
      <c r="B3097" s="88">
        <v>93</v>
      </c>
      <c r="C3097" s="97">
        <f>SUMIFS(Input!$C$115:$C$3257,Input!$A$115:$A$3257,"="&amp;'Output - County'!A3097,Input!$B$115:$B$3257,"="&amp;'Output - County'!B3097)*VLOOKUP(A3097,'Output - State'!$B$2:$G$52,2,FALSE)</f>
        <v>10.845223421381625</v>
      </c>
      <c r="D3097" s="98">
        <f>SUMIFS(Input!$C$115:$C$3257,Input!$A$115:$A$3257,"="&amp;'Output - County'!A3097,Input!$B$115:$B$3257,"="&amp;'Output - County'!B3097)*VLOOKUP(A3097,'Output - State'!$B$2:$G$52,3,FALSE)</f>
        <v>1.6231775204928793</v>
      </c>
      <c r="E3097" s="98">
        <f>SUMIFS(Input!$C$115:$C$3257,Input!$A$115:$A$3257,"="&amp;'Output - County'!A3097,Input!$B$115:$B$3257,"="&amp;'Output - County'!B3097)*VLOOKUP(A3097,'Output - State'!$B$2:$G$52,4,FALSE)</f>
        <v>15.957265432654575</v>
      </c>
      <c r="F3097" s="98">
        <f>SUMIFS(Input!$C$115:$C$3257,Input!$A$115:$A$3257,"="&amp;'Output - County'!A3097,Input!$B$115:$B$3257,"="&amp;'Output - County'!B3097)*VLOOKUP(A3097,'Output - State'!$B$2:$G$52,5,FALSE)</f>
        <v>42.422859413091224</v>
      </c>
      <c r="G3097" s="99">
        <f>SUMIFS(Input!$D$115:$D$3257,Input!$A$115:$A$3257,"="&amp;'Output - County'!A3097,Input!$B$115:$B$3257,"="&amp;'Output - County'!B3097)*VLOOKUP(A3097,'Output - State'!$B$2:$G$52,6,FALSE)</f>
        <v>7.534506348922454</v>
      </c>
    </row>
    <row r="3098" spans="1:7" x14ac:dyDescent="0.25">
      <c r="A3098" s="88">
        <v>55</v>
      </c>
      <c r="B3098" s="88">
        <v>95</v>
      </c>
      <c r="C3098" s="97">
        <f>SUMIFS(Input!$C$115:$C$3257,Input!$A$115:$A$3257,"="&amp;'Output - County'!A3098,Input!$B$115:$B$3257,"="&amp;'Output - County'!B3098)*VLOOKUP(A3098,'Output - State'!$B$2:$G$52,2,FALSE)</f>
        <v>15.845833911290233</v>
      </c>
      <c r="D3098" s="98">
        <f>SUMIFS(Input!$C$115:$C$3257,Input!$A$115:$A$3257,"="&amp;'Output - County'!A3098,Input!$B$115:$B$3257,"="&amp;'Output - County'!B3098)*VLOOKUP(A3098,'Output - State'!$B$2:$G$52,3,FALSE)</f>
        <v>2.3716064113129529</v>
      </c>
      <c r="E3098" s="98">
        <f>SUMIFS(Input!$C$115:$C$3257,Input!$A$115:$A$3257,"="&amp;'Output - County'!A3098,Input!$B$115:$B$3257,"="&amp;'Output - County'!B3098)*VLOOKUP(A3098,'Output - State'!$B$2:$G$52,4,FALSE)</f>
        <v>23.314980973624305</v>
      </c>
      <c r="F3098" s="98">
        <f>SUMIFS(Input!$C$115:$C$3257,Input!$A$115:$A$3257,"="&amp;'Output - County'!A3098,Input!$B$115:$B$3257,"="&amp;'Output - County'!B3098)*VLOOKUP(A3098,'Output - State'!$B$2:$G$52,5,FALSE)</f>
        <v>61.983562549439938</v>
      </c>
      <c r="G3098" s="99">
        <f>SUMIFS(Input!$D$115:$D$3257,Input!$A$115:$A$3257,"="&amp;'Output - County'!A3098,Input!$B$115:$B$3257,"="&amp;'Output - County'!B3098)*VLOOKUP(A3098,'Output - State'!$B$2:$G$52,6,FALSE)</f>
        <v>7.7113726951412911</v>
      </c>
    </row>
    <row r="3099" spans="1:7" x14ac:dyDescent="0.25">
      <c r="A3099" s="88">
        <v>55</v>
      </c>
      <c r="B3099" s="88">
        <v>97</v>
      </c>
      <c r="C3099" s="97">
        <f>SUMIFS(Input!$C$115:$C$3257,Input!$A$115:$A$3257,"="&amp;'Output - County'!A3099,Input!$B$115:$B$3257,"="&amp;'Output - County'!B3099)*VLOOKUP(A3099,'Output - State'!$B$2:$G$52,2,FALSE)</f>
        <v>36.885378958553069</v>
      </c>
      <c r="D3099" s="98">
        <f>SUMIFS(Input!$C$115:$C$3257,Input!$A$115:$A$3257,"="&amp;'Output - County'!A3099,Input!$B$115:$B$3257,"="&amp;'Output - County'!B3099)*VLOOKUP(A3099,'Output - State'!$B$2:$G$52,3,FALSE)</f>
        <v>5.5205426051754927</v>
      </c>
      <c r="E3099" s="98">
        <f>SUMIFS(Input!$C$115:$C$3257,Input!$A$115:$A$3257,"="&amp;'Output - County'!A3099,Input!$B$115:$B$3257,"="&amp;'Output - County'!B3099)*VLOOKUP(A3099,'Output - State'!$B$2:$G$52,4,FALSE)</f>
        <v>54.271798722492335</v>
      </c>
      <c r="F3099" s="98">
        <f>SUMIFS(Input!$C$115:$C$3257,Input!$A$115:$A$3257,"="&amp;'Output - County'!A3099,Input!$B$115:$B$3257,"="&amp;'Output - County'!B3099)*VLOOKUP(A3099,'Output - State'!$B$2:$G$52,5,FALSE)</f>
        <v>144.28317289178952</v>
      </c>
      <c r="G3099" s="99">
        <f>SUMIFS(Input!$D$115:$D$3257,Input!$A$115:$A$3257,"="&amp;'Output - County'!A3099,Input!$B$115:$B$3257,"="&amp;'Output - County'!B3099)*VLOOKUP(A3099,'Output - State'!$B$2:$G$52,6,FALSE)</f>
        <v>12.53982394691554</v>
      </c>
    </row>
    <row r="3100" spans="1:7" x14ac:dyDescent="0.25">
      <c r="A3100" s="88">
        <v>55</v>
      </c>
      <c r="B3100" s="88">
        <v>99</v>
      </c>
      <c r="C3100" s="97">
        <f>SUMIFS(Input!$C$115:$C$3257,Input!$A$115:$A$3257,"="&amp;'Output - County'!A3100,Input!$B$115:$B$3257,"="&amp;'Output - County'!B3100)*VLOOKUP(A3100,'Output - State'!$B$2:$G$52,2,FALSE)</f>
        <v>4.3328542904367682</v>
      </c>
      <c r="D3100" s="98">
        <f>SUMIFS(Input!$C$115:$C$3257,Input!$A$115:$A$3257,"="&amp;'Output - County'!A3100,Input!$B$115:$B$3257,"="&amp;'Output - County'!B3100)*VLOOKUP(A3100,'Output - State'!$B$2:$G$52,3,FALSE)</f>
        <v>0.64848748712196846</v>
      </c>
      <c r="E3100" s="98">
        <f>SUMIFS(Input!$C$115:$C$3257,Input!$A$115:$A$3257,"="&amp;'Output - County'!A3100,Input!$B$115:$B$3257,"="&amp;'Output - County'!B3100)*VLOOKUP(A3100,'Output - State'!$B$2:$G$52,4,FALSE)</f>
        <v>6.375203470423993</v>
      </c>
      <c r="F3100" s="98">
        <f>SUMIFS(Input!$C$115:$C$3257,Input!$A$115:$A$3257,"="&amp;'Output - County'!A3100,Input!$B$115:$B$3257,"="&amp;'Output - County'!B3100)*VLOOKUP(A3100,'Output - State'!$B$2:$G$52,5,FALSE)</f>
        <v>16.948665903757973</v>
      </c>
      <c r="G3100" s="99">
        <f>SUMIFS(Input!$D$115:$D$3257,Input!$A$115:$A$3257,"="&amp;'Output - County'!A3100,Input!$B$115:$B$3257,"="&amp;'Output - County'!B3100)*VLOOKUP(A3100,'Output - State'!$B$2:$G$52,6,FALSE)</f>
        <v>2.3700090393324151</v>
      </c>
    </row>
    <row r="3101" spans="1:7" x14ac:dyDescent="0.25">
      <c r="A3101" s="88">
        <v>55</v>
      </c>
      <c r="B3101" s="88">
        <v>101</v>
      </c>
      <c r="C3101" s="97">
        <f>SUMIFS(Input!$C$115:$C$3257,Input!$A$115:$A$3257,"="&amp;'Output - County'!A3101,Input!$B$115:$B$3257,"="&amp;'Output - County'!B3101)*VLOOKUP(A3101,'Output - State'!$B$2:$G$52,2,FALSE)</f>
        <v>69.946222667548696</v>
      </c>
      <c r="D3101" s="98">
        <f>SUMIFS(Input!$C$115:$C$3257,Input!$A$115:$A$3257,"="&amp;'Output - County'!A3101,Input!$B$115:$B$3257,"="&amp;'Output - County'!B3101)*VLOOKUP(A3101,'Output - State'!$B$2:$G$52,3,FALSE)</f>
        <v>10.46867656534555</v>
      </c>
      <c r="E3101" s="98">
        <f>SUMIFS(Input!$C$115:$C$3257,Input!$A$115:$A$3257,"="&amp;'Output - County'!A3101,Input!$B$115:$B$3257,"="&amp;'Output - County'!B3101)*VLOOKUP(A3101,'Output - State'!$B$2:$G$52,4,FALSE)</f>
        <v>102.9163160361562</v>
      </c>
      <c r="F3101" s="98">
        <f>SUMIFS(Input!$C$115:$C$3257,Input!$A$115:$A$3257,"="&amp;'Output - County'!A3101,Input!$B$115:$B$3257,"="&amp;'Output - County'!B3101)*VLOOKUP(A3101,'Output - State'!$B$2:$G$52,5,FALSE)</f>
        <v>273.60605267495464</v>
      </c>
      <c r="G3101" s="99">
        <f>SUMIFS(Input!$D$115:$D$3257,Input!$A$115:$A$3257,"="&amp;'Output - County'!A3101,Input!$B$115:$B$3257,"="&amp;'Output - County'!B3101)*VLOOKUP(A3101,'Output - State'!$B$2:$G$52,6,FALSE)</f>
        <v>34.665803858892048</v>
      </c>
    </row>
    <row r="3102" spans="1:7" x14ac:dyDescent="0.25">
      <c r="A3102" s="88">
        <v>55</v>
      </c>
      <c r="B3102" s="88">
        <v>103</v>
      </c>
      <c r="C3102" s="97">
        <f>SUMIFS(Input!$C$115:$C$3257,Input!$A$115:$A$3257,"="&amp;'Output - County'!A3102,Input!$B$115:$B$3257,"="&amp;'Output - County'!B3102)*VLOOKUP(A3102,'Output - State'!$B$2:$G$52,2,FALSE)</f>
        <v>6.892262468618493</v>
      </c>
      <c r="D3102" s="98">
        <f>SUMIFS(Input!$C$115:$C$3257,Input!$A$115:$A$3257,"="&amp;'Output - County'!A3102,Input!$B$115:$B$3257,"="&amp;'Output - County'!B3102)*VLOOKUP(A3102,'Output - State'!$B$2:$G$52,3,FALSE)</f>
        <v>1.0315477210310051</v>
      </c>
      <c r="E3102" s="98">
        <f>SUMIFS(Input!$C$115:$C$3257,Input!$A$115:$A$3257,"="&amp;'Output - County'!A3102,Input!$B$115:$B$3257,"="&amp;'Output - County'!B3102)*VLOOKUP(A3102,'Output - State'!$B$2:$G$52,4,FALSE)</f>
        <v>10.141023137101703</v>
      </c>
      <c r="F3102" s="98">
        <f>SUMIFS(Input!$C$115:$C$3257,Input!$A$115:$A$3257,"="&amp;'Output - County'!A3102,Input!$B$115:$B$3257,"="&amp;'Output - County'!B3102)*VLOOKUP(A3102,'Output - State'!$B$2:$G$52,5,FALSE)</f>
        <v>26.960208230277146</v>
      </c>
      <c r="G3102" s="99">
        <f>SUMIFS(Input!$D$115:$D$3257,Input!$A$115:$A$3257,"="&amp;'Output - County'!A3102,Input!$B$115:$B$3257,"="&amp;'Output - County'!B3102)*VLOOKUP(A3102,'Output - State'!$B$2:$G$52,6,FALSE)</f>
        <v>3.0774744242077627</v>
      </c>
    </row>
    <row r="3103" spans="1:7" x14ac:dyDescent="0.25">
      <c r="A3103" s="88">
        <v>55</v>
      </c>
      <c r="B3103" s="88">
        <v>105</v>
      </c>
      <c r="C3103" s="97">
        <f>SUMIFS(Input!$C$115:$C$3257,Input!$A$115:$A$3257,"="&amp;'Output - County'!A3103,Input!$B$115:$B$3257,"="&amp;'Output - County'!B3103)*VLOOKUP(A3103,'Output - State'!$B$2:$G$52,2,FALSE)</f>
        <v>66.330198360602324</v>
      </c>
      <c r="D3103" s="98">
        <f>SUMIFS(Input!$C$115:$C$3257,Input!$A$115:$A$3257,"="&amp;'Output - County'!A3103,Input!$B$115:$B$3257,"="&amp;'Output - County'!B3103)*VLOOKUP(A3103,'Output - State'!$B$2:$G$52,3,FALSE)</f>
        <v>9.9274752326907123</v>
      </c>
      <c r="E3103" s="98">
        <f>SUMIFS(Input!$C$115:$C$3257,Input!$A$115:$A$3257,"="&amp;'Output - County'!A3103,Input!$B$115:$B$3257,"="&amp;'Output - County'!B3103)*VLOOKUP(A3103,'Output - State'!$B$2:$G$52,4,FALSE)</f>
        <v>97.595830008813195</v>
      </c>
      <c r="F3103" s="98">
        <f>SUMIFS(Input!$C$115:$C$3257,Input!$A$115:$A$3257,"="&amp;'Output - County'!A3103,Input!$B$115:$B$3257,"="&amp;'Output - County'!B3103)*VLOOKUP(A3103,'Output - State'!$B$2:$G$52,5,FALSE)</f>
        <v>259.46138411003875</v>
      </c>
      <c r="G3103" s="99">
        <f>SUMIFS(Input!$D$115:$D$3257,Input!$A$115:$A$3257,"="&amp;'Output - County'!A3103,Input!$B$115:$B$3257,"="&amp;'Output - County'!B3103)*VLOOKUP(A3103,'Output - State'!$B$2:$G$52,6,FALSE)</f>
        <v>28.829214433670423</v>
      </c>
    </row>
    <row r="3104" spans="1:7" x14ac:dyDescent="0.25">
      <c r="A3104" s="88">
        <v>55</v>
      </c>
      <c r="B3104" s="88">
        <v>107</v>
      </c>
      <c r="C3104" s="97">
        <f>SUMIFS(Input!$C$115:$C$3257,Input!$A$115:$A$3257,"="&amp;'Output - County'!A3104,Input!$B$115:$B$3257,"="&amp;'Output - County'!B3104)*VLOOKUP(A3104,'Output - State'!$B$2:$G$52,2,FALSE)</f>
        <v>6.1400178683567175</v>
      </c>
      <c r="D3104" s="98">
        <f>SUMIFS(Input!$C$115:$C$3257,Input!$A$115:$A$3257,"="&amp;'Output - County'!A3104,Input!$B$115:$B$3257,"="&amp;'Output - County'!B3104)*VLOOKUP(A3104,'Output - State'!$B$2:$G$52,3,FALSE)</f>
        <v>0.91896114926432471</v>
      </c>
      <c r="E3104" s="98">
        <f>SUMIFS(Input!$C$115:$C$3257,Input!$A$115:$A$3257,"="&amp;'Output - County'!A3104,Input!$B$115:$B$3257,"="&amp;'Output - County'!B3104)*VLOOKUP(A3104,'Output - State'!$B$2:$G$52,4,FALSE)</f>
        <v>9.0341979210353784</v>
      </c>
      <c r="F3104" s="98">
        <f>SUMIFS(Input!$C$115:$C$3257,Input!$A$115:$A$3257,"="&amp;'Output - County'!A3104,Input!$B$115:$B$3257,"="&amp;'Output - County'!B3104)*VLOOKUP(A3104,'Output - State'!$B$2:$G$52,5,FALSE)</f>
        <v>24.017680844603721</v>
      </c>
      <c r="G3104" s="99">
        <f>SUMIFS(Input!$D$115:$D$3257,Input!$A$115:$A$3257,"="&amp;'Output - County'!A3104,Input!$B$115:$B$3257,"="&amp;'Output - County'!B3104)*VLOOKUP(A3104,'Output - State'!$B$2:$G$52,6,FALSE)</f>
        <v>2.4938154816856009</v>
      </c>
    </row>
    <row r="3105" spans="1:7" x14ac:dyDescent="0.25">
      <c r="A3105" s="88">
        <v>55</v>
      </c>
      <c r="B3105" s="88">
        <v>109</v>
      </c>
      <c r="C3105" s="97">
        <f>SUMIFS(Input!$C$115:$C$3257,Input!$A$115:$A$3257,"="&amp;'Output - County'!A3105,Input!$B$115:$B$3257,"="&amp;'Output - County'!B3105)*VLOOKUP(A3105,'Output - State'!$B$2:$G$52,2,FALSE)</f>
        <v>47.027109890940459</v>
      </c>
      <c r="D3105" s="98">
        <f>SUMIFS(Input!$C$115:$C$3257,Input!$A$115:$A$3257,"="&amp;'Output - County'!A3105,Input!$B$115:$B$3257,"="&amp;'Output - County'!B3105)*VLOOKUP(A3105,'Output - State'!$B$2:$G$52,3,FALSE)</f>
        <v>7.0384301607129469</v>
      </c>
      <c r="E3105" s="98">
        <f>SUMIFS(Input!$C$115:$C$3257,Input!$A$115:$A$3257,"="&amp;'Output - County'!A3105,Input!$B$115:$B$3257,"="&amp;'Output - County'!B3105)*VLOOKUP(A3105,'Output - State'!$B$2:$G$52,4,FALSE)</f>
        <v>69.193971014084653</v>
      </c>
      <c r="F3105" s="98">
        <f>SUMIFS(Input!$C$115:$C$3257,Input!$A$115:$A$3257,"="&amp;'Output - County'!A3105,Input!$B$115:$B$3257,"="&amp;'Output - County'!B3105)*VLOOKUP(A3105,'Output - State'!$B$2:$G$52,5,FALSE)</f>
        <v>183.95420675005357</v>
      </c>
      <c r="G3105" s="99">
        <f>SUMIFS(Input!$D$115:$D$3257,Input!$A$115:$A$3257,"="&amp;'Output - County'!A3105,Input!$B$115:$B$3257,"="&amp;'Output - County'!B3105)*VLOOKUP(A3105,'Output - State'!$B$2:$G$52,6,FALSE)</f>
        <v>15.864911255829675</v>
      </c>
    </row>
    <row r="3106" spans="1:7" x14ac:dyDescent="0.25">
      <c r="A3106" s="88">
        <v>55</v>
      </c>
      <c r="B3106" s="88">
        <v>111</v>
      </c>
      <c r="C3106" s="97">
        <f>SUMIFS(Input!$C$115:$C$3257,Input!$A$115:$A$3257,"="&amp;'Output - County'!A3106,Input!$B$115:$B$3257,"="&amp;'Output - County'!B3106)*VLOOKUP(A3106,'Output - State'!$B$2:$G$52,2,FALSE)</f>
        <v>30.642088063530593</v>
      </c>
      <c r="D3106" s="98">
        <f>SUMIFS(Input!$C$115:$C$3257,Input!$A$115:$A$3257,"="&amp;'Output - County'!A3106,Input!$B$115:$B$3257,"="&amp;'Output - County'!B3106)*VLOOKUP(A3106,'Output - State'!$B$2:$G$52,3,FALSE)</f>
        <v>4.5861248397729852</v>
      </c>
      <c r="E3106" s="98">
        <f>SUMIFS(Input!$C$115:$C$3257,Input!$A$115:$A$3257,"="&amp;'Output - County'!A3106,Input!$B$115:$B$3257,"="&amp;'Output - County'!B3106)*VLOOKUP(A3106,'Output - State'!$B$2:$G$52,4,FALSE)</f>
        <v>45.085648643856395</v>
      </c>
      <c r="F3106" s="98">
        <f>SUMIFS(Input!$C$115:$C$3257,Input!$A$115:$A$3257,"="&amp;'Output - County'!A3106,Input!$B$115:$B$3257,"="&amp;'Output - County'!B3106)*VLOOKUP(A3106,'Output - State'!$B$2:$G$52,5,FALSE)</f>
        <v>119.86152276769927</v>
      </c>
      <c r="G3106" s="99">
        <f>SUMIFS(Input!$D$115:$D$3257,Input!$A$115:$A$3257,"="&amp;'Output - County'!A3106,Input!$B$115:$B$3257,"="&amp;'Output - County'!B3106)*VLOOKUP(A3106,'Output - State'!$B$2:$G$52,6,FALSE)</f>
        <v>11.372506061871215</v>
      </c>
    </row>
    <row r="3107" spans="1:7" x14ac:dyDescent="0.25">
      <c r="A3107" s="88">
        <v>55</v>
      </c>
      <c r="B3107" s="88">
        <v>113</v>
      </c>
      <c r="C3107" s="97">
        <f>SUMIFS(Input!$C$115:$C$3257,Input!$A$115:$A$3257,"="&amp;'Output - County'!A3107,Input!$B$115:$B$3257,"="&amp;'Output - County'!B3107)*VLOOKUP(A3107,'Output - State'!$B$2:$G$52,2,FALSE)</f>
        <v>7.2397274762767383</v>
      </c>
      <c r="D3107" s="98">
        <f>SUMIFS(Input!$C$115:$C$3257,Input!$A$115:$A$3257,"="&amp;'Output - County'!A3107,Input!$B$115:$B$3257,"="&amp;'Output - County'!B3107)*VLOOKUP(A3107,'Output - State'!$B$2:$G$52,3,FALSE)</f>
        <v>1.0835519414767376</v>
      </c>
      <c r="E3107" s="98">
        <f>SUMIFS(Input!$C$115:$C$3257,Input!$A$115:$A$3257,"="&amp;'Output - County'!A3107,Input!$B$115:$B$3257,"="&amp;'Output - County'!B3107)*VLOOKUP(A3107,'Output - State'!$B$2:$G$52,4,FALSE)</f>
        <v>10.652270452194418</v>
      </c>
      <c r="F3107" s="98">
        <f>SUMIFS(Input!$C$115:$C$3257,Input!$A$115:$A$3257,"="&amp;'Output - County'!A3107,Input!$B$115:$B$3257,"="&amp;'Output - County'!B3107)*VLOOKUP(A3107,'Output - State'!$B$2:$G$52,5,FALSE)</f>
        <v>28.319374251863504</v>
      </c>
      <c r="G3107" s="99">
        <f>SUMIFS(Input!$D$115:$D$3257,Input!$A$115:$A$3257,"="&amp;'Output - County'!A3107,Input!$B$115:$B$3257,"="&amp;'Output - County'!B3107)*VLOOKUP(A3107,'Output - State'!$B$2:$G$52,6,FALSE)</f>
        <v>2.9182947126108094</v>
      </c>
    </row>
    <row r="3108" spans="1:7" x14ac:dyDescent="0.25">
      <c r="A3108" s="88">
        <v>55</v>
      </c>
      <c r="B3108" s="88">
        <v>115</v>
      </c>
      <c r="C3108" s="97">
        <f>SUMIFS(Input!$C$115:$C$3257,Input!$A$115:$A$3257,"="&amp;'Output - County'!A3108,Input!$B$115:$B$3257,"="&amp;'Output - County'!B3108)*VLOOKUP(A3108,'Output - State'!$B$2:$G$52,2,FALSE)</f>
        <v>21.290383542503584</v>
      </c>
      <c r="D3108" s="98">
        <f>SUMIFS(Input!$C$115:$C$3257,Input!$A$115:$A$3257,"="&amp;'Output - County'!A3108,Input!$B$115:$B$3257,"="&amp;'Output - County'!B3108)*VLOOKUP(A3108,'Output - State'!$B$2:$G$52,3,FALSE)</f>
        <v>3.1864785653683514</v>
      </c>
      <c r="E3108" s="98">
        <f>SUMIFS(Input!$C$115:$C$3257,Input!$A$115:$A$3257,"="&amp;'Output - County'!A3108,Input!$B$115:$B$3257,"="&amp;'Output - County'!B3108)*VLOOKUP(A3108,'Output - State'!$B$2:$G$52,4,FALSE)</f>
        <v>31.325892344546059</v>
      </c>
      <c r="F3108" s="98">
        <f>SUMIFS(Input!$C$115:$C$3257,Input!$A$115:$A$3257,"="&amp;'Output - County'!A3108,Input!$B$115:$B$3257,"="&amp;'Output - County'!B3108)*VLOOKUP(A3108,'Output - State'!$B$2:$G$52,5,FALSE)</f>
        <v>83.280806008453595</v>
      </c>
      <c r="G3108" s="99">
        <f>SUMIFS(Input!$D$115:$D$3257,Input!$A$115:$A$3257,"="&amp;'Output - County'!A3108,Input!$B$115:$B$3257,"="&amp;'Output - County'!B3108)*VLOOKUP(A3108,'Output - State'!$B$2:$G$52,6,FALSE)</f>
        <v>7.2161469257285473</v>
      </c>
    </row>
    <row r="3109" spans="1:7" x14ac:dyDescent="0.25">
      <c r="A3109" s="88">
        <v>55</v>
      </c>
      <c r="B3109" s="88">
        <v>117</v>
      </c>
      <c r="C3109" s="97">
        <f>SUMIFS(Input!$C$115:$C$3257,Input!$A$115:$A$3257,"="&amp;'Output - County'!A3109,Input!$B$115:$B$3257,"="&amp;'Output - County'!B3109)*VLOOKUP(A3109,'Output - State'!$B$2:$G$52,2,FALSE)</f>
        <v>42.087271972892566</v>
      </c>
      <c r="D3109" s="98">
        <f>SUMIFS(Input!$C$115:$C$3257,Input!$A$115:$A$3257,"="&amp;'Output - County'!A3109,Input!$B$115:$B$3257,"="&amp;'Output - County'!B3109)*VLOOKUP(A3109,'Output - State'!$B$2:$G$52,3,FALSE)</f>
        <v>6.2990969490388071</v>
      </c>
      <c r="E3109" s="98">
        <f>SUMIFS(Input!$C$115:$C$3257,Input!$A$115:$A$3257,"="&amp;'Output - County'!A3109,Input!$B$115:$B$3257,"="&amp;'Output - County'!B3109)*VLOOKUP(A3109,'Output - State'!$B$2:$G$52,4,FALSE)</f>
        <v>61.925674014580345</v>
      </c>
      <c r="F3109" s="98">
        <f>SUMIFS(Input!$C$115:$C$3257,Input!$A$115:$A$3257,"="&amp;'Output - County'!A3109,Input!$B$115:$B$3257,"="&amp;'Output - County'!B3109)*VLOOKUP(A3109,'Output - State'!$B$2:$G$52,5,FALSE)</f>
        <v>164.63122543575014</v>
      </c>
      <c r="G3109" s="99">
        <f>SUMIFS(Input!$D$115:$D$3257,Input!$A$115:$A$3257,"="&amp;'Output - County'!A3109,Input!$B$115:$B$3257,"="&amp;'Output - County'!B3109)*VLOOKUP(A3109,'Output - State'!$B$2:$G$52,6,FALSE)</f>
        <v>20.339629815166248</v>
      </c>
    </row>
    <row r="3110" spans="1:7" x14ac:dyDescent="0.25">
      <c r="A3110" s="88">
        <v>55</v>
      </c>
      <c r="B3110" s="88">
        <v>119</v>
      </c>
      <c r="C3110" s="97">
        <f>SUMIFS(Input!$C$115:$C$3257,Input!$A$115:$A$3257,"="&amp;'Output - County'!A3110,Input!$B$115:$B$3257,"="&amp;'Output - County'!B3110)*VLOOKUP(A3110,'Output - State'!$B$2:$G$52,2,FALSE)</f>
        <v>5.4500089675420664</v>
      </c>
      <c r="D3110" s="98">
        <f>SUMIFS(Input!$C$115:$C$3257,Input!$A$115:$A$3257,"="&amp;'Output - County'!A3110,Input!$B$115:$B$3257,"="&amp;'Output - County'!B3110)*VLOOKUP(A3110,'Output - State'!$B$2:$G$52,3,FALSE)</f>
        <v>0.81568923929756265</v>
      </c>
      <c r="E3110" s="98">
        <f>SUMIFS(Input!$C$115:$C$3257,Input!$A$115:$A$3257,"="&amp;'Output - County'!A3110,Input!$B$115:$B$3257,"="&amp;'Output - County'!B3110)*VLOOKUP(A3110,'Output - State'!$B$2:$G$52,4,FALSE)</f>
        <v>8.0189440388990434</v>
      </c>
      <c r="F3110" s="98">
        <f>SUMIFS(Input!$C$115:$C$3257,Input!$A$115:$A$3257,"="&amp;'Output - County'!A3110,Input!$B$115:$B$3257,"="&amp;'Output - County'!B3110)*VLOOKUP(A3110,'Output - State'!$B$2:$G$52,5,FALSE)</f>
        <v>21.318598543050506</v>
      </c>
      <c r="G3110" s="99">
        <f>SUMIFS(Input!$D$115:$D$3257,Input!$A$115:$A$3257,"="&amp;'Output - County'!A3110,Input!$B$115:$B$3257,"="&amp;'Output - County'!B3110)*VLOOKUP(A3110,'Output - State'!$B$2:$G$52,6,FALSE)</f>
        <v>3.6080734628642737</v>
      </c>
    </row>
    <row r="3111" spans="1:7" x14ac:dyDescent="0.25">
      <c r="A3111" s="88">
        <v>55</v>
      </c>
      <c r="B3111" s="88">
        <v>121</v>
      </c>
      <c r="C3111" s="97">
        <f>SUMIFS(Input!$C$115:$C$3257,Input!$A$115:$A$3257,"="&amp;'Output - County'!A3111,Input!$B$115:$B$3257,"="&amp;'Output - County'!B3111)*VLOOKUP(A3111,'Output - State'!$B$2:$G$52,2,FALSE)</f>
        <v>14.019155010608713</v>
      </c>
      <c r="D3111" s="98">
        <f>SUMIFS(Input!$C$115:$C$3257,Input!$A$115:$A$3257,"="&amp;'Output - County'!A3111,Input!$B$115:$B$3257,"="&amp;'Output - County'!B3111)*VLOOKUP(A3111,'Output - State'!$B$2:$G$52,3,FALSE)</f>
        <v>2.0982119395218723</v>
      </c>
      <c r="E3111" s="98">
        <f>SUMIFS(Input!$C$115:$C$3257,Input!$A$115:$A$3257,"="&amp;'Output - County'!A3111,Input!$B$115:$B$3257,"="&amp;'Output - County'!B3111)*VLOOKUP(A3111,'Output - State'!$B$2:$G$52,4,FALSE)</f>
        <v>20.627272390236609</v>
      </c>
      <c r="F3111" s="98">
        <f>SUMIFS(Input!$C$115:$C$3257,Input!$A$115:$A$3257,"="&amp;'Output - County'!A3111,Input!$B$115:$B$3257,"="&amp;'Output - County'!B3111)*VLOOKUP(A3111,'Output - State'!$B$2:$G$52,5,FALSE)</f>
        <v>54.838210242202742</v>
      </c>
      <c r="G3111" s="99">
        <f>SUMIFS(Input!$D$115:$D$3257,Input!$A$115:$A$3257,"="&amp;'Output - County'!A3111,Input!$B$115:$B$3257,"="&amp;'Output - County'!B3111)*VLOOKUP(A3111,'Output - State'!$B$2:$G$52,6,FALSE)</f>
        <v>5.2175572134556898</v>
      </c>
    </row>
    <row r="3112" spans="1:7" x14ac:dyDescent="0.25">
      <c r="A3112" s="88">
        <v>55</v>
      </c>
      <c r="B3112" s="88">
        <v>123</v>
      </c>
      <c r="C3112" s="97">
        <f>SUMIFS(Input!$C$115:$C$3257,Input!$A$115:$A$3257,"="&amp;'Output - County'!A3112,Input!$B$115:$B$3257,"="&amp;'Output - County'!B3112)*VLOOKUP(A3112,'Output - State'!$B$2:$G$52,2,FALSE)</f>
        <v>9.5611465690568505</v>
      </c>
      <c r="D3112" s="98">
        <f>SUMIFS(Input!$C$115:$C$3257,Input!$A$115:$A$3257,"="&amp;'Output - County'!A3112,Input!$B$115:$B$3257,"="&amp;'Output - County'!B3112)*VLOOKUP(A3112,'Output - State'!$B$2:$G$52,3,FALSE)</f>
        <v>1.4309929429792791</v>
      </c>
      <c r="E3112" s="98">
        <f>SUMIFS(Input!$C$115:$C$3257,Input!$A$115:$A$3257,"="&amp;'Output - County'!A3112,Input!$B$115:$B$3257,"="&amp;'Output - County'!B3112)*VLOOKUP(A3112,'Output - State'!$B$2:$G$52,4,FALSE)</f>
        <v>14.06792167528423</v>
      </c>
      <c r="F3112" s="98">
        <f>SUMIFS(Input!$C$115:$C$3257,Input!$A$115:$A$3257,"="&amp;'Output - County'!A3112,Input!$B$115:$B$3257,"="&amp;'Output - County'!B3112)*VLOOKUP(A3112,'Output - State'!$B$2:$G$52,5,FALSE)</f>
        <v>37.399983473589472</v>
      </c>
      <c r="G3112" s="99">
        <f>SUMIFS(Input!$D$115:$D$3257,Input!$A$115:$A$3257,"="&amp;'Output - County'!A3112,Input!$B$115:$B$3257,"="&amp;'Output - County'!B3112)*VLOOKUP(A3112,'Output - State'!$B$2:$G$52,6,FALSE)</f>
        <v>5.4474834635401788</v>
      </c>
    </row>
    <row r="3113" spans="1:7" x14ac:dyDescent="0.25">
      <c r="A3113" s="88">
        <v>55</v>
      </c>
      <c r="B3113" s="88">
        <v>125</v>
      </c>
      <c r="C3113" s="97">
        <f>SUMIFS(Input!$C$115:$C$3257,Input!$A$115:$A$3257,"="&amp;'Output - County'!A3113,Input!$B$115:$B$3257,"="&amp;'Output - County'!B3113)*VLOOKUP(A3113,'Output - State'!$B$2:$G$52,2,FALSE)</f>
        <v>9.4733852474058988</v>
      </c>
      <c r="D3113" s="98">
        <f>SUMIFS(Input!$C$115:$C$3257,Input!$A$115:$A$3257,"="&amp;'Output - County'!A3113,Input!$B$115:$B$3257,"="&amp;'Output - County'!B3113)*VLOOKUP(A3113,'Output - State'!$B$2:$G$52,3,FALSE)</f>
        <v>1.4178579250144372</v>
      </c>
      <c r="E3113" s="98">
        <f>SUMIFS(Input!$C$115:$C$3257,Input!$A$115:$A$3257,"="&amp;'Output - County'!A3113,Input!$B$115:$B$3257,"="&amp;'Output - County'!B3113)*VLOOKUP(A3113,'Output - State'!$B$2:$G$52,4,FALSE)</f>
        <v>13.938792873608847</v>
      </c>
      <c r="F3113" s="98">
        <f>SUMIFS(Input!$C$115:$C$3257,Input!$A$115:$A$3257,"="&amp;'Output - County'!A3113,Input!$B$115:$B$3257,"="&amp;'Output - County'!B3113)*VLOOKUP(A3113,'Output - State'!$B$2:$G$52,5,FALSE)</f>
        <v>37.056690757003729</v>
      </c>
      <c r="G3113" s="99">
        <f>SUMIFS(Input!$D$115:$D$3257,Input!$A$115:$A$3257,"="&amp;'Output - County'!A3113,Input!$B$115:$B$3257,"="&amp;'Output - County'!B3113)*VLOOKUP(A3113,'Output - State'!$B$2:$G$52,6,FALSE)</f>
        <v>3.8733729821925289</v>
      </c>
    </row>
    <row r="3114" spans="1:7" x14ac:dyDescent="0.25">
      <c r="A3114" s="88">
        <v>55</v>
      </c>
      <c r="B3114" s="88">
        <v>127</v>
      </c>
      <c r="C3114" s="97">
        <f>SUMIFS(Input!$C$115:$C$3257,Input!$A$115:$A$3257,"="&amp;'Output - County'!A3114,Input!$B$115:$B$3257,"="&amp;'Output - County'!B3114)*VLOOKUP(A3114,'Output - State'!$B$2:$G$52,2,FALSE)</f>
        <v>47.071556068388688</v>
      </c>
      <c r="D3114" s="98">
        <f>SUMIFS(Input!$C$115:$C$3257,Input!$A$115:$A$3257,"="&amp;'Output - County'!A3114,Input!$B$115:$B$3257,"="&amp;'Output - County'!B3114)*VLOOKUP(A3114,'Output - State'!$B$2:$G$52,3,FALSE)</f>
        <v>7.0450823091568022</v>
      </c>
      <c r="E3114" s="98">
        <f>SUMIFS(Input!$C$115:$C$3257,Input!$A$115:$A$3257,"="&amp;'Output - County'!A3114,Input!$B$115:$B$3257,"="&amp;'Output - County'!B3114)*VLOOKUP(A3114,'Output - State'!$B$2:$G$52,4,FALSE)</f>
        <v>69.259367495415788</v>
      </c>
      <c r="F3114" s="98">
        <f>SUMIFS(Input!$C$115:$C$3257,Input!$A$115:$A$3257,"="&amp;'Output - County'!A3114,Input!$B$115:$B$3257,"="&amp;'Output - County'!B3114)*VLOOKUP(A3114,'Output - State'!$B$2:$G$52,5,FALSE)</f>
        <v>184.12806521880751</v>
      </c>
      <c r="G3114" s="99">
        <f>SUMIFS(Input!$D$115:$D$3257,Input!$A$115:$A$3257,"="&amp;'Output - County'!A3114,Input!$B$115:$B$3257,"="&amp;'Output - County'!B3114)*VLOOKUP(A3114,'Output - State'!$B$2:$G$52,6,FALSE)</f>
        <v>18.394100006759043</v>
      </c>
    </row>
    <row r="3115" spans="1:7" x14ac:dyDescent="0.25">
      <c r="A3115" s="88">
        <v>55</v>
      </c>
      <c r="B3115" s="88">
        <v>129</v>
      </c>
      <c r="C3115" s="97">
        <f>SUMIFS(Input!$C$115:$C$3257,Input!$A$115:$A$3257,"="&amp;'Output - County'!A3115,Input!$B$115:$B$3257,"="&amp;'Output - County'!B3115)*VLOOKUP(A3115,'Output - State'!$B$2:$G$52,2,FALSE)</f>
        <v>8.6353681425278292</v>
      </c>
      <c r="D3115" s="98">
        <f>SUMIFS(Input!$C$115:$C$3257,Input!$A$115:$A$3257,"="&amp;'Output - County'!A3115,Input!$B$115:$B$3257,"="&amp;'Output - County'!B3115)*VLOOKUP(A3115,'Output - State'!$B$2:$G$52,3,FALSE)</f>
        <v>1.292433996564532</v>
      </c>
      <c r="E3115" s="98">
        <f>SUMIFS(Input!$C$115:$C$3257,Input!$A$115:$A$3257,"="&amp;'Output - County'!A3115,Input!$B$115:$B$3257,"="&amp;'Output - County'!B3115)*VLOOKUP(A3115,'Output - State'!$B$2:$G$52,4,FALSE)</f>
        <v>12.705765128575955</v>
      </c>
      <c r="F3115" s="98">
        <f>SUMIFS(Input!$C$115:$C$3257,Input!$A$115:$A$3257,"="&amp;'Output - County'!A3115,Input!$B$115:$B$3257,"="&amp;'Output - County'!B3115)*VLOOKUP(A3115,'Output - State'!$B$2:$G$52,5,FALSE)</f>
        <v>33.778650236794782</v>
      </c>
      <c r="G3115" s="99">
        <f>SUMIFS(Input!$D$115:$D$3257,Input!$A$115:$A$3257,"="&amp;'Output - County'!A3115,Input!$B$115:$B$3257,"="&amp;'Output - County'!B3115)*VLOOKUP(A3115,'Output - State'!$B$2:$G$52,6,FALSE)</f>
        <v>2.7944882702576237</v>
      </c>
    </row>
    <row r="3116" spans="1:7" x14ac:dyDescent="0.25">
      <c r="A3116" s="88">
        <v>55</v>
      </c>
      <c r="B3116" s="88">
        <v>131</v>
      </c>
      <c r="C3116" s="97">
        <f>SUMIFS(Input!$C$115:$C$3257,Input!$A$115:$A$3257,"="&amp;'Output - County'!A3116,Input!$B$115:$B$3257,"="&amp;'Output - County'!B3116)*VLOOKUP(A3116,'Output - State'!$B$2:$G$52,2,FALSE)</f>
        <v>62.249169764691359</v>
      </c>
      <c r="D3116" s="98">
        <f>SUMIFS(Input!$C$115:$C$3257,Input!$A$115:$A$3257,"="&amp;'Output - County'!A3116,Input!$B$115:$B$3257,"="&amp;'Output - County'!B3116)*VLOOKUP(A3116,'Output - State'!$B$2:$G$52,3,FALSE)</f>
        <v>9.3166778687275649</v>
      </c>
      <c r="E3116" s="98">
        <f>SUMIFS(Input!$C$115:$C$3257,Input!$A$115:$A$3257,"="&amp;'Output - County'!A3116,Input!$B$115:$B$3257,"="&amp;'Output - County'!B3116)*VLOOKUP(A3116,'Output - State'!$B$2:$G$52,4,FALSE)</f>
        <v>91.591153663020719</v>
      </c>
      <c r="F3116" s="98">
        <f>SUMIFS(Input!$C$115:$C$3257,Input!$A$115:$A$3257,"="&amp;'Output - County'!A3116,Input!$B$115:$B$3257,"="&amp;'Output - County'!B3116)*VLOOKUP(A3116,'Output - State'!$B$2:$G$52,5,FALSE)</f>
        <v>243.4977754633226</v>
      </c>
      <c r="G3116" s="99">
        <f>SUMIFS(Input!$D$115:$D$3257,Input!$A$115:$A$3257,"="&amp;'Output - County'!A3116,Input!$B$115:$B$3257,"="&amp;'Output - County'!B3116)*VLOOKUP(A3116,'Output - State'!$B$2:$G$52,6,FALSE)</f>
        <v>23.876956739542987</v>
      </c>
    </row>
    <row r="3117" spans="1:7" x14ac:dyDescent="0.25">
      <c r="A3117" s="88">
        <v>55</v>
      </c>
      <c r="B3117" s="88">
        <v>133</v>
      </c>
      <c r="C3117" s="97">
        <f>SUMIFS(Input!$C$115:$C$3257,Input!$A$115:$A$3257,"="&amp;'Output - County'!A3117,Input!$B$115:$B$3257,"="&amp;'Output - County'!B3117)*VLOOKUP(A3117,'Output - State'!$B$2:$G$52,2,FALSE)</f>
        <v>178.12179165442708</v>
      </c>
      <c r="D3117" s="98">
        <f>SUMIFS(Input!$C$115:$C$3257,Input!$A$115:$A$3257,"="&amp;'Output - County'!A3117,Input!$B$115:$B$3257,"="&amp;'Output - County'!B3117)*VLOOKUP(A3117,'Output - State'!$B$2:$G$52,3,FALSE)</f>
        <v>26.659043976297294</v>
      </c>
      <c r="E3117" s="98">
        <f>SUMIFS(Input!$C$115:$C$3257,Input!$A$115:$A$3257,"="&amp;'Output - County'!A3117,Input!$B$115:$B$3257,"="&amp;'Output - County'!B3117)*VLOOKUP(A3117,'Output - State'!$B$2:$G$52,4,FALSE)</f>
        <v>262.08189525777334</v>
      </c>
      <c r="F3117" s="98">
        <f>SUMIFS(Input!$C$115:$C$3257,Input!$A$115:$A$3257,"="&amp;'Output - County'!A3117,Input!$B$115:$B$3257,"="&amp;'Output - County'!B3117)*VLOOKUP(A3117,'Output - State'!$B$2:$G$52,5,FALSE)</f>
        <v>696.75242566842712</v>
      </c>
      <c r="G3117" s="99">
        <f>SUMIFS(Input!$D$115:$D$3257,Input!$A$115:$A$3257,"="&amp;'Output - County'!A3117,Input!$B$115:$B$3257,"="&amp;'Output - County'!B3117)*VLOOKUP(A3117,'Output - State'!$B$2:$G$52,6,FALSE)</f>
        <v>71.277137526191282</v>
      </c>
    </row>
    <row r="3118" spans="1:7" x14ac:dyDescent="0.25">
      <c r="A3118" s="88">
        <v>55</v>
      </c>
      <c r="B3118" s="88">
        <v>135</v>
      </c>
      <c r="C3118" s="97">
        <f>SUMIFS(Input!$C$115:$C$3257,Input!$A$115:$A$3257,"="&amp;'Output - County'!A3118,Input!$B$115:$B$3257,"="&amp;'Output - County'!B3118)*VLOOKUP(A3118,'Output - State'!$B$2:$G$52,2,FALSE)</f>
        <v>20.595262962230997</v>
      </c>
      <c r="D3118" s="98">
        <f>SUMIFS(Input!$C$115:$C$3257,Input!$A$115:$A$3257,"="&amp;'Output - County'!A3118,Input!$B$115:$B$3257,"="&amp;'Output - County'!B3118)*VLOOKUP(A3118,'Output - State'!$B$2:$G$52,3,FALSE)</f>
        <v>3.0824416030955462</v>
      </c>
      <c r="E3118" s="98">
        <f>SUMIFS(Input!$C$115:$C$3257,Input!$A$115:$A$3257,"="&amp;'Output - County'!A3118,Input!$B$115:$B$3257,"="&amp;'Output - County'!B3118)*VLOOKUP(A3118,'Output - State'!$B$2:$G$52,4,FALSE)</f>
        <v>30.303117324047914</v>
      </c>
      <c r="F3118" s="98">
        <f>SUMIFS(Input!$C$115:$C$3257,Input!$A$115:$A$3257,"="&amp;'Output - County'!A3118,Input!$B$115:$B$3257,"="&amp;'Output - County'!B3118)*VLOOKUP(A3118,'Output - State'!$B$2:$G$52,5,FALSE)</f>
        <v>80.561728539389023</v>
      </c>
      <c r="G3118" s="99">
        <f>SUMIFS(Input!$D$115:$D$3257,Input!$A$115:$A$3257,"="&amp;'Output - County'!A3118,Input!$B$115:$B$3257,"="&amp;'Output - County'!B3118)*VLOOKUP(A3118,'Output - State'!$B$2:$G$52,6,FALSE)</f>
        <v>9.0378702917825677</v>
      </c>
    </row>
    <row r="3119" spans="1:7" x14ac:dyDescent="0.25">
      <c r="A3119" s="88">
        <v>55</v>
      </c>
      <c r="B3119" s="88">
        <v>137</v>
      </c>
      <c r="C3119" s="97">
        <f>SUMIFS(Input!$C$115:$C$3257,Input!$A$115:$A$3257,"="&amp;'Output - County'!A3119,Input!$B$115:$B$3257,"="&amp;'Output - County'!B3119)*VLOOKUP(A3119,'Output - State'!$B$2:$G$52,2,FALSE)</f>
        <v>12.505762056294419</v>
      </c>
      <c r="D3119" s="98">
        <f>SUMIFS(Input!$C$115:$C$3257,Input!$A$115:$A$3257,"="&amp;'Output - County'!A3119,Input!$B$115:$B$3257,"="&amp;'Output - County'!B3119)*VLOOKUP(A3119,'Output - State'!$B$2:$G$52,3,FALSE)</f>
        <v>1.871706193381852</v>
      </c>
      <c r="E3119" s="98">
        <f>SUMIFS(Input!$C$115:$C$3257,Input!$A$115:$A$3257,"="&amp;'Output - County'!A3119,Input!$B$115:$B$3257,"="&amp;'Output - County'!B3119)*VLOOKUP(A3119,'Output - State'!$B$2:$G$52,4,FALSE)</f>
        <v>18.400521300140031</v>
      </c>
      <c r="F3119" s="98">
        <f>SUMIFS(Input!$C$115:$C$3257,Input!$A$115:$A$3257,"="&amp;'Output - County'!A3119,Input!$B$115:$B$3257,"="&amp;'Output - County'!B3119)*VLOOKUP(A3119,'Output - State'!$B$2:$G$52,5,FALSE)</f>
        <v>48.918326986403564</v>
      </c>
      <c r="G3119" s="99">
        <f>SUMIFS(Input!$D$115:$D$3257,Input!$A$115:$A$3257,"="&amp;'Output - County'!A3119,Input!$B$115:$B$3257,"="&amp;'Output - County'!B3119)*VLOOKUP(A3119,'Output - State'!$B$2:$G$52,6,FALSE)</f>
        <v>4.2978522131177384</v>
      </c>
    </row>
    <row r="3120" spans="1:7" x14ac:dyDescent="0.25">
      <c r="A3120" s="88">
        <v>55</v>
      </c>
      <c r="B3120" s="88">
        <v>139</v>
      </c>
      <c r="C3120" s="97">
        <f>SUMIFS(Input!$C$115:$C$3257,Input!$A$115:$A$3257,"="&amp;'Output - County'!A3120,Input!$B$115:$B$3257,"="&amp;'Output - County'!B3120)*VLOOKUP(A3120,'Output - State'!$B$2:$G$52,2,FALSE)</f>
        <v>79.153536825314291</v>
      </c>
      <c r="D3120" s="98">
        <f>SUMIFS(Input!$C$115:$C$3257,Input!$A$115:$A$3257,"="&amp;'Output - County'!A3120,Input!$B$115:$B$3257,"="&amp;'Output - County'!B3120)*VLOOKUP(A3120,'Output - State'!$B$2:$G$52,3,FALSE)</f>
        <v>11.846712294469977</v>
      </c>
      <c r="E3120" s="98">
        <f>SUMIFS(Input!$C$115:$C$3257,Input!$A$115:$A$3257,"="&amp;'Output - County'!A3120,Input!$B$115:$B$3257,"="&amp;'Output - County'!B3120)*VLOOKUP(A3120,'Output - State'!$B$2:$G$52,4,FALSE)</f>
        <v>116.46362163132179</v>
      </c>
      <c r="F3120" s="98">
        <f>SUMIFS(Input!$C$115:$C$3257,Input!$A$115:$A$3257,"="&amp;'Output - County'!A3120,Input!$B$115:$B$3257,"="&amp;'Output - County'!B3120)*VLOOKUP(A3120,'Output - State'!$B$2:$G$52,5,FALSE)</f>
        <v>309.62196298962607</v>
      </c>
      <c r="G3120" s="99">
        <f>SUMIFS(Input!$D$115:$D$3257,Input!$A$115:$A$3257,"="&amp;'Output - County'!A3120,Input!$B$115:$B$3257,"="&amp;'Output - County'!B3120)*VLOOKUP(A3120,'Output - State'!$B$2:$G$52,6,FALSE)</f>
        <v>30.24414520342112</v>
      </c>
    </row>
    <row r="3121" spans="1:7" x14ac:dyDescent="0.25">
      <c r="A3121" s="88">
        <v>55</v>
      </c>
      <c r="B3121" s="88">
        <v>141</v>
      </c>
      <c r="C3121" s="97">
        <f>SUMIFS(Input!$C$115:$C$3257,Input!$A$115:$A$3257,"="&amp;'Output - County'!A3121,Input!$B$115:$B$3257,"="&amp;'Output - County'!B3121)*VLOOKUP(A3121,'Output - State'!$B$2:$G$52,2,FALSE)</f>
        <v>26.006352261286207</v>
      </c>
      <c r="D3121" s="98">
        <f>SUMIFS(Input!$C$115:$C$3257,Input!$A$115:$A$3257,"="&amp;'Output - County'!A3121,Input!$B$115:$B$3257,"="&amp;'Output - County'!B3121)*VLOOKUP(A3121,'Output - State'!$B$2:$G$52,3,FALSE)</f>
        <v>3.8923058327516888</v>
      </c>
      <c r="E3121" s="98">
        <f>SUMIFS(Input!$C$115:$C$3257,Input!$A$115:$A$3257,"="&amp;'Output - County'!A3121,Input!$B$115:$B$3257,"="&amp;'Output - County'!B3121)*VLOOKUP(A3121,'Output - State'!$B$2:$G$52,4,FALSE)</f>
        <v>38.264796384950166</v>
      </c>
      <c r="F3121" s="98">
        <f>SUMIFS(Input!$C$115:$C$3257,Input!$A$115:$A$3257,"="&amp;'Output - County'!A3121,Input!$B$115:$B$3257,"="&amp;'Output - County'!B3121)*VLOOKUP(A3121,'Output - State'!$B$2:$G$52,5,FALSE)</f>
        <v>101.72808645442564</v>
      </c>
      <c r="G3121" s="99">
        <f>SUMIFS(Input!$D$115:$D$3257,Input!$A$115:$A$3257,"="&amp;'Output - County'!A3121,Input!$B$115:$B$3257,"="&amp;'Output - County'!B3121)*VLOOKUP(A3121,'Output - State'!$B$2:$G$52,6,FALSE)</f>
        <v>12.911243273975098</v>
      </c>
    </row>
    <row r="3122" spans="1:7" x14ac:dyDescent="0.25">
      <c r="A3122" s="88">
        <v>56</v>
      </c>
      <c r="B3122" s="88">
        <v>1</v>
      </c>
      <c r="C3122" s="97">
        <f>SUMIFS(Input!$C$115:$C$3257,Input!$A$115:$A$3257,"="&amp;'Output - County'!A3122,Input!$B$115:$B$3257,"="&amp;'Output - County'!B3122)*VLOOKUP(A3122,'Output - State'!$B$2:$G$52,2,FALSE)</f>
        <v>21.39345649500698</v>
      </c>
      <c r="D3122" s="98">
        <f>SUMIFS(Input!$C$115:$C$3257,Input!$A$115:$A$3257,"="&amp;'Output - County'!A3122,Input!$B$115:$B$3257,"="&amp;'Output - County'!B3122)*VLOOKUP(A3122,'Output - State'!$B$2:$G$52,3,FALSE)</f>
        <v>0</v>
      </c>
      <c r="E3122" s="98">
        <f>SUMIFS(Input!$C$115:$C$3257,Input!$A$115:$A$3257,"="&amp;'Output - County'!A3122,Input!$B$115:$B$3257,"="&amp;'Output - County'!B3122)*VLOOKUP(A3122,'Output - State'!$B$2:$G$52,4,FALSE)</f>
        <v>10.796317041762334</v>
      </c>
      <c r="F3122" s="98">
        <f>SUMIFS(Input!$C$115:$C$3257,Input!$A$115:$A$3257,"="&amp;'Output - County'!A3122,Input!$B$115:$B$3257,"="&amp;'Output - County'!B3122)*VLOOKUP(A3122,'Output - State'!$B$2:$G$52,5,FALSE)</f>
        <v>171.37113627273698</v>
      </c>
      <c r="G3122" s="99">
        <f>SUMIFS(Input!$D$115:$D$3257,Input!$A$115:$A$3257,"="&amp;'Output - County'!A3122,Input!$B$115:$B$3257,"="&amp;'Output - County'!B3122)*VLOOKUP(A3122,'Output - State'!$B$2:$G$52,6,FALSE)</f>
        <v>0.48219974818003414</v>
      </c>
    </row>
    <row r="3123" spans="1:7" x14ac:dyDescent="0.25">
      <c r="A3123" s="88">
        <v>56</v>
      </c>
      <c r="B3123" s="88">
        <v>3</v>
      </c>
      <c r="C3123" s="97">
        <f>SUMIFS(Input!$C$115:$C$3257,Input!$A$115:$A$3257,"="&amp;'Output - County'!A3123,Input!$B$115:$B$3257,"="&amp;'Output - County'!B3123)*VLOOKUP(A3123,'Output - State'!$B$2:$G$52,2,FALSE)</f>
        <v>2.8547241147318489</v>
      </c>
      <c r="D3123" s="98">
        <f>SUMIFS(Input!$C$115:$C$3257,Input!$A$115:$A$3257,"="&amp;'Output - County'!A3123,Input!$B$115:$B$3257,"="&amp;'Output - County'!B3123)*VLOOKUP(A3123,'Output - State'!$B$2:$G$52,3,FALSE)</f>
        <v>0</v>
      </c>
      <c r="E3123" s="98">
        <f>SUMIFS(Input!$C$115:$C$3257,Input!$A$115:$A$3257,"="&amp;'Output - County'!A3123,Input!$B$115:$B$3257,"="&amp;'Output - County'!B3123)*VLOOKUP(A3123,'Output - State'!$B$2:$G$52,4,FALSE)</f>
        <v>1.4406510989284294</v>
      </c>
      <c r="F3123" s="98">
        <f>SUMIFS(Input!$C$115:$C$3257,Input!$A$115:$A$3257,"="&amp;'Output - County'!A3123,Input!$B$115:$B$3257,"="&amp;'Output - County'!B3123)*VLOOKUP(A3123,'Output - State'!$B$2:$G$52,5,FALSE)</f>
        <v>22.867614468983003</v>
      </c>
      <c r="G3123" s="99">
        <f>SUMIFS(Input!$D$115:$D$3257,Input!$A$115:$A$3257,"="&amp;'Output - County'!A3123,Input!$B$115:$B$3257,"="&amp;'Output - County'!B3123)*VLOOKUP(A3123,'Output - State'!$B$2:$G$52,6,FALSE)</f>
        <v>0.14827330757990714</v>
      </c>
    </row>
    <row r="3124" spans="1:7" x14ac:dyDescent="0.25">
      <c r="A3124" s="88">
        <v>56</v>
      </c>
      <c r="B3124" s="88">
        <v>5</v>
      </c>
      <c r="C3124" s="97">
        <f>SUMIFS(Input!$C$115:$C$3257,Input!$A$115:$A$3257,"="&amp;'Output - County'!A3124,Input!$B$115:$B$3257,"="&amp;'Output - County'!B3124)*VLOOKUP(A3124,'Output - State'!$B$2:$G$52,2,FALSE)</f>
        <v>18.836707520111357</v>
      </c>
      <c r="D3124" s="98">
        <f>SUMIFS(Input!$C$115:$C$3257,Input!$A$115:$A$3257,"="&amp;'Output - County'!A3124,Input!$B$115:$B$3257,"="&amp;'Output - County'!B3124)*VLOOKUP(A3124,'Output - State'!$B$2:$G$52,3,FALSE)</f>
        <v>0</v>
      </c>
      <c r="E3124" s="98">
        <f>SUMIFS(Input!$C$115:$C$3257,Input!$A$115:$A$3257,"="&amp;'Output - County'!A3124,Input!$B$115:$B$3257,"="&amp;'Output - County'!B3124)*VLOOKUP(A3124,'Output - State'!$B$2:$G$52,4,FALSE)</f>
        <v>9.5060406184262369</v>
      </c>
      <c r="F3124" s="98">
        <f>SUMIFS(Input!$C$115:$C$3257,Input!$A$115:$A$3257,"="&amp;'Output - County'!A3124,Input!$B$115:$B$3257,"="&amp;'Output - County'!B3124)*VLOOKUP(A3124,'Output - State'!$B$2:$G$52,5,FALSE)</f>
        <v>150.89043568588792</v>
      </c>
      <c r="G3124" s="99">
        <f>SUMIFS(Input!$D$115:$D$3257,Input!$A$115:$A$3257,"="&amp;'Output - County'!A3124,Input!$B$115:$B$3257,"="&amp;'Output - County'!B3124)*VLOOKUP(A3124,'Output - State'!$B$2:$G$52,6,FALSE)</f>
        <v>0.57689530596215965</v>
      </c>
    </row>
    <row r="3125" spans="1:7" x14ac:dyDescent="0.25">
      <c r="A3125" s="88">
        <v>56</v>
      </c>
      <c r="B3125" s="88">
        <v>7</v>
      </c>
      <c r="C3125" s="97">
        <f>SUMIFS(Input!$C$115:$C$3257,Input!$A$115:$A$3257,"="&amp;'Output - County'!A3125,Input!$B$115:$B$3257,"="&amp;'Output - County'!B3125)*VLOOKUP(A3125,'Output - State'!$B$2:$G$52,2,FALSE)</f>
        <v>21.290138645229867</v>
      </c>
      <c r="D3125" s="98">
        <f>SUMIFS(Input!$C$115:$C$3257,Input!$A$115:$A$3257,"="&amp;'Output - County'!A3125,Input!$B$115:$B$3257,"="&amp;'Output - County'!B3125)*VLOOKUP(A3125,'Output - State'!$B$2:$G$52,3,FALSE)</f>
        <v>0</v>
      </c>
      <c r="E3125" s="98">
        <f>SUMIFS(Input!$C$115:$C$3257,Input!$A$115:$A$3257,"="&amp;'Output - County'!A3125,Input!$B$115:$B$3257,"="&amp;'Output - County'!B3125)*VLOOKUP(A3125,'Output - State'!$B$2:$G$52,4,FALSE)</f>
        <v>10.744177161396239</v>
      </c>
      <c r="F3125" s="98">
        <f>SUMIFS(Input!$C$115:$C$3257,Input!$A$115:$A$3257,"="&amp;'Output - County'!A3125,Input!$B$115:$B$3257,"="&amp;'Output - County'!B3125)*VLOOKUP(A3125,'Output - State'!$B$2:$G$52,5,FALSE)</f>
        <v>170.54351417634069</v>
      </c>
      <c r="G3125" s="99">
        <f>SUMIFS(Input!$D$115:$D$3257,Input!$A$115:$A$3257,"="&amp;'Output - County'!A3125,Input!$B$115:$B$3257,"="&amp;'Output - County'!B3125)*VLOOKUP(A3125,'Output - State'!$B$2:$G$52,6,FALSE)</f>
        <v>0.18565313302021988</v>
      </c>
    </row>
    <row r="3126" spans="1:7" x14ac:dyDescent="0.25">
      <c r="A3126" s="88">
        <v>56</v>
      </c>
      <c r="B3126" s="88">
        <v>9</v>
      </c>
      <c r="C3126" s="97">
        <f>SUMIFS(Input!$C$115:$C$3257,Input!$A$115:$A$3257,"="&amp;'Output - County'!A3126,Input!$B$115:$B$3257,"="&amp;'Output - County'!B3126)*VLOOKUP(A3126,'Output - State'!$B$2:$G$52,2,FALSE)</f>
        <v>11.349188214494569</v>
      </c>
      <c r="D3126" s="98">
        <f>SUMIFS(Input!$C$115:$C$3257,Input!$A$115:$A$3257,"="&amp;'Output - County'!A3126,Input!$B$115:$B$3257,"="&amp;'Output - County'!B3126)*VLOOKUP(A3126,'Output - State'!$B$2:$G$52,3,FALSE)</f>
        <v>0</v>
      </c>
      <c r="E3126" s="98">
        <f>SUMIFS(Input!$C$115:$C$3257,Input!$A$115:$A$3257,"="&amp;'Output - County'!A3126,Input!$B$115:$B$3257,"="&amp;'Output - County'!B3126)*VLOOKUP(A3126,'Output - State'!$B$2:$G$52,4,FALSE)</f>
        <v>5.7274257742741623</v>
      </c>
      <c r="F3126" s="98">
        <f>SUMIFS(Input!$C$115:$C$3257,Input!$A$115:$A$3257,"="&amp;'Output - County'!A3126,Input!$B$115:$B$3257,"="&amp;'Output - County'!B3126)*VLOOKUP(A3126,'Output - State'!$B$2:$G$52,5,FALSE)</f>
        <v>90.912063721213769</v>
      </c>
      <c r="G3126" s="99">
        <f>SUMIFS(Input!$D$115:$D$3257,Input!$A$115:$A$3257,"="&amp;'Output - County'!A3126,Input!$B$115:$B$3257,"="&amp;'Output - County'!B3126)*VLOOKUP(A3126,'Output - State'!$B$2:$G$52,6,FALSE)</f>
        <v>0.17070120284409476</v>
      </c>
    </row>
    <row r="3127" spans="1:7" x14ac:dyDescent="0.25">
      <c r="A3127" s="88">
        <v>56</v>
      </c>
      <c r="B3127" s="88">
        <v>11</v>
      </c>
      <c r="C3127" s="97">
        <f>SUMIFS(Input!$C$115:$C$3257,Input!$A$115:$A$3257,"="&amp;'Output - County'!A3127,Input!$B$115:$B$3257,"="&amp;'Output - County'!B3127)*VLOOKUP(A3127,'Output - State'!$B$2:$G$52,2,FALSE)</f>
        <v>6.4283913053736494</v>
      </c>
      <c r="D3127" s="98">
        <f>SUMIFS(Input!$C$115:$C$3257,Input!$A$115:$A$3257,"="&amp;'Output - County'!A3127,Input!$B$115:$B$3257,"="&amp;'Output - County'!B3127)*VLOOKUP(A3127,'Output - State'!$B$2:$G$52,3,FALSE)</f>
        <v>0</v>
      </c>
      <c r="E3127" s="98">
        <f>SUMIFS(Input!$C$115:$C$3257,Input!$A$115:$A$3257,"="&amp;'Output - County'!A3127,Input!$B$115:$B$3257,"="&amp;'Output - County'!B3127)*VLOOKUP(A3127,'Output - State'!$B$2:$G$52,4,FALSE)</f>
        <v>3.2441204915867758</v>
      </c>
      <c r="F3127" s="98">
        <f>SUMIFS(Input!$C$115:$C$3257,Input!$A$115:$A$3257,"="&amp;'Output - County'!A3127,Input!$B$115:$B$3257,"="&amp;'Output - County'!B3127)*VLOOKUP(A3127,'Output - State'!$B$2:$G$52,5,FALSE)</f>
        <v>51.494283902406188</v>
      </c>
      <c r="G3127" s="99">
        <f>SUMIFS(Input!$D$115:$D$3257,Input!$A$115:$A$3257,"="&amp;'Output - County'!A3127,Input!$B$115:$B$3257,"="&amp;'Output - County'!B3127)*VLOOKUP(A3127,'Output - State'!$B$2:$G$52,6,FALSE)</f>
        <v>9.282656651010994E-2</v>
      </c>
    </row>
    <row r="3128" spans="1:7" x14ac:dyDescent="0.25">
      <c r="A3128" s="88">
        <v>56</v>
      </c>
      <c r="B3128" s="88">
        <v>13</v>
      </c>
      <c r="C3128" s="97">
        <f>SUMIFS(Input!$C$115:$C$3257,Input!$A$115:$A$3257,"="&amp;'Output - County'!A3128,Input!$B$115:$B$3257,"="&amp;'Output - County'!B3128)*VLOOKUP(A3128,'Output - State'!$B$2:$G$52,2,FALSE)</f>
        <v>11.844756427157716</v>
      </c>
      <c r="D3128" s="98">
        <f>SUMIFS(Input!$C$115:$C$3257,Input!$A$115:$A$3257,"="&amp;'Output - County'!A3128,Input!$B$115:$B$3257,"="&amp;'Output - County'!B3128)*VLOOKUP(A3128,'Output - State'!$B$2:$G$52,3,FALSE)</f>
        <v>0</v>
      </c>
      <c r="E3128" s="98">
        <f>SUMIFS(Input!$C$115:$C$3257,Input!$A$115:$A$3257,"="&amp;'Output - County'!A3128,Input!$B$115:$B$3257,"="&amp;'Output - County'!B3128)*VLOOKUP(A3128,'Output - State'!$B$2:$G$52,4,FALSE)</f>
        <v>5.9775168028547716</v>
      </c>
      <c r="F3128" s="98">
        <f>SUMIFS(Input!$C$115:$C$3257,Input!$A$115:$A$3257,"="&amp;'Output - County'!A3128,Input!$B$115:$B$3257,"="&amp;'Output - County'!B3128)*VLOOKUP(A3128,'Output - State'!$B$2:$G$52,5,FALSE)</f>
        <v>94.881786319549079</v>
      </c>
      <c r="G3128" s="99">
        <f>SUMIFS(Input!$D$115:$D$3257,Input!$A$115:$A$3257,"="&amp;'Output - County'!A3128,Input!$B$115:$B$3257,"="&amp;'Output - County'!B3128)*VLOOKUP(A3128,'Output - State'!$B$2:$G$52,6,FALSE)</f>
        <v>0.49341369581212796</v>
      </c>
    </row>
    <row r="3129" spans="1:7" x14ac:dyDescent="0.25">
      <c r="A3129" s="88">
        <v>56</v>
      </c>
      <c r="B3129" s="88">
        <v>15</v>
      </c>
      <c r="C3129" s="97">
        <f>SUMIFS(Input!$C$115:$C$3257,Input!$A$115:$A$3257,"="&amp;'Output - County'!A3129,Input!$B$115:$B$3257,"="&amp;'Output - County'!B3129)*VLOOKUP(A3129,'Output - State'!$B$2:$G$52,2,FALSE)</f>
        <v>4.0902146134281656</v>
      </c>
      <c r="D3129" s="98">
        <f>SUMIFS(Input!$C$115:$C$3257,Input!$A$115:$A$3257,"="&amp;'Output - County'!A3129,Input!$B$115:$B$3257,"="&amp;'Output - County'!B3129)*VLOOKUP(A3129,'Output - State'!$B$2:$G$52,3,FALSE)</f>
        <v>0</v>
      </c>
      <c r="E3129" s="98">
        <f>SUMIFS(Input!$C$115:$C$3257,Input!$A$115:$A$3257,"="&amp;'Output - County'!A3129,Input!$B$115:$B$3257,"="&amp;'Output - County'!B3129)*VLOOKUP(A3129,'Output - State'!$B$2:$G$52,4,FALSE)</f>
        <v>2.0641476867343136</v>
      </c>
      <c r="F3129" s="98">
        <f>SUMIFS(Input!$C$115:$C$3257,Input!$A$115:$A$3257,"="&amp;'Output - County'!A3129,Input!$B$115:$B$3257,"="&amp;'Output - County'!B3129)*VLOOKUP(A3129,'Output - State'!$B$2:$G$52,5,FALSE)</f>
        <v>32.764444869679274</v>
      </c>
      <c r="G3129" s="99">
        <f>SUMIFS(Input!$D$115:$D$3257,Input!$A$115:$A$3257,"="&amp;'Output - County'!A3129,Input!$B$115:$B$3257,"="&amp;'Output - County'!B3129)*VLOOKUP(A3129,'Output - State'!$B$2:$G$52,6,FALSE)</f>
        <v>0.16571722611871972</v>
      </c>
    </row>
    <row r="3130" spans="1:7" x14ac:dyDescent="0.25">
      <c r="A3130" s="88">
        <v>56</v>
      </c>
      <c r="B3130" s="88">
        <v>17</v>
      </c>
      <c r="C3130" s="97">
        <f>SUMIFS(Input!$C$115:$C$3257,Input!$A$115:$A$3257,"="&amp;'Output - County'!A3130,Input!$B$115:$B$3257,"="&amp;'Output - County'!B3130)*VLOOKUP(A3130,'Output - State'!$B$2:$G$52,2,FALSE)</f>
        <v>1.2947057235278987</v>
      </c>
      <c r="D3130" s="98">
        <f>SUMIFS(Input!$C$115:$C$3257,Input!$A$115:$A$3257,"="&amp;'Output - County'!A3130,Input!$B$115:$B$3257,"="&amp;'Output - County'!B3130)*VLOOKUP(A3130,'Output - State'!$B$2:$G$52,3,FALSE)</f>
        <v>0</v>
      </c>
      <c r="E3130" s="98">
        <f>SUMIFS(Input!$C$115:$C$3257,Input!$A$115:$A$3257,"="&amp;'Output - County'!A3130,Input!$B$115:$B$3257,"="&amp;'Output - County'!B3130)*VLOOKUP(A3130,'Output - State'!$B$2:$G$52,4,FALSE)</f>
        <v>0.65337985333290216</v>
      </c>
      <c r="F3130" s="98">
        <f>SUMIFS(Input!$C$115:$C$3257,Input!$A$115:$A$3257,"="&amp;'Output - County'!A3130,Input!$B$115:$B$3257,"="&amp;'Output - County'!B3130)*VLOOKUP(A3130,'Output - State'!$B$2:$G$52,5,FALSE)</f>
        <v>10.371170784467459</v>
      </c>
      <c r="G3130" s="99">
        <f>SUMIFS(Input!$D$115:$D$3257,Input!$A$115:$A$3257,"="&amp;'Output - County'!A3130,Input!$B$115:$B$3257,"="&amp;'Output - County'!B3130)*VLOOKUP(A3130,'Output - State'!$B$2:$G$52,6,FALSE)</f>
        <v>5.6941934087409711E-2</v>
      </c>
    </row>
    <row r="3131" spans="1:7" x14ac:dyDescent="0.25">
      <c r="A3131" s="88">
        <v>56</v>
      </c>
      <c r="B3131" s="88">
        <v>19</v>
      </c>
      <c r="C3131" s="97">
        <f>SUMIFS(Input!$C$115:$C$3257,Input!$A$115:$A$3257,"="&amp;'Output - County'!A3131,Input!$B$115:$B$3257,"="&amp;'Output - County'!B3131)*VLOOKUP(A3131,'Output - State'!$B$2:$G$52,2,FALSE)</f>
        <v>9.91950464618224</v>
      </c>
      <c r="D3131" s="98">
        <f>SUMIFS(Input!$C$115:$C$3257,Input!$A$115:$A$3257,"="&amp;'Output - County'!A3131,Input!$B$115:$B$3257,"="&amp;'Output - County'!B3131)*VLOOKUP(A3131,'Output - State'!$B$2:$G$52,3,FALSE)</f>
        <v>0</v>
      </c>
      <c r="E3131" s="98">
        <f>SUMIFS(Input!$C$115:$C$3257,Input!$A$115:$A$3257,"="&amp;'Output - County'!A3131,Input!$B$115:$B$3257,"="&amp;'Output - County'!B3131)*VLOOKUP(A3131,'Output - State'!$B$2:$G$52,4,FALSE)</f>
        <v>5.0059286624586665</v>
      </c>
      <c r="F3131" s="98">
        <f>SUMIFS(Input!$C$115:$C$3257,Input!$A$115:$A$3257,"="&amp;'Output - County'!A3131,Input!$B$115:$B$3257,"="&amp;'Output - County'!B3131)*VLOOKUP(A3131,'Output - State'!$B$2:$G$52,5,FALSE)</f>
        <v>79.459660147750668</v>
      </c>
      <c r="G3131" s="99">
        <f>SUMIFS(Input!$D$115:$D$3257,Input!$A$115:$A$3257,"="&amp;'Output - County'!A3131,Input!$B$115:$B$3257,"="&amp;'Output - County'!B3131)*VLOOKUP(A3131,'Output - State'!$B$2:$G$52,6,FALSE)</f>
        <v>0.10528650832354751</v>
      </c>
    </row>
    <row r="3132" spans="1:7" x14ac:dyDescent="0.25">
      <c r="A3132" s="88">
        <v>56</v>
      </c>
      <c r="B3132" s="88">
        <v>21</v>
      </c>
      <c r="C3132" s="97">
        <f>SUMIFS(Input!$C$115:$C$3257,Input!$A$115:$A$3257,"="&amp;'Output - County'!A3132,Input!$B$115:$B$3257,"="&amp;'Output - County'!B3132)*VLOOKUP(A3132,'Output - State'!$B$2:$G$52,2,FALSE)</f>
        <v>48.844754509818117</v>
      </c>
      <c r="D3132" s="98">
        <f>SUMIFS(Input!$C$115:$C$3257,Input!$A$115:$A$3257,"="&amp;'Output - County'!A3132,Input!$B$115:$B$3257,"="&amp;'Output - County'!B3132)*VLOOKUP(A3132,'Output - State'!$B$2:$G$52,3,FALSE)</f>
        <v>0</v>
      </c>
      <c r="E3132" s="98">
        <f>SUMIFS(Input!$C$115:$C$3257,Input!$A$115:$A$3257,"="&amp;'Output - County'!A3132,Input!$B$115:$B$3257,"="&amp;'Output - County'!B3132)*VLOOKUP(A3132,'Output - State'!$B$2:$G$52,4,FALSE)</f>
        <v>24.649754734029241</v>
      </c>
      <c r="F3132" s="98">
        <f>SUMIFS(Input!$C$115:$C$3257,Input!$A$115:$A$3257,"="&amp;'Output - County'!A3132,Input!$B$115:$B$3257,"="&amp;'Output - County'!B3132)*VLOOKUP(A3132,'Output - State'!$B$2:$G$52,5,FALSE)</f>
        <v>391.26828725708879</v>
      </c>
      <c r="G3132" s="99">
        <f>SUMIFS(Input!$D$115:$D$3257,Input!$A$115:$A$3257,"="&amp;'Output - County'!A3132,Input!$B$115:$B$3257,"="&amp;'Output - County'!B3132)*VLOOKUP(A3132,'Output - State'!$B$2:$G$52,6,FALSE)</f>
        <v>1.2322882453489761</v>
      </c>
    </row>
    <row r="3133" spans="1:7" x14ac:dyDescent="0.25">
      <c r="A3133" s="88">
        <v>56</v>
      </c>
      <c r="B3133" s="88">
        <v>23</v>
      </c>
      <c r="C3133" s="97">
        <f>SUMIFS(Input!$C$115:$C$3257,Input!$A$115:$A$3257,"="&amp;'Output - County'!A3133,Input!$B$115:$B$3257,"="&amp;'Output - County'!B3133)*VLOOKUP(A3133,'Output - State'!$B$2:$G$52,2,FALSE)</f>
        <v>5.2802780538803136</v>
      </c>
      <c r="D3133" s="98">
        <f>SUMIFS(Input!$C$115:$C$3257,Input!$A$115:$A$3257,"="&amp;'Output - County'!A3133,Input!$B$115:$B$3257,"="&amp;'Output - County'!B3133)*VLOOKUP(A3133,'Output - State'!$B$2:$G$52,3,FALSE)</f>
        <v>0</v>
      </c>
      <c r="E3133" s="98">
        <f>SUMIFS(Input!$C$115:$C$3257,Input!$A$115:$A$3257,"="&amp;'Output - County'!A3133,Input!$B$115:$B$3257,"="&amp;'Output - County'!B3133)*VLOOKUP(A3133,'Output - State'!$B$2:$G$52,4,FALSE)</f>
        <v>2.6647192776752404</v>
      </c>
      <c r="F3133" s="98">
        <f>SUMIFS(Input!$C$115:$C$3257,Input!$A$115:$A$3257,"="&amp;'Output - County'!A3133,Input!$B$115:$B$3257,"="&amp;'Output - County'!B3133)*VLOOKUP(A3133,'Output - State'!$B$2:$G$52,5,FALSE)</f>
        <v>42.297384255819402</v>
      </c>
      <c r="G3133" s="99">
        <f>SUMIFS(Input!$D$115:$D$3257,Input!$A$115:$A$3257,"="&amp;'Output - County'!A3133,Input!$B$115:$B$3257,"="&amp;'Output - County'!B3133)*VLOOKUP(A3133,'Output - State'!$B$2:$G$52,6,FALSE)</f>
        <v>0.24172287118068894</v>
      </c>
    </row>
    <row r="3134" spans="1:7" x14ac:dyDescent="0.25">
      <c r="A3134" s="88">
        <v>56</v>
      </c>
      <c r="B3134" s="88">
        <v>25</v>
      </c>
      <c r="C3134" s="97">
        <f>SUMIFS(Input!$C$115:$C$3257,Input!$A$115:$A$3257,"="&amp;'Output - County'!A3134,Input!$B$115:$B$3257,"="&amp;'Output - County'!B3134)*VLOOKUP(A3134,'Output - State'!$B$2:$G$52,2,FALSE)</f>
        <v>30.531891525153839</v>
      </c>
      <c r="D3134" s="98">
        <f>SUMIFS(Input!$C$115:$C$3257,Input!$A$115:$A$3257,"="&amp;'Output - County'!A3134,Input!$B$115:$B$3257,"="&amp;'Output - County'!B3134)*VLOOKUP(A3134,'Output - State'!$B$2:$G$52,3,FALSE)</f>
        <v>0</v>
      </c>
      <c r="E3134" s="98">
        <f>SUMIFS(Input!$C$115:$C$3257,Input!$A$115:$A$3257,"="&amp;'Output - County'!A3134,Input!$B$115:$B$3257,"="&amp;'Output - County'!B3134)*VLOOKUP(A3134,'Output - State'!$B$2:$G$52,4,FALSE)</f>
        <v>15.408074934837678</v>
      </c>
      <c r="F3134" s="98">
        <f>SUMIFS(Input!$C$115:$C$3257,Input!$A$115:$A$3257,"="&amp;'Output - County'!A3134,Input!$B$115:$B$3257,"="&amp;'Output - County'!B3134)*VLOOKUP(A3134,'Output - State'!$B$2:$G$52,5,FALSE)</f>
        <v>244.57408013720104</v>
      </c>
      <c r="G3134" s="99">
        <f>SUMIFS(Input!$D$115:$D$3257,Input!$A$115:$A$3257,"="&amp;'Output - County'!A3134,Input!$B$115:$B$3257,"="&amp;'Output - County'!B3134)*VLOOKUP(A3134,'Output - State'!$B$2:$G$52,6,FALSE)</f>
        <v>0.98682739162425592</v>
      </c>
    </row>
    <row r="3135" spans="1:7" x14ac:dyDescent="0.25">
      <c r="A3135" s="88">
        <v>56</v>
      </c>
      <c r="B3135" s="88">
        <v>27</v>
      </c>
      <c r="C3135" s="97">
        <f>SUMIFS(Input!$C$115:$C$3257,Input!$A$115:$A$3257,"="&amp;'Output - County'!A3135,Input!$B$115:$B$3257,"="&amp;'Output - County'!B3135)*VLOOKUP(A3135,'Output - State'!$B$2:$G$52,2,FALSE)</f>
        <v>1.4549215774870297</v>
      </c>
      <c r="D3135" s="98">
        <f>SUMIFS(Input!$C$115:$C$3257,Input!$A$115:$A$3257,"="&amp;'Output - County'!A3135,Input!$B$115:$B$3257,"="&amp;'Output - County'!B3135)*VLOOKUP(A3135,'Output - State'!$B$2:$G$52,3,FALSE)</f>
        <v>0</v>
      </c>
      <c r="E3135" s="98">
        <f>SUMIFS(Input!$C$115:$C$3257,Input!$A$115:$A$3257,"="&amp;'Output - County'!A3135,Input!$B$115:$B$3257,"="&amp;'Output - County'!B3135)*VLOOKUP(A3135,'Output - State'!$B$2:$G$52,4,FALSE)</f>
        <v>0.73423360199493704</v>
      </c>
      <c r="F3135" s="98">
        <f>SUMIFS(Input!$C$115:$C$3257,Input!$A$115:$A$3257,"="&amp;'Output - County'!A3135,Input!$B$115:$B$3257,"="&amp;'Output - County'!B3135)*VLOOKUP(A3135,'Output - State'!$B$2:$G$52,5,FALSE)</f>
        <v>11.654571292856144</v>
      </c>
      <c r="G3135" s="99">
        <f>SUMIFS(Input!$D$115:$D$3257,Input!$A$115:$A$3257,"="&amp;'Output - County'!A3135,Input!$B$115:$B$3257,"="&amp;'Output - County'!B3135)*VLOOKUP(A3135,'Output - State'!$B$2:$G$52,6,FALSE)</f>
        <v>2.9903860352250174E-2</v>
      </c>
    </row>
    <row r="3136" spans="1:7" x14ac:dyDescent="0.25">
      <c r="A3136" s="88">
        <v>56</v>
      </c>
      <c r="B3136" s="88">
        <v>29</v>
      </c>
      <c r="C3136" s="97">
        <f>SUMIFS(Input!$C$115:$C$3257,Input!$A$115:$A$3257,"="&amp;'Output - County'!A3136,Input!$B$115:$B$3257,"="&amp;'Output - County'!B3136)*VLOOKUP(A3136,'Output - State'!$B$2:$G$52,2,FALSE)</f>
        <v>10.436388799372757</v>
      </c>
      <c r="D3136" s="98">
        <f>SUMIFS(Input!$C$115:$C$3257,Input!$A$115:$A$3257,"="&amp;'Output - County'!A3136,Input!$B$115:$B$3257,"="&amp;'Output - County'!B3136)*VLOOKUP(A3136,'Output - State'!$B$2:$G$52,3,FALSE)</f>
        <v>0</v>
      </c>
      <c r="E3136" s="98">
        <f>SUMIFS(Input!$C$115:$C$3257,Input!$A$115:$A$3257,"="&amp;'Output - County'!A3136,Input!$B$115:$B$3257,"="&amp;'Output - County'!B3136)*VLOOKUP(A3136,'Output - State'!$B$2:$G$52,4,FALSE)</f>
        <v>5.266776889252224</v>
      </c>
      <c r="F3136" s="98">
        <f>SUMIFS(Input!$C$115:$C$3257,Input!$A$115:$A$3257,"="&amp;'Output - County'!A3136,Input!$B$115:$B$3257,"="&amp;'Output - County'!B3136)*VLOOKUP(A3136,'Output - State'!$B$2:$G$52,5,FALSE)</f>
        <v>83.600132944855901</v>
      </c>
      <c r="G3136" s="99">
        <f>SUMIFS(Input!$D$115:$D$3257,Input!$A$115:$A$3257,"="&amp;'Output - County'!A3136,Input!$B$115:$B$3257,"="&amp;'Output - County'!B3136)*VLOOKUP(A3136,'Output - State'!$B$2:$G$52,6,FALSE)</f>
        <v>0.36383030095237717</v>
      </c>
    </row>
    <row r="3137" spans="1:7" x14ac:dyDescent="0.25">
      <c r="A3137" s="88">
        <v>56</v>
      </c>
      <c r="B3137" s="88">
        <v>31</v>
      </c>
      <c r="C3137" s="97">
        <f>SUMIFS(Input!$C$115:$C$3257,Input!$A$115:$A$3257,"="&amp;'Output - County'!A3137,Input!$B$115:$B$3257,"="&amp;'Output - County'!B3137)*VLOOKUP(A3137,'Output - State'!$B$2:$G$52,2,FALSE)</f>
        <v>9.5541706258522243</v>
      </c>
      <c r="D3137" s="98">
        <f>SUMIFS(Input!$C$115:$C$3257,Input!$A$115:$A$3257,"="&amp;'Output - County'!A3137,Input!$B$115:$B$3257,"="&amp;'Output - County'!B3137)*VLOOKUP(A3137,'Output - State'!$B$2:$G$52,3,FALSE)</f>
        <v>0</v>
      </c>
      <c r="E3137" s="98">
        <f>SUMIFS(Input!$C$115:$C$3257,Input!$A$115:$A$3257,"="&amp;'Output - County'!A3137,Input!$B$115:$B$3257,"="&amp;'Output - County'!B3137)*VLOOKUP(A3137,'Output - State'!$B$2:$G$52,4,FALSE)</f>
        <v>4.82156098393299</v>
      </c>
      <c r="F3137" s="98">
        <f>SUMIFS(Input!$C$115:$C$3257,Input!$A$115:$A$3257,"="&amp;'Output - County'!A3137,Input!$B$115:$B$3257,"="&amp;'Output - County'!B3137)*VLOOKUP(A3137,'Output - State'!$B$2:$G$52,5,FALSE)</f>
        <v>76.533171564774193</v>
      </c>
      <c r="G3137" s="99">
        <f>SUMIFS(Input!$D$115:$D$3257,Input!$A$115:$A$3257,"="&amp;'Output - County'!A3137,Input!$B$115:$B$3257,"="&amp;'Output - County'!B3137)*VLOOKUP(A3137,'Output - State'!$B$2:$G$52,6,FALSE)</f>
        <v>0.10615870425048814</v>
      </c>
    </row>
    <row r="3138" spans="1:7" x14ac:dyDescent="0.25">
      <c r="A3138" s="88">
        <v>56</v>
      </c>
      <c r="B3138" s="88">
        <v>33</v>
      </c>
      <c r="C3138" s="97">
        <f>SUMIFS(Input!$C$115:$C$3257,Input!$A$115:$A$3257,"="&amp;'Output - County'!A3138,Input!$B$115:$B$3257,"="&amp;'Output - County'!B3138)*VLOOKUP(A3138,'Output - State'!$B$2:$G$52,2,FALSE)</f>
        <v>10.667980207671324</v>
      </c>
      <c r="D3138" s="98">
        <f>SUMIFS(Input!$C$115:$C$3257,Input!$A$115:$A$3257,"="&amp;'Output - County'!A3138,Input!$B$115:$B$3257,"="&amp;'Output - County'!B3138)*VLOOKUP(A3138,'Output - State'!$B$2:$G$52,3,FALSE)</f>
        <v>0</v>
      </c>
      <c r="E3138" s="98">
        <f>SUMIFS(Input!$C$115:$C$3257,Input!$A$115:$A$3257,"="&amp;'Output - County'!A3138,Input!$B$115:$B$3257,"="&amp;'Output - County'!B3138)*VLOOKUP(A3138,'Output - State'!$B$2:$G$52,4,FALSE)</f>
        <v>5.3836506758104221</v>
      </c>
      <c r="F3138" s="98">
        <f>SUMIFS(Input!$C$115:$C$3257,Input!$A$115:$A$3257,"="&amp;'Output - County'!A3138,Input!$B$115:$B$3257,"="&amp;'Output - County'!B3138)*VLOOKUP(A3138,'Output - State'!$B$2:$G$52,5,FALSE)</f>
        <v>85.455283504579228</v>
      </c>
      <c r="G3138" s="99">
        <f>SUMIFS(Input!$D$115:$D$3257,Input!$A$115:$A$3257,"="&amp;'Output - County'!A3138,Input!$B$115:$B$3257,"="&amp;'Output - County'!B3138)*VLOOKUP(A3138,'Output - State'!$B$2:$G$52,6,FALSE)</f>
        <v>0.37629024276581474</v>
      </c>
    </row>
    <row r="3139" spans="1:7" x14ac:dyDescent="0.25">
      <c r="A3139" s="88">
        <v>56</v>
      </c>
      <c r="B3139" s="88">
        <v>35</v>
      </c>
      <c r="C3139" s="97">
        <f>SUMIFS(Input!$C$115:$C$3257,Input!$A$115:$A$3257,"="&amp;'Output - County'!A3139,Input!$B$115:$B$3257,"="&amp;'Output - County'!B3139)*VLOOKUP(A3139,'Output - State'!$B$2:$G$52,2,FALSE)</f>
        <v>3.2612203239173572</v>
      </c>
      <c r="D3139" s="98">
        <f>SUMIFS(Input!$C$115:$C$3257,Input!$A$115:$A$3257,"="&amp;'Output - County'!A3139,Input!$B$115:$B$3257,"="&amp;'Output - County'!B3139)*VLOOKUP(A3139,'Output - State'!$B$2:$G$52,3,FALSE)</f>
        <v>0</v>
      </c>
      <c r="E3139" s="98">
        <f>SUMIFS(Input!$C$115:$C$3257,Input!$A$115:$A$3257,"="&amp;'Output - County'!A3139,Input!$B$115:$B$3257,"="&amp;'Output - County'!B3139)*VLOOKUP(A3139,'Output - State'!$B$2:$G$52,4,FALSE)</f>
        <v>1.6457914862083232</v>
      </c>
      <c r="F3139" s="98">
        <f>SUMIFS(Input!$C$115:$C$3257,Input!$A$115:$A$3257,"="&amp;'Output - County'!A3139,Input!$B$115:$B$3257,"="&amp;'Output - County'!B3139)*VLOOKUP(A3139,'Output - State'!$B$2:$G$52,5,FALSE)</f>
        <v>26.123830558932706</v>
      </c>
      <c r="G3139" s="99">
        <f>SUMIFS(Input!$D$115:$D$3257,Input!$A$115:$A$3257,"="&amp;'Output - County'!A3139,Input!$B$115:$B$3257,"="&amp;'Output - County'!B3139)*VLOOKUP(A3139,'Output - State'!$B$2:$G$52,6,FALSE)</f>
        <v>0.12210742977168822</v>
      </c>
    </row>
    <row r="3140" spans="1:7" x14ac:dyDescent="0.25">
      <c r="A3140" s="88">
        <v>56</v>
      </c>
      <c r="B3140" s="88">
        <v>37</v>
      </c>
      <c r="C3140" s="97">
        <f>SUMIFS(Input!$C$115:$C$3257,Input!$A$115:$A$3257,"="&amp;'Output - County'!A3140,Input!$B$115:$B$3257,"="&amp;'Output - County'!B3140)*VLOOKUP(A3140,'Output - State'!$B$2:$G$52,2,FALSE)</f>
        <v>44.087876165587488</v>
      </c>
      <c r="D3140" s="98">
        <f>SUMIFS(Input!$C$115:$C$3257,Input!$A$115:$A$3257,"="&amp;'Output - County'!A3140,Input!$B$115:$B$3257,"="&amp;'Output - County'!B3140)*VLOOKUP(A3140,'Output - State'!$B$2:$G$52,3,FALSE)</f>
        <v>0</v>
      </c>
      <c r="E3140" s="98">
        <f>SUMIFS(Input!$C$115:$C$3257,Input!$A$115:$A$3257,"="&amp;'Output - County'!A3140,Input!$B$115:$B$3257,"="&amp;'Output - County'!B3140)*VLOOKUP(A3140,'Output - State'!$B$2:$G$52,4,FALSE)</f>
        <v>22.249171791979016</v>
      </c>
      <c r="F3140" s="98">
        <f>SUMIFS(Input!$C$115:$C$3257,Input!$A$115:$A$3257,"="&amp;'Output - County'!A3140,Input!$B$115:$B$3257,"="&amp;'Output - County'!B3140)*VLOOKUP(A3140,'Output - State'!$B$2:$G$52,5,FALSE)</f>
        <v>353.16356831406824</v>
      </c>
      <c r="G3140" s="99">
        <f>SUMIFS(Input!$D$115:$D$3257,Input!$A$115:$A$3257,"="&amp;'Output - County'!A3140,Input!$B$115:$B$3257,"="&amp;'Output - County'!B3140)*VLOOKUP(A3140,'Output - State'!$B$2:$G$52,6,FALSE)</f>
        <v>0.53453150379647196</v>
      </c>
    </row>
    <row r="3141" spans="1:7" x14ac:dyDescent="0.25">
      <c r="A3141" s="88">
        <v>56</v>
      </c>
      <c r="B3141" s="88">
        <v>39</v>
      </c>
      <c r="C3141" s="97">
        <f>SUMIFS(Input!$C$115:$C$3257,Input!$A$115:$A$3257,"="&amp;'Output - County'!A3141,Input!$B$115:$B$3257,"="&amp;'Output - County'!B3141)*VLOOKUP(A3141,'Output - State'!$B$2:$G$52,2,FALSE)</f>
        <v>12.195869757538263</v>
      </c>
      <c r="D3141" s="98">
        <f>SUMIFS(Input!$C$115:$C$3257,Input!$A$115:$A$3257,"="&amp;'Output - County'!A3141,Input!$B$115:$B$3257,"="&amp;'Output - County'!B3141)*VLOOKUP(A3141,'Output - State'!$B$2:$G$52,3,FALSE)</f>
        <v>0</v>
      </c>
      <c r="E3141" s="98">
        <f>SUMIFS(Input!$C$115:$C$3257,Input!$A$115:$A$3257,"="&amp;'Output - County'!A3141,Input!$B$115:$B$3257,"="&amp;'Output - County'!B3141)*VLOOKUP(A3141,'Output - State'!$B$2:$G$52,4,FALSE)</f>
        <v>6.1547079375955347</v>
      </c>
      <c r="F3141" s="98">
        <f>SUMIFS(Input!$C$115:$C$3257,Input!$A$115:$A$3257,"="&amp;'Output - County'!A3141,Input!$B$115:$B$3257,"="&amp;'Output - County'!B3141)*VLOOKUP(A3141,'Output - State'!$B$2:$G$52,5,FALSE)</f>
        <v>97.694360828107932</v>
      </c>
      <c r="G3141" s="99">
        <f>SUMIFS(Input!$D$115:$D$3257,Input!$A$115:$A$3257,"="&amp;'Output - County'!A3141,Input!$B$115:$B$3257,"="&amp;'Output - County'!B3141)*VLOOKUP(A3141,'Output - State'!$B$2:$G$52,6,FALSE)</f>
        <v>0.2903166442530955</v>
      </c>
    </row>
    <row r="3142" spans="1:7" x14ac:dyDescent="0.25">
      <c r="A3142" s="88">
        <v>56</v>
      </c>
      <c r="B3142" s="88">
        <v>41</v>
      </c>
      <c r="C3142" s="97">
        <f>SUMIFS(Input!$C$115:$C$3257,Input!$A$115:$A$3257,"="&amp;'Output - County'!A3142,Input!$B$115:$B$3257,"="&amp;'Output - County'!B3142)*VLOOKUP(A3142,'Output - State'!$B$2:$G$52,2,FALSE)</f>
        <v>16.243008284570568</v>
      </c>
      <c r="D3142" s="98">
        <f>SUMIFS(Input!$C$115:$C$3257,Input!$A$115:$A$3257,"="&amp;'Output - County'!A3142,Input!$B$115:$B$3257,"="&amp;'Output - County'!B3142)*VLOOKUP(A3142,'Output - State'!$B$2:$G$52,3,FALSE)</f>
        <v>0</v>
      </c>
      <c r="E3142" s="98">
        <f>SUMIFS(Input!$C$115:$C$3257,Input!$A$115:$A$3257,"="&amp;'Output - County'!A3142,Input!$B$115:$B$3257,"="&amp;'Output - County'!B3142)*VLOOKUP(A3142,'Output - State'!$B$2:$G$52,4,FALSE)</f>
        <v>8.1971170574107255</v>
      </c>
      <c r="F3142" s="98">
        <f>SUMIFS(Input!$C$115:$C$3257,Input!$A$115:$A$3257,"="&amp;'Output - County'!A3142,Input!$B$115:$B$3257,"="&amp;'Output - County'!B3142)*VLOOKUP(A3142,'Output - State'!$B$2:$G$52,5,FALSE)</f>
        <v>130.11374701717781</v>
      </c>
      <c r="G3142" s="99">
        <f>SUMIFS(Input!$D$115:$D$3257,Input!$A$115:$A$3257,"="&amp;'Output - County'!A3142,Input!$B$115:$B$3257,"="&amp;'Output - County'!B3142)*VLOOKUP(A3142,'Output - State'!$B$2:$G$52,6,FALSE)</f>
        <v>0.25293681881278279</v>
      </c>
    </row>
    <row r="3143" spans="1:7" x14ac:dyDescent="0.25">
      <c r="A3143" s="88">
        <v>56</v>
      </c>
      <c r="B3143" s="88">
        <v>43</v>
      </c>
      <c r="C3143" s="97">
        <f>SUMIFS(Input!$C$115:$C$3257,Input!$A$115:$A$3257,"="&amp;'Output - County'!A3143,Input!$B$115:$B$3257,"="&amp;'Output - County'!B3143)*VLOOKUP(A3143,'Output - State'!$B$2:$G$52,2,FALSE)</f>
        <v>2.2241830596925301</v>
      </c>
      <c r="D3143" s="98">
        <f>SUMIFS(Input!$C$115:$C$3257,Input!$A$115:$A$3257,"="&amp;'Output - County'!A3143,Input!$B$115:$B$3257,"="&amp;'Output - County'!B3143)*VLOOKUP(A3143,'Output - State'!$B$2:$G$52,3,FALSE)</f>
        <v>0</v>
      </c>
      <c r="E3143" s="98">
        <f>SUMIFS(Input!$C$115:$C$3257,Input!$A$115:$A$3257,"="&amp;'Output - County'!A3143,Input!$B$115:$B$3257,"="&amp;'Output - County'!B3143)*VLOOKUP(A3143,'Output - State'!$B$2:$G$52,4,FALSE)</f>
        <v>1.1224453363560931</v>
      </c>
      <c r="F3143" s="98">
        <f>SUMIFS(Input!$C$115:$C$3257,Input!$A$115:$A$3257,"="&amp;'Output - County'!A3143,Input!$B$115:$B$3257,"="&amp;'Output - County'!B3143)*VLOOKUP(A3143,'Output - State'!$B$2:$G$52,5,FALSE)</f>
        <v>17.816699153175215</v>
      </c>
      <c r="G3143" s="99">
        <f>SUMIFS(Input!$D$115:$D$3257,Input!$A$115:$A$3257,"="&amp;'Output - County'!A3143,Input!$B$115:$B$3257,"="&amp;'Output - County'!B3143)*VLOOKUP(A3143,'Output - State'!$B$2:$G$52,6,FALSE)</f>
        <v>9.8184341489888083E-2</v>
      </c>
    </row>
    <row r="3144" spans="1:7" ht="15.75" thickBot="1" x14ac:dyDescent="0.3">
      <c r="A3144" s="89">
        <v>56</v>
      </c>
      <c r="B3144" s="89">
        <v>45</v>
      </c>
      <c r="C3144" s="100">
        <f>SUMIFS(Input!$C$115:$C$3257,Input!$A$115:$A$3257,"="&amp;'Output - County'!A3144,Input!$B$115:$B$3257,"="&amp;'Output - County'!B3144)*VLOOKUP(A3144,'Output - State'!$B$2:$G$52,2,FALSE)</f>
        <v>1.8207628621577938</v>
      </c>
      <c r="D3144" s="101">
        <f>SUMIFS(Input!$C$115:$C$3257,Input!$A$115:$A$3257,"="&amp;'Output - County'!A3144,Input!$B$115:$B$3257,"="&amp;'Output - County'!B3144)*VLOOKUP(A3144,'Output - State'!$B$2:$G$52,3,FALSE)</f>
        <v>0</v>
      </c>
      <c r="E3144" s="101">
        <f>SUMIFS(Input!$C$115:$C$3257,Input!$A$115:$A$3257,"="&amp;'Output - County'!A3144,Input!$B$115:$B$3257,"="&amp;'Output - County'!B3144)*VLOOKUP(A3144,'Output - State'!$B$2:$G$52,4,FALSE)</f>
        <v>0.91885727405994566</v>
      </c>
      <c r="F3144" s="101">
        <f>SUMIFS(Input!$C$115:$C$3257,Input!$A$115:$A$3257,"="&amp;'Output - County'!A3144,Input!$B$115:$B$3257,"="&amp;'Output - County'!B3144)*VLOOKUP(A3144,'Output - State'!$B$2:$G$52,5,FALSE)</f>
        <v>14.585123289637917</v>
      </c>
      <c r="G3144" s="102">
        <f>SUMIFS(Input!$D$115:$D$3257,Input!$A$115:$A$3257,"="&amp;'Output - County'!A3144,Input!$B$115:$B$3257,"="&amp;'Output - County'!B3144)*VLOOKUP(A3144,'Output - State'!$B$2:$G$52,6,FALSE)</f>
        <v>8.6222797348988009E-2</v>
      </c>
    </row>
    <row r="3145" spans="1:7" ht="15.75" thickBot="1" x14ac:dyDescent="0.3">
      <c r="A3145" s="89" t="s">
        <v>96</v>
      </c>
      <c r="B3145" s="89" t="s">
        <v>96</v>
      </c>
      <c r="C3145" s="78">
        <f>SUM(C2:C3144)</f>
        <v>67748.713297682727</v>
      </c>
      <c r="D3145" s="79">
        <f>SUM(D2:D3144)</f>
        <v>11102.21937149071</v>
      </c>
      <c r="E3145" s="79">
        <f>SUM(E2:E3144)</f>
        <v>68848.069601461495</v>
      </c>
      <c r="F3145" s="79">
        <f>SUM(F2:F3144)</f>
        <v>213396.29354031803</v>
      </c>
      <c r="G3145" s="80">
        <f>SUM(G2:G3144)</f>
        <v>57577.945600828585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Input</vt:lpstr>
      <vt:lpstr>Intermediate</vt:lpstr>
      <vt:lpstr>Output - State</vt:lpstr>
      <vt:lpstr>Output - 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2021-08-04T21:08:57Z</dcterms:created>
  <dcterms:modified xsi:type="dcterms:W3CDTF">2022-09-14T18:06:22Z</dcterms:modified>
</cp:coreProperties>
</file>